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24226"/>
  <mc:AlternateContent xmlns:mc="http://schemas.openxmlformats.org/markup-compatibility/2006">
    <mc:Choice Requires="x15">
      <x15ac:absPath xmlns:x15ac="http://schemas.microsoft.com/office/spreadsheetml/2010/11/ac" url="https://satgt-my.sharepoint.com/personal/mrrodasg_sat_gob_gt/Documents/1. Unidad de Tecnología/2. Reportes UTS/2026/Chatbot Interno/Data callcenter/"/>
    </mc:Choice>
  </mc:AlternateContent>
  <xr:revisionPtr revIDLastSave="0" documentId="13_ncr:1_{8E0502B9-9611-4973-8F07-C18D462838B2}" xr6:coauthVersionLast="47" xr6:coauthVersionMax="47" xr10:uidLastSave="{00000000-0000-0000-0000-000000000000}"/>
  <bookViews>
    <workbookView xWindow="28680" yWindow="-120" windowWidth="29040" windowHeight="15720" firstSheet="1" activeTab="15" xr2:uid="{00000000-000D-0000-FFFF-FFFF00000000}"/>
  </bookViews>
  <sheets>
    <sheet name="Conceptos de Tipificación" sheetId="7" r:id="rId1"/>
    <sheet name="Enero" sheetId="4" r:id="rId2"/>
    <sheet name="Febrero" sheetId="15" r:id="rId3"/>
    <sheet name="Marzo" sheetId="16" r:id="rId4"/>
    <sheet name="Abril" sheetId="17" r:id="rId5"/>
    <sheet name="Mayo" sheetId="18" r:id="rId6"/>
    <sheet name="Junio" sheetId="19" r:id="rId7"/>
    <sheet name="Julio" sheetId="21" r:id="rId8"/>
    <sheet name="Agosto" sheetId="20" r:id="rId9"/>
    <sheet name="Septiembre" sheetId="22" r:id="rId10"/>
    <sheet name="Resumen Febrero" sheetId="5" state="hidden" r:id="rId11"/>
    <sheet name="Resumen Marzo" sheetId="8" state="hidden" r:id="rId12"/>
    <sheet name="Arto 120" sheetId="14" state="hidden" r:id="rId13"/>
    <sheet name="Octubre" sheetId="23" r:id="rId14"/>
    <sheet name="Noviembre" sheetId="25" r:id="rId15"/>
    <sheet name="Diciembre" sheetId="24" r:id="rId16"/>
  </sheets>
  <definedNames>
    <definedName name="_xlnm._FilterDatabase" localSheetId="4" hidden="1">Abril!$B$2:$S$428</definedName>
    <definedName name="_xlnm._FilterDatabase" localSheetId="8" hidden="1">Agosto!$A$3:$T$349</definedName>
    <definedName name="_xlnm._FilterDatabase" localSheetId="15" hidden="1">Diciembre!$A$3:$T$282</definedName>
    <definedName name="_xlnm._FilterDatabase" localSheetId="1" hidden="1">Enero!$A$1:$S$1</definedName>
    <definedName name="_xlnm._FilterDatabase" localSheetId="2" hidden="1">Febrero!$B$2:$S$550</definedName>
    <definedName name="_xlnm._FilterDatabase" localSheetId="7" hidden="1">Julio!$A$3:$T$313</definedName>
    <definedName name="_xlnm._FilterDatabase" localSheetId="6" hidden="1">Junio!$A$3:$T$521</definedName>
    <definedName name="_xlnm._FilterDatabase" localSheetId="3" hidden="1">Marzo!$B$2:$S$454</definedName>
    <definedName name="_xlnm._FilterDatabase" localSheetId="5" hidden="1">Mayo!$A$3:$T$883</definedName>
    <definedName name="_xlnm._FilterDatabase" localSheetId="14" hidden="1">Noviembre!$A$3:$T$249</definedName>
    <definedName name="_xlnm._FilterDatabase" localSheetId="13" hidden="1">Octubre!$A$3:$T$235</definedName>
    <definedName name="_xlnm._FilterDatabase" localSheetId="9" hidden="1">Septiembre!$A$3:$T$235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7" i="22" l="1"/>
  <c r="R159" i="20"/>
  <c r="R149" i="20"/>
  <c r="R9" i="24"/>
  <c r="R281" i="24"/>
  <c r="R271" i="24"/>
  <c r="R252" i="24"/>
  <c r="R104" i="24"/>
  <c r="R103" i="24"/>
  <c r="R102" i="24"/>
  <c r="R101" i="24"/>
  <c r="R100" i="24"/>
  <c r="R99" i="24"/>
  <c r="R98" i="24"/>
  <c r="R87" i="24"/>
  <c r="R86" i="24"/>
  <c r="R85" i="24"/>
  <c r="R84" i="24"/>
  <c r="R83" i="24"/>
  <c r="R82" i="24"/>
  <c r="R76" i="24"/>
  <c r="R75" i="24"/>
  <c r="R74" i="24"/>
  <c r="R73" i="24"/>
  <c r="R66" i="24"/>
  <c r="R65" i="24"/>
  <c r="R64" i="24"/>
  <c r="R63" i="24"/>
  <c r="R62" i="24"/>
  <c r="R46" i="24"/>
  <c r="R45" i="24"/>
  <c r="R44" i="24"/>
  <c r="R37" i="24"/>
  <c r="R6" i="24"/>
  <c r="R282" i="24"/>
  <c r="R280" i="24"/>
  <c r="R279" i="24"/>
  <c r="R278" i="24"/>
  <c r="R277" i="24"/>
  <c r="R276" i="24"/>
  <c r="R275" i="24"/>
  <c r="R274" i="24"/>
  <c r="R273" i="24"/>
  <c r="R272" i="24"/>
  <c r="R270" i="24"/>
  <c r="R269" i="24"/>
  <c r="R268" i="24"/>
  <c r="R267" i="24"/>
  <c r="R266" i="24"/>
  <c r="R265" i="24"/>
  <c r="R264" i="24"/>
  <c r="R263" i="24"/>
  <c r="R262" i="24"/>
  <c r="R261" i="24"/>
  <c r="R260" i="24"/>
  <c r="R259" i="24"/>
  <c r="R258" i="24"/>
  <c r="R257" i="24"/>
  <c r="R256" i="24"/>
  <c r="R255" i="24"/>
  <c r="R254" i="24"/>
  <c r="R253" i="24"/>
  <c r="R251" i="24"/>
  <c r="R250" i="24"/>
  <c r="R249" i="24"/>
  <c r="R248" i="24"/>
  <c r="R247" i="24"/>
  <c r="R246" i="24"/>
  <c r="R245" i="24"/>
  <c r="R244" i="24"/>
  <c r="R243" i="24"/>
  <c r="R242" i="24"/>
  <c r="R241" i="24"/>
  <c r="R240" i="24"/>
  <c r="R239" i="24"/>
  <c r="R238" i="24"/>
  <c r="R237" i="24"/>
  <c r="R236" i="24"/>
  <c r="R235" i="24"/>
  <c r="R234" i="24"/>
  <c r="R233" i="24"/>
  <c r="R232" i="24"/>
  <c r="R231" i="24"/>
  <c r="R230" i="24"/>
  <c r="R229" i="24"/>
  <c r="R228" i="24"/>
  <c r="R227" i="24"/>
  <c r="R226" i="24"/>
  <c r="R225" i="24"/>
  <c r="R224" i="24"/>
  <c r="R223" i="24"/>
  <c r="R222" i="24"/>
  <c r="R221" i="24"/>
  <c r="R220" i="24"/>
  <c r="R219" i="24"/>
  <c r="R218" i="24"/>
  <c r="R217" i="24"/>
  <c r="R216" i="24"/>
  <c r="R215" i="24"/>
  <c r="R214" i="24"/>
  <c r="R213" i="24"/>
  <c r="R212" i="24"/>
  <c r="R211" i="24"/>
  <c r="R210" i="24"/>
  <c r="R209" i="24"/>
  <c r="R208" i="24"/>
  <c r="R207" i="24"/>
  <c r="R206" i="24"/>
  <c r="R205" i="24"/>
  <c r="R204" i="24"/>
  <c r="R203" i="24"/>
  <c r="R202" i="24"/>
  <c r="R201" i="24"/>
  <c r="R200" i="24"/>
  <c r="R199" i="24"/>
  <c r="R198" i="24"/>
  <c r="R197" i="24"/>
  <c r="R196" i="24"/>
  <c r="R195" i="24"/>
  <c r="R194" i="24"/>
  <c r="R193" i="24"/>
  <c r="R192" i="24"/>
  <c r="R191" i="24"/>
  <c r="R190" i="24"/>
  <c r="R189" i="24"/>
  <c r="R188" i="24"/>
  <c r="R187" i="24"/>
  <c r="R186" i="24"/>
  <c r="R185" i="24"/>
  <c r="R184" i="24"/>
  <c r="R183" i="24"/>
  <c r="R182" i="24"/>
  <c r="R181" i="24"/>
  <c r="R180" i="24"/>
  <c r="R179" i="24"/>
  <c r="R178" i="24"/>
  <c r="R177" i="24"/>
  <c r="R176" i="24"/>
  <c r="R175" i="24"/>
  <c r="R174" i="24"/>
  <c r="R173" i="24"/>
  <c r="R172" i="24"/>
  <c r="R171" i="24"/>
  <c r="R170" i="24"/>
  <c r="R169" i="24"/>
  <c r="R168" i="24"/>
  <c r="R167" i="24"/>
  <c r="R166" i="24"/>
  <c r="R165" i="24"/>
  <c r="R164" i="24"/>
  <c r="R163" i="24"/>
  <c r="R162" i="24"/>
  <c r="R161" i="24"/>
  <c r="R160" i="24"/>
  <c r="R159" i="24"/>
  <c r="R158" i="24"/>
  <c r="R157" i="24"/>
  <c r="R156" i="24"/>
  <c r="R155" i="24"/>
  <c r="R154" i="24"/>
  <c r="R153" i="24"/>
  <c r="R152" i="24"/>
  <c r="R151" i="24"/>
  <c r="R150" i="24"/>
  <c r="R149" i="24"/>
  <c r="R148" i="24"/>
  <c r="R147" i="24"/>
  <c r="R146" i="24"/>
  <c r="R145" i="24"/>
  <c r="R144" i="24"/>
  <c r="R143" i="24"/>
  <c r="R142" i="24"/>
  <c r="R141" i="24"/>
  <c r="R140" i="24"/>
  <c r="R139" i="24"/>
  <c r="R138" i="24"/>
  <c r="R137" i="24"/>
  <c r="R136" i="24"/>
  <c r="R135" i="24"/>
  <c r="R134" i="24"/>
  <c r="R133" i="24"/>
  <c r="R132" i="24"/>
  <c r="R131" i="24"/>
  <c r="R130" i="24"/>
  <c r="R129" i="24"/>
  <c r="R128" i="24"/>
  <c r="R127" i="24"/>
  <c r="R126" i="24"/>
  <c r="R125" i="24"/>
  <c r="R124" i="24"/>
  <c r="R123" i="24"/>
  <c r="R122" i="24"/>
  <c r="R121" i="24"/>
  <c r="R120" i="24"/>
  <c r="R119" i="24"/>
  <c r="R118" i="24"/>
  <c r="R117" i="24"/>
  <c r="R116" i="24"/>
  <c r="R115" i="24"/>
  <c r="R114" i="24"/>
  <c r="R113" i="24"/>
  <c r="R112" i="24"/>
  <c r="R111" i="24"/>
  <c r="R110" i="24"/>
  <c r="R109" i="24"/>
  <c r="R108" i="24"/>
  <c r="R107" i="24"/>
  <c r="R106" i="24"/>
  <c r="R105" i="24"/>
  <c r="R97" i="24"/>
  <c r="R96" i="24"/>
  <c r="R95" i="24"/>
  <c r="R94" i="24"/>
  <c r="R93" i="24"/>
  <c r="R92" i="24"/>
  <c r="R91" i="24"/>
  <c r="R90" i="24"/>
  <c r="R89" i="24"/>
  <c r="R88" i="24"/>
  <c r="R81" i="24"/>
  <c r="R80" i="24"/>
  <c r="R79" i="24"/>
  <c r="R78" i="24"/>
  <c r="R77" i="24"/>
  <c r="R72" i="24"/>
  <c r="R71" i="24"/>
  <c r="R70" i="24"/>
  <c r="R69" i="24"/>
  <c r="R68" i="24"/>
  <c r="R67" i="24"/>
  <c r="R61" i="24"/>
  <c r="R60" i="24"/>
  <c r="R59" i="24"/>
  <c r="R58" i="24"/>
  <c r="R57" i="24"/>
  <c r="R56" i="24"/>
  <c r="R55" i="24"/>
  <c r="R54" i="24"/>
  <c r="R53" i="24"/>
  <c r="R52" i="24"/>
  <c r="R51" i="24"/>
  <c r="R50" i="24"/>
  <c r="R49" i="24"/>
  <c r="R48" i="24"/>
  <c r="R47" i="24"/>
  <c r="R43" i="24"/>
  <c r="R42" i="24"/>
  <c r="R41" i="24"/>
  <c r="R40" i="24"/>
  <c r="R39" i="24"/>
  <c r="R38" i="24"/>
  <c r="R36" i="24"/>
  <c r="R35" i="24"/>
  <c r="R34" i="24"/>
  <c r="R33" i="24"/>
  <c r="R32" i="24"/>
  <c r="R31" i="24"/>
  <c r="R30" i="24"/>
  <c r="R29" i="24"/>
  <c r="R28" i="24"/>
  <c r="R27" i="24"/>
  <c r="R26" i="24"/>
  <c r="R25" i="24"/>
  <c r="R24" i="24"/>
  <c r="R23" i="24"/>
  <c r="R22" i="24"/>
  <c r="R21" i="24"/>
  <c r="R20" i="24"/>
  <c r="R19" i="24"/>
  <c r="R18" i="24"/>
  <c r="R17" i="24"/>
  <c r="R16" i="24"/>
  <c r="R15" i="24"/>
  <c r="R14" i="24"/>
  <c r="R13" i="24"/>
  <c r="R12" i="24"/>
  <c r="R11" i="24"/>
  <c r="R10" i="24"/>
  <c r="R8" i="24"/>
  <c r="R7" i="24"/>
  <c r="R5" i="24"/>
  <c r="R4" i="24"/>
  <c r="A5" i="24"/>
  <c r="R229" i="25"/>
  <c r="R228" i="25"/>
  <c r="R227" i="25"/>
  <c r="R192" i="25"/>
  <c r="R191" i="25"/>
  <c r="R190" i="25"/>
  <c r="R189" i="25"/>
  <c r="R168" i="25"/>
  <c r="R167" i="25"/>
  <c r="R154" i="25"/>
  <c r="R153" i="25"/>
  <c r="R152" i="25"/>
  <c r="R151" i="25"/>
  <c r="R114" i="25"/>
  <c r="R113" i="25"/>
  <c r="R112" i="25"/>
  <c r="R111" i="25"/>
  <c r="R110" i="25"/>
  <c r="R109" i="25"/>
  <c r="R108" i="25"/>
  <c r="R107" i="25"/>
  <c r="R106" i="25"/>
  <c r="R105" i="25"/>
  <c r="R93" i="25"/>
  <c r="R92" i="25"/>
  <c r="R91" i="25"/>
  <c r="R90" i="25"/>
  <c r="R89" i="25"/>
  <c r="R73" i="25"/>
  <c r="R55" i="25"/>
  <c r="R249" i="25"/>
  <c r="R248" i="25"/>
  <c r="R247" i="25"/>
  <c r="R246" i="25"/>
  <c r="R245" i="25"/>
  <c r="R244" i="25"/>
  <c r="R243" i="25"/>
  <c r="R242" i="25"/>
  <c r="R241" i="25"/>
  <c r="R240" i="25"/>
  <c r="R239" i="25"/>
  <c r="R238" i="25"/>
  <c r="R237" i="25"/>
  <c r="R236" i="25"/>
  <c r="R235" i="25"/>
  <c r="R234" i="25"/>
  <c r="R233" i="25"/>
  <c r="R232" i="25"/>
  <c r="R231" i="25"/>
  <c r="R230" i="25"/>
  <c r="R226" i="25"/>
  <c r="R225" i="25"/>
  <c r="R224" i="25"/>
  <c r="R223" i="25"/>
  <c r="R222" i="25"/>
  <c r="R221" i="25"/>
  <c r="R220" i="25"/>
  <c r="R219" i="25"/>
  <c r="R218" i="25"/>
  <c r="R217" i="25"/>
  <c r="R216" i="25"/>
  <c r="R215" i="25"/>
  <c r="R214" i="25"/>
  <c r="R213" i="25"/>
  <c r="R212" i="25"/>
  <c r="R211" i="25"/>
  <c r="R210" i="25"/>
  <c r="R209" i="25"/>
  <c r="R208" i="25"/>
  <c r="R207" i="25"/>
  <c r="R206" i="25"/>
  <c r="R205" i="25"/>
  <c r="R204" i="25"/>
  <c r="R203" i="25"/>
  <c r="R202" i="25"/>
  <c r="R201" i="25"/>
  <c r="R200" i="25"/>
  <c r="R199" i="25"/>
  <c r="R198" i="25"/>
  <c r="R197" i="25"/>
  <c r="R196" i="25"/>
  <c r="R195" i="25"/>
  <c r="R194" i="25"/>
  <c r="R193" i="25"/>
  <c r="R188" i="25"/>
  <c r="R187" i="25"/>
  <c r="R186" i="25"/>
  <c r="R185" i="25"/>
  <c r="R184" i="25"/>
  <c r="R183" i="25"/>
  <c r="R182" i="25"/>
  <c r="R181" i="25"/>
  <c r="R180" i="25"/>
  <c r="R179" i="25"/>
  <c r="R178" i="25"/>
  <c r="R177" i="25"/>
  <c r="R176" i="25"/>
  <c r="R175" i="25"/>
  <c r="R174" i="25"/>
  <c r="R173" i="25"/>
  <c r="R172" i="25"/>
  <c r="R171" i="25"/>
  <c r="R170" i="25"/>
  <c r="R169" i="25"/>
  <c r="R166" i="25"/>
  <c r="R165" i="25"/>
  <c r="R164" i="25"/>
  <c r="R163" i="25"/>
  <c r="R162" i="25"/>
  <c r="R161" i="25"/>
  <c r="R160" i="25"/>
  <c r="R159" i="25"/>
  <c r="R158" i="25"/>
  <c r="R157" i="25"/>
  <c r="R156" i="25"/>
  <c r="R155" i="25"/>
  <c r="R150" i="25"/>
  <c r="R149" i="25"/>
  <c r="R148" i="25"/>
  <c r="R147" i="25"/>
  <c r="R146" i="25"/>
  <c r="R145" i="25"/>
  <c r="R144" i="25"/>
  <c r="R143" i="25"/>
  <c r="R142" i="25"/>
  <c r="R141" i="25"/>
  <c r="R140" i="25"/>
  <c r="R139" i="25"/>
  <c r="R138" i="25"/>
  <c r="R137" i="25"/>
  <c r="R136" i="25"/>
  <c r="R135" i="25"/>
  <c r="R134" i="25"/>
  <c r="R133" i="25"/>
  <c r="R132" i="25"/>
  <c r="R131" i="25"/>
  <c r="R130" i="25"/>
  <c r="R129" i="25"/>
  <c r="R128" i="25"/>
  <c r="R127" i="25"/>
  <c r="R126" i="25"/>
  <c r="R125" i="25"/>
  <c r="R124" i="25"/>
  <c r="R123" i="25"/>
  <c r="R122" i="25"/>
  <c r="R121" i="25"/>
  <c r="R120" i="25"/>
  <c r="R119" i="25"/>
  <c r="R118" i="25"/>
  <c r="R117" i="25"/>
  <c r="R116" i="25"/>
  <c r="R115" i="25"/>
  <c r="R104" i="25"/>
  <c r="R103" i="25"/>
  <c r="R102" i="25"/>
  <c r="R101" i="25"/>
  <c r="R100" i="25"/>
  <c r="R99" i="25"/>
  <c r="R98" i="25"/>
  <c r="R97" i="25"/>
  <c r="R96" i="25"/>
  <c r="R95" i="25"/>
  <c r="R94" i="25"/>
  <c r="R88" i="25"/>
  <c r="R87" i="25"/>
  <c r="R86" i="25"/>
  <c r="R85" i="25"/>
  <c r="R84" i="25"/>
  <c r="R83" i="25"/>
  <c r="R82" i="25"/>
  <c r="R81" i="25"/>
  <c r="R80" i="25"/>
  <c r="R79" i="25"/>
  <c r="R78" i="25"/>
  <c r="R77" i="25"/>
  <c r="R76" i="25"/>
  <c r="R75" i="25"/>
  <c r="R74" i="25"/>
  <c r="R72" i="25"/>
  <c r="R71" i="25"/>
  <c r="R70" i="25"/>
  <c r="R69" i="25"/>
  <c r="R68" i="25"/>
  <c r="R67" i="25"/>
  <c r="R66" i="25"/>
  <c r="R65" i="25"/>
  <c r="R64" i="25"/>
  <c r="R63" i="25"/>
  <c r="R62" i="25"/>
  <c r="R61" i="25"/>
  <c r="R60" i="25"/>
  <c r="R59" i="25"/>
  <c r="R58" i="25"/>
  <c r="R57" i="25"/>
  <c r="R56" i="25"/>
  <c r="R54" i="25"/>
  <c r="R53" i="25"/>
  <c r="R52" i="25"/>
  <c r="R51" i="25"/>
  <c r="R50" i="25"/>
  <c r="R49" i="25"/>
  <c r="R48" i="25"/>
  <c r="R47" i="25"/>
  <c r="R46" i="25"/>
  <c r="R45" i="25"/>
  <c r="R44" i="25"/>
  <c r="R43" i="25"/>
  <c r="R42" i="25"/>
  <c r="R41" i="25"/>
  <c r="R40" i="25"/>
  <c r="R39" i="25"/>
  <c r="R38" i="25"/>
  <c r="R37" i="25"/>
  <c r="R36" i="25"/>
  <c r="R35" i="25"/>
  <c r="R34" i="25"/>
  <c r="R33" i="25"/>
  <c r="R32" i="25"/>
  <c r="R31" i="25"/>
  <c r="R30" i="25"/>
  <c r="R29" i="25"/>
  <c r="R28" i="25"/>
  <c r="R27" i="25"/>
  <c r="R26" i="25"/>
  <c r="R25" i="25"/>
  <c r="R24" i="25"/>
  <c r="R23" i="25"/>
  <c r="R22" i="25"/>
  <c r="R21" i="25"/>
  <c r="R20" i="25"/>
  <c r="R19" i="25"/>
  <c r="R18" i="25"/>
  <c r="R17" i="25"/>
  <c r="R16" i="25"/>
  <c r="R15" i="25"/>
  <c r="R14" i="25"/>
  <c r="R13" i="25"/>
  <c r="R12" i="25"/>
  <c r="R11" i="25"/>
  <c r="R10" i="25"/>
  <c r="R9" i="25"/>
  <c r="R8" i="25"/>
  <c r="R7" i="25"/>
  <c r="R6" i="25"/>
  <c r="R5" i="25"/>
  <c r="R4" i="25"/>
  <c r="R122" i="23"/>
  <c r="R121" i="23"/>
  <c r="R120" i="23"/>
  <c r="R119" i="23"/>
  <c r="R118" i="23"/>
  <c r="R117" i="23"/>
  <c r="R116" i="23"/>
  <c r="R115" i="23"/>
  <c r="R114" i="23"/>
  <c r="R113" i="23"/>
  <c r="R112" i="23"/>
  <c r="R111" i="23"/>
  <c r="R110" i="23"/>
  <c r="R109" i="23"/>
  <c r="R108" i="23"/>
  <c r="R107" i="23"/>
  <c r="R106" i="23"/>
  <c r="R105" i="23"/>
  <c r="R104" i="23"/>
  <c r="R103" i="23"/>
  <c r="R102" i="23"/>
  <c r="R101" i="23"/>
  <c r="R100" i="23"/>
  <c r="R99" i="23"/>
  <c r="R98" i="23"/>
  <c r="R97" i="23"/>
  <c r="R96" i="23"/>
  <c r="R95" i="23"/>
  <c r="R94" i="23"/>
  <c r="R93" i="23"/>
  <c r="R92" i="23"/>
  <c r="R91" i="23"/>
  <c r="R90" i="23"/>
  <c r="R89" i="23"/>
  <c r="R88" i="23"/>
  <c r="R87" i="23"/>
  <c r="R86" i="23"/>
  <c r="R85" i="23"/>
  <c r="R84" i="23"/>
  <c r="R83" i="23"/>
  <c r="R82" i="23"/>
  <c r="R81" i="23"/>
  <c r="R80" i="23"/>
  <c r="R79" i="23"/>
  <c r="R78" i="23"/>
  <c r="R77" i="23"/>
  <c r="R76" i="23"/>
  <c r="R75" i="23"/>
  <c r="R74" i="23"/>
  <c r="R73" i="23"/>
  <c r="R72" i="23"/>
  <c r="R71" i="23"/>
  <c r="R70" i="23"/>
  <c r="R69" i="23"/>
  <c r="R68" i="23"/>
  <c r="R67" i="23"/>
  <c r="R66" i="23"/>
  <c r="R65" i="23"/>
  <c r="R64" i="23"/>
  <c r="R63" i="23"/>
  <c r="R62" i="23"/>
  <c r="R61" i="23"/>
  <c r="R60" i="23"/>
  <c r="R59" i="23"/>
  <c r="R58" i="23"/>
  <c r="R57" i="23"/>
  <c r="R56" i="23"/>
  <c r="R55" i="23"/>
  <c r="R54" i="23"/>
  <c r="R53" i="23"/>
  <c r="R52" i="23"/>
  <c r="R51" i="23"/>
  <c r="R50" i="23"/>
  <c r="R49" i="23"/>
  <c r="R48" i="23"/>
  <c r="R47" i="23"/>
  <c r="R46" i="23"/>
  <c r="R45" i="23"/>
  <c r="R44" i="23"/>
  <c r="R43" i="23"/>
  <c r="R42" i="23"/>
  <c r="R41" i="23"/>
  <c r="R40" i="23"/>
  <c r="R39" i="23"/>
  <c r="R38" i="23"/>
  <c r="R37" i="23"/>
  <c r="R36" i="23"/>
  <c r="R35" i="23"/>
  <c r="R34" i="23"/>
  <c r="R33" i="23"/>
  <c r="R32" i="23"/>
  <c r="R31" i="23"/>
  <c r="R30" i="23"/>
  <c r="R29" i="23"/>
  <c r="R28" i="23"/>
  <c r="R27" i="23"/>
  <c r="R26" i="23"/>
  <c r="R25" i="23"/>
  <c r="R24" i="23"/>
  <c r="R23" i="23"/>
  <c r="R22" i="23"/>
  <c r="R21" i="23"/>
  <c r="R20" i="23"/>
  <c r="R19" i="23"/>
  <c r="R18" i="23"/>
  <c r="R17" i="23"/>
  <c r="R16" i="23"/>
  <c r="R15" i="23"/>
  <c r="R14" i="23"/>
  <c r="R13" i="23"/>
  <c r="R12" i="23"/>
  <c r="R11" i="23"/>
  <c r="R10" i="23"/>
  <c r="R9" i="23"/>
  <c r="R8" i="23"/>
  <c r="R7" i="23"/>
  <c r="R6" i="23"/>
  <c r="R5" i="23"/>
  <c r="R4" i="23"/>
  <c r="R235" i="23"/>
  <c r="R234" i="23"/>
  <c r="R233" i="23"/>
  <c r="R232" i="23"/>
  <c r="R231" i="23"/>
  <c r="R230" i="23"/>
  <c r="R229" i="23"/>
  <c r="R228" i="23"/>
  <c r="R227" i="23"/>
  <c r="R226" i="23"/>
  <c r="R225" i="23"/>
  <c r="R224" i="23"/>
  <c r="R223" i="23"/>
  <c r="R222" i="23"/>
  <c r="R221" i="23"/>
  <c r="R220" i="23"/>
  <c r="R219" i="23"/>
  <c r="R218" i="23"/>
  <c r="R217" i="23"/>
  <c r="R216" i="23"/>
  <c r="R215" i="23"/>
  <c r="R214" i="23"/>
  <c r="R213" i="23"/>
  <c r="R212" i="23"/>
  <c r="R211" i="23"/>
  <c r="R210" i="23"/>
  <c r="R209" i="23"/>
  <c r="R208" i="23"/>
  <c r="R207" i="23"/>
  <c r="R206" i="23"/>
  <c r="R205" i="23"/>
  <c r="R204" i="23"/>
  <c r="R203" i="23"/>
  <c r="R202" i="23"/>
  <c r="R201" i="23"/>
  <c r="R200" i="23"/>
  <c r="R199" i="23"/>
  <c r="R198" i="23"/>
  <c r="R197" i="23"/>
  <c r="R196" i="23"/>
  <c r="R195" i="23"/>
  <c r="R194" i="23"/>
  <c r="R193" i="23"/>
  <c r="R192" i="23"/>
  <c r="R191" i="23"/>
  <c r="R190" i="23"/>
  <c r="R189" i="23"/>
  <c r="R188" i="23"/>
  <c r="R187" i="23"/>
  <c r="R186" i="23"/>
  <c r="R185" i="23"/>
  <c r="R184" i="23"/>
  <c r="R183" i="23"/>
  <c r="R182" i="23"/>
  <c r="R181" i="23"/>
  <c r="R180" i="23"/>
  <c r="R179" i="23"/>
  <c r="R178" i="23"/>
  <c r="R177" i="23"/>
  <c r="R176" i="23"/>
  <c r="R175" i="23"/>
  <c r="R174" i="23"/>
  <c r="R173" i="23"/>
  <c r="R172" i="23"/>
  <c r="R171" i="23"/>
  <c r="R170" i="23"/>
  <c r="R169" i="23"/>
  <c r="R168" i="23"/>
  <c r="R167" i="23"/>
  <c r="R166" i="23"/>
  <c r="R165" i="23"/>
  <c r="R164" i="23"/>
  <c r="R163" i="23"/>
  <c r="R162" i="23"/>
  <c r="R161" i="23"/>
  <c r="R160" i="23"/>
  <c r="R159" i="23"/>
  <c r="R158" i="23"/>
  <c r="R157" i="23"/>
  <c r="R156" i="23"/>
  <c r="R155" i="23"/>
  <c r="R154" i="23"/>
  <c r="R153" i="23"/>
  <c r="R152" i="23"/>
  <c r="R151" i="23"/>
  <c r="R150" i="23"/>
  <c r="R149" i="23"/>
  <c r="R148" i="23"/>
  <c r="R147" i="23"/>
  <c r="R146" i="23"/>
  <c r="R145" i="23"/>
  <c r="R144" i="23"/>
  <c r="R143" i="23"/>
  <c r="R142" i="23"/>
  <c r="R141" i="23"/>
  <c r="R140" i="23"/>
  <c r="R139" i="23"/>
  <c r="R138" i="23"/>
  <c r="R137" i="23"/>
  <c r="R136" i="23"/>
  <c r="R135" i="23"/>
  <c r="R134" i="23"/>
  <c r="R133" i="23"/>
  <c r="R132" i="23"/>
  <c r="R131" i="23"/>
  <c r="R130" i="23"/>
  <c r="R129" i="23"/>
  <c r="R128" i="23"/>
  <c r="R127" i="23"/>
  <c r="R126" i="23"/>
  <c r="R125" i="23"/>
  <c r="R124" i="23"/>
  <c r="R123" i="23"/>
  <c r="A4" i="25"/>
  <c r="A5" i="25" s="1"/>
  <c r="A6" i="25" s="1"/>
  <c r="A7" i="25" s="1"/>
  <c r="A8" i="25" s="1"/>
  <c r="A9" i="25" s="1"/>
  <c r="A10" i="25" s="1"/>
  <c r="A11" i="25" s="1"/>
  <c r="A12" i="25" s="1"/>
  <c r="A13" i="25" s="1"/>
  <c r="A14" i="25" s="1"/>
  <c r="A15" i="25" s="1"/>
  <c r="A16" i="25" s="1"/>
  <c r="A17" i="25" s="1"/>
  <c r="A18" i="25" s="1"/>
  <c r="A19" i="25" s="1"/>
  <c r="A20" i="25" s="1"/>
  <c r="A21" i="25" s="1"/>
  <c r="A22" i="25" s="1"/>
  <c r="A23" i="25" s="1"/>
  <c r="A24" i="25" s="1"/>
  <c r="A25" i="25" s="1"/>
  <c r="A26" i="25" s="1"/>
  <c r="A27" i="25" s="1"/>
  <c r="A28" i="25" s="1"/>
  <c r="A29" i="25" s="1"/>
  <c r="A30" i="25" s="1"/>
  <c r="A31" i="25" s="1"/>
  <c r="A32" i="25" s="1"/>
  <c r="A33" i="25" s="1"/>
  <c r="A34" i="25" s="1"/>
  <c r="A35" i="25" s="1"/>
  <c r="A36" i="25" s="1"/>
  <c r="A37" i="25" s="1"/>
  <c r="A38" i="25" s="1"/>
  <c r="A39" i="25" s="1"/>
  <c r="A40" i="25" s="1"/>
  <c r="A41" i="25" s="1"/>
  <c r="A42" i="25" s="1"/>
  <c r="A43" i="25" s="1"/>
  <c r="A44" i="25" s="1"/>
  <c r="A45" i="25" s="1"/>
  <c r="A46" i="25" s="1"/>
  <c r="A47" i="25" s="1"/>
  <c r="A48" i="25" s="1"/>
  <c r="A49" i="25" s="1"/>
  <c r="A50" i="25" s="1"/>
  <c r="A51" i="25" s="1"/>
  <c r="A52" i="25" s="1"/>
  <c r="A53" i="25" s="1"/>
  <c r="A54" i="25" s="1"/>
  <c r="A55" i="25" s="1"/>
  <c r="A56" i="25" s="1"/>
  <c r="A57" i="25" s="1"/>
  <c r="A58" i="25" s="1"/>
  <c r="A59" i="25" s="1"/>
  <c r="A60" i="25" s="1"/>
  <c r="A61" i="25" s="1"/>
  <c r="A62" i="25" s="1"/>
  <c r="A63" i="25" s="1"/>
  <c r="A64" i="25" s="1"/>
  <c r="A65" i="25" s="1"/>
  <c r="A66" i="25" s="1"/>
  <c r="A67" i="25" s="1"/>
  <c r="A68" i="25" s="1"/>
  <c r="A69" i="25" s="1"/>
  <c r="A70" i="25" s="1"/>
  <c r="A71" i="25" s="1"/>
  <c r="A72" i="25" s="1"/>
  <c r="R4" i="20"/>
  <c r="R5" i="20"/>
  <c r="R6" i="20"/>
  <c r="R7" i="20"/>
  <c r="R8" i="20"/>
  <c r="R14" i="20"/>
  <c r="R10" i="20"/>
  <c r="R11" i="20"/>
  <c r="R12" i="20"/>
  <c r="R13" i="20"/>
  <c r="R15" i="20"/>
  <c r="R19" i="20"/>
  <c r="R16" i="20"/>
  <c r="R17" i="20"/>
  <c r="R18" i="20"/>
  <c r="R131" i="20"/>
  <c r="R9" i="20"/>
  <c r="R20" i="20"/>
  <c r="R21" i="20"/>
  <c r="R23" i="20"/>
  <c r="R24" i="20"/>
  <c r="R25" i="20"/>
  <c r="R26" i="20"/>
  <c r="R27" i="20"/>
  <c r="R28" i="20"/>
  <c r="R29" i="20"/>
  <c r="R30" i="20"/>
  <c r="R31" i="20"/>
  <c r="R32" i="20"/>
  <c r="R33" i="20"/>
  <c r="R34" i="20"/>
  <c r="R35" i="20"/>
  <c r="R36" i="20"/>
  <c r="R37" i="20"/>
  <c r="R38" i="20"/>
  <c r="R39" i="20"/>
  <c r="R40" i="20"/>
  <c r="R41" i="20"/>
  <c r="R42" i="20"/>
  <c r="R43" i="20"/>
  <c r="R44" i="20"/>
  <c r="R45" i="20"/>
  <c r="R46" i="20"/>
  <c r="R47" i="20"/>
  <c r="R48" i="20"/>
  <c r="R49" i="20"/>
  <c r="R50" i="20"/>
  <c r="R51" i="20"/>
  <c r="R52" i="20"/>
  <c r="R53" i="20"/>
  <c r="R54" i="20"/>
  <c r="R55" i="20"/>
  <c r="R56" i="20"/>
  <c r="R57" i="20"/>
  <c r="R22" i="20"/>
  <c r="R58" i="20"/>
  <c r="R59" i="20"/>
  <c r="R60" i="20"/>
  <c r="R61" i="20"/>
  <c r="R62" i="20"/>
  <c r="R63" i="20"/>
  <c r="R64" i="20"/>
  <c r="R65" i="20"/>
  <c r="R66" i="20"/>
  <c r="R67" i="20"/>
  <c r="R68" i="20"/>
  <c r="R70" i="20"/>
  <c r="R71" i="20"/>
  <c r="R72" i="20"/>
  <c r="R69" i="20"/>
  <c r="R73" i="20"/>
  <c r="R74" i="20"/>
  <c r="R75" i="20"/>
  <c r="R76" i="20"/>
  <c r="R77" i="20"/>
  <c r="R78" i="20"/>
  <c r="R79" i="20"/>
  <c r="R81" i="20"/>
  <c r="R82" i="20"/>
  <c r="R83" i="20"/>
  <c r="R80" i="20"/>
  <c r="R85" i="20"/>
  <c r="R86" i="20"/>
  <c r="R87" i="20"/>
  <c r="R88" i="20"/>
  <c r="R89" i="20"/>
  <c r="R90" i="20"/>
  <c r="R91" i="20"/>
  <c r="R92" i="20"/>
  <c r="R93" i="20"/>
  <c r="R94" i="20"/>
  <c r="R95" i="20"/>
  <c r="R96" i="20"/>
  <c r="R97" i="20"/>
  <c r="R98" i="20"/>
  <c r="R99" i="20"/>
  <c r="R100" i="20"/>
  <c r="R101" i="20"/>
  <c r="R102" i="20"/>
  <c r="R103" i="20"/>
  <c r="R104" i="20"/>
  <c r="R105" i="20"/>
  <c r="R106" i="20"/>
  <c r="R107" i="20"/>
  <c r="R108" i="20"/>
  <c r="R109" i="20"/>
  <c r="R110" i="20"/>
  <c r="R111" i="20"/>
  <c r="R112" i="20"/>
  <c r="R113" i="20"/>
  <c r="R114" i="20"/>
  <c r="R115" i="20"/>
  <c r="R116" i="20"/>
  <c r="R117" i="20"/>
  <c r="R118" i="20"/>
  <c r="R119" i="20"/>
  <c r="R120" i="20"/>
  <c r="R121" i="20"/>
  <c r="R122" i="20"/>
  <c r="R123" i="20"/>
  <c r="R124" i="20"/>
  <c r="R125" i="20"/>
  <c r="R126" i="20"/>
  <c r="R127" i="20"/>
  <c r="R128" i="20"/>
  <c r="R129" i="20"/>
  <c r="R130" i="20"/>
  <c r="R84" i="20"/>
  <c r="R132" i="20"/>
  <c r="R133" i="20"/>
  <c r="R134" i="20"/>
  <c r="R135" i="20"/>
  <c r="R136" i="20"/>
  <c r="R137" i="20"/>
  <c r="R138" i="20"/>
  <c r="R139" i="20"/>
  <c r="R140" i="20"/>
  <c r="R141" i="20"/>
  <c r="R142" i="20"/>
  <c r="R143" i="20"/>
  <c r="R144" i="20"/>
  <c r="R145" i="20"/>
  <c r="R146" i="20"/>
  <c r="R147" i="20"/>
  <c r="R148" i="20"/>
  <c r="R150" i="20"/>
  <c r="R151" i="20"/>
  <c r="R152" i="20"/>
  <c r="R153" i="20"/>
  <c r="R154" i="20"/>
  <c r="R155" i="20"/>
  <c r="R156" i="20"/>
  <c r="R157" i="20"/>
  <c r="R158" i="20"/>
  <c r="R160" i="20"/>
  <c r="R161" i="20"/>
  <c r="R162" i="20"/>
  <c r="R163" i="20"/>
  <c r="R164" i="20"/>
  <c r="R165" i="20"/>
  <c r="R166" i="20"/>
  <c r="R167" i="20"/>
  <c r="R168" i="20"/>
  <c r="R169" i="20"/>
  <c r="R170" i="20"/>
  <c r="R171" i="20"/>
  <c r="R172" i="20"/>
  <c r="R173" i="20"/>
  <c r="R174" i="20"/>
  <c r="R175" i="20"/>
  <c r="R176" i="20"/>
  <c r="R177" i="20"/>
  <c r="R178" i="20"/>
  <c r="R179" i="20"/>
  <c r="R180" i="20"/>
  <c r="R181" i="20"/>
  <c r="R182" i="20"/>
  <c r="R183" i="20"/>
  <c r="R184" i="20"/>
  <c r="R185" i="20"/>
  <c r="R186" i="20"/>
  <c r="R187" i="20"/>
  <c r="R188" i="20"/>
  <c r="R189" i="20"/>
  <c r="R190" i="20"/>
  <c r="R191" i="20"/>
  <c r="R192" i="20"/>
  <c r="R193" i="20"/>
  <c r="R194" i="20"/>
  <c r="R195" i="20"/>
  <c r="R196" i="20"/>
  <c r="R197" i="20"/>
  <c r="R198" i="20"/>
  <c r="R199" i="20"/>
  <c r="R200" i="20"/>
  <c r="R201" i="20"/>
  <c r="R202" i="20"/>
  <c r="R203" i="20"/>
  <c r="R204" i="20"/>
  <c r="R205" i="20"/>
  <c r="R206" i="20"/>
  <c r="R207" i="20"/>
  <c r="R208" i="20"/>
  <c r="R209" i="20"/>
  <c r="R210" i="20"/>
  <c r="R211" i="20"/>
  <c r="R212" i="20"/>
  <c r="R213" i="20"/>
  <c r="R214" i="20"/>
  <c r="R215" i="20"/>
  <c r="R216" i="20"/>
  <c r="R217" i="20"/>
  <c r="R218" i="20"/>
  <c r="R219" i="20"/>
  <c r="R220" i="20"/>
  <c r="R221" i="20"/>
  <c r="R222" i="20"/>
  <c r="R223" i="20"/>
  <c r="R224" i="20"/>
  <c r="R225" i="20"/>
  <c r="R226" i="20"/>
  <c r="R227" i="20"/>
  <c r="R228" i="20"/>
  <c r="R229" i="20"/>
  <c r="R230" i="20"/>
  <c r="R231" i="20"/>
  <c r="R232" i="20"/>
  <c r="R233" i="20"/>
  <c r="R234" i="20"/>
  <c r="R235" i="20"/>
  <c r="R236" i="20"/>
  <c r="R237" i="20"/>
  <c r="R238" i="20"/>
  <c r="R239" i="20"/>
  <c r="R301" i="20"/>
  <c r="R241" i="20"/>
  <c r="R242" i="20"/>
  <c r="R243" i="20"/>
  <c r="R244" i="20"/>
  <c r="R245" i="20"/>
  <c r="R246" i="20"/>
  <c r="R247" i="20"/>
  <c r="R248" i="20"/>
  <c r="R249" i="20"/>
  <c r="R250" i="20"/>
  <c r="R251" i="20"/>
  <c r="R252" i="20"/>
  <c r="R253" i="20"/>
  <c r="R254" i="20"/>
  <c r="R255" i="20"/>
  <c r="R256" i="20"/>
  <c r="R257" i="20"/>
  <c r="R258" i="20"/>
  <c r="R259" i="20"/>
  <c r="R260" i="20"/>
  <c r="R261" i="20"/>
  <c r="R262" i="20"/>
  <c r="R263" i="20"/>
  <c r="R264" i="20"/>
  <c r="R265" i="20"/>
  <c r="R266" i="20"/>
  <c r="R267" i="20"/>
  <c r="R268" i="20"/>
  <c r="R269" i="20"/>
  <c r="R270" i="20"/>
  <c r="R271" i="20"/>
  <c r="R272" i="20"/>
  <c r="R273" i="20"/>
  <c r="R274" i="20"/>
  <c r="R275" i="20"/>
  <c r="R276" i="20"/>
  <c r="R277" i="20"/>
  <c r="R287" i="20"/>
  <c r="R279" i="20"/>
  <c r="R280" i="20"/>
  <c r="R283" i="20"/>
  <c r="R284" i="20"/>
  <c r="R285" i="20"/>
  <c r="R286" i="20"/>
  <c r="R292" i="20"/>
  <c r="R290" i="20"/>
  <c r="R289" i="20"/>
  <c r="R240" i="20"/>
  <c r="R291" i="20"/>
  <c r="R278" i="20"/>
  <c r="R293" i="20"/>
  <c r="R294" i="20"/>
  <c r="R295" i="20"/>
  <c r="R296" i="20"/>
  <c r="R297" i="20"/>
  <c r="R298" i="20"/>
  <c r="R299" i="20"/>
  <c r="R300" i="20"/>
  <c r="R288" i="20"/>
  <c r="R302" i="20"/>
  <c r="R303" i="20"/>
  <c r="R304" i="20"/>
  <c r="R305" i="20"/>
  <c r="R306" i="20"/>
  <c r="R307" i="20"/>
  <c r="R308" i="20"/>
  <c r="R309" i="20"/>
  <c r="R310" i="20"/>
  <c r="R311" i="20"/>
  <c r="R312" i="20"/>
  <c r="R313" i="20"/>
  <c r="R314" i="20"/>
  <c r="R315" i="20"/>
  <c r="R316" i="20"/>
  <c r="R317" i="20"/>
  <c r="R318" i="20"/>
  <c r="R319" i="20"/>
  <c r="R320" i="20"/>
  <c r="R321" i="20"/>
  <c r="R322" i="20"/>
  <c r="R323" i="20"/>
  <c r="R324" i="20"/>
  <c r="R325" i="20"/>
  <c r="R326" i="20"/>
  <c r="R327" i="20"/>
  <c r="R328" i="20"/>
  <c r="R329" i="20"/>
  <c r="R330" i="20"/>
  <c r="R331" i="20"/>
  <c r="R332" i="20"/>
  <c r="R333" i="20"/>
  <c r="R334" i="20"/>
  <c r="R335" i="20"/>
  <c r="R336" i="20"/>
  <c r="R337" i="20"/>
  <c r="R338" i="20"/>
  <c r="R339" i="20"/>
  <c r="R340" i="20"/>
  <c r="R341" i="20"/>
  <c r="R342" i="20"/>
  <c r="R343" i="20"/>
  <c r="R344" i="20"/>
  <c r="R345" i="20"/>
  <c r="R346" i="20"/>
  <c r="R347" i="20"/>
  <c r="R348" i="20"/>
  <c r="R349" i="20"/>
  <c r="R4" i="21"/>
  <c r="R5" i="21"/>
  <c r="R6" i="21"/>
  <c r="R7" i="21"/>
  <c r="R8" i="21"/>
  <c r="R9" i="21"/>
  <c r="R10" i="21"/>
  <c r="R11" i="21"/>
  <c r="R12" i="21"/>
  <c r="R13" i="21"/>
  <c r="R14" i="21"/>
  <c r="R15" i="21"/>
  <c r="R16" i="21"/>
  <c r="R17" i="21"/>
  <c r="R18" i="21"/>
  <c r="R19" i="21"/>
  <c r="R20" i="21"/>
  <c r="R21" i="21"/>
  <c r="R22" i="21"/>
  <c r="R23" i="21"/>
  <c r="R24" i="21"/>
  <c r="R25" i="21"/>
  <c r="R26" i="21"/>
  <c r="R27" i="21"/>
  <c r="R28" i="21"/>
  <c r="R29" i="21"/>
  <c r="R30" i="21"/>
  <c r="R31" i="21"/>
  <c r="R32" i="21"/>
  <c r="R33" i="21"/>
  <c r="R34" i="21"/>
  <c r="R35" i="21"/>
  <c r="R36" i="21"/>
  <c r="R37" i="21"/>
  <c r="R38" i="21"/>
  <c r="R39" i="21"/>
  <c r="R40" i="21"/>
  <c r="R41" i="21"/>
  <c r="R42" i="21"/>
  <c r="R43" i="21"/>
  <c r="R44" i="21"/>
  <c r="R45" i="21"/>
  <c r="R46" i="21"/>
  <c r="R47" i="21"/>
  <c r="R48" i="21"/>
  <c r="R49" i="21"/>
  <c r="R50" i="21"/>
  <c r="R51" i="21"/>
  <c r="R52" i="21"/>
  <c r="R53" i="21"/>
  <c r="R54" i="21"/>
  <c r="R55" i="21"/>
  <c r="R56" i="21"/>
  <c r="R57" i="21"/>
  <c r="R58" i="21"/>
  <c r="R59" i="21"/>
  <c r="R60" i="21"/>
  <c r="R61" i="21"/>
  <c r="R62" i="21"/>
  <c r="R63" i="21"/>
  <c r="R64" i="21"/>
  <c r="R65" i="21"/>
  <c r="R66" i="21"/>
  <c r="R67" i="21"/>
  <c r="R68" i="21"/>
  <c r="R69" i="21"/>
  <c r="R70" i="21"/>
  <c r="R71" i="21"/>
  <c r="R72" i="21"/>
  <c r="R73" i="21"/>
  <c r="R74" i="21"/>
  <c r="R75" i="21"/>
  <c r="R76" i="21"/>
  <c r="R77" i="21"/>
  <c r="R78" i="21"/>
  <c r="R79" i="21"/>
  <c r="R80" i="21"/>
  <c r="R81" i="21"/>
  <c r="R82" i="21"/>
  <c r="R83" i="21"/>
  <c r="R84" i="21"/>
  <c r="R85" i="21"/>
  <c r="R86" i="21"/>
  <c r="R87" i="21"/>
  <c r="R88" i="21"/>
  <c r="R89" i="21"/>
  <c r="R90" i="21"/>
  <c r="R91" i="21"/>
  <c r="R92" i="21"/>
  <c r="R93" i="21"/>
  <c r="R94" i="21"/>
  <c r="R95" i="21"/>
  <c r="R96" i="21"/>
  <c r="R97" i="21"/>
  <c r="R98" i="21"/>
  <c r="R99" i="21"/>
  <c r="R100" i="21"/>
  <c r="R101" i="21"/>
  <c r="R102" i="21"/>
  <c r="R103" i="21"/>
  <c r="R104" i="21"/>
  <c r="R105" i="21"/>
  <c r="R106" i="21"/>
  <c r="R107" i="21"/>
  <c r="R108" i="21"/>
  <c r="R109" i="21"/>
  <c r="R110" i="21"/>
  <c r="R111" i="21"/>
  <c r="R112" i="21"/>
  <c r="R113" i="21"/>
  <c r="R114" i="21"/>
  <c r="R115" i="21"/>
  <c r="R116" i="21"/>
  <c r="R117" i="21"/>
  <c r="R118" i="21"/>
  <c r="R119" i="21"/>
  <c r="R120" i="21"/>
  <c r="R121" i="21"/>
  <c r="R122" i="21"/>
  <c r="R123" i="21"/>
  <c r="R124" i="21"/>
  <c r="R125" i="21"/>
  <c r="R126" i="21"/>
  <c r="R127" i="21"/>
  <c r="R128" i="21"/>
  <c r="R129" i="21"/>
  <c r="R130" i="21"/>
  <c r="R131" i="21"/>
  <c r="R132" i="21"/>
  <c r="R133" i="21"/>
  <c r="R134" i="21"/>
  <c r="R135" i="21"/>
  <c r="R136" i="21"/>
  <c r="R137" i="21"/>
  <c r="R138" i="21"/>
  <c r="R139" i="21"/>
  <c r="R140" i="21"/>
  <c r="R141" i="21"/>
  <c r="R142" i="21"/>
  <c r="R143" i="21"/>
  <c r="R144" i="21"/>
  <c r="R145" i="21"/>
  <c r="R146" i="21"/>
  <c r="R147" i="21"/>
  <c r="R148" i="21"/>
  <c r="R149" i="21"/>
  <c r="R150" i="21"/>
  <c r="R151" i="21"/>
  <c r="R152" i="21"/>
  <c r="R153" i="21"/>
  <c r="R154" i="21"/>
  <c r="R155" i="21"/>
  <c r="R156" i="21"/>
  <c r="R157" i="21"/>
  <c r="R158" i="21"/>
  <c r="R159" i="21"/>
  <c r="R160" i="21"/>
  <c r="R161" i="21"/>
  <c r="R162" i="21"/>
  <c r="R163" i="21"/>
  <c r="R164" i="21"/>
  <c r="R165" i="21"/>
  <c r="R166" i="21"/>
  <c r="R167" i="21"/>
  <c r="R168" i="21"/>
  <c r="R169" i="21"/>
  <c r="R170" i="21"/>
  <c r="R171" i="21"/>
  <c r="R172" i="21"/>
  <c r="R173" i="21"/>
  <c r="R174" i="21"/>
  <c r="R175" i="21"/>
  <c r="R176" i="21"/>
  <c r="R177" i="21"/>
  <c r="R178" i="21"/>
  <c r="R179" i="21"/>
  <c r="R180" i="21"/>
  <c r="R181" i="21"/>
  <c r="R182" i="21"/>
  <c r="R183" i="21"/>
  <c r="R184" i="21"/>
  <c r="R185" i="21"/>
  <c r="R186" i="21"/>
  <c r="R187" i="21"/>
  <c r="R188" i="21"/>
  <c r="R189" i="21"/>
  <c r="R190" i="21"/>
  <c r="R191" i="21"/>
  <c r="R192" i="21"/>
  <c r="R193" i="21"/>
  <c r="R194" i="21"/>
  <c r="R195" i="21"/>
  <c r="R196" i="21"/>
  <c r="R197" i="21"/>
  <c r="R198" i="21"/>
  <c r="R199" i="21"/>
  <c r="R200" i="21"/>
  <c r="R201" i="21"/>
  <c r="R202" i="21"/>
  <c r="R203" i="21"/>
  <c r="R204" i="21"/>
  <c r="R205" i="21"/>
  <c r="R206" i="21"/>
  <c r="R207" i="21"/>
  <c r="R208" i="21"/>
  <c r="R209" i="21"/>
  <c r="R210" i="21"/>
  <c r="R211" i="21"/>
  <c r="R212" i="21"/>
  <c r="R213" i="21"/>
  <c r="R214" i="21"/>
  <c r="R215" i="21"/>
  <c r="R216" i="21"/>
  <c r="R217" i="21"/>
  <c r="R218" i="21"/>
  <c r="R219" i="21"/>
  <c r="R220" i="21"/>
  <c r="R221" i="21"/>
  <c r="R222" i="21"/>
  <c r="R223" i="21"/>
  <c r="R224" i="21"/>
  <c r="R225" i="21"/>
  <c r="R226" i="21"/>
  <c r="R227" i="21"/>
  <c r="R228" i="21"/>
  <c r="R229" i="21"/>
  <c r="R230" i="21"/>
  <c r="R231" i="21"/>
  <c r="R232" i="21"/>
  <c r="R233" i="21"/>
  <c r="R234" i="21"/>
  <c r="R235" i="21"/>
  <c r="R236" i="21"/>
  <c r="R237" i="21"/>
  <c r="R238" i="21"/>
  <c r="R239" i="21"/>
  <c r="R240" i="21"/>
  <c r="R241" i="21"/>
  <c r="R242" i="21"/>
  <c r="R243" i="21"/>
  <c r="R244" i="21"/>
  <c r="R245" i="21"/>
  <c r="R246" i="21"/>
  <c r="R247" i="21"/>
  <c r="R248" i="21"/>
  <c r="R249" i="21"/>
  <c r="R250" i="21"/>
  <c r="R251" i="21"/>
  <c r="R252" i="21"/>
  <c r="R253" i="21"/>
  <c r="R254" i="21"/>
  <c r="R255" i="21"/>
  <c r="R256" i="21"/>
  <c r="R257" i="21"/>
  <c r="R258" i="21"/>
  <c r="R259" i="21"/>
  <c r="R260" i="21"/>
  <c r="R261" i="21"/>
  <c r="R262" i="21"/>
  <c r="R263" i="21"/>
  <c r="R264" i="21"/>
  <c r="R265" i="21"/>
  <c r="R266" i="21"/>
  <c r="R267" i="21"/>
  <c r="R268" i="21"/>
  <c r="R269" i="21"/>
  <c r="R270" i="21"/>
  <c r="R271" i="21"/>
  <c r="R272" i="21"/>
  <c r="R273" i="21"/>
  <c r="R274" i="21"/>
  <c r="R275" i="21"/>
  <c r="R276" i="21"/>
  <c r="R277" i="21"/>
  <c r="R278" i="21"/>
  <c r="R279" i="21"/>
  <c r="R280" i="21"/>
  <c r="R281" i="21"/>
  <c r="R282" i="21"/>
  <c r="R283" i="21"/>
  <c r="R284" i="21"/>
  <c r="R285" i="21"/>
  <c r="R286" i="21"/>
  <c r="R287" i="21"/>
  <c r="R288" i="21"/>
  <c r="R289" i="21"/>
  <c r="R290" i="21"/>
  <c r="R291" i="21"/>
  <c r="R292" i="21"/>
  <c r="R293" i="21"/>
  <c r="R294" i="21"/>
  <c r="R295" i="21"/>
  <c r="R296" i="21"/>
  <c r="R297" i="21"/>
  <c r="R298" i="21"/>
  <c r="R299" i="21"/>
  <c r="R300" i="21"/>
  <c r="R301" i="21"/>
  <c r="R302" i="21"/>
  <c r="R303" i="21"/>
  <c r="R304" i="21"/>
  <c r="R305" i="21"/>
  <c r="R306" i="21"/>
  <c r="R307" i="21"/>
  <c r="R308" i="21"/>
  <c r="R309" i="21"/>
  <c r="R310" i="21"/>
  <c r="R311" i="21"/>
  <c r="R312" i="21"/>
  <c r="R313" i="21"/>
  <c r="R14" i="19"/>
  <c r="R38" i="19"/>
  <c r="R6" i="19"/>
  <c r="R19" i="19"/>
  <c r="R20" i="19"/>
  <c r="R22" i="19"/>
  <c r="R75" i="19"/>
  <c r="R76" i="19"/>
  <c r="R41" i="19"/>
  <c r="R42" i="19"/>
  <c r="R43" i="19"/>
  <c r="R44" i="19"/>
  <c r="R45" i="19"/>
  <c r="R46" i="19"/>
  <c r="R47" i="19"/>
  <c r="R48" i="19"/>
  <c r="R50" i="19"/>
  <c r="R35" i="19"/>
  <c r="R56" i="19"/>
  <c r="R57" i="19"/>
  <c r="R36" i="19"/>
  <c r="R59" i="19"/>
  <c r="R60" i="19"/>
  <c r="R61" i="19"/>
  <c r="R62" i="19"/>
  <c r="R63" i="19"/>
  <c r="R64" i="19"/>
  <c r="R65" i="19"/>
  <c r="R101" i="19"/>
  <c r="R102" i="19"/>
  <c r="R192" i="19"/>
  <c r="R70" i="19"/>
  <c r="R103" i="19"/>
  <c r="R104" i="19"/>
  <c r="R496" i="19"/>
  <c r="R83" i="19"/>
  <c r="R84" i="19"/>
  <c r="R105" i="19"/>
  <c r="R138" i="19"/>
  <c r="R73" i="19"/>
  <c r="R106" i="19"/>
  <c r="R107" i="19"/>
  <c r="R108" i="19"/>
  <c r="R109" i="19"/>
  <c r="R110" i="19"/>
  <c r="R111" i="19"/>
  <c r="R193" i="19"/>
  <c r="R194" i="19"/>
  <c r="R95" i="19"/>
  <c r="R112" i="19"/>
  <c r="R113" i="19"/>
  <c r="R114" i="19"/>
  <c r="R115" i="19"/>
  <c r="R116" i="19"/>
  <c r="R117" i="19"/>
  <c r="R118" i="19"/>
  <c r="R119" i="19"/>
  <c r="R120" i="19"/>
  <c r="R121" i="19"/>
  <c r="R122" i="19"/>
  <c r="R123" i="19"/>
  <c r="R124" i="19"/>
  <c r="R125" i="19"/>
  <c r="R126" i="19"/>
  <c r="R127" i="19"/>
  <c r="R128" i="19"/>
  <c r="R129" i="19"/>
  <c r="R132" i="19"/>
  <c r="R133" i="19"/>
  <c r="R217" i="19"/>
  <c r="R143" i="19"/>
  <c r="R134" i="19"/>
  <c r="R136" i="19"/>
  <c r="R144" i="19"/>
  <c r="R145" i="19"/>
  <c r="R146" i="19"/>
  <c r="R147" i="19"/>
  <c r="R148" i="19"/>
  <c r="R149" i="19"/>
  <c r="R150" i="19"/>
  <c r="R151" i="19"/>
  <c r="R197" i="19"/>
  <c r="R198" i="19"/>
  <c r="R199" i="19"/>
  <c r="R433" i="19"/>
  <c r="R153" i="19"/>
  <c r="R154" i="19"/>
  <c r="R155" i="19"/>
  <c r="R156" i="19"/>
  <c r="R157" i="19"/>
  <c r="R158" i="19"/>
  <c r="R159" i="19"/>
  <c r="R160" i="19"/>
  <c r="R161" i="19"/>
  <c r="R162" i="19"/>
  <c r="R163" i="19"/>
  <c r="R164" i="19"/>
  <c r="R165" i="19"/>
  <c r="R166" i="19"/>
  <c r="R167" i="19"/>
  <c r="R168" i="19"/>
  <c r="R169" i="19"/>
  <c r="R170" i="19"/>
  <c r="R175" i="19"/>
  <c r="R176" i="19"/>
  <c r="R181" i="19"/>
  <c r="R182" i="19"/>
  <c r="R183" i="19"/>
  <c r="R184" i="19"/>
  <c r="R186" i="19"/>
  <c r="R187" i="19"/>
  <c r="R188" i="19"/>
  <c r="R189" i="19"/>
  <c r="R223" i="19"/>
  <c r="R224" i="19"/>
  <c r="R225" i="19"/>
  <c r="R226" i="19"/>
  <c r="R227" i="19"/>
  <c r="R229" i="19"/>
  <c r="R231" i="19"/>
  <c r="R232" i="19"/>
  <c r="R233" i="19"/>
  <c r="R234" i="19"/>
  <c r="R237" i="19"/>
  <c r="R238" i="19"/>
  <c r="R282" i="19"/>
  <c r="R241" i="19"/>
  <c r="R243" i="19"/>
  <c r="R244" i="19"/>
  <c r="R248" i="19"/>
  <c r="R249" i="19"/>
  <c r="R250" i="19"/>
  <c r="R251" i="19"/>
  <c r="R210" i="19"/>
  <c r="R257" i="19"/>
  <c r="R258" i="19"/>
  <c r="R259" i="19"/>
  <c r="R260" i="19"/>
  <c r="R211" i="19"/>
  <c r="R212" i="19"/>
  <c r="R262" i="19"/>
  <c r="R263" i="19"/>
  <c r="R264" i="19"/>
  <c r="R415" i="19"/>
  <c r="R270" i="19"/>
  <c r="R304" i="19"/>
  <c r="R305" i="19"/>
  <c r="R306" i="19"/>
  <c r="R307" i="19"/>
  <c r="R308" i="19"/>
  <c r="R331" i="19"/>
  <c r="R274" i="19"/>
  <c r="R309" i="19"/>
  <c r="R310" i="19"/>
  <c r="R502" i="19"/>
  <c r="R311" i="19"/>
  <c r="R312" i="19"/>
  <c r="R313" i="19"/>
  <c r="R332" i="19"/>
  <c r="R512" i="19"/>
  <c r="R294" i="19"/>
  <c r="R458" i="19"/>
  <c r="R314" i="19"/>
  <c r="R315" i="19"/>
  <c r="R296" i="19"/>
  <c r="R401" i="19"/>
  <c r="R319" i="19"/>
  <c r="R320" i="19"/>
  <c r="R299" i="19"/>
  <c r="R519" i="19"/>
  <c r="R322" i="19"/>
  <c r="R300" i="19"/>
  <c r="R323" i="19"/>
  <c r="R333" i="19"/>
  <c r="R434" i="19"/>
  <c r="R363" i="19"/>
  <c r="R336" i="19"/>
  <c r="R337" i="19"/>
  <c r="R340" i="19"/>
  <c r="R341" i="19"/>
  <c r="R342" i="19"/>
  <c r="R343" i="19"/>
  <c r="R328" i="19"/>
  <c r="R344" i="19"/>
  <c r="R347" i="19"/>
  <c r="R349" i="19"/>
  <c r="R350" i="19"/>
  <c r="R351" i="19"/>
  <c r="R352" i="19"/>
  <c r="R353" i="19"/>
  <c r="R354" i="19"/>
  <c r="R355" i="19"/>
  <c r="R357" i="19"/>
  <c r="R358" i="19"/>
  <c r="R360" i="19"/>
  <c r="R521" i="19"/>
  <c r="R364" i="19"/>
  <c r="R365" i="19"/>
  <c r="R418" i="19"/>
  <c r="R366" i="19"/>
  <c r="R372" i="19"/>
  <c r="R373" i="19"/>
  <c r="R374" i="19"/>
  <c r="R513" i="19"/>
  <c r="R375" i="19"/>
  <c r="R376" i="19"/>
  <c r="R377" i="19"/>
  <c r="R420" i="19"/>
  <c r="R378" i="19"/>
  <c r="R379" i="19"/>
  <c r="R421" i="19"/>
  <c r="R381" i="19"/>
  <c r="R382" i="19"/>
  <c r="R383" i="19"/>
  <c r="R384" i="19"/>
  <c r="R392" i="19"/>
  <c r="R393" i="19"/>
  <c r="R394" i="19"/>
  <c r="R395" i="19"/>
  <c r="R511" i="19"/>
  <c r="R404" i="19"/>
  <c r="R405" i="19"/>
  <c r="R493" i="19"/>
  <c r="R503" i="19"/>
  <c r="R406" i="19"/>
  <c r="R407" i="19"/>
  <c r="R396" i="19"/>
  <c r="R408" i="19"/>
  <c r="R504" i="19"/>
  <c r="R517" i="19"/>
  <c r="R424" i="19"/>
  <c r="R425" i="19"/>
  <c r="R509" i="19"/>
  <c r="R426" i="19"/>
  <c r="R505" i="19"/>
  <c r="R430" i="19"/>
  <c r="R506" i="19"/>
  <c r="R507" i="19"/>
  <c r="R498" i="19"/>
  <c r="R431" i="19"/>
  <c r="R494" i="19"/>
  <c r="R480" i="19"/>
  <c r="R432" i="19"/>
  <c r="R514" i="19"/>
  <c r="R436" i="19"/>
  <c r="R437" i="19"/>
  <c r="R499" i="19"/>
  <c r="R508" i="19"/>
  <c r="R481" i="19"/>
  <c r="R482" i="19"/>
  <c r="R4" i="18"/>
  <c r="R5" i="18"/>
  <c r="R6" i="18"/>
  <c r="R7" i="18"/>
  <c r="R8" i="18"/>
  <c r="R9" i="18"/>
  <c r="R10" i="18"/>
  <c r="R11" i="18"/>
  <c r="R12" i="18"/>
  <c r="R13" i="18"/>
  <c r="R14" i="18"/>
  <c r="R15" i="18"/>
  <c r="R16" i="18"/>
  <c r="R17" i="18"/>
  <c r="R18" i="18"/>
  <c r="R19" i="18"/>
  <c r="R20" i="18"/>
  <c r="R21" i="18"/>
  <c r="R22" i="18"/>
  <c r="R23" i="18"/>
  <c r="R24" i="18"/>
  <c r="R25" i="18"/>
  <c r="R26" i="18"/>
  <c r="R27" i="18"/>
  <c r="R28" i="18"/>
  <c r="R29" i="18"/>
  <c r="R30" i="18"/>
  <c r="R31" i="18"/>
  <c r="R32" i="18"/>
  <c r="R33" i="18"/>
  <c r="R34" i="18"/>
  <c r="R35" i="18"/>
  <c r="R36" i="18"/>
  <c r="R37" i="18"/>
  <c r="R38" i="18"/>
  <c r="R39" i="18"/>
  <c r="R40" i="18"/>
  <c r="R41" i="18"/>
  <c r="R42" i="18"/>
  <c r="R43" i="18"/>
  <c r="R44" i="18"/>
  <c r="R45" i="18"/>
  <c r="R46" i="18"/>
  <c r="R47" i="18"/>
  <c r="R48" i="18"/>
  <c r="R49" i="18"/>
  <c r="R50" i="18"/>
  <c r="R51" i="18"/>
  <c r="R52" i="18"/>
  <c r="R53" i="18"/>
  <c r="R54" i="18"/>
  <c r="R55" i="18"/>
  <c r="R56" i="18"/>
  <c r="R57" i="18"/>
  <c r="R58" i="18"/>
  <c r="R59" i="18"/>
  <c r="R60" i="18"/>
  <c r="R61" i="18"/>
  <c r="R62" i="18"/>
  <c r="R63" i="18"/>
  <c r="R64" i="18"/>
  <c r="R65" i="18"/>
  <c r="R66" i="18"/>
  <c r="R67" i="18"/>
  <c r="R68" i="18"/>
  <c r="R69" i="18"/>
  <c r="R70" i="18"/>
  <c r="R71" i="18"/>
  <c r="R72" i="18"/>
  <c r="R73" i="18"/>
  <c r="R74" i="18"/>
  <c r="R75" i="18"/>
  <c r="R76" i="18"/>
  <c r="R77" i="18"/>
  <c r="R78" i="18"/>
  <c r="R79" i="18"/>
  <c r="R80" i="18"/>
  <c r="R81" i="18"/>
  <c r="R82" i="18"/>
  <c r="R83" i="18"/>
  <c r="R84" i="18"/>
  <c r="R85" i="18"/>
  <c r="R86" i="18"/>
  <c r="R87" i="18"/>
  <c r="R88" i="18"/>
  <c r="R89" i="18"/>
  <c r="R90" i="18"/>
  <c r="R91" i="18"/>
  <c r="R92" i="18"/>
  <c r="R93" i="18"/>
  <c r="R94" i="18"/>
  <c r="R95" i="18"/>
  <c r="R96" i="18"/>
  <c r="R97" i="18"/>
  <c r="R98" i="18"/>
  <c r="R99" i="18"/>
  <c r="R100" i="18"/>
  <c r="R101" i="18"/>
  <c r="R102" i="18"/>
  <c r="R103" i="18"/>
  <c r="R104" i="18"/>
  <c r="R105" i="18"/>
  <c r="R106" i="18"/>
  <c r="R107" i="18"/>
  <c r="R108" i="18"/>
  <c r="R109" i="18"/>
  <c r="R110" i="18"/>
  <c r="R111" i="18"/>
  <c r="R112" i="18"/>
  <c r="R113" i="18"/>
  <c r="R114" i="18"/>
  <c r="R115" i="18"/>
  <c r="R116" i="18"/>
  <c r="R117" i="18"/>
  <c r="R118" i="18"/>
  <c r="R119" i="18"/>
  <c r="R120" i="18"/>
  <c r="R121" i="18"/>
  <c r="R122" i="18"/>
  <c r="R123" i="18"/>
  <c r="R124" i="18"/>
  <c r="R125" i="18"/>
  <c r="R126" i="18"/>
  <c r="R127" i="18"/>
  <c r="R128" i="18"/>
  <c r="R129" i="18"/>
  <c r="R130" i="18"/>
  <c r="R131" i="18"/>
  <c r="R132" i="18"/>
  <c r="R133" i="18"/>
  <c r="R134" i="18"/>
  <c r="R135" i="18"/>
  <c r="R136" i="18"/>
  <c r="R137" i="18"/>
  <c r="R138" i="18"/>
  <c r="R139" i="18"/>
  <c r="R140" i="18"/>
  <c r="R141" i="18"/>
  <c r="R142" i="18"/>
  <c r="R143" i="18"/>
  <c r="R144" i="18"/>
  <c r="R145" i="18"/>
  <c r="R146" i="18"/>
  <c r="R147" i="18"/>
  <c r="R148" i="18"/>
  <c r="R149" i="18"/>
  <c r="R150" i="18"/>
  <c r="R151" i="18"/>
  <c r="R152" i="18"/>
  <c r="R153" i="18"/>
  <c r="R154" i="18"/>
  <c r="R155" i="18"/>
  <c r="R156" i="18"/>
  <c r="R157" i="18"/>
  <c r="R158" i="18"/>
  <c r="R159" i="18"/>
  <c r="R160" i="18"/>
  <c r="R161" i="18"/>
  <c r="R162" i="18"/>
  <c r="R163" i="18"/>
  <c r="R164" i="18"/>
  <c r="R165" i="18"/>
  <c r="R166" i="18"/>
  <c r="R167" i="18"/>
  <c r="R168" i="18"/>
  <c r="R169" i="18"/>
  <c r="R170" i="18"/>
  <c r="R171" i="18"/>
  <c r="R172" i="18"/>
  <c r="R173" i="18"/>
  <c r="R174" i="18"/>
  <c r="R175" i="18"/>
  <c r="R176" i="18"/>
  <c r="R177" i="18"/>
  <c r="R178" i="18"/>
  <c r="R179" i="18"/>
  <c r="R180" i="18"/>
  <c r="R181" i="18"/>
  <c r="R182" i="18"/>
  <c r="R183" i="18"/>
  <c r="R184" i="18"/>
  <c r="R185" i="18"/>
  <c r="R186" i="18"/>
  <c r="R187" i="18"/>
  <c r="R188" i="18"/>
  <c r="R189" i="18"/>
  <c r="R190" i="18"/>
  <c r="R191" i="18"/>
  <c r="R192" i="18"/>
  <c r="R193" i="18"/>
  <c r="R194" i="18"/>
  <c r="R195" i="18"/>
  <c r="R196" i="18"/>
  <c r="R197" i="18"/>
  <c r="R198" i="18"/>
  <c r="R199" i="18"/>
  <c r="R200" i="18"/>
  <c r="R201" i="18"/>
  <c r="R202" i="18"/>
  <c r="R203" i="18"/>
  <c r="R204" i="18"/>
  <c r="R205" i="18"/>
  <c r="R206" i="18"/>
  <c r="R207" i="18"/>
  <c r="R208" i="18"/>
  <c r="R209" i="18"/>
  <c r="R210" i="18"/>
  <c r="R211" i="18"/>
  <c r="R212" i="18"/>
  <c r="R213" i="18"/>
  <c r="R214" i="18"/>
  <c r="R215" i="18"/>
  <c r="R216" i="18"/>
  <c r="R217" i="18"/>
  <c r="R218" i="18"/>
  <c r="R219" i="18"/>
  <c r="R220" i="18"/>
  <c r="R221" i="18"/>
  <c r="R222" i="18"/>
  <c r="R223" i="18"/>
  <c r="R224" i="18"/>
  <c r="R225" i="18"/>
  <c r="R226" i="18"/>
  <c r="R227" i="18"/>
  <c r="R228" i="18"/>
  <c r="R229" i="18"/>
  <c r="R230" i="18"/>
  <c r="R231" i="18"/>
  <c r="R232" i="18"/>
  <c r="R233" i="18"/>
  <c r="R234" i="18"/>
  <c r="R235" i="18"/>
  <c r="R236" i="18"/>
  <c r="R237" i="18"/>
  <c r="R238" i="18"/>
  <c r="R239" i="18"/>
  <c r="R240" i="18"/>
  <c r="R241" i="18"/>
  <c r="R242" i="18"/>
  <c r="R243" i="18"/>
  <c r="R244" i="18"/>
  <c r="R245" i="18"/>
  <c r="R246" i="18"/>
  <c r="R247" i="18"/>
  <c r="R248" i="18"/>
  <c r="R249" i="18"/>
  <c r="R250" i="18"/>
  <c r="R251" i="18"/>
  <c r="R252" i="18"/>
  <c r="R253" i="18"/>
  <c r="R254" i="18"/>
  <c r="R255" i="18"/>
  <c r="R256" i="18"/>
  <c r="R257" i="18"/>
  <c r="R258" i="18"/>
  <c r="R259" i="18"/>
  <c r="R260" i="18"/>
  <c r="R261" i="18"/>
  <c r="R262" i="18"/>
  <c r="R263" i="18"/>
  <c r="R264" i="18"/>
  <c r="R265" i="18"/>
  <c r="R266" i="18"/>
  <c r="R267" i="18"/>
  <c r="R268" i="18"/>
  <c r="R269" i="18"/>
  <c r="R270" i="18"/>
  <c r="R271" i="18"/>
  <c r="R272" i="18"/>
  <c r="R273" i="18"/>
  <c r="R274" i="18"/>
  <c r="R275" i="18"/>
  <c r="R276" i="18"/>
  <c r="R277" i="18"/>
  <c r="R278" i="18"/>
  <c r="R279" i="18"/>
  <c r="R280" i="18"/>
  <c r="R281" i="18"/>
  <c r="R282" i="18"/>
  <c r="R283" i="18"/>
  <c r="R284" i="18"/>
  <c r="R285" i="18"/>
  <c r="R286" i="18"/>
  <c r="R287" i="18"/>
  <c r="R288" i="18"/>
  <c r="R289" i="18"/>
  <c r="R290" i="18"/>
  <c r="R291" i="18"/>
  <c r="R292" i="18"/>
  <c r="R293" i="18"/>
  <c r="R294" i="18"/>
  <c r="R295" i="18"/>
  <c r="R296" i="18"/>
  <c r="R297" i="18"/>
  <c r="R298" i="18"/>
  <c r="R299" i="18"/>
  <c r="R300" i="18"/>
  <c r="R301" i="18"/>
  <c r="R302" i="18"/>
  <c r="R303" i="18"/>
  <c r="R304" i="18"/>
  <c r="R305" i="18"/>
  <c r="R306" i="18"/>
  <c r="R307" i="18"/>
  <c r="R308" i="18"/>
  <c r="R309" i="18"/>
  <c r="R310" i="18"/>
  <c r="R311" i="18"/>
  <c r="R312" i="18"/>
  <c r="R313" i="18"/>
  <c r="R314" i="18"/>
  <c r="R315" i="18"/>
  <c r="R316" i="18"/>
  <c r="R317" i="18"/>
  <c r="R318" i="18"/>
  <c r="R319" i="18"/>
  <c r="R320" i="18"/>
  <c r="R321" i="18"/>
  <c r="R322" i="18"/>
  <c r="R323" i="18"/>
  <c r="R324" i="18"/>
  <c r="R325" i="18"/>
  <c r="R326" i="18"/>
  <c r="R327" i="18"/>
  <c r="R328" i="18"/>
  <c r="R329" i="18"/>
  <c r="R330" i="18"/>
  <c r="R331" i="18"/>
  <c r="R332" i="18"/>
  <c r="R333" i="18"/>
  <c r="R334" i="18"/>
  <c r="R335" i="18"/>
  <c r="R336" i="18"/>
  <c r="R337" i="18"/>
  <c r="R338" i="18"/>
  <c r="R339" i="18"/>
  <c r="R340" i="18"/>
  <c r="R341" i="18"/>
  <c r="R342" i="18"/>
  <c r="R343" i="18"/>
  <c r="R344" i="18"/>
  <c r="R345" i="18"/>
  <c r="R346" i="18"/>
  <c r="R347" i="18"/>
  <c r="R348" i="18"/>
  <c r="R349" i="18"/>
  <c r="R350" i="18"/>
  <c r="R351" i="18"/>
  <c r="R352" i="18"/>
  <c r="R353" i="18"/>
  <c r="R354" i="18"/>
  <c r="R355" i="18"/>
  <c r="R356" i="18"/>
  <c r="R357" i="18"/>
  <c r="R358" i="18"/>
  <c r="R359" i="18"/>
  <c r="R360" i="18"/>
  <c r="R361" i="18"/>
  <c r="R362" i="18"/>
  <c r="R363" i="18"/>
  <c r="R364" i="18"/>
  <c r="R365" i="18"/>
  <c r="R366" i="18"/>
  <c r="R367" i="18"/>
  <c r="R368" i="18"/>
  <c r="R369" i="18"/>
  <c r="R370" i="18"/>
  <c r="R371" i="18"/>
  <c r="R372" i="18"/>
  <c r="R373" i="18"/>
  <c r="R374" i="18"/>
  <c r="R375" i="18"/>
  <c r="R376" i="18"/>
  <c r="R377" i="18"/>
  <c r="R378" i="18"/>
  <c r="R379" i="18"/>
  <c r="R380" i="18"/>
  <c r="R381" i="18"/>
  <c r="R382" i="18"/>
  <c r="R383" i="18"/>
  <c r="R384" i="18"/>
  <c r="R385" i="18"/>
  <c r="R386" i="18"/>
  <c r="R387" i="18"/>
  <c r="R388" i="18"/>
  <c r="R389" i="18"/>
  <c r="R390" i="18"/>
  <c r="R391" i="18"/>
  <c r="R392" i="18"/>
  <c r="R393" i="18"/>
  <c r="R394" i="18"/>
  <c r="R395" i="18"/>
  <c r="R396" i="18"/>
  <c r="R397" i="18"/>
  <c r="R398" i="18"/>
  <c r="R399" i="18"/>
  <c r="R400" i="18"/>
  <c r="R401" i="18"/>
  <c r="R402" i="18"/>
  <c r="R403" i="18"/>
  <c r="R404" i="18"/>
  <c r="R405" i="18"/>
  <c r="R406" i="18"/>
  <c r="R407" i="18"/>
  <c r="R408" i="18"/>
  <c r="R409" i="18"/>
  <c r="R410" i="18"/>
  <c r="R411" i="18"/>
  <c r="R412" i="18"/>
  <c r="R413" i="18"/>
  <c r="R414" i="18"/>
  <c r="R415" i="18"/>
  <c r="R416" i="18"/>
  <c r="R417" i="18"/>
  <c r="R418" i="18"/>
  <c r="R419" i="18"/>
  <c r="R420" i="18"/>
  <c r="R421" i="18"/>
  <c r="R422" i="18"/>
  <c r="R423" i="18"/>
  <c r="R424" i="18"/>
  <c r="R425" i="18"/>
  <c r="R426" i="18"/>
  <c r="R427" i="18"/>
  <c r="R428" i="18"/>
  <c r="R429" i="18"/>
  <c r="R430" i="18"/>
  <c r="R431" i="18"/>
  <c r="R432" i="18"/>
  <c r="R433" i="18"/>
  <c r="R434" i="18"/>
  <c r="R435" i="18"/>
  <c r="R436" i="18"/>
  <c r="R437" i="18"/>
  <c r="R438" i="18"/>
  <c r="R439" i="18"/>
  <c r="R440" i="18"/>
  <c r="R441" i="18"/>
  <c r="R442" i="18"/>
  <c r="R443" i="18"/>
  <c r="R444" i="18"/>
  <c r="R445" i="18"/>
  <c r="R446" i="18"/>
  <c r="R447" i="18"/>
  <c r="R448" i="18"/>
  <c r="R449" i="18"/>
  <c r="R450" i="18"/>
  <c r="R451" i="18"/>
  <c r="R452" i="18"/>
  <c r="R453" i="18"/>
  <c r="R454" i="18"/>
  <c r="R455" i="18"/>
  <c r="R456" i="18"/>
  <c r="R457" i="18"/>
  <c r="R458" i="18"/>
  <c r="R459" i="18"/>
  <c r="R460" i="18"/>
  <c r="R461" i="18"/>
  <c r="R462" i="18"/>
  <c r="R463" i="18"/>
  <c r="R464" i="18"/>
  <c r="R465" i="18"/>
  <c r="R466" i="18"/>
  <c r="R467" i="18"/>
  <c r="R468" i="18"/>
  <c r="R469" i="18"/>
  <c r="R470" i="18"/>
  <c r="R471" i="18"/>
  <c r="R472" i="18"/>
  <c r="R473" i="18"/>
  <c r="R474" i="18"/>
  <c r="R475" i="18"/>
  <c r="R476" i="18"/>
  <c r="R477" i="18"/>
  <c r="R478" i="18"/>
  <c r="R479" i="18"/>
  <c r="R480" i="18"/>
  <c r="R481" i="18"/>
  <c r="R482" i="18"/>
  <c r="R483" i="18"/>
  <c r="R484" i="18"/>
  <c r="R485" i="18"/>
  <c r="R486" i="18"/>
  <c r="R487" i="18"/>
  <c r="R488" i="18"/>
  <c r="R489" i="18"/>
  <c r="R490" i="18"/>
  <c r="R491" i="18"/>
  <c r="R492" i="18"/>
  <c r="R493" i="18"/>
  <c r="R494" i="18"/>
  <c r="R495" i="18"/>
  <c r="R496" i="18"/>
  <c r="R497" i="18"/>
  <c r="R498" i="18"/>
  <c r="R499" i="18"/>
  <c r="R500" i="18"/>
  <c r="R501" i="18"/>
  <c r="R502" i="18"/>
  <c r="R503" i="18"/>
  <c r="R504" i="18"/>
  <c r="R505" i="18"/>
  <c r="R506" i="18"/>
  <c r="R507" i="18"/>
  <c r="R508" i="18"/>
  <c r="R509" i="18"/>
  <c r="R510" i="18"/>
  <c r="R511" i="18"/>
  <c r="R512" i="18"/>
  <c r="R513" i="18"/>
  <c r="R514" i="18"/>
  <c r="R515" i="18"/>
  <c r="R516" i="18"/>
  <c r="R517" i="18"/>
  <c r="R518" i="18"/>
  <c r="R519" i="18"/>
  <c r="R520" i="18"/>
  <c r="R521" i="18"/>
  <c r="R522" i="18"/>
  <c r="R523" i="18"/>
  <c r="R524" i="18"/>
  <c r="R525" i="18"/>
  <c r="R526" i="18"/>
  <c r="R527" i="18"/>
  <c r="R528" i="18"/>
  <c r="R529" i="18"/>
  <c r="R530" i="18"/>
  <c r="R531" i="18"/>
  <c r="R532" i="18"/>
  <c r="R533" i="18"/>
  <c r="R534" i="18"/>
  <c r="R535" i="18"/>
  <c r="R536" i="18"/>
  <c r="R537" i="18"/>
  <c r="R538" i="18"/>
  <c r="R539" i="18"/>
  <c r="R540" i="18"/>
  <c r="R541" i="18"/>
  <c r="R542" i="18"/>
  <c r="R543" i="18"/>
  <c r="R544" i="18"/>
  <c r="R545" i="18"/>
  <c r="R546" i="18"/>
  <c r="R547" i="18"/>
  <c r="R548" i="18"/>
  <c r="R549" i="18"/>
  <c r="R550" i="18"/>
  <c r="R551" i="18"/>
  <c r="R552" i="18"/>
  <c r="R553" i="18"/>
  <c r="R554" i="18"/>
  <c r="R555" i="18"/>
  <c r="R556" i="18"/>
  <c r="R557" i="18"/>
  <c r="R558" i="18"/>
  <c r="R559" i="18"/>
  <c r="R560" i="18"/>
  <c r="R561" i="18"/>
  <c r="R562" i="18"/>
  <c r="R563" i="18"/>
  <c r="R564" i="18"/>
  <c r="R565" i="18"/>
  <c r="R566" i="18"/>
  <c r="R567" i="18"/>
  <c r="R568" i="18"/>
  <c r="R569" i="18"/>
  <c r="R570" i="18"/>
  <c r="R571" i="18"/>
  <c r="R572" i="18"/>
  <c r="R573" i="18"/>
  <c r="R574" i="18"/>
  <c r="R575" i="18"/>
  <c r="R576" i="18"/>
  <c r="R577" i="18"/>
  <c r="R578" i="18"/>
  <c r="R579" i="18"/>
  <c r="R580" i="18"/>
  <c r="R581" i="18"/>
  <c r="R582" i="18"/>
  <c r="R583" i="18"/>
  <c r="R584" i="18"/>
  <c r="R585" i="18"/>
  <c r="R586" i="18"/>
  <c r="R587" i="18"/>
  <c r="R588" i="18"/>
  <c r="R589" i="18"/>
  <c r="R590" i="18"/>
  <c r="R591" i="18"/>
  <c r="R592" i="18"/>
  <c r="R593" i="18"/>
  <c r="R594" i="18"/>
  <c r="R595" i="18"/>
  <c r="R596" i="18"/>
  <c r="R597" i="18"/>
  <c r="R598" i="18"/>
  <c r="R599" i="18"/>
  <c r="R600" i="18"/>
  <c r="R601" i="18"/>
  <c r="R602" i="18"/>
  <c r="R603" i="18"/>
  <c r="R604" i="18"/>
  <c r="R605" i="18"/>
  <c r="R606" i="18"/>
  <c r="R607" i="18"/>
  <c r="R608" i="18"/>
  <c r="R609" i="18"/>
  <c r="R610" i="18"/>
  <c r="R611" i="18"/>
  <c r="R612" i="18"/>
  <c r="R613" i="18"/>
  <c r="R614" i="18"/>
  <c r="R615" i="18"/>
  <c r="R616" i="18"/>
  <c r="R617" i="18"/>
  <c r="R618" i="18"/>
  <c r="R619" i="18"/>
  <c r="R620" i="18"/>
  <c r="R621" i="18"/>
  <c r="R622" i="18"/>
  <c r="R623" i="18"/>
  <c r="R624" i="18"/>
  <c r="R625" i="18"/>
  <c r="R626" i="18"/>
  <c r="R627" i="18"/>
  <c r="R628" i="18"/>
  <c r="R629" i="18"/>
  <c r="R630" i="18"/>
  <c r="R631" i="18"/>
  <c r="R632" i="18"/>
  <c r="R633" i="18"/>
  <c r="R634" i="18"/>
  <c r="R635" i="18"/>
  <c r="R636" i="18"/>
  <c r="R637" i="18"/>
  <c r="R638" i="18"/>
  <c r="R639" i="18"/>
  <c r="R640" i="18"/>
  <c r="R641" i="18"/>
  <c r="R642" i="18"/>
  <c r="R643" i="18"/>
  <c r="R644" i="18"/>
  <c r="R645" i="18"/>
  <c r="R646" i="18"/>
  <c r="R647" i="18"/>
  <c r="R648" i="18"/>
  <c r="R649" i="18"/>
  <c r="R650" i="18"/>
  <c r="R651" i="18"/>
  <c r="R652" i="18"/>
  <c r="R653" i="18"/>
  <c r="R654" i="18"/>
  <c r="R655" i="18"/>
  <c r="R656" i="18"/>
  <c r="R657" i="18"/>
  <c r="R658" i="18"/>
  <c r="R659" i="18"/>
  <c r="R660" i="18"/>
  <c r="R661" i="18"/>
  <c r="R662" i="18"/>
  <c r="R663" i="18"/>
  <c r="R664" i="18"/>
  <c r="R665" i="18"/>
  <c r="R666" i="18"/>
  <c r="R667" i="18"/>
  <c r="R668" i="18"/>
  <c r="R669" i="18"/>
  <c r="R670" i="18"/>
  <c r="R671" i="18"/>
  <c r="R672" i="18"/>
  <c r="R673" i="18"/>
  <c r="R674" i="18"/>
  <c r="R675" i="18"/>
  <c r="R676" i="18"/>
  <c r="R677" i="18"/>
  <c r="R678" i="18"/>
  <c r="R679" i="18"/>
  <c r="R680" i="18"/>
  <c r="R681" i="18"/>
  <c r="R682" i="18"/>
  <c r="R683" i="18"/>
  <c r="R684" i="18"/>
  <c r="R685" i="18"/>
  <c r="R686" i="18"/>
  <c r="R687" i="18"/>
  <c r="R688" i="18"/>
  <c r="R689" i="18"/>
  <c r="R690" i="18"/>
  <c r="R691" i="18"/>
  <c r="R692" i="18"/>
  <c r="R693" i="18"/>
  <c r="R694" i="18"/>
  <c r="R695" i="18"/>
  <c r="R696" i="18"/>
  <c r="R697" i="18"/>
  <c r="R698" i="18"/>
  <c r="R699" i="18"/>
  <c r="R700" i="18"/>
  <c r="R701" i="18"/>
  <c r="R702" i="18"/>
  <c r="R703" i="18"/>
  <c r="R704" i="18"/>
  <c r="R705" i="18"/>
  <c r="R706" i="18"/>
  <c r="R707" i="18"/>
  <c r="R708" i="18"/>
  <c r="R709" i="18"/>
  <c r="R710" i="18"/>
  <c r="R711" i="18"/>
  <c r="R712" i="18"/>
  <c r="R713" i="18"/>
  <c r="R714" i="18"/>
  <c r="R715" i="18"/>
  <c r="R716" i="18"/>
  <c r="R717" i="18"/>
  <c r="R718" i="18"/>
  <c r="R719" i="18"/>
  <c r="R720" i="18"/>
  <c r="R721" i="18"/>
  <c r="R722" i="18"/>
  <c r="R723" i="18"/>
  <c r="R724" i="18"/>
  <c r="R725" i="18"/>
  <c r="R726" i="18"/>
  <c r="R727" i="18"/>
  <c r="R728" i="18"/>
  <c r="R729" i="18"/>
  <c r="R730" i="18"/>
  <c r="R731" i="18"/>
  <c r="R732" i="18"/>
  <c r="R733" i="18"/>
  <c r="R734" i="18"/>
  <c r="R735" i="18"/>
  <c r="R736" i="18"/>
  <c r="R737" i="18"/>
  <c r="R738" i="18"/>
  <c r="R739" i="18"/>
  <c r="R740" i="18"/>
  <c r="R741" i="18"/>
  <c r="R742" i="18"/>
  <c r="R743" i="18"/>
  <c r="R744" i="18"/>
  <c r="R745" i="18"/>
  <c r="R746" i="18"/>
  <c r="R747" i="18"/>
  <c r="R748" i="18"/>
  <c r="R749" i="18"/>
  <c r="R750" i="18"/>
  <c r="R751" i="18"/>
  <c r="R752" i="18"/>
  <c r="R753" i="18"/>
  <c r="R754" i="18"/>
  <c r="R755" i="18"/>
  <c r="R756" i="18"/>
  <c r="R757" i="18"/>
  <c r="R758" i="18"/>
  <c r="R759" i="18"/>
  <c r="R760" i="18"/>
  <c r="R761" i="18"/>
  <c r="R762" i="18"/>
  <c r="R763" i="18"/>
  <c r="R764" i="18"/>
  <c r="R765" i="18"/>
  <c r="R766" i="18"/>
  <c r="R767" i="18"/>
  <c r="R768" i="18"/>
  <c r="R769" i="18"/>
  <c r="R770" i="18"/>
  <c r="R771" i="18"/>
  <c r="R772" i="18"/>
  <c r="R773" i="18"/>
  <c r="R774" i="18"/>
  <c r="R775" i="18"/>
  <c r="R776" i="18"/>
  <c r="R777" i="18"/>
  <c r="R778" i="18"/>
  <c r="R779" i="18"/>
  <c r="R780" i="18"/>
  <c r="R781" i="18"/>
  <c r="R782" i="18"/>
  <c r="R783" i="18"/>
  <c r="R784" i="18"/>
  <c r="R785" i="18"/>
  <c r="R786" i="18"/>
  <c r="R787" i="18"/>
  <c r="R788" i="18"/>
  <c r="R789" i="18"/>
  <c r="R790" i="18"/>
  <c r="R791" i="18"/>
  <c r="R792" i="18"/>
  <c r="R793" i="18"/>
  <c r="R794" i="18"/>
  <c r="R795" i="18"/>
  <c r="R796" i="18"/>
  <c r="R797" i="18"/>
  <c r="R798" i="18"/>
  <c r="R799" i="18"/>
  <c r="R800" i="18"/>
  <c r="R801" i="18"/>
  <c r="R802" i="18"/>
  <c r="R803" i="18"/>
  <c r="R804" i="18"/>
  <c r="R805" i="18"/>
  <c r="R806" i="18"/>
  <c r="R807" i="18"/>
  <c r="R808" i="18"/>
  <c r="R809" i="18"/>
  <c r="R810" i="18"/>
  <c r="R811" i="18"/>
  <c r="R812" i="18"/>
  <c r="R813" i="18"/>
  <c r="R814" i="18"/>
  <c r="R815" i="18"/>
  <c r="R816" i="18"/>
  <c r="R817" i="18"/>
  <c r="R818" i="18"/>
  <c r="R819" i="18"/>
  <c r="R820" i="18"/>
  <c r="R821" i="18"/>
  <c r="R822" i="18"/>
  <c r="R823" i="18"/>
  <c r="R824" i="18"/>
  <c r="R825" i="18"/>
  <c r="R826" i="18"/>
  <c r="R827" i="18"/>
  <c r="R828" i="18"/>
  <c r="R829" i="18"/>
  <c r="R830" i="18"/>
  <c r="R831" i="18"/>
  <c r="R832" i="18"/>
  <c r="R833" i="18"/>
  <c r="R834" i="18"/>
  <c r="R835" i="18"/>
  <c r="R836" i="18"/>
  <c r="R837" i="18"/>
  <c r="R838" i="18"/>
  <c r="R839" i="18"/>
  <c r="R840" i="18"/>
  <c r="R841" i="18"/>
  <c r="R842" i="18"/>
  <c r="R843" i="18"/>
  <c r="R844" i="18"/>
  <c r="R845" i="18"/>
  <c r="R846" i="18"/>
  <c r="R847" i="18"/>
  <c r="R848" i="18"/>
  <c r="R849" i="18"/>
  <c r="R850" i="18"/>
  <c r="R851" i="18"/>
  <c r="R852" i="18"/>
  <c r="R853" i="18"/>
  <c r="R854" i="18"/>
  <c r="R855" i="18"/>
  <c r="R856" i="18"/>
  <c r="R857" i="18"/>
  <c r="R858" i="18"/>
  <c r="R859" i="18"/>
  <c r="R860" i="18"/>
  <c r="R861" i="18"/>
  <c r="R862" i="18"/>
  <c r="R863" i="18"/>
  <c r="R864" i="18"/>
  <c r="R865" i="18"/>
  <c r="R866" i="18"/>
  <c r="R867" i="18"/>
  <c r="R868" i="18"/>
  <c r="R869" i="18"/>
  <c r="R870" i="18"/>
  <c r="R871" i="18"/>
  <c r="R872" i="18"/>
  <c r="R873" i="18"/>
  <c r="R874" i="18"/>
  <c r="R875" i="18"/>
  <c r="R876" i="18"/>
  <c r="R877" i="18"/>
  <c r="R878" i="18"/>
  <c r="R879" i="18"/>
  <c r="R880" i="18"/>
  <c r="R881" i="18"/>
  <c r="R882" i="18"/>
  <c r="R883" i="18"/>
  <c r="Q3" i="17"/>
  <c r="Q4" i="17"/>
  <c r="Q5" i="17"/>
  <c r="Q6" i="17"/>
  <c r="Q7" i="17"/>
  <c r="Q8" i="17"/>
  <c r="Q9" i="17"/>
  <c r="Q10" i="17"/>
  <c r="Q11" i="17"/>
  <c r="Q12" i="17"/>
  <c r="Q13" i="17"/>
  <c r="Q14" i="17"/>
  <c r="Q15" i="17"/>
  <c r="Q16" i="17"/>
  <c r="Q17" i="17"/>
  <c r="Q18" i="17"/>
  <c r="Q19" i="17"/>
  <c r="Q20" i="17"/>
  <c r="Q21" i="17"/>
  <c r="Q22" i="17"/>
  <c r="Q23" i="17"/>
  <c r="Q24" i="17"/>
  <c r="Q25" i="17"/>
  <c r="Q26" i="17"/>
  <c r="Q27" i="17"/>
  <c r="Q28" i="17"/>
  <c r="Q29" i="17"/>
  <c r="Q30" i="17"/>
  <c r="Q31" i="17"/>
  <c r="Q32" i="17"/>
  <c r="Q33" i="17"/>
  <c r="Q34" i="17"/>
  <c r="Q35" i="17"/>
  <c r="Q36" i="17"/>
  <c r="Q37" i="17"/>
  <c r="Q38" i="17"/>
  <c r="Q39" i="17"/>
  <c r="Q40" i="17"/>
  <c r="Q41" i="17"/>
  <c r="Q42" i="17"/>
  <c r="Q43" i="17"/>
  <c r="Q44" i="17"/>
  <c r="Q45" i="17"/>
  <c r="Q46" i="17"/>
  <c r="Q47" i="17"/>
  <c r="Q48" i="17"/>
  <c r="Q49" i="17"/>
  <c r="Q50" i="17"/>
  <c r="Q51" i="17"/>
  <c r="Q52" i="17"/>
  <c r="Q53" i="17"/>
  <c r="Q54" i="17"/>
  <c r="Q55" i="17"/>
  <c r="Q56" i="17"/>
  <c r="Q57" i="17"/>
  <c r="Q58" i="17"/>
  <c r="Q59" i="17"/>
  <c r="Q60" i="17"/>
  <c r="Q61" i="17"/>
  <c r="Q62" i="17"/>
  <c r="Q63" i="17"/>
  <c r="Q64" i="17"/>
  <c r="Q65" i="17"/>
  <c r="Q66" i="17"/>
  <c r="Q67" i="17"/>
  <c r="Q68" i="17"/>
  <c r="Q69" i="17"/>
  <c r="Q70" i="17"/>
  <c r="Q71" i="17"/>
  <c r="Q72" i="17"/>
  <c r="Q73" i="17"/>
  <c r="Q74" i="17"/>
  <c r="Q75" i="17"/>
  <c r="Q76" i="17"/>
  <c r="Q77" i="17"/>
  <c r="Q78" i="17"/>
  <c r="Q79" i="17"/>
  <c r="Q80" i="17"/>
  <c r="Q81" i="17"/>
  <c r="Q82" i="17"/>
  <c r="Q83" i="17"/>
  <c r="Q84" i="17"/>
  <c r="Q85" i="17"/>
  <c r="Q86" i="17"/>
  <c r="Q87" i="17"/>
  <c r="Q88" i="17"/>
  <c r="Q89" i="17"/>
  <c r="Q90" i="17"/>
  <c r="Q91" i="17"/>
  <c r="Q92" i="17"/>
  <c r="Q93" i="17"/>
  <c r="Q94" i="17"/>
  <c r="Q95" i="17"/>
  <c r="Q96" i="17"/>
  <c r="Q97" i="17"/>
  <c r="Q98" i="17"/>
  <c r="Q99" i="17"/>
  <c r="Q100" i="17"/>
  <c r="Q101" i="17"/>
  <c r="Q102" i="17"/>
  <c r="Q103" i="17"/>
  <c r="Q104" i="17"/>
  <c r="Q105" i="17"/>
  <c r="Q106" i="17"/>
  <c r="Q107" i="17"/>
  <c r="Q108" i="17"/>
  <c r="Q109" i="17"/>
  <c r="Q110" i="17"/>
  <c r="Q111" i="17"/>
  <c r="Q112" i="17"/>
  <c r="Q113" i="17"/>
  <c r="Q114" i="17"/>
  <c r="Q115" i="17"/>
  <c r="Q116" i="17"/>
  <c r="Q117" i="17"/>
  <c r="Q118" i="17"/>
  <c r="Q119" i="17"/>
  <c r="Q120" i="17"/>
  <c r="Q121" i="17"/>
  <c r="Q122" i="17"/>
  <c r="Q123" i="17"/>
  <c r="Q124" i="17"/>
  <c r="Q125" i="17"/>
  <c r="Q126" i="17"/>
  <c r="Q127" i="17"/>
  <c r="Q128" i="17"/>
  <c r="Q129" i="17"/>
  <c r="Q130" i="17"/>
  <c r="Q131" i="17"/>
  <c r="Q132" i="17"/>
  <c r="Q133" i="17"/>
  <c r="Q134" i="17"/>
  <c r="Q135" i="17"/>
  <c r="Q136" i="17"/>
  <c r="Q137" i="17"/>
  <c r="Q138" i="17"/>
  <c r="Q139" i="17"/>
  <c r="Q140" i="17"/>
  <c r="Q141" i="17"/>
  <c r="Q142" i="17"/>
  <c r="Q143" i="17"/>
  <c r="Q144" i="17"/>
  <c r="Q145" i="17"/>
  <c r="Q146" i="17"/>
  <c r="Q147" i="17"/>
  <c r="Q148" i="17"/>
  <c r="Q149" i="17"/>
  <c r="Q150" i="17"/>
  <c r="Q151" i="17"/>
  <c r="Q152" i="17"/>
  <c r="Q153" i="17"/>
  <c r="Q154" i="17"/>
  <c r="Q155" i="17"/>
  <c r="Q156" i="17"/>
  <c r="Q157" i="17"/>
  <c r="Q158" i="17"/>
  <c r="Q159" i="17"/>
  <c r="Q160" i="17"/>
  <c r="Q161" i="17"/>
  <c r="Q162" i="17"/>
  <c r="Q163" i="17"/>
  <c r="Q164" i="17"/>
  <c r="Q165" i="17"/>
  <c r="Q166" i="17"/>
  <c r="Q167" i="17"/>
  <c r="Q168" i="17"/>
  <c r="Q169" i="17"/>
  <c r="Q170" i="17"/>
  <c r="Q171" i="17"/>
  <c r="Q172" i="17"/>
  <c r="Q173" i="17"/>
  <c r="Q174" i="17"/>
  <c r="Q175" i="17"/>
  <c r="Q176" i="17"/>
  <c r="Q177" i="17"/>
  <c r="Q178" i="17"/>
  <c r="Q179" i="17"/>
  <c r="Q180" i="17"/>
  <c r="Q181" i="17"/>
  <c r="Q182" i="17"/>
  <c r="Q183" i="17"/>
  <c r="Q184" i="17"/>
  <c r="Q185" i="17"/>
  <c r="Q186" i="17"/>
  <c r="Q188" i="17"/>
  <c r="Q189" i="17"/>
  <c r="Q190" i="17"/>
  <c r="Q191" i="17"/>
  <c r="Q192" i="17"/>
  <c r="Q193" i="17"/>
  <c r="Q194" i="17"/>
  <c r="Q195" i="17"/>
  <c r="Q196" i="17"/>
  <c r="Q197" i="17"/>
  <c r="Q198" i="17"/>
  <c r="Q199" i="17"/>
  <c r="Q200" i="17"/>
  <c r="Q201" i="17"/>
  <c r="Q202" i="17"/>
  <c r="Q203" i="17"/>
  <c r="Q204" i="17"/>
  <c r="Q205" i="17"/>
  <c r="Q206" i="17"/>
  <c r="Q207" i="17"/>
  <c r="Q208" i="17"/>
  <c r="Q209" i="17"/>
  <c r="Q210" i="17"/>
  <c r="Q211" i="17"/>
  <c r="Q212" i="17"/>
  <c r="Q213" i="17"/>
  <c r="Q214" i="17"/>
  <c r="Q215" i="17"/>
  <c r="Q216" i="17"/>
  <c r="Q217" i="17"/>
  <c r="Q218" i="17"/>
  <c r="Q219" i="17"/>
  <c r="Q220" i="17"/>
  <c r="Q221" i="17"/>
  <c r="Q222" i="17"/>
  <c r="Q223" i="17"/>
  <c r="Q224" i="17"/>
  <c r="Q225" i="17"/>
  <c r="Q226" i="17"/>
  <c r="Q227" i="17"/>
  <c r="Q228" i="17"/>
  <c r="Q229" i="17"/>
  <c r="Q230" i="17"/>
  <c r="Q231" i="17"/>
  <c r="Q232" i="17"/>
  <c r="Q233" i="17"/>
  <c r="Q234" i="17"/>
  <c r="Q235" i="17"/>
  <c r="Q236" i="17"/>
  <c r="Q237" i="17"/>
  <c r="Q238" i="17"/>
  <c r="Q239" i="17"/>
  <c r="Q240" i="17"/>
  <c r="Q241" i="17"/>
  <c r="Q242" i="17"/>
  <c r="Q243" i="17"/>
  <c r="Q244" i="17"/>
  <c r="Q245" i="17"/>
  <c r="Q246" i="17"/>
  <c r="Q247" i="17"/>
  <c r="Q248" i="17"/>
  <c r="Q249" i="17"/>
  <c r="Q250" i="17"/>
  <c r="Q251" i="17"/>
  <c r="Q252" i="17"/>
  <c r="Q253" i="17"/>
  <c r="Q254" i="17"/>
  <c r="Q255" i="17"/>
  <c r="Q256" i="17"/>
  <c r="Q257" i="17"/>
  <c r="Q258" i="17"/>
  <c r="Q259" i="17"/>
  <c r="Q260" i="17"/>
  <c r="Q261" i="17"/>
  <c r="Q262" i="17"/>
  <c r="Q263" i="17"/>
  <c r="Q264" i="17"/>
  <c r="Q265" i="17"/>
  <c r="Q266" i="17"/>
  <c r="Q267" i="17"/>
  <c r="Q268" i="17"/>
  <c r="Q269" i="17"/>
  <c r="Q270" i="17"/>
  <c r="Q271" i="17"/>
  <c r="Q272" i="17"/>
  <c r="Q273" i="17"/>
  <c r="Q274" i="17"/>
  <c r="Q275" i="17"/>
  <c r="Q276" i="17"/>
  <c r="Q277" i="17"/>
  <c r="Q278" i="17"/>
  <c r="Q279" i="17"/>
  <c r="Q280" i="17"/>
  <c r="Q281" i="17"/>
  <c r="Q282" i="17"/>
  <c r="Q283" i="17"/>
  <c r="Q284" i="17"/>
  <c r="Q285" i="17"/>
  <c r="Q286" i="17"/>
  <c r="Q287" i="17"/>
  <c r="Q288" i="17"/>
  <c r="Q289" i="17"/>
  <c r="Q290" i="17"/>
  <c r="Q291" i="17"/>
  <c r="Q292" i="17"/>
  <c r="Q293" i="17"/>
  <c r="Q294" i="17"/>
  <c r="Q295" i="17"/>
  <c r="Q296" i="17"/>
  <c r="Q297" i="17"/>
  <c r="Q298" i="17"/>
  <c r="Q299" i="17"/>
  <c r="Q300" i="17"/>
  <c r="Q301" i="17"/>
  <c r="Q302" i="17"/>
  <c r="Q303" i="17"/>
  <c r="Q304" i="17"/>
  <c r="Q305" i="17"/>
  <c r="Q307" i="17"/>
  <c r="Q308" i="17"/>
  <c r="Q309" i="17"/>
  <c r="Q310" i="17"/>
  <c r="Q311" i="17"/>
  <c r="Q312" i="17"/>
  <c r="Q313" i="17"/>
  <c r="Q314" i="17"/>
  <c r="Q315" i="17"/>
  <c r="Q316" i="17"/>
  <c r="Q317" i="17"/>
  <c r="Q318" i="17"/>
  <c r="Q319" i="17"/>
  <c r="Q320" i="17"/>
  <c r="Q321" i="17"/>
  <c r="Q322" i="17"/>
  <c r="Q323" i="17"/>
  <c r="Q324" i="17"/>
  <c r="Q325" i="17"/>
  <c r="Q326" i="17"/>
  <c r="Q327" i="17"/>
  <c r="Q328" i="17"/>
  <c r="Q329" i="17"/>
  <c r="Q330" i="17"/>
  <c r="Q331" i="17"/>
  <c r="Q332" i="17"/>
  <c r="Q333" i="17"/>
  <c r="Q334" i="17"/>
  <c r="Q335" i="17"/>
  <c r="Q336" i="17"/>
  <c r="Q337" i="17"/>
  <c r="Q338" i="17"/>
  <c r="Q339" i="17"/>
  <c r="Q340" i="17"/>
  <c r="Q341" i="17"/>
  <c r="Q342" i="17"/>
  <c r="Q343" i="17"/>
  <c r="Q344" i="17"/>
  <c r="Q345" i="17"/>
  <c r="Q346" i="17"/>
  <c r="Q347" i="17"/>
  <c r="Q348" i="17"/>
  <c r="Q349" i="17"/>
  <c r="Q350" i="17"/>
  <c r="Q351" i="17"/>
  <c r="Q352" i="17"/>
  <c r="Q353" i="17"/>
  <c r="Q354" i="17"/>
  <c r="Q355" i="17"/>
  <c r="Q356" i="17"/>
  <c r="Q357" i="17"/>
  <c r="Q358" i="17"/>
  <c r="Q359" i="17"/>
  <c r="Q360" i="17"/>
  <c r="Q361" i="17"/>
  <c r="Q362" i="17"/>
  <c r="Q363" i="17"/>
  <c r="Q364" i="17"/>
  <c r="Q365" i="17"/>
  <c r="Q366" i="17"/>
  <c r="Q367" i="17"/>
  <c r="Q368" i="17"/>
  <c r="Q369" i="17"/>
  <c r="Q370" i="17"/>
  <c r="Q371" i="17"/>
  <c r="Q372" i="17"/>
  <c r="Q373" i="17"/>
  <c r="Q374" i="17"/>
  <c r="Q375" i="17"/>
  <c r="Q376" i="17"/>
  <c r="Q377" i="17"/>
  <c r="Q378" i="17"/>
  <c r="Q379" i="17"/>
  <c r="Q380" i="17"/>
  <c r="Q381" i="17"/>
  <c r="Q382" i="17"/>
  <c r="Q383" i="17"/>
  <c r="Q384" i="17"/>
  <c r="Q385" i="17"/>
  <c r="Q386" i="17"/>
  <c r="Q387" i="17"/>
  <c r="Q388" i="17"/>
  <c r="Q389" i="17"/>
  <c r="Q390" i="17"/>
  <c r="Q391" i="17"/>
  <c r="Q392" i="17"/>
  <c r="Q393" i="17"/>
  <c r="Q394" i="17"/>
  <c r="Q395" i="17"/>
  <c r="Q396" i="17"/>
  <c r="Q397" i="17"/>
  <c r="Q398" i="17"/>
  <c r="Q399" i="17"/>
  <c r="Q400" i="17"/>
  <c r="Q401" i="17"/>
  <c r="Q402" i="17"/>
  <c r="Q403" i="17"/>
  <c r="Q404" i="17"/>
  <c r="Q405" i="17"/>
  <c r="Q406" i="17"/>
  <c r="Q407" i="17"/>
  <c r="Q408" i="17"/>
  <c r="Q409" i="17"/>
  <c r="Q410" i="17"/>
  <c r="Q411" i="17"/>
  <c r="Q412" i="17"/>
  <c r="Q413" i="17"/>
  <c r="Q414" i="17"/>
  <c r="Q415" i="17"/>
  <c r="Q416" i="17"/>
  <c r="Q417" i="17"/>
  <c r="Q418" i="17"/>
  <c r="Q419" i="17"/>
  <c r="Q420" i="17"/>
  <c r="Q421" i="17"/>
  <c r="Q422" i="17"/>
  <c r="Q423" i="17"/>
  <c r="Q424" i="17"/>
  <c r="Q425" i="17"/>
  <c r="Q426" i="17"/>
  <c r="Q427" i="17"/>
  <c r="Q428" i="17"/>
  <c r="Q3" i="16"/>
  <c r="Q4" i="16"/>
  <c r="Q5" i="16"/>
  <c r="Q6" i="16"/>
  <c r="Q7" i="16"/>
  <c r="Q8" i="16"/>
  <c r="Q9" i="16"/>
  <c r="Q10" i="16"/>
  <c r="Q11" i="16"/>
  <c r="Q12" i="16"/>
  <c r="Q13" i="16"/>
  <c r="Q14" i="16"/>
  <c r="Q15" i="16"/>
  <c r="Q16" i="16"/>
  <c r="Q17" i="16"/>
  <c r="Q18" i="16"/>
  <c r="Q19" i="16"/>
  <c r="Q20" i="16"/>
  <c r="Q21" i="16"/>
  <c r="Q22" i="16"/>
  <c r="Q23" i="16"/>
  <c r="Q24" i="16"/>
  <c r="Q25" i="16"/>
  <c r="Q26" i="16"/>
  <c r="Q27" i="16"/>
  <c r="Q28" i="16"/>
  <c r="Q29" i="16"/>
  <c r="Q30" i="16"/>
  <c r="Q31" i="16"/>
  <c r="Q32" i="16"/>
  <c r="Q33" i="16"/>
  <c r="Q34" i="16"/>
  <c r="Q35" i="16"/>
  <c r="Q36" i="16"/>
  <c r="Q37" i="16"/>
  <c r="Q38" i="16"/>
  <c r="Q39" i="16"/>
  <c r="Q40" i="16"/>
  <c r="Q41" i="16"/>
  <c r="Q42" i="16"/>
  <c r="Q43" i="16"/>
  <c r="Q44" i="16"/>
  <c r="Q45" i="16"/>
  <c r="Q46" i="16"/>
  <c r="Q47" i="16"/>
  <c r="Q48" i="16"/>
  <c r="Q49" i="16"/>
  <c r="Q50" i="16"/>
  <c r="Q51" i="16"/>
  <c r="Q52" i="16"/>
  <c r="Q53" i="16"/>
  <c r="Q54" i="16"/>
  <c r="Q55" i="16"/>
  <c r="Q56" i="16"/>
  <c r="Q57" i="16"/>
  <c r="Q58" i="16"/>
  <c r="Q59" i="16"/>
  <c r="Q60" i="16"/>
  <c r="Q61" i="16"/>
  <c r="Q62" i="16"/>
  <c r="Q63" i="16"/>
  <c r="Q64" i="16"/>
  <c r="Q65" i="16"/>
  <c r="Q66" i="16"/>
  <c r="Q67" i="16"/>
  <c r="Q68" i="16"/>
  <c r="Q69" i="16"/>
  <c r="Q70" i="16"/>
  <c r="Q71" i="16"/>
  <c r="Q72" i="16"/>
  <c r="Q73" i="16"/>
  <c r="Q74" i="16"/>
  <c r="Q75" i="16"/>
  <c r="Q76" i="16"/>
  <c r="Q77" i="16"/>
  <c r="Q78" i="16"/>
  <c r="Q79" i="16"/>
  <c r="Q80" i="16"/>
  <c r="Q81" i="16"/>
  <c r="Q82" i="16"/>
  <c r="Q83" i="16"/>
  <c r="Q84" i="16"/>
  <c r="Q85" i="16"/>
  <c r="Q86" i="16"/>
  <c r="Q87" i="16"/>
  <c r="Q88" i="16"/>
  <c r="Q89" i="16"/>
  <c r="Q90" i="16"/>
  <c r="Q91" i="16"/>
  <c r="Q92" i="16"/>
  <c r="Q93" i="16"/>
  <c r="Q94" i="16"/>
  <c r="Q95" i="16"/>
  <c r="Q96" i="16"/>
  <c r="Q97" i="16"/>
  <c r="Q98" i="16"/>
  <c r="Q99" i="16"/>
  <c r="Q100" i="16"/>
  <c r="Q101" i="16"/>
  <c r="Q102" i="16"/>
  <c r="Q103" i="16"/>
  <c r="Q104" i="16"/>
  <c r="Q105" i="16"/>
  <c r="Q106" i="16"/>
  <c r="Q107" i="16"/>
  <c r="Q108" i="16"/>
  <c r="Q109" i="16"/>
  <c r="Q110" i="16"/>
  <c r="Q111" i="16"/>
  <c r="Q112" i="16"/>
  <c r="Q113" i="16"/>
  <c r="Q114" i="16"/>
  <c r="Q115" i="16"/>
  <c r="Q116" i="16"/>
  <c r="Q117" i="16"/>
  <c r="Q118" i="16"/>
  <c r="Q119" i="16"/>
  <c r="Q120" i="16"/>
  <c r="Q121" i="16"/>
  <c r="Q122" i="16"/>
  <c r="Q123" i="16"/>
  <c r="Q124" i="16"/>
  <c r="Q125" i="16"/>
  <c r="Q126" i="16"/>
  <c r="Q127" i="16"/>
  <c r="Q128" i="16"/>
  <c r="Q129" i="16"/>
  <c r="Q130" i="16"/>
  <c r="Q131" i="16"/>
  <c r="Q132" i="16"/>
  <c r="Q133" i="16"/>
  <c r="Q134" i="16"/>
  <c r="Q135" i="16"/>
  <c r="Q136" i="16"/>
  <c r="Q137" i="16"/>
  <c r="Q138" i="16"/>
  <c r="Q139" i="16"/>
  <c r="Q140" i="16"/>
  <c r="Q141" i="16"/>
  <c r="Q142" i="16"/>
  <c r="Q143" i="16"/>
  <c r="Q144" i="16"/>
  <c r="Q145" i="16"/>
  <c r="Q146" i="16"/>
  <c r="Q147" i="16"/>
  <c r="Q148" i="16"/>
  <c r="Q149" i="16"/>
  <c r="Q150" i="16"/>
  <c r="Q151" i="16"/>
  <c r="Q152" i="16"/>
  <c r="Q153" i="16"/>
  <c r="Q154" i="16"/>
  <c r="Q155" i="16"/>
  <c r="Q156" i="16"/>
  <c r="Q157" i="16"/>
  <c r="Q158" i="16"/>
  <c r="Q159" i="16"/>
  <c r="Q160" i="16"/>
  <c r="Q161" i="16"/>
  <c r="Q162" i="16"/>
  <c r="Q163" i="16"/>
  <c r="Q164" i="16"/>
  <c r="Q165" i="16"/>
  <c r="Q166" i="16"/>
  <c r="Q167" i="16"/>
  <c r="Q168" i="16"/>
  <c r="Q169" i="16"/>
  <c r="Q170" i="16"/>
  <c r="Q171" i="16"/>
  <c r="Q172" i="16"/>
  <c r="Q173" i="16"/>
  <c r="Q174" i="16"/>
  <c r="Q175" i="16"/>
  <c r="Q176" i="16"/>
  <c r="Q177" i="16"/>
  <c r="Q178" i="16"/>
  <c r="Q179" i="16"/>
  <c r="Q180" i="16"/>
  <c r="Q181" i="16"/>
  <c r="Q182" i="16"/>
  <c r="Q183" i="16"/>
  <c r="Q184" i="16"/>
  <c r="Q185" i="16"/>
  <c r="Q186" i="16"/>
  <c r="Q187" i="16"/>
  <c r="Q188" i="16"/>
  <c r="Q189" i="16"/>
  <c r="Q190" i="16"/>
  <c r="Q191" i="16"/>
  <c r="Q192" i="16"/>
  <c r="Q193" i="16"/>
  <c r="Q194" i="16"/>
  <c r="Q195" i="16"/>
  <c r="Q196" i="16"/>
  <c r="Q197" i="16"/>
  <c r="Q198" i="16"/>
  <c r="Q199" i="16"/>
  <c r="Q200" i="16"/>
  <c r="Q201" i="16"/>
  <c r="Q202" i="16"/>
  <c r="Q203" i="16"/>
  <c r="Q204" i="16"/>
  <c r="Q205" i="16"/>
  <c r="Q206" i="16"/>
  <c r="Q207" i="16"/>
  <c r="Q208" i="16"/>
  <c r="Q209" i="16"/>
  <c r="Q210" i="16"/>
  <c r="Q211" i="16"/>
  <c r="Q212" i="16"/>
  <c r="Q213" i="16"/>
  <c r="Q214" i="16"/>
  <c r="Q215" i="16"/>
  <c r="Q216" i="16"/>
  <c r="Q217" i="16"/>
  <c r="Q218" i="16"/>
  <c r="Q219" i="16"/>
  <c r="Q220" i="16"/>
  <c r="Q221" i="16"/>
  <c r="Q222" i="16"/>
  <c r="Q223" i="16"/>
  <c r="Q224" i="16"/>
  <c r="Q225" i="16"/>
  <c r="Q226" i="16"/>
  <c r="Q227" i="16"/>
  <c r="Q228" i="16"/>
  <c r="Q229" i="16"/>
  <c r="Q230" i="16"/>
  <c r="Q231" i="16"/>
  <c r="Q232" i="16"/>
  <c r="Q233" i="16"/>
  <c r="Q234" i="16"/>
  <c r="Q235" i="16"/>
  <c r="Q236" i="16"/>
  <c r="Q237" i="16"/>
  <c r="Q238" i="16"/>
  <c r="Q239" i="16"/>
  <c r="Q240" i="16"/>
  <c r="Q241" i="16"/>
  <c r="Q242" i="16"/>
  <c r="Q243" i="16"/>
  <c r="Q244" i="16"/>
  <c r="Q245" i="16"/>
  <c r="Q246" i="16"/>
  <c r="Q247" i="16"/>
  <c r="Q248" i="16"/>
  <c r="Q249" i="16"/>
  <c r="Q250" i="16"/>
  <c r="Q251" i="16"/>
  <c r="Q252" i="16"/>
  <c r="Q253" i="16"/>
  <c r="Q254" i="16"/>
  <c r="Q255" i="16"/>
  <c r="Q256" i="16"/>
  <c r="Q257" i="16"/>
  <c r="Q258" i="16"/>
  <c r="Q259" i="16"/>
  <c r="Q260" i="16"/>
  <c r="Q261" i="16"/>
  <c r="Q262" i="16"/>
  <c r="Q263" i="16"/>
  <c r="Q264" i="16"/>
  <c r="Q265" i="16"/>
  <c r="Q266" i="16"/>
  <c r="Q267" i="16"/>
  <c r="Q268" i="16"/>
  <c r="Q269" i="16"/>
  <c r="Q270" i="16"/>
  <c r="Q271" i="16"/>
  <c r="Q272" i="16"/>
  <c r="Q273" i="16"/>
  <c r="Q274" i="16"/>
  <c r="Q275" i="16"/>
  <c r="Q276" i="16"/>
  <c r="Q277" i="16"/>
  <c r="Q278" i="16"/>
  <c r="Q279" i="16"/>
  <c r="Q280" i="16"/>
  <c r="Q281" i="16"/>
  <c r="Q282" i="16"/>
  <c r="Q283" i="16"/>
  <c r="Q284" i="16"/>
  <c r="Q285" i="16"/>
  <c r="Q286" i="16"/>
  <c r="Q287" i="16"/>
  <c r="Q288" i="16"/>
  <c r="Q289" i="16"/>
  <c r="Q290" i="16"/>
  <c r="Q291" i="16"/>
  <c r="Q292" i="16"/>
  <c r="Q293" i="16"/>
  <c r="Q294" i="16"/>
  <c r="Q295" i="16"/>
  <c r="Q296" i="16"/>
  <c r="Q297" i="16"/>
  <c r="Q298" i="16"/>
  <c r="Q299" i="16"/>
  <c r="Q300" i="16"/>
  <c r="Q301" i="16"/>
  <c r="Q302" i="16"/>
  <c r="Q303" i="16"/>
  <c r="Q304" i="16"/>
  <c r="Q305" i="16"/>
  <c r="Q306" i="16"/>
  <c r="Q307" i="16"/>
  <c r="Q308" i="16"/>
  <c r="Q309" i="16"/>
  <c r="Q310" i="16"/>
  <c r="Q311" i="16"/>
  <c r="Q312" i="16"/>
  <c r="Q313" i="16"/>
  <c r="Q314" i="16"/>
  <c r="Q315" i="16"/>
  <c r="Q316" i="16"/>
  <c r="Q317" i="16"/>
  <c r="Q318" i="16"/>
  <c r="Q319" i="16"/>
  <c r="Q320" i="16"/>
  <c r="Q321" i="16"/>
  <c r="Q322" i="16"/>
  <c r="Q323" i="16"/>
  <c r="Q324" i="16"/>
  <c r="Q325" i="16"/>
  <c r="Q326" i="16"/>
  <c r="Q327" i="16"/>
  <c r="Q328" i="16"/>
  <c r="Q329" i="16"/>
  <c r="Q330" i="16"/>
  <c r="Q331" i="16"/>
  <c r="Q332" i="16"/>
  <c r="Q333" i="16"/>
  <c r="Q334" i="16"/>
  <c r="Q335" i="16"/>
  <c r="Q336" i="16"/>
  <c r="Q337" i="16"/>
  <c r="Q338" i="16"/>
  <c r="Q339" i="16"/>
  <c r="Q340" i="16"/>
  <c r="Q341" i="16"/>
  <c r="Q342" i="16"/>
  <c r="Q343" i="16"/>
  <c r="Q344" i="16"/>
  <c r="Q345" i="16"/>
  <c r="Q346" i="16"/>
  <c r="Q347" i="16"/>
  <c r="Q348" i="16"/>
  <c r="Q349" i="16"/>
  <c r="Q350" i="16"/>
  <c r="Q351" i="16"/>
  <c r="Q352" i="16"/>
  <c r="Q353" i="16"/>
  <c r="Q354" i="16"/>
  <c r="Q355" i="16"/>
  <c r="Q356" i="16"/>
  <c r="Q357" i="16"/>
  <c r="Q358" i="16"/>
  <c r="Q359" i="16"/>
  <c r="Q360" i="16"/>
  <c r="Q361" i="16"/>
  <c r="Q362" i="16"/>
  <c r="Q363" i="16"/>
  <c r="Q364" i="16"/>
  <c r="Q365" i="16"/>
  <c r="Q366" i="16"/>
  <c r="Q367" i="16"/>
  <c r="Q368" i="16"/>
  <c r="Q369" i="16"/>
  <c r="Q370" i="16"/>
  <c r="Q371" i="16"/>
  <c r="Q372" i="16"/>
  <c r="Q373" i="16"/>
  <c r="Q374" i="16"/>
  <c r="Q375" i="16"/>
  <c r="Q376" i="16"/>
  <c r="Q377" i="16"/>
  <c r="Q378" i="16"/>
  <c r="Q379" i="16"/>
  <c r="Q380" i="16"/>
  <c r="Q381" i="16"/>
  <c r="Q382" i="16"/>
  <c r="Q383" i="16"/>
  <c r="Q384" i="16"/>
  <c r="Q385" i="16"/>
  <c r="Q386" i="16"/>
  <c r="Q387" i="16"/>
  <c r="Q388" i="16"/>
  <c r="Q389" i="16"/>
  <c r="Q390" i="16"/>
  <c r="Q391" i="16"/>
  <c r="Q392" i="16"/>
  <c r="Q393" i="16"/>
  <c r="Q394" i="16"/>
  <c r="Q395" i="16"/>
  <c r="Q396" i="16"/>
  <c r="Q397" i="16"/>
  <c r="Q398" i="16"/>
  <c r="Q399" i="16"/>
  <c r="Q400" i="16"/>
  <c r="Q401" i="16"/>
  <c r="Q402" i="16"/>
  <c r="Q403" i="16"/>
  <c r="Q404" i="16"/>
  <c r="Q405" i="16"/>
  <c r="Q406" i="16"/>
  <c r="Q407" i="16"/>
  <c r="Q408" i="16"/>
  <c r="Q409" i="16"/>
  <c r="Q410" i="16"/>
  <c r="Q411" i="16"/>
  <c r="Q412" i="16"/>
  <c r="Q413" i="16"/>
  <c r="Q414" i="16"/>
  <c r="Q415" i="16"/>
  <c r="Q416" i="16"/>
  <c r="Q417" i="16"/>
  <c r="Q418" i="16"/>
  <c r="Q419" i="16"/>
  <c r="Q420" i="16"/>
  <c r="Q421" i="16"/>
  <c r="Q422" i="16"/>
  <c r="Q423" i="16"/>
  <c r="Q424" i="16"/>
  <c r="Q425" i="16"/>
  <c r="Q426" i="16"/>
  <c r="Q427" i="16"/>
  <c r="Q428" i="16"/>
  <c r="Q429" i="16"/>
  <c r="Q430" i="16"/>
  <c r="Q431" i="16"/>
  <c r="Q432" i="16"/>
  <c r="Q433" i="16"/>
  <c r="Q434" i="16"/>
  <c r="Q435" i="16"/>
  <c r="Q436" i="16"/>
  <c r="Q437" i="16"/>
  <c r="Q438" i="16"/>
  <c r="Q439" i="16"/>
  <c r="Q441" i="16"/>
  <c r="Q442" i="16"/>
  <c r="Q443" i="16"/>
  <c r="Q444" i="16"/>
  <c r="Q445" i="16"/>
  <c r="Q446" i="16"/>
  <c r="Q447" i="16"/>
  <c r="Q448" i="16"/>
  <c r="Q449" i="16"/>
  <c r="Q450" i="16"/>
  <c r="Q451" i="16"/>
  <c r="Q452" i="16"/>
  <c r="Q453" i="16"/>
  <c r="Q454" i="16"/>
  <c r="R4" i="22"/>
  <c r="R5" i="22"/>
  <c r="R7" i="22"/>
  <c r="R8" i="22"/>
  <c r="R9" i="22"/>
  <c r="R10" i="22"/>
  <c r="R11" i="22"/>
  <c r="R12" i="22"/>
  <c r="R13" i="22"/>
  <c r="R14" i="22"/>
  <c r="R15" i="22"/>
  <c r="R16" i="22"/>
  <c r="R17" i="22"/>
  <c r="R18" i="22"/>
  <c r="R19" i="22"/>
  <c r="R20" i="22"/>
  <c r="R21" i="22"/>
  <c r="R22" i="22"/>
  <c r="R23" i="22"/>
  <c r="R24" i="22"/>
  <c r="R25" i="22"/>
  <c r="R26" i="22"/>
  <c r="R28" i="22"/>
  <c r="R29" i="22"/>
  <c r="R30" i="22"/>
  <c r="R31" i="22"/>
  <c r="R32" i="22"/>
  <c r="R33" i="22"/>
  <c r="R35" i="22"/>
  <c r="R36" i="22"/>
  <c r="R37" i="22"/>
  <c r="R38" i="22"/>
  <c r="R39" i="22"/>
  <c r="R40" i="22"/>
  <c r="R41" i="22"/>
  <c r="R42" i="22"/>
  <c r="R43" i="22"/>
  <c r="R44" i="22"/>
  <c r="R45" i="22"/>
  <c r="R46" i="22"/>
  <c r="R47" i="22"/>
  <c r="R48" i="22"/>
  <c r="R49" i="22"/>
  <c r="R51" i="22"/>
  <c r="R52" i="22"/>
  <c r="R53" i="22"/>
  <c r="R54" i="22"/>
  <c r="R55" i="22"/>
  <c r="R57" i="22"/>
  <c r="R58" i="22"/>
  <c r="R59" i="22"/>
  <c r="R60" i="22"/>
  <c r="R61" i="22"/>
  <c r="R62" i="22"/>
  <c r="R63" i="22"/>
  <c r="R64" i="22"/>
  <c r="R65" i="22"/>
  <c r="R66" i="22"/>
  <c r="R67" i="22"/>
  <c r="R68" i="22"/>
  <c r="R69" i="22"/>
  <c r="R70" i="22"/>
  <c r="R71" i="22"/>
  <c r="R72" i="22"/>
  <c r="R74" i="22"/>
  <c r="R75" i="22"/>
  <c r="R76" i="22"/>
  <c r="R77" i="22"/>
  <c r="R78" i="22"/>
  <c r="R79" i="22"/>
  <c r="R80" i="22"/>
  <c r="R81" i="22"/>
  <c r="R82" i="22"/>
  <c r="R83" i="22"/>
  <c r="R84" i="22"/>
  <c r="R85" i="22"/>
  <c r="R86" i="22"/>
  <c r="R87" i="22"/>
  <c r="R88" i="22"/>
  <c r="R89" i="22"/>
  <c r="R90" i="22"/>
  <c r="R91" i="22"/>
  <c r="R92" i="22"/>
  <c r="R93" i="22"/>
  <c r="R94" i="22"/>
  <c r="R95" i="22"/>
  <c r="R96" i="22"/>
  <c r="R97" i="22"/>
  <c r="R98" i="22"/>
  <c r="R99" i="22"/>
  <c r="R100" i="22"/>
  <c r="R101" i="22"/>
  <c r="R102" i="22"/>
  <c r="R103" i="22"/>
  <c r="R104" i="22"/>
  <c r="R105" i="22"/>
  <c r="R107" i="22"/>
  <c r="R109" i="22"/>
  <c r="R110" i="22"/>
  <c r="R111" i="22"/>
  <c r="R113" i="22"/>
  <c r="R114" i="22"/>
  <c r="R115" i="22"/>
  <c r="R118" i="22"/>
  <c r="R119" i="22"/>
  <c r="R120" i="22"/>
  <c r="R121" i="22"/>
  <c r="R123" i="22"/>
  <c r="R125" i="22"/>
  <c r="R126" i="22"/>
  <c r="R127" i="22"/>
  <c r="R129" i="22"/>
  <c r="R131" i="22"/>
  <c r="R132" i="22"/>
  <c r="R133" i="22"/>
  <c r="R134" i="22"/>
  <c r="R135" i="22"/>
  <c r="R136" i="22"/>
  <c r="R137" i="22"/>
  <c r="R138" i="22"/>
  <c r="R139" i="22"/>
  <c r="R141" i="22"/>
  <c r="R142" i="22"/>
  <c r="R143" i="22"/>
  <c r="R144" i="22"/>
  <c r="R146" i="22"/>
  <c r="R148" i="22"/>
  <c r="R149" i="22"/>
  <c r="R150" i="22"/>
  <c r="R151" i="22"/>
  <c r="R152" i="22"/>
  <c r="R153" i="22"/>
  <c r="R154" i="22"/>
  <c r="R155" i="22"/>
  <c r="R156" i="22"/>
  <c r="R157" i="22"/>
  <c r="R158" i="22"/>
  <c r="R160" i="22"/>
  <c r="R161" i="22"/>
  <c r="R162" i="22"/>
  <c r="R163" i="22"/>
  <c r="R164" i="22"/>
  <c r="R165" i="22"/>
  <c r="R166" i="22"/>
  <c r="R167" i="22"/>
  <c r="R168" i="22"/>
  <c r="R169" i="22"/>
  <c r="R170" i="22"/>
  <c r="R171" i="22"/>
  <c r="R172" i="22"/>
  <c r="R173" i="22"/>
  <c r="R174" i="22"/>
  <c r="R175" i="22"/>
  <c r="R176" i="22"/>
  <c r="R177" i="22"/>
  <c r="R178" i="22"/>
  <c r="R179" i="22"/>
  <c r="R180" i="22"/>
  <c r="R181" i="22"/>
  <c r="R182" i="22"/>
  <c r="R183" i="22"/>
  <c r="R184" i="22"/>
  <c r="R185" i="22"/>
  <c r="R187" i="22"/>
  <c r="R188" i="22"/>
  <c r="R190" i="22"/>
  <c r="R191" i="22"/>
  <c r="R192" i="22"/>
  <c r="R193" i="22"/>
  <c r="R194" i="22"/>
  <c r="R196" i="22"/>
  <c r="R197" i="22"/>
  <c r="R199" i="22"/>
  <c r="R200" i="22"/>
  <c r="R201" i="22"/>
  <c r="R202" i="22"/>
  <c r="R203" i="22"/>
  <c r="R204" i="22"/>
  <c r="R205" i="22"/>
  <c r="R206" i="22"/>
  <c r="R207" i="22"/>
  <c r="R208" i="22"/>
  <c r="R210" i="22"/>
  <c r="R211" i="22"/>
  <c r="R212" i="22"/>
  <c r="R213" i="22"/>
  <c r="R214" i="22"/>
  <c r="R215" i="22"/>
  <c r="R216" i="22"/>
  <c r="R217" i="22"/>
  <c r="R218" i="22"/>
  <c r="R219" i="22"/>
  <c r="R220" i="22"/>
  <c r="R221" i="22"/>
  <c r="R222" i="22"/>
  <c r="R223" i="22"/>
  <c r="R224" i="22"/>
  <c r="R225" i="22"/>
  <c r="R226" i="22"/>
  <c r="R228" i="22"/>
  <c r="R230" i="22"/>
  <c r="R231" i="22"/>
  <c r="R232" i="22"/>
  <c r="R233" i="22"/>
  <c r="R234" i="22"/>
  <c r="R235" i="22"/>
  <c r="R106" i="22"/>
  <c r="R108" i="22"/>
  <c r="R112" i="22"/>
  <c r="R116" i="22"/>
  <c r="R117" i="22"/>
  <c r="R122" i="22"/>
  <c r="R124" i="22"/>
  <c r="R128" i="22"/>
  <c r="R130" i="22"/>
  <c r="R140" i="22"/>
  <c r="R145" i="22"/>
  <c r="R147" i="22"/>
  <c r="R159" i="22"/>
  <c r="R186" i="22"/>
  <c r="R189" i="22"/>
  <c r="R195" i="22"/>
  <c r="R198" i="22"/>
  <c r="R209" i="22"/>
  <c r="R227" i="22"/>
  <c r="R229" i="22"/>
  <c r="R6" i="22"/>
  <c r="R34" i="22"/>
  <c r="R50" i="22"/>
  <c r="R56" i="22"/>
  <c r="R73" i="22"/>
  <c r="A5" i="23"/>
  <c r="A6" i="23" s="1"/>
  <c r="A7" i="23" s="1"/>
  <c r="A8" i="23" s="1"/>
  <c r="A9" i="23" s="1"/>
  <c r="A10" i="23" s="1"/>
  <c r="A11" i="23" s="1"/>
  <c r="A12" i="23" s="1"/>
  <c r="A13" i="23" s="1"/>
  <c r="A14" i="23" s="1"/>
  <c r="A15" i="23" s="1"/>
  <c r="A16" i="23" s="1"/>
  <c r="A17" i="23" s="1"/>
  <c r="A18" i="23" s="1"/>
  <c r="A19" i="23" s="1"/>
  <c r="A20" i="23" s="1"/>
  <c r="A21" i="23" s="1"/>
  <c r="A22" i="23" s="1"/>
  <c r="A23" i="23" s="1"/>
  <c r="A24" i="23" s="1"/>
  <c r="A25" i="23" s="1"/>
  <c r="A26" i="23" s="1"/>
  <c r="A27" i="23" s="1"/>
  <c r="A28" i="23" s="1"/>
  <c r="A29" i="23" s="1"/>
  <c r="A30" i="23" s="1"/>
  <c r="A31" i="23" s="1"/>
  <c r="A32" i="23" s="1"/>
  <c r="A33" i="23" s="1"/>
  <c r="A34" i="23" s="1"/>
  <c r="A35" i="23" s="1"/>
  <c r="A36" i="23" s="1"/>
  <c r="A37" i="23" s="1"/>
  <c r="A38" i="23" s="1"/>
  <c r="A39" i="23" s="1"/>
  <c r="A40" i="23" s="1"/>
  <c r="A41" i="23" s="1"/>
  <c r="A42" i="23" s="1"/>
  <c r="A43" i="23" s="1"/>
  <c r="A44" i="23" s="1"/>
  <c r="A45" i="23" s="1"/>
  <c r="A46" i="23" s="1"/>
  <c r="A47" i="23" s="1"/>
  <c r="A48" i="23" s="1"/>
  <c r="A49" i="23" s="1"/>
  <c r="A50" i="23" s="1"/>
  <c r="A51" i="23" s="1"/>
  <c r="A52" i="23" s="1"/>
  <c r="A53" i="23" s="1"/>
  <c r="A54" i="23" s="1"/>
  <c r="A55" i="23" s="1"/>
  <c r="A56" i="23" s="1"/>
  <c r="A57" i="23" s="1"/>
  <c r="A58" i="23" s="1"/>
  <c r="A59" i="23" s="1"/>
  <c r="A60" i="23" s="1"/>
  <c r="A61" i="23" s="1"/>
  <c r="A62" i="23" s="1"/>
  <c r="A63" i="23" s="1"/>
  <c r="A64" i="23" s="1"/>
  <c r="A65" i="23" s="1"/>
  <c r="A66" i="23" s="1"/>
  <c r="A67" i="23" s="1"/>
  <c r="A68" i="23" s="1"/>
  <c r="A69" i="23" s="1"/>
  <c r="A70" i="23" s="1"/>
  <c r="A71" i="23" s="1"/>
  <c r="A72" i="23" s="1"/>
  <c r="A73" i="23" s="1"/>
  <c r="A74" i="23" s="1"/>
  <c r="A75" i="23" s="1"/>
  <c r="A76" i="23" s="1"/>
  <c r="A77" i="23" s="1"/>
  <c r="A87" i="23" s="1"/>
  <c r="A78" i="23" s="1"/>
  <c r="A79" i="23" s="1"/>
  <c r="A80" i="23" s="1"/>
  <c r="A81" i="23" s="1"/>
  <c r="A82" i="23" s="1"/>
  <c r="A83" i="23" s="1"/>
  <c r="A84" i="23" s="1"/>
  <c r="A85" i="23" s="1"/>
  <c r="A86" i="23" s="1"/>
  <c r="A88" i="23" s="1"/>
  <c r="A89" i="23" s="1"/>
  <c r="A90" i="23" s="1"/>
  <c r="A91" i="23" s="1"/>
  <c r="A92" i="23" s="1"/>
  <c r="A93" i="23" s="1"/>
  <c r="A94" i="23" s="1"/>
  <c r="A95" i="23" s="1"/>
  <c r="A96" i="23" s="1"/>
  <c r="A97" i="23" s="1"/>
  <c r="A98" i="23" s="1"/>
  <c r="A99" i="23" s="1"/>
  <c r="A100" i="23" s="1"/>
  <c r="A101" i="23" s="1"/>
  <c r="A102" i="23" s="1"/>
  <c r="A103" i="23" s="1"/>
  <c r="A104" i="23" s="1"/>
  <c r="A105" i="23" s="1"/>
  <c r="A106" i="23" s="1"/>
  <c r="A107" i="23" s="1"/>
  <c r="A108" i="23" s="1"/>
  <c r="A109" i="23" s="1"/>
  <c r="A110" i="23" s="1"/>
  <c r="A111" i="23" s="1"/>
  <c r="A112" i="23" s="1"/>
  <c r="A113" i="23" s="1"/>
  <c r="A114" i="23" s="1"/>
  <c r="A115" i="23" s="1"/>
  <c r="A116" i="23" s="1"/>
  <c r="A117" i="23" s="1"/>
  <c r="A118" i="23" s="1"/>
  <c r="A119" i="23" s="1"/>
  <c r="A120" i="23" s="1"/>
  <c r="A121" i="23" s="1"/>
  <c r="A122" i="23" s="1"/>
  <c r="A123" i="23" s="1"/>
  <c r="A124" i="23" s="1"/>
  <c r="A125" i="23" s="1"/>
  <c r="A126" i="23" s="1"/>
  <c r="A127" i="23" s="1"/>
  <c r="A128" i="23" s="1"/>
  <c r="A129" i="23" s="1"/>
  <c r="A130" i="23" s="1"/>
  <c r="A131" i="23" s="1"/>
  <c r="A132" i="23" s="1"/>
  <c r="A133" i="23" s="1"/>
  <c r="A134" i="23" s="1"/>
  <c r="A135" i="23" s="1"/>
  <c r="A136" i="23" s="1"/>
  <c r="A137" i="23" s="1"/>
  <c r="A138" i="23" s="1"/>
  <c r="A139" i="23" s="1"/>
  <c r="A140" i="23" s="1"/>
  <c r="A141" i="23" s="1"/>
  <c r="A142" i="23" s="1"/>
  <c r="A143" i="23" s="1"/>
  <c r="A144" i="23" s="1"/>
  <c r="A145" i="23" s="1"/>
  <c r="A146" i="23" s="1"/>
  <c r="A147" i="23" s="1"/>
  <c r="A148" i="23" s="1"/>
  <c r="A149" i="23" s="1"/>
  <c r="A150" i="23" s="1"/>
  <c r="A151" i="23" s="1"/>
  <c r="A152" i="23" s="1"/>
  <c r="A153" i="23" s="1"/>
  <c r="A154" i="23" s="1"/>
  <c r="A155" i="23" s="1"/>
  <c r="A156" i="23" s="1"/>
  <c r="A157" i="23" s="1"/>
  <c r="A158" i="23" s="1"/>
  <c r="A159" i="23" s="1"/>
  <c r="A160" i="23" s="1"/>
  <c r="A161" i="23" s="1"/>
  <c r="A162" i="23" s="1"/>
  <c r="A163" i="23" s="1"/>
  <c r="A164" i="23" s="1"/>
  <c r="A165" i="23" s="1"/>
  <c r="A166" i="23" s="1"/>
  <c r="A167" i="23" s="1"/>
  <c r="A168" i="23" s="1"/>
  <c r="A169" i="23" s="1"/>
  <c r="A170" i="23" s="1"/>
  <c r="A171" i="23" s="1"/>
  <c r="A172" i="23" s="1"/>
  <c r="A173" i="23" s="1"/>
  <c r="A174" i="23" s="1"/>
  <c r="A175" i="23" s="1"/>
  <c r="A176" i="23" s="1"/>
  <c r="A177" i="23" s="1"/>
  <c r="A178" i="23" s="1"/>
  <c r="A179" i="23" s="1"/>
  <c r="A180" i="23" s="1"/>
  <c r="A181" i="23" s="1"/>
  <c r="A182" i="23" s="1"/>
  <c r="A183" i="23" s="1"/>
  <c r="A184" i="23" s="1"/>
  <c r="A185" i="23" s="1"/>
  <c r="A186" i="23" s="1"/>
  <c r="A187" i="23" s="1"/>
  <c r="A188" i="23" s="1"/>
  <c r="A189" i="23" s="1"/>
  <c r="A190" i="23" s="1"/>
  <c r="A191" i="23" s="1"/>
  <c r="A192" i="23" s="1"/>
  <c r="A193" i="23" s="1"/>
  <c r="A194" i="23" s="1"/>
  <c r="A195" i="23" s="1"/>
  <c r="A196" i="23" s="1"/>
  <c r="A197" i="23" s="1"/>
  <c r="A198" i="23" s="1"/>
  <c r="A199" i="23" s="1"/>
  <c r="A200" i="23" s="1"/>
  <c r="A201" i="23" s="1"/>
  <c r="A202" i="23" s="1"/>
  <c r="A203" i="23" s="1"/>
  <c r="A204" i="23" s="1"/>
  <c r="A205" i="23" s="1"/>
  <c r="A206" i="23" s="1"/>
  <c r="A207" i="23" s="1"/>
  <c r="A208" i="23" s="1"/>
  <c r="A209" i="23" s="1"/>
  <c r="A210" i="23" s="1"/>
  <c r="A211" i="23" s="1"/>
  <c r="A212" i="23" s="1"/>
  <c r="A213" i="23" s="1"/>
  <c r="A214" i="23" s="1"/>
  <c r="A215" i="23" s="1"/>
  <c r="A216" i="23" s="1"/>
  <c r="A217" i="23" s="1"/>
  <c r="A218" i="23" s="1"/>
  <c r="A219" i="23" s="1"/>
  <c r="A220" i="23" s="1"/>
  <c r="A221" i="23" s="1"/>
  <c r="A222" i="23" s="1"/>
  <c r="A223" i="23" s="1"/>
  <c r="A224" i="23" s="1"/>
  <c r="A225" i="23" s="1"/>
  <c r="A226" i="23" s="1"/>
  <c r="A227" i="23" s="1"/>
  <c r="A228" i="23" s="1"/>
  <c r="A229" i="23" s="1"/>
  <c r="A230" i="23" s="1"/>
  <c r="A231" i="23" s="1"/>
  <c r="A232" i="23" s="1"/>
  <c r="A233" i="23" s="1"/>
  <c r="A234" i="23" s="1"/>
  <c r="A235" i="23" s="1"/>
  <c r="A5" i="22"/>
  <c r="A6" i="22" s="1"/>
  <c r="A7" i="22" s="1"/>
  <c r="A8" i="22" s="1"/>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3" i="22" s="1"/>
  <c r="A34" i="22" s="1"/>
  <c r="A35" i="22" s="1"/>
  <c r="A36" i="22" s="1"/>
  <c r="A37" i="22" s="1"/>
  <c r="A38" i="22" s="1"/>
  <c r="A39" i="22" s="1"/>
  <c r="A40" i="22" s="1"/>
  <c r="A41" i="22" s="1"/>
  <c r="A42" i="22" s="1"/>
  <c r="A43" i="22" s="1"/>
  <c r="A44" i="22" s="1"/>
  <c r="A45" i="22" s="1"/>
  <c r="A46" i="22" s="1"/>
  <c r="A47" i="22" s="1"/>
  <c r="A48" i="22" s="1"/>
  <c r="A49" i="22" s="1"/>
  <c r="A50" i="22" s="1"/>
  <c r="A51" i="22" s="1"/>
  <c r="A52" i="22" s="1"/>
  <c r="A53" i="22" s="1"/>
  <c r="A54" i="22" s="1"/>
  <c r="A55" i="22" s="1"/>
  <c r="A56" i="22" s="1"/>
  <c r="A57" i="22" s="1"/>
  <c r="A58" i="22" s="1"/>
  <c r="A59" i="22" s="1"/>
  <c r="A60" i="22" s="1"/>
  <c r="A61" i="22" s="1"/>
  <c r="A62" i="22" s="1"/>
  <c r="A63" i="22" s="1"/>
  <c r="A64" i="22"/>
  <c r="A65" i="22"/>
  <c r="A66" i="22" s="1"/>
  <c r="A67" i="22" s="1"/>
  <c r="A68" i="22" s="1"/>
  <c r="A69" i="22" s="1"/>
  <c r="A70" i="22" s="1"/>
  <c r="A71" i="22" s="1"/>
  <c r="A72" i="22" s="1"/>
  <c r="A73" i="22" s="1"/>
  <c r="A74" i="22" s="1"/>
  <c r="A75" i="22" s="1"/>
  <c r="A76" i="22" s="1"/>
  <c r="A77" i="22" s="1"/>
  <c r="A87" i="22" s="1"/>
  <c r="A78" i="22" s="1"/>
  <c r="A79" i="22" s="1"/>
  <c r="A80" i="22" s="1"/>
  <c r="A81" i="22" s="1"/>
  <c r="A82" i="22" s="1"/>
  <c r="A83" i="22" s="1"/>
  <c r="A84" i="22" s="1"/>
  <c r="A85" i="22" s="1"/>
  <c r="A86" i="22" s="1"/>
  <c r="A88" i="22" s="1"/>
  <c r="A89" i="22" s="1"/>
  <c r="A90" i="22" s="1"/>
  <c r="A91" i="22" s="1"/>
  <c r="A92" i="22" s="1"/>
  <c r="A93" i="22" s="1"/>
  <c r="A94" i="22" s="1"/>
  <c r="A95" i="22" s="1"/>
  <c r="A96" i="22" s="1"/>
  <c r="A97" i="22" s="1"/>
  <c r="A98" i="22" s="1"/>
  <c r="A99" i="22" s="1"/>
  <c r="A100" i="22" s="1"/>
  <c r="A101" i="22" s="1"/>
  <c r="A102" i="22" s="1"/>
  <c r="A103" i="22" s="1"/>
  <c r="A104" i="22" s="1"/>
  <c r="A105" i="22" s="1"/>
  <c r="A106" i="22" s="1"/>
  <c r="A107" i="22" s="1"/>
  <c r="A108" i="22" s="1"/>
  <c r="A109" i="22" s="1"/>
  <c r="A110" i="22" s="1"/>
  <c r="A111" i="22" s="1"/>
  <c r="A112" i="22" s="1"/>
  <c r="A113" i="22" s="1"/>
  <c r="A114" i="22" s="1"/>
  <c r="A115" i="22" s="1"/>
  <c r="A116" i="22" s="1"/>
  <c r="A117" i="22" s="1"/>
  <c r="A118" i="22" s="1"/>
  <c r="A119" i="22" s="1"/>
  <c r="A120" i="22" s="1"/>
  <c r="A121" i="22" s="1"/>
  <c r="A122" i="22" s="1"/>
  <c r="A123" i="22" s="1"/>
  <c r="A124" i="22" s="1"/>
  <c r="A125" i="22" s="1"/>
  <c r="A126" i="22" s="1"/>
  <c r="A127" i="22" s="1"/>
  <c r="A128" i="22" s="1"/>
  <c r="A129" i="22" s="1"/>
  <c r="A130" i="22" s="1"/>
  <c r="A131" i="22" s="1"/>
  <c r="A132" i="22" s="1"/>
  <c r="A133" i="22" s="1"/>
  <c r="A134" i="22" s="1"/>
  <c r="A135" i="22" s="1"/>
  <c r="A136" i="22" s="1"/>
  <c r="A137" i="22" s="1"/>
  <c r="A138" i="22" s="1"/>
  <c r="A139" i="22" s="1"/>
  <c r="A140" i="22" s="1"/>
  <c r="A141" i="22" s="1"/>
  <c r="A142" i="22" s="1"/>
  <c r="A143" i="22" s="1"/>
  <c r="A144" i="22" s="1"/>
  <c r="A145" i="22" s="1"/>
  <c r="A146" i="22" s="1"/>
  <c r="A147" i="22" s="1"/>
  <c r="A148" i="22" s="1"/>
  <c r="A149" i="22" s="1"/>
  <c r="A150" i="22" s="1"/>
  <c r="A151" i="22" s="1"/>
  <c r="A152" i="22" s="1"/>
  <c r="A153" i="22" s="1"/>
  <c r="A154" i="22" s="1"/>
  <c r="A155" i="22" s="1"/>
  <c r="A156" i="22" s="1"/>
  <c r="A157" i="22" s="1"/>
  <c r="A158" i="22" s="1"/>
  <c r="A159" i="22" s="1"/>
  <c r="A160" i="22" s="1"/>
  <c r="A161" i="22" s="1"/>
  <c r="A162" i="22" s="1"/>
  <c r="A163" i="22" s="1"/>
  <c r="A164" i="22" s="1"/>
  <c r="A165" i="22" s="1"/>
  <c r="A166" i="22" s="1"/>
  <c r="A167" i="22" s="1"/>
  <c r="A168" i="22" s="1"/>
  <c r="A169" i="22" s="1"/>
  <c r="A170" i="22" s="1"/>
  <c r="A171" i="22" s="1"/>
  <c r="A172" i="22" s="1"/>
  <c r="A173" i="22" s="1"/>
  <c r="A174" i="22" s="1"/>
  <c r="A175" i="22" s="1"/>
  <c r="A176" i="22" s="1"/>
  <c r="A177" i="22" s="1"/>
  <c r="A178" i="22" s="1"/>
  <c r="A179" i="22" s="1"/>
  <c r="A180" i="22" s="1"/>
  <c r="A181" i="22" s="1"/>
  <c r="A182" i="22" s="1"/>
  <c r="A183" i="22" s="1"/>
  <c r="A184" i="22" s="1"/>
  <c r="A185" i="22" s="1"/>
  <c r="A186" i="22" s="1"/>
  <c r="A187" i="22" s="1"/>
  <c r="A188" i="22" s="1"/>
  <c r="A189" i="22" s="1"/>
  <c r="A190" i="22" s="1"/>
  <c r="A191" i="22" s="1"/>
  <c r="A192" i="22" s="1"/>
  <c r="A193" i="22" s="1"/>
  <c r="A194" i="22" s="1"/>
  <c r="A195" i="22" s="1"/>
  <c r="A196" i="22" s="1"/>
  <c r="A197" i="22" s="1"/>
  <c r="A198" i="22" s="1"/>
  <c r="A199" i="22" s="1"/>
  <c r="A200" i="22" s="1"/>
  <c r="A201" i="22" s="1"/>
  <c r="A202" i="22" s="1"/>
  <c r="A203" i="22" s="1"/>
  <c r="A204" i="22" s="1"/>
  <c r="A205" i="22" s="1"/>
  <c r="A206" i="22" s="1"/>
  <c r="A207" i="22" s="1"/>
  <c r="A208" i="22" s="1"/>
  <c r="A209" i="22" s="1"/>
  <c r="A210" i="22" s="1"/>
  <c r="A211" i="22" s="1"/>
  <c r="A212" i="22" s="1"/>
  <c r="A213" i="22" s="1"/>
  <c r="A214" i="22" s="1"/>
  <c r="A215" i="22" s="1"/>
  <c r="A216" i="22" s="1"/>
  <c r="A217" i="22" s="1"/>
  <c r="A218" i="22" s="1"/>
  <c r="A219" i="22" s="1"/>
  <c r="A220" i="22" s="1"/>
  <c r="A221" i="22" s="1"/>
  <c r="A222" i="22" s="1"/>
  <c r="A223" i="22" s="1"/>
  <c r="A224" i="22" s="1"/>
  <c r="A225" i="22" s="1"/>
  <c r="A226" i="22" s="1"/>
  <c r="A227" i="22" s="1"/>
  <c r="A228" i="22" s="1"/>
  <c r="A229" i="22" s="1"/>
  <c r="A230" i="22" s="1"/>
  <c r="A231" i="22" s="1"/>
  <c r="A232" i="22" s="1"/>
  <c r="A233" i="22" s="1"/>
  <c r="A234" i="22" s="1"/>
  <c r="A235" i="22" s="1"/>
  <c r="A5" i="20"/>
  <c r="A6" i="20" s="1"/>
  <c r="A7" i="20" s="1"/>
  <c r="A8" i="20" s="1"/>
  <c r="R173" i="19"/>
  <c r="R171" i="19"/>
  <c r="R172" i="19"/>
  <c r="R518" i="19"/>
  <c r="R491" i="19"/>
  <c r="R520" i="19"/>
  <c r="R516" i="19"/>
  <c r="R490" i="19"/>
  <c r="R495" i="19"/>
  <c r="R489" i="19"/>
  <c r="R488" i="19"/>
  <c r="R515" i="19"/>
  <c r="R487" i="19"/>
  <c r="R501" i="19"/>
  <c r="R486" i="19"/>
  <c r="R492" i="19"/>
  <c r="R485" i="19"/>
  <c r="R484" i="19"/>
  <c r="R438" i="19"/>
  <c r="R510" i="19"/>
  <c r="R479" i="19"/>
  <c r="R483" i="19"/>
  <c r="R429" i="19"/>
  <c r="R435" i="19"/>
  <c r="R497" i="19"/>
  <c r="R413" i="19"/>
  <c r="R423" i="19"/>
  <c r="R412" i="19"/>
  <c r="R399" i="19"/>
  <c r="R411" i="19"/>
  <c r="R410" i="19"/>
  <c r="R409" i="19"/>
  <c r="R398" i="19"/>
  <c r="R397" i="19"/>
  <c r="R389" i="19"/>
  <c r="R388" i="19"/>
  <c r="R387" i="19"/>
  <c r="R386" i="19"/>
  <c r="R385" i="19"/>
  <c r="R500" i="19"/>
  <c r="R422" i="19"/>
  <c r="R478" i="19"/>
  <c r="R380" i="19"/>
  <c r="R477" i="19"/>
  <c r="R419" i="19"/>
  <c r="R476" i="19"/>
  <c r="R391" i="19"/>
  <c r="R371" i="19"/>
  <c r="R370" i="19"/>
  <c r="R369" i="19"/>
  <c r="R368" i="19"/>
  <c r="R367" i="19"/>
  <c r="R475" i="19"/>
  <c r="R428" i="19"/>
  <c r="R474" i="19"/>
  <c r="R473" i="19"/>
  <c r="R472" i="19"/>
  <c r="R361" i="19"/>
  <c r="R471" i="19"/>
  <c r="R359" i="19"/>
  <c r="R356" i="19"/>
  <c r="R427" i="19"/>
  <c r="R329" i="19"/>
  <c r="R348" i="19"/>
  <c r="R346" i="19"/>
  <c r="R470" i="19"/>
  <c r="R345" i="19"/>
  <c r="R417" i="19"/>
  <c r="R403" i="19"/>
  <c r="R402" i="19"/>
  <c r="R469" i="19"/>
  <c r="R468" i="19"/>
  <c r="R339" i="19"/>
  <c r="R338" i="19"/>
  <c r="R335" i="19"/>
  <c r="R334" i="19"/>
  <c r="R467" i="19"/>
  <c r="R327" i="19"/>
  <c r="R326" i="19"/>
  <c r="R325" i="19"/>
  <c r="R324" i="19"/>
  <c r="R466" i="19"/>
  <c r="R465" i="19"/>
  <c r="R321" i="19"/>
  <c r="R464" i="19"/>
  <c r="R318" i="19"/>
  <c r="R298" i="19"/>
  <c r="R463" i="19"/>
  <c r="R317" i="19"/>
  <c r="R297" i="19"/>
  <c r="R316" i="19"/>
  <c r="R295" i="19"/>
  <c r="R462" i="19"/>
  <c r="R461" i="19"/>
  <c r="R460" i="19"/>
  <c r="R459" i="19"/>
  <c r="R457" i="19"/>
  <c r="R293" i="19"/>
  <c r="R292" i="19"/>
  <c r="R456" i="19"/>
  <c r="R455" i="19"/>
  <c r="R454" i="19"/>
  <c r="R453" i="19"/>
  <c r="R291" i="19"/>
  <c r="R416" i="19"/>
  <c r="R290" i="19"/>
  <c r="R289" i="19"/>
  <c r="R276" i="19"/>
  <c r="R288" i="19"/>
  <c r="R287" i="19"/>
  <c r="R275" i="19"/>
  <c r="R286" i="19"/>
  <c r="R285" i="19"/>
  <c r="R273" i="19"/>
  <c r="R284" i="19"/>
  <c r="R452" i="19"/>
  <c r="R272" i="19"/>
  <c r="R451" i="19"/>
  <c r="R271" i="19"/>
  <c r="R269" i="19"/>
  <c r="R303" i="19"/>
  <c r="R450" i="19"/>
  <c r="R449" i="19"/>
  <c r="R448" i="19"/>
  <c r="R268" i="19"/>
  <c r="R267" i="19"/>
  <c r="R266" i="19"/>
  <c r="R265" i="19"/>
  <c r="R362" i="19"/>
  <c r="R302" i="19"/>
  <c r="R283" i="19"/>
  <c r="R261" i="19"/>
  <c r="R213" i="19"/>
  <c r="R447" i="19"/>
  <c r="R446" i="19"/>
  <c r="R256" i="19"/>
  <c r="R255" i="19"/>
  <c r="R254" i="19"/>
  <c r="R253" i="19"/>
  <c r="R400" i="19"/>
  <c r="R252" i="19"/>
  <c r="R445" i="19"/>
  <c r="R444" i="19"/>
  <c r="R247" i="19"/>
  <c r="R246" i="19"/>
  <c r="R209" i="19"/>
  <c r="R245" i="19"/>
  <c r="R242" i="19"/>
  <c r="R240" i="19"/>
  <c r="R239" i="19"/>
  <c r="R281" i="19"/>
  <c r="R443" i="19"/>
  <c r="R236" i="19"/>
  <c r="R235" i="19"/>
  <c r="R191" i="19"/>
  <c r="R442" i="19"/>
  <c r="R441" i="19"/>
  <c r="R440" i="19"/>
  <c r="R439" i="19"/>
  <c r="R208" i="19"/>
  <c r="R414" i="19"/>
  <c r="R230" i="19"/>
  <c r="R190" i="19"/>
  <c r="R228" i="19"/>
  <c r="R207" i="19"/>
  <c r="R222" i="19"/>
  <c r="R221" i="19"/>
  <c r="R220" i="19"/>
  <c r="R206" i="19"/>
  <c r="R205" i="19"/>
  <c r="R204" i="19"/>
  <c r="R280" i="19"/>
  <c r="R185" i="19"/>
  <c r="R180" i="19"/>
  <c r="R203" i="19"/>
  <c r="R202" i="19"/>
  <c r="R201" i="19"/>
  <c r="R179" i="19"/>
  <c r="R200" i="19"/>
  <c r="R178" i="19"/>
  <c r="R177" i="19"/>
  <c r="R174" i="19"/>
  <c r="R330" i="19"/>
  <c r="R279" i="19"/>
  <c r="R219" i="19"/>
  <c r="R152" i="19"/>
  <c r="R135" i="19"/>
  <c r="R218" i="19"/>
  <c r="R301" i="19"/>
  <c r="R98" i="19"/>
  <c r="R131" i="19"/>
  <c r="R130" i="19"/>
  <c r="R278" i="19"/>
  <c r="R142" i="19"/>
  <c r="R196" i="19"/>
  <c r="R277" i="19"/>
  <c r="R141" i="19"/>
  <c r="R140" i="19"/>
  <c r="R139" i="19"/>
  <c r="R195" i="19"/>
  <c r="R97" i="19"/>
  <c r="R96" i="19"/>
  <c r="R216" i="19"/>
  <c r="R215" i="19"/>
  <c r="R94" i="19"/>
  <c r="R93" i="19"/>
  <c r="R92" i="19"/>
  <c r="R91" i="19"/>
  <c r="R90" i="19"/>
  <c r="R89" i="19"/>
  <c r="R88" i="19"/>
  <c r="R87" i="19"/>
  <c r="R86" i="19"/>
  <c r="R72" i="19"/>
  <c r="R85" i="19"/>
  <c r="R214" i="19"/>
  <c r="R71" i="19"/>
  <c r="R82" i="19"/>
  <c r="R69" i="19"/>
  <c r="R137" i="19"/>
  <c r="R68" i="19"/>
  <c r="R81" i="19"/>
  <c r="R67" i="19"/>
  <c r="R80" i="19"/>
  <c r="R66" i="19"/>
  <c r="R58" i="19"/>
  <c r="R55" i="19"/>
  <c r="R54" i="19"/>
  <c r="R53" i="19"/>
  <c r="R52" i="19"/>
  <c r="R51" i="19"/>
  <c r="R79" i="19"/>
  <c r="R78" i="19"/>
  <c r="R77" i="19"/>
  <c r="R49" i="19"/>
  <c r="R34" i="19"/>
  <c r="R40" i="19"/>
  <c r="R100" i="19"/>
  <c r="R33" i="19"/>
  <c r="R99" i="19"/>
  <c r="R32" i="19"/>
  <c r="R31" i="19"/>
  <c r="R30" i="19"/>
  <c r="R390" i="19"/>
  <c r="R39" i="19"/>
  <c r="R29" i="19"/>
  <c r="R28" i="19"/>
  <c r="R27" i="19"/>
  <c r="R26" i="19"/>
  <c r="R25" i="19"/>
  <c r="R24" i="19"/>
  <c r="R9" i="19"/>
  <c r="R8" i="19"/>
  <c r="R7" i="19"/>
  <c r="R23" i="19"/>
  <c r="R21" i="19"/>
  <c r="R18" i="19"/>
  <c r="R74" i="19"/>
  <c r="R17" i="19"/>
  <c r="R16" i="19"/>
  <c r="R15" i="19"/>
  <c r="R13" i="19"/>
  <c r="R37" i="19"/>
  <c r="R5" i="19"/>
  <c r="R12" i="19"/>
  <c r="R11" i="19"/>
  <c r="R10" i="19"/>
  <c r="R4" i="19"/>
  <c r="A5" i="18"/>
  <c r="A6" i="18"/>
  <c r="A7" i="18" s="1"/>
  <c r="A8" i="18" s="1"/>
  <c r="A9" i="18" s="1"/>
  <c r="A10" i="18" s="1"/>
  <c r="A11" i="18" s="1"/>
  <c r="A12" i="18" s="1"/>
  <c r="A13" i="18" s="1"/>
  <c r="A14" i="18" s="1"/>
  <c r="A15" i="18" s="1"/>
  <c r="A16" i="18" s="1"/>
  <c r="A17" i="18" s="1"/>
  <c r="A18" i="18" s="1"/>
  <c r="A19" i="18" s="1"/>
  <c r="A20" i="18" s="1"/>
  <c r="A21" i="18" s="1"/>
  <c r="A22" i="18" s="1"/>
  <c r="A23" i="18" s="1"/>
  <c r="A24" i="18" s="1"/>
  <c r="A25" i="18" s="1"/>
  <c r="A26" i="18" s="1"/>
  <c r="A27" i="18" s="1"/>
  <c r="A28" i="18" s="1"/>
  <c r="A29" i="18" s="1"/>
  <c r="A30" i="18" s="1"/>
  <c r="A31" i="18" s="1"/>
  <c r="A32" i="18" s="1"/>
  <c r="A33" i="18" s="1"/>
  <c r="A34" i="18" s="1"/>
  <c r="A35" i="18" s="1"/>
  <c r="A36" i="18" s="1"/>
  <c r="A37" i="18" s="1"/>
  <c r="A38" i="18" s="1"/>
  <c r="A39" i="18" s="1"/>
  <c r="A40" i="18" s="1"/>
  <c r="A41" i="18" s="1"/>
  <c r="A42" i="18" s="1"/>
  <c r="A43" i="18" s="1"/>
  <c r="A44" i="18" s="1"/>
  <c r="A45" i="18" s="1"/>
  <c r="A46" i="18" s="1"/>
  <c r="A47" i="18" s="1"/>
  <c r="A48" i="18" s="1"/>
  <c r="A49" i="18" s="1"/>
  <c r="A50" i="18" s="1"/>
  <c r="A51" i="18" s="1"/>
  <c r="A52" i="18" s="1"/>
  <c r="A53" i="18" s="1"/>
  <c r="A54" i="18" s="1"/>
  <c r="A55" i="18" s="1"/>
  <c r="A56" i="18" s="1"/>
  <c r="A57" i="18" s="1"/>
  <c r="A58" i="18" s="1"/>
  <c r="A59" i="18" s="1"/>
  <c r="A60" i="18" s="1"/>
  <c r="A61" i="18" s="1"/>
  <c r="A62" i="18" s="1"/>
  <c r="A63" i="18" s="1"/>
  <c r="A64" i="18" s="1"/>
  <c r="A65" i="18" s="1"/>
  <c r="A66" i="18" s="1"/>
  <c r="A67" i="18" s="1"/>
  <c r="A68" i="18" s="1"/>
  <c r="A69" i="18" s="1"/>
  <c r="A70" i="18" s="1"/>
  <c r="A71" i="18" s="1"/>
  <c r="A72" i="18" s="1"/>
  <c r="A73" i="18" s="1"/>
  <c r="A74" i="18" s="1"/>
  <c r="A75" i="18" s="1"/>
  <c r="A76" i="18" s="1"/>
  <c r="A77" i="18" s="1"/>
  <c r="A78" i="18" s="1"/>
  <c r="A88" i="18" s="1"/>
  <c r="A79" i="18" s="1"/>
  <c r="A80" i="18" s="1"/>
  <c r="A81" i="18" s="1"/>
  <c r="A82" i="18" s="1"/>
  <c r="A83" i="18" s="1"/>
  <c r="A84" i="18" s="1"/>
  <c r="A85" i="18" s="1"/>
  <c r="A86" i="18" s="1"/>
  <c r="A87" i="18" s="1"/>
  <c r="A89" i="18" s="1"/>
  <c r="A90" i="18" s="1"/>
  <c r="A91" i="18" s="1"/>
  <c r="A92" i="18" s="1"/>
  <c r="A93" i="18" s="1"/>
  <c r="A94" i="18" s="1"/>
  <c r="A95" i="18" s="1"/>
  <c r="A96" i="18" s="1"/>
  <c r="A97" i="18" s="1"/>
  <c r="A98" i="18" s="1"/>
  <c r="A99" i="18" s="1"/>
  <c r="A100" i="18" s="1"/>
  <c r="A101" i="18" s="1"/>
  <c r="A102" i="18" s="1"/>
  <c r="A103" i="18" s="1"/>
  <c r="A104" i="18" s="1"/>
  <c r="A105" i="18" s="1"/>
  <c r="A106" i="18" s="1"/>
  <c r="A107" i="18" s="1"/>
  <c r="A108" i="18" s="1"/>
  <c r="A109" i="18" s="1"/>
  <c r="A110" i="18" s="1"/>
  <c r="A111" i="18" s="1"/>
  <c r="A112" i="18" s="1"/>
  <c r="A113" i="18" s="1"/>
  <c r="A114" i="18" s="1"/>
  <c r="A115" i="18" s="1"/>
  <c r="A116" i="18" s="1"/>
  <c r="A117" i="18" s="1"/>
  <c r="A118" i="18" s="1"/>
  <c r="A119" i="18" s="1"/>
  <c r="A120" i="18" s="1"/>
  <c r="A121" i="18" s="1"/>
  <c r="A122" i="18" s="1"/>
  <c r="A123" i="18" s="1"/>
  <c r="A124" i="18" s="1"/>
  <c r="A125" i="18" s="1"/>
  <c r="A126" i="18" s="1"/>
  <c r="A127" i="18" s="1"/>
  <c r="A128" i="18" s="1"/>
  <c r="A129" i="18" s="1"/>
  <c r="A130" i="18" s="1"/>
  <c r="A131" i="18" s="1"/>
  <c r="A132" i="18" s="1"/>
  <c r="A133" i="18" s="1"/>
  <c r="A134" i="18" s="1"/>
  <c r="A135" i="18" s="1"/>
  <c r="A136" i="18" s="1"/>
  <c r="A137" i="18" s="1"/>
  <c r="A138" i="18" s="1"/>
  <c r="A139" i="18" s="1"/>
  <c r="A140" i="18" s="1"/>
  <c r="A141" i="18" s="1"/>
  <c r="A142" i="18" s="1"/>
  <c r="A143" i="18" s="1"/>
  <c r="A144" i="18" s="1"/>
  <c r="A145" i="18" s="1"/>
  <c r="A146" i="18" s="1"/>
  <c r="A147" i="18" s="1"/>
  <c r="A148" i="18" s="1"/>
  <c r="A149" i="18" s="1"/>
  <c r="A150" i="18" s="1"/>
  <c r="A151" i="18" s="1"/>
  <c r="A152" i="18" s="1"/>
  <c r="A153" i="18" s="1"/>
  <c r="A154" i="18" s="1"/>
  <c r="A155" i="18" s="1"/>
  <c r="A156" i="18" s="1"/>
  <c r="A157" i="18" s="1"/>
  <c r="A158" i="18" s="1"/>
  <c r="A159" i="18" s="1"/>
  <c r="A160" i="18" s="1"/>
  <c r="A161" i="18" s="1"/>
  <c r="A162" i="18" s="1"/>
  <c r="A163" i="18" s="1"/>
  <c r="A164" i="18" s="1"/>
  <c r="A165" i="18" s="1"/>
  <c r="A166" i="18" s="1"/>
  <c r="A167" i="18" s="1"/>
  <c r="A168" i="18" s="1"/>
  <c r="A169" i="18" s="1"/>
  <c r="A170" i="18" s="1"/>
  <c r="A171" i="18" s="1"/>
  <c r="A172" i="18" s="1"/>
  <c r="A173" i="18" s="1"/>
  <c r="A174" i="18" s="1"/>
  <c r="A175" i="18" s="1"/>
  <c r="A176" i="18" s="1"/>
  <c r="A177" i="18" s="1"/>
  <c r="A178" i="18" s="1"/>
  <c r="A179" i="18" s="1"/>
  <c r="A180" i="18" s="1"/>
  <c r="A181" i="18" s="1"/>
  <c r="A182" i="18" s="1"/>
  <c r="A183" i="18" s="1"/>
  <c r="A184" i="18" s="1"/>
  <c r="A185" i="18" s="1"/>
  <c r="A186" i="18" s="1"/>
  <c r="A187" i="18" s="1"/>
  <c r="A188" i="18" s="1"/>
  <c r="A189" i="18" s="1"/>
  <c r="A190" i="18" s="1"/>
  <c r="A191" i="18" s="1"/>
  <c r="A192" i="18" s="1"/>
  <c r="A193" i="18" s="1"/>
  <c r="A194" i="18" s="1"/>
  <c r="A195" i="18" s="1"/>
  <c r="A196" i="18" s="1"/>
  <c r="A197" i="18" s="1"/>
  <c r="A198" i="18" s="1"/>
  <c r="A199" i="18" s="1"/>
  <c r="A200" i="18" s="1"/>
  <c r="A201" i="18" s="1"/>
  <c r="A202" i="18" s="1"/>
  <c r="A203" i="18" s="1"/>
  <c r="A204" i="18" s="1"/>
  <c r="A205" i="18" s="1"/>
  <c r="A206" i="18" s="1"/>
  <c r="A207" i="18" s="1"/>
  <c r="A208" i="18" s="1"/>
  <c r="A209" i="18" s="1"/>
  <c r="A210" i="18" s="1"/>
  <c r="A211" i="18" s="1"/>
  <c r="A212" i="18" s="1"/>
  <c r="A213" i="18" s="1"/>
  <c r="A214" i="18" s="1"/>
  <c r="A215" i="18" s="1"/>
  <c r="A216" i="18" s="1"/>
  <c r="A217" i="18" s="1"/>
  <c r="A218" i="18" s="1"/>
  <c r="A219" i="18" s="1"/>
  <c r="A220" i="18" s="1"/>
  <c r="A221" i="18" s="1"/>
  <c r="A222" i="18" s="1"/>
  <c r="A223" i="18" s="1"/>
  <c r="A224" i="18" s="1"/>
  <c r="A225" i="18" s="1"/>
  <c r="A226" i="18" s="1"/>
  <c r="A227" i="18" s="1"/>
  <c r="A228" i="18" s="1"/>
  <c r="A229" i="18" s="1"/>
  <c r="A230" i="18" s="1"/>
  <c r="A231" i="18" s="1"/>
  <c r="A232" i="18" s="1"/>
  <c r="A233" i="18" s="1"/>
  <c r="A234" i="18" s="1"/>
  <c r="A235" i="18" s="1"/>
  <c r="A236" i="18" s="1"/>
  <c r="A237" i="18" s="1"/>
  <c r="A238" i="18" s="1"/>
  <c r="A239" i="18" s="1"/>
  <c r="A240" i="18" s="1"/>
  <c r="A241" i="18" s="1"/>
  <c r="A242" i="18" s="1"/>
  <c r="A243" i="18" s="1"/>
  <c r="A244" i="18" s="1"/>
  <c r="A245" i="18" s="1"/>
  <c r="A246" i="18" s="1"/>
  <c r="A247" i="18" s="1"/>
  <c r="A248" i="18" s="1"/>
  <c r="A249" i="18" s="1"/>
  <c r="A250" i="18" s="1"/>
  <c r="A251" i="18" s="1"/>
  <c r="A252" i="18" s="1"/>
  <c r="A253" i="18" s="1"/>
  <c r="A254" i="18" s="1"/>
  <c r="A255" i="18" s="1"/>
  <c r="A256" i="18" s="1"/>
  <c r="A257" i="18" s="1"/>
  <c r="A258" i="18" s="1"/>
  <c r="A259" i="18" s="1"/>
  <c r="A260" i="18" s="1"/>
  <c r="A261" i="18" s="1"/>
  <c r="A262" i="18" s="1"/>
  <c r="A263" i="18" s="1"/>
  <c r="A264" i="18" s="1"/>
  <c r="A265" i="18" s="1"/>
  <c r="A266" i="18" s="1"/>
  <c r="A267" i="18" s="1"/>
  <c r="A268" i="18" s="1"/>
  <c r="A269" i="18" s="1"/>
  <c r="A270" i="18" s="1"/>
  <c r="A271" i="18" s="1"/>
  <c r="A272" i="18" s="1"/>
  <c r="A273" i="18" s="1"/>
  <c r="A274" i="18" s="1"/>
  <c r="A275" i="18" s="1"/>
  <c r="A276" i="18" s="1"/>
  <c r="A277" i="18" s="1"/>
  <c r="A278" i="18" s="1"/>
  <c r="A279" i="18" s="1"/>
  <c r="A280" i="18" s="1"/>
  <c r="A281" i="18" s="1"/>
  <c r="A282" i="18" s="1"/>
  <c r="A283" i="18" s="1"/>
  <c r="A284" i="18" s="1"/>
  <c r="A285" i="18" s="1"/>
  <c r="A286" i="18" s="1"/>
  <c r="A287" i="18" s="1"/>
  <c r="A288" i="18" s="1"/>
  <c r="A289" i="18" s="1"/>
  <c r="A290" i="18" s="1"/>
  <c r="A291" i="18" s="1"/>
  <c r="A292" i="18" s="1"/>
  <c r="A293" i="18" s="1"/>
  <c r="A294" i="18" s="1"/>
  <c r="A295" i="18" s="1"/>
  <c r="A296" i="18" s="1"/>
  <c r="A297" i="18" s="1"/>
  <c r="A298" i="18" s="1"/>
  <c r="A299" i="18" s="1"/>
  <c r="A300" i="18" s="1"/>
  <c r="A301" i="18" s="1"/>
  <c r="A302" i="18" s="1"/>
  <c r="A303" i="18" s="1"/>
  <c r="A304" i="18" s="1"/>
  <c r="A305" i="18" s="1"/>
  <c r="A306" i="18" s="1"/>
  <c r="A307" i="18" s="1"/>
  <c r="A308" i="18" s="1"/>
  <c r="A309" i="18" s="1"/>
  <c r="A310" i="18" s="1"/>
  <c r="A311" i="18" s="1"/>
  <c r="A312" i="18" s="1"/>
  <c r="A313" i="18" s="1"/>
  <c r="A314" i="18" s="1"/>
  <c r="A315" i="18" s="1"/>
  <c r="A316" i="18" s="1"/>
  <c r="A317" i="18" s="1"/>
  <c r="A318" i="18" s="1"/>
  <c r="A319" i="18" s="1"/>
  <c r="A320" i="18" s="1"/>
  <c r="A321" i="18" s="1"/>
  <c r="A322" i="18" s="1"/>
  <c r="A323" i="18" s="1"/>
  <c r="A324" i="18" s="1"/>
  <c r="A325" i="18" s="1"/>
  <c r="A326" i="18" s="1"/>
  <c r="A327" i="18" s="1"/>
  <c r="A328" i="18" s="1"/>
  <c r="A329" i="18" s="1"/>
  <c r="A330" i="18" s="1"/>
  <c r="A331" i="18" s="1"/>
  <c r="A332" i="18" s="1"/>
  <c r="A333" i="18" s="1"/>
  <c r="A334" i="18" s="1"/>
  <c r="A335" i="18" s="1"/>
  <c r="A336" i="18" s="1"/>
  <c r="A337" i="18" s="1"/>
  <c r="A338" i="18" s="1"/>
  <c r="A339" i="18" s="1"/>
  <c r="A340" i="18" s="1"/>
  <c r="A341" i="18" s="1"/>
  <c r="A342" i="18" s="1"/>
  <c r="A343" i="18" s="1"/>
  <c r="A344" i="18" s="1"/>
  <c r="A345" i="18" s="1"/>
  <c r="A346" i="18" s="1"/>
  <c r="A347" i="18" s="1"/>
  <c r="A348" i="18" s="1"/>
  <c r="A349" i="18" s="1"/>
  <c r="A350" i="18" s="1"/>
  <c r="A351" i="18" s="1"/>
  <c r="A352" i="18" s="1"/>
  <c r="A353" i="18" s="1"/>
  <c r="A354" i="18" s="1"/>
  <c r="A355" i="18" s="1"/>
  <c r="A356" i="18" s="1"/>
  <c r="A357" i="18" s="1"/>
  <c r="A358" i="18" s="1"/>
  <c r="A359" i="18" s="1"/>
  <c r="A360" i="18" s="1"/>
  <c r="A361" i="18" s="1"/>
  <c r="A362" i="18" s="1"/>
  <c r="A363" i="18" s="1"/>
  <c r="A364" i="18" s="1"/>
  <c r="A365" i="18" s="1"/>
  <c r="A366" i="18" s="1"/>
  <c r="A367" i="18" s="1"/>
  <c r="A368" i="18" s="1"/>
  <c r="A369" i="18" s="1"/>
  <c r="A370" i="18" s="1"/>
  <c r="A371" i="18" s="1"/>
  <c r="A372" i="18" s="1"/>
  <c r="A373" i="18" s="1"/>
  <c r="A374" i="18" s="1"/>
  <c r="A375" i="18" s="1"/>
  <c r="A376" i="18" s="1"/>
  <c r="A377" i="18" s="1"/>
  <c r="A378" i="18" s="1"/>
  <c r="A379" i="18" s="1"/>
  <c r="A380" i="18" s="1"/>
  <c r="A381" i="18" s="1"/>
  <c r="A382" i="18" s="1"/>
  <c r="A383" i="18" s="1"/>
  <c r="A384" i="18" s="1"/>
  <c r="A385" i="18" s="1"/>
  <c r="A386" i="18" s="1"/>
  <c r="A387" i="18" s="1"/>
  <c r="A388" i="18" s="1"/>
  <c r="A389" i="18" s="1"/>
  <c r="A390" i="18" s="1"/>
  <c r="A391" i="18" s="1"/>
  <c r="A392" i="18" s="1"/>
  <c r="A393" i="18" s="1"/>
  <c r="A394" i="18" s="1"/>
  <c r="A395" i="18" s="1"/>
  <c r="A396" i="18" s="1"/>
  <c r="A397" i="18" s="1"/>
  <c r="A398" i="18" s="1"/>
  <c r="A399" i="18" s="1"/>
  <c r="A400" i="18" s="1"/>
  <c r="A401" i="18" s="1"/>
  <c r="A402" i="18" s="1"/>
  <c r="A403" i="18" s="1"/>
  <c r="A404" i="18" s="1"/>
  <c r="A405" i="18" s="1"/>
  <c r="A406" i="18" s="1"/>
  <c r="A407" i="18" s="1"/>
  <c r="A408" i="18" s="1"/>
  <c r="A409" i="18" s="1"/>
  <c r="A410" i="18" s="1"/>
  <c r="A411" i="18" s="1"/>
  <c r="A412" i="18" s="1"/>
  <c r="A413" i="18" s="1"/>
  <c r="A414" i="18" s="1"/>
  <c r="A415" i="18" s="1"/>
  <c r="A416" i="18" s="1"/>
  <c r="A417" i="18" s="1"/>
  <c r="A418" i="18" s="1"/>
  <c r="A419" i="18" s="1"/>
  <c r="A420" i="18" s="1"/>
  <c r="A421" i="18" s="1"/>
  <c r="A422" i="18" s="1"/>
  <c r="A423" i="18" s="1"/>
  <c r="A424" i="18" s="1"/>
  <c r="A425" i="18" s="1"/>
  <c r="A426" i="18" s="1"/>
  <c r="A427" i="18" s="1"/>
  <c r="A428" i="18" s="1"/>
  <c r="A429" i="18" s="1"/>
  <c r="A430" i="18" s="1"/>
  <c r="A431" i="18" s="1"/>
  <c r="A432" i="18" s="1"/>
  <c r="A433" i="18" s="1"/>
  <c r="A434" i="18" s="1"/>
  <c r="A435" i="18" s="1"/>
  <c r="A436" i="18" s="1"/>
  <c r="A437" i="18" s="1"/>
  <c r="A438" i="18" s="1"/>
  <c r="A439" i="18" s="1"/>
  <c r="A440" i="18" s="1"/>
  <c r="A441" i="18" s="1"/>
  <c r="A442" i="18" s="1"/>
  <c r="A443" i="18" s="1"/>
  <c r="A444" i="18" s="1"/>
  <c r="A445" i="18" s="1"/>
  <c r="A446" i="18" s="1"/>
  <c r="A447" i="18" s="1"/>
  <c r="A448" i="18" s="1"/>
  <c r="A449" i="18" s="1"/>
  <c r="A450" i="18" s="1"/>
  <c r="A451" i="18" s="1"/>
  <c r="A452" i="18" s="1"/>
  <c r="A453" i="18" s="1"/>
  <c r="A454" i="18" s="1"/>
  <c r="A455" i="18" s="1"/>
  <c r="A456" i="18" s="1"/>
  <c r="A457" i="18" s="1"/>
  <c r="A458" i="18" s="1"/>
  <c r="A459" i="18" s="1"/>
  <c r="A460" i="18" s="1"/>
  <c r="A461" i="18" s="1"/>
  <c r="A462" i="18" s="1"/>
  <c r="A463" i="18" s="1"/>
  <c r="A464" i="18" s="1"/>
  <c r="A465" i="18" s="1"/>
  <c r="A466" i="18" s="1"/>
  <c r="A467" i="18" s="1"/>
  <c r="A468" i="18" s="1"/>
  <c r="A469" i="18" s="1"/>
  <c r="A470" i="18" s="1"/>
  <c r="A471" i="18" s="1"/>
  <c r="A472" i="18" s="1"/>
  <c r="A473" i="18" s="1"/>
  <c r="A474" i="18" s="1"/>
  <c r="A475" i="18" s="1"/>
  <c r="A476" i="18" s="1"/>
  <c r="A477" i="18" s="1"/>
  <c r="A478" i="18" s="1"/>
  <c r="A479" i="18" s="1"/>
  <c r="A480" i="18" s="1"/>
  <c r="A481" i="18" s="1"/>
  <c r="A482" i="18" s="1"/>
  <c r="A483" i="18" s="1"/>
  <c r="A484" i="18" s="1"/>
  <c r="A485" i="18" s="1"/>
  <c r="A486" i="18" s="1"/>
  <c r="A487" i="18" s="1"/>
  <c r="A488" i="18" s="1"/>
  <c r="A489" i="18" s="1"/>
  <c r="A490" i="18" s="1"/>
  <c r="A491" i="18" s="1"/>
  <c r="A492" i="18" s="1"/>
  <c r="A493" i="18" s="1"/>
  <c r="A494" i="18" s="1"/>
  <c r="A495" i="18" s="1"/>
  <c r="A496" i="18" s="1"/>
  <c r="A497" i="18" s="1"/>
  <c r="A498" i="18" s="1"/>
  <c r="A499" i="18" s="1"/>
  <c r="A500" i="18" s="1"/>
  <c r="A501" i="18" s="1"/>
  <c r="A502" i="18" s="1"/>
  <c r="A503" i="18" s="1"/>
  <c r="A504" i="18" s="1"/>
  <c r="A505" i="18" s="1"/>
  <c r="A506" i="18" s="1"/>
  <c r="A507" i="18" s="1"/>
  <c r="A508" i="18" s="1"/>
  <c r="A509" i="18" s="1"/>
  <c r="A510" i="18" s="1"/>
  <c r="A511" i="18" s="1"/>
  <c r="A512" i="18" s="1"/>
  <c r="A513" i="18" s="1"/>
  <c r="A514" i="18" s="1"/>
  <c r="A515" i="18" s="1"/>
  <c r="A516" i="18" s="1"/>
  <c r="A517" i="18" s="1"/>
  <c r="A518" i="18" s="1"/>
  <c r="A519" i="18" s="1"/>
  <c r="A520" i="18" s="1"/>
  <c r="A521" i="18" s="1"/>
  <c r="A522" i="18" s="1"/>
  <c r="A523" i="18" s="1"/>
  <c r="A524" i="18" s="1"/>
  <c r="A525" i="18" s="1"/>
  <c r="A526" i="18" s="1"/>
  <c r="A527" i="18" s="1"/>
  <c r="A528" i="18" s="1"/>
  <c r="A529" i="18" s="1"/>
  <c r="A530" i="18" s="1"/>
  <c r="A531" i="18" s="1"/>
  <c r="A532" i="18" s="1"/>
  <c r="A533" i="18" s="1"/>
  <c r="A534" i="18" s="1"/>
  <c r="A535" i="18" s="1"/>
  <c r="A536" i="18" s="1"/>
  <c r="A537" i="18" s="1"/>
  <c r="A538" i="18" s="1"/>
  <c r="A539" i="18" s="1"/>
  <c r="A540" i="18" s="1"/>
  <c r="A541" i="18" s="1"/>
  <c r="A542" i="18" s="1"/>
  <c r="A543" i="18" s="1"/>
  <c r="A544" i="18" s="1"/>
  <c r="A545" i="18" s="1"/>
  <c r="A546" i="18" s="1"/>
  <c r="A547" i="18" s="1"/>
  <c r="A548" i="18" s="1"/>
  <c r="A549" i="18" s="1"/>
  <c r="A550" i="18" s="1"/>
  <c r="A551" i="18" s="1"/>
  <c r="A552" i="18" s="1"/>
  <c r="A553" i="18" s="1"/>
  <c r="A554" i="18" s="1"/>
  <c r="A555" i="18" s="1"/>
  <c r="A556" i="18" s="1"/>
  <c r="A557" i="18" s="1"/>
  <c r="A558" i="18" s="1"/>
  <c r="A559" i="18" s="1"/>
  <c r="A560" i="18" s="1"/>
  <c r="A561" i="18" s="1"/>
  <c r="A562" i="18" s="1"/>
  <c r="Q550" i="15"/>
  <c r="Q537" i="15"/>
  <c r="Q548" i="15"/>
  <c r="Q549" i="15"/>
  <c r="Q547" i="15"/>
  <c r="Q536" i="15"/>
  <c r="Q544" i="15"/>
  <c r="Q513" i="15"/>
  <c r="Q542" i="15"/>
  <c r="Q453" i="15"/>
  <c r="Q540" i="15"/>
  <c r="Q535" i="15"/>
  <c r="Q538" i="15"/>
  <c r="Q442" i="15"/>
  <c r="Q437" i="15"/>
  <c r="Q533" i="15"/>
  <c r="Q534" i="15"/>
  <c r="Q220" i="15"/>
  <c r="Q352" i="15"/>
  <c r="Q351" i="15"/>
  <c r="Q337" i="15"/>
  <c r="Q336" i="15"/>
  <c r="Q335" i="15"/>
  <c r="Q334" i="15"/>
  <c r="Q333" i="15"/>
  <c r="Q332" i="15"/>
  <c r="Q456" i="15"/>
  <c r="Q532" i="15"/>
  <c r="Q384" i="15"/>
  <c r="Q303" i="15"/>
  <c r="Q331" i="15"/>
  <c r="Q330" i="15"/>
  <c r="Q302" i="15"/>
  <c r="Q301" i="15"/>
  <c r="Q329" i="15"/>
  <c r="Q300" i="15"/>
  <c r="Q383" i="15"/>
  <c r="Q299" i="15"/>
  <c r="Q152" i="15"/>
  <c r="Q54" i="15"/>
  <c r="Q142" i="4"/>
  <c r="Q72" i="15"/>
  <c r="Q7" i="15"/>
  <c r="Q286" i="4"/>
  <c r="Q285" i="4"/>
  <c r="Q225" i="4"/>
  <c r="Q140" i="4"/>
  <c r="Q80" i="4"/>
  <c r="Q201" i="4"/>
  <c r="Q284" i="4"/>
  <c r="Q79" i="4"/>
  <c r="Q78" i="4"/>
  <c r="Q123" i="4"/>
  <c r="Q283" i="4"/>
  <c r="Q272" i="4"/>
  <c r="Q51" i="4"/>
  <c r="Q122" i="4"/>
  <c r="Q282" i="4"/>
  <c r="Q281" i="4"/>
  <c r="Q11" i="4"/>
  <c r="Q4" i="15"/>
  <c r="Q199" i="4"/>
  <c r="Q198" i="4"/>
  <c r="Q197" i="4"/>
  <c r="Q196" i="4"/>
  <c r="Q195" i="4"/>
  <c r="Q194" i="4"/>
  <c r="Q193" i="4"/>
  <c r="Q192" i="4"/>
  <c r="Q191" i="4"/>
  <c r="Q190" i="4"/>
  <c r="Q189" i="4"/>
  <c r="Q188" i="4"/>
  <c r="Q187" i="4"/>
  <c r="Q170" i="4"/>
  <c r="Q165" i="4"/>
  <c r="Q164" i="4"/>
  <c r="Q163" i="4"/>
  <c r="Q162" i="4"/>
  <c r="Q161" i="4"/>
  <c r="Q160" i="4"/>
  <c r="Q186" i="4"/>
  <c r="Q185" i="4"/>
  <c r="Q184" i="4"/>
  <c r="Q183" i="4"/>
  <c r="Q182" i="4"/>
  <c r="Q181" i="4"/>
  <c r="Q180" i="4"/>
  <c r="Q179" i="4"/>
  <c r="Q23" i="4"/>
  <c r="Q6" i="4"/>
  <c r="Q72" i="4"/>
  <c r="Q34" i="4"/>
  <c r="Q36" i="4"/>
  <c r="Q178" i="4"/>
  <c r="Q177" i="4"/>
  <c r="Q176" i="4"/>
  <c r="Q175" i="4"/>
  <c r="Q174" i="4"/>
  <c r="Q173" i="4"/>
  <c r="Q172" i="4"/>
  <c r="Q171" i="4"/>
  <c r="Q169" i="4"/>
  <c r="Q71" i="4"/>
  <c r="Q168" i="4"/>
  <c r="Q167" i="4"/>
  <c r="Q166" i="4"/>
  <c r="Q3" i="15"/>
  <c r="Q5" i="15"/>
  <c r="Q6" i="15"/>
  <c r="Q8" i="15"/>
  <c r="Q9" i="15"/>
  <c r="Q21" i="15"/>
  <c r="Q83" i="15"/>
  <c r="Q10" i="15"/>
  <c r="Q11" i="15"/>
  <c r="Q65" i="15"/>
  <c r="Q12" i="15"/>
  <c r="Q13" i="15"/>
  <c r="Q50" i="15"/>
  <c r="Q14" i="15"/>
  <c r="Q15" i="15"/>
  <c r="Q16" i="15"/>
  <c r="Q84" i="15"/>
  <c r="Q22" i="15"/>
  <c r="Q23" i="15"/>
  <c r="Q17" i="15"/>
  <c r="Q18" i="15"/>
  <c r="Q428" i="15"/>
  <c r="Q105" i="15"/>
  <c r="Q19" i="15"/>
  <c r="Q429" i="15"/>
  <c r="Q20" i="15"/>
  <c r="Q231" i="15"/>
  <c r="Q24" i="15"/>
  <c r="Q25" i="15"/>
  <c r="Q207" i="15"/>
  <c r="Q26" i="15"/>
  <c r="Q27" i="15"/>
  <c r="Q28" i="15"/>
  <c r="Q29" i="15"/>
  <c r="Q30" i="15"/>
  <c r="Q31" i="15"/>
  <c r="Q32" i="15"/>
  <c r="Q51" i="15"/>
  <c r="Q33" i="15"/>
  <c r="Q34" i="15"/>
  <c r="Q35" i="15"/>
  <c r="Q36" i="15"/>
  <c r="Q37" i="15"/>
  <c r="Q38" i="15"/>
  <c r="Q39" i="15"/>
  <c r="Q40" i="15"/>
  <c r="Q41" i="15"/>
  <c r="Q42" i="15"/>
  <c r="Q43" i="15"/>
  <c r="Q44" i="15"/>
  <c r="Q45" i="15"/>
  <c r="Q46" i="15"/>
  <c r="Q47" i="15"/>
  <c r="Q48" i="15"/>
  <c r="Q49" i="15"/>
  <c r="Q185" i="15"/>
  <c r="Q73" i="15"/>
  <c r="Q52" i="15"/>
  <c r="Q85" i="15"/>
  <c r="Q53" i="15"/>
  <c r="Q86" i="15"/>
  <c r="Q66" i="15"/>
  <c r="Q423" i="15"/>
  <c r="Q55" i="15"/>
  <c r="Q74" i="15"/>
  <c r="Q56" i="15"/>
  <c r="Q87" i="15"/>
  <c r="Q57" i="15"/>
  <c r="Q58" i="15"/>
  <c r="Q151" i="15"/>
  <c r="Q59" i="15"/>
  <c r="Q67" i="15"/>
  <c r="Q68" i="15"/>
  <c r="Q430" i="15"/>
  <c r="Q264" i="15"/>
  <c r="Q60" i="15"/>
  <c r="Q61" i="15"/>
  <c r="Q62" i="15"/>
  <c r="Q63" i="15"/>
  <c r="Q64" i="15"/>
  <c r="Q69" i="15"/>
  <c r="Q75" i="15"/>
  <c r="Q70" i="15"/>
  <c r="Q76" i="15"/>
  <c r="Q431" i="15"/>
  <c r="Q88" i="15"/>
  <c r="Q77" i="15"/>
  <c r="Q106" i="15"/>
  <c r="Q186" i="15"/>
  <c r="Q432" i="15"/>
  <c r="Q78" i="15"/>
  <c r="Q79" i="15"/>
  <c r="Q80" i="15"/>
  <c r="Q153" i="15"/>
  <c r="Q107" i="15"/>
  <c r="Q81" i="15"/>
  <c r="Q82" i="15"/>
  <c r="Q71" i="15"/>
  <c r="Q89" i="15"/>
  <c r="Q154" i="15"/>
  <c r="Q108" i="15"/>
  <c r="Q90" i="15"/>
  <c r="Q91" i="15"/>
  <c r="Q92" i="15"/>
  <c r="Q433" i="15"/>
  <c r="Q232" i="15"/>
  <c r="Q93" i="15"/>
  <c r="Q434" i="15"/>
  <c r="Q94" i="15"/>
  <c r="Q95" i="15"/>
  <c r="Q435" i="15"/>
  <c r="Q155" i="15"/>
  <c r="Q96" i="15"/>
  <c r="Q97" i="15"/>
  <c r="Q98" i="15"/>
  <c r="Q156" i="15"/>
  <c r="Q436" i="15"/>
  <c r="Q304" i="15"/>
  <c r="Q157" i="15"/>
  <c r="Q208" i="15"/>
  <c r="Q99" i="15"/>
  <c r="Q100" i="15"/>
  <c r="Q265" i="15"/>
  <c r="Q101" i="15"/>
  <c r="Q102" i="15"/>
  <c r="Q109" i="15"/>
  <c r="Q110" i="15"/>
  <c r="Q111" i="15"/>
  <c r="Q112" i="15"/>
  <c r="Q113" i="15"/>
  <c r="Q305" i="15"/>
  <c r="Q114" i="15"/>
  <c r="Q115" i="15"/>
  <c r="Q233" i="15"/>
  <c r="Q116" i="15"/>
  <c r="Q117" i="15"/>
  <c r="Q118" i="15"/>
  <c r="Q119" i="15"/>
  <c r="Q120" i="15"/>
  <c r="Q121" i="15"/>
  <c r="Q122" i="15"/>
  <c r="Q123" i="15"/>
  <c r="Q124" i="15"/>
  <c r="Q209" i="15"/>
  <c r="Q103" i="15"/>
  <c r="Q125" i="15"/>
  <c r="Q126" i="15"/>
  <c r="Q127" i="15"/>
  <c r="Q104" i="15"/>
  <c r="Q128" i="15"/>
  <c r="Q129" i="15"/>
  <c r="Q524" i="15"/>
  <c r="Q130" i="15"/>
  <c r="Q131" i="15"/>
  <c r="Q158" i="15"/>
  <c r="Q132" i="15"/>
  <c r="Q133" i="15"/>
  <c r="Q229" i="15"/>
  <c r="Q134" i="15"/>
  <c r="Q135" i="15"/>
  <c r="Q136" i="15"/>
  <c r="Q137" i="15"/>
  <c r="Q138" i="15"/>
  <c r="Q438" i="15"/>
  <c r="Q139" i="15"/>
  <c r="Q234" i="15"/>
  <c r="Q140" i="15"/>
  <c r="Q141" i="15"/>
  <c r="Q142" i="15"/>
  <c r="Q143" i="15"/>
  <c r="Q144" i="15"/>
  <c r="Q145" i="15"/>
  <c r="Q146" i="15"/>
  <c r="Q147" i="15"/>
  <c r="Q159" i="15"/>
  <c r="Q439" i="15"/>
  <c r="Q160" i="15"/>
  <c r="Q148" i="15"/>
  <c r="Q149" i="15"/>
  <c r="Q161" i="15"/>
  <c r="Q162" i="15"/>
  <c r="Q163" i="15"/>
  <c r="Q164" i="15"/>
  <c r="Q165" i="15"/>
  <c r="Q166" i="15"/>
  <c r="Q235" i="15"/>
  <c r="Q266" i="15"/>
  <c r="Q167" i="15"/>
  <c r="Q168" i="15"/>
  <c r="Q236" i="15"/>
  <c r="Q440" i="15"/>
  <c r="Q237" i="15"/>
  <c r="Q238" i="15"/>
  <c r="Q306" i="15"/>
  <c r="Q441" i="15"/>
  <c r="Q150" i="15"/>
  <c r="Q210" i="15"/>
  <c r="Q169" i="15"/>
  <c r="Q170" i="15"/>
  <c r="Q171" i="15"/>
  <c r="Q172" i="15"/>
  <c r="Q173" i="15"/>
  <c r="Q174" i="15"/>
  <c r="Q175" i="15"/>
  <c r="Q176" i="15"/>
  <c r="Q177" i="15"/>
  <c r="Q381" i="15"/>
  <c r="Q211" i="15"/>
  <c r="Q239" i="15"/>
  <c r="Q187" i="15"/>
  <c r="Q178" i="15"/>
  <c r="Q188" i="15"/>
  <c r="Q189" i="15"/>
  <c r="Q525" i="15"/>
  <c r="Q240" i="15"/>
  <c r="Q190" i="15"/>
  <c r="Q179" i="15"/>
  <c r="Q191" i="15"/>
  <c r="Q212" i="15"/>
  <c r="Q180" i="15"/>
  <c r="Q192" i="15"/>
  <c r="Q193" i="15"/>
  <c r="Q194" i="15"/>
  <c r="Q195" i="15"/>
  <c r="Q196" i="15"/>
  <c r="Q443" i="15"/>
  <c r="Q444" i="15"/>
  <c r="Q445" i="15"/>
  <c r="Q446" i="15"/>
  <c r="Q279" i="15"/>
  <c r="Q307" i="15"/>
  <c r="Q181" i="15"/>
  <c r="Q197" i="15"/>
  <c r="Q182" i="15"/>
  <c r="Q183" i="15"/>
  <c r="Q198" i="15"/>
  <c r="Q199" i="15"/>
  <c r="Q200" i="15"/>
  <c r="Q230" i="15"/>
  <c r="Q267" i="15"/>
  <c r="Q201" i="15"/>
  <c r="Q202" i="15"/>
  <c r="Q184" i="15"/>
  <c r="Q241" i="15"/>
  <c r="Q242" i="15"/>
  <c r="Q280" i="15"/>
  <c r="Q268" i="15"/>
  <c r="Q213" i="15"/>
  <c r="Q281" i="15"/>
  <c r="Q214" i="15"/>
  <c r="Q243" i="15"/>
  <c r="Q244" i="15"/>
  <c r="Q215" i="15"/>
  <c r="Q245" i="15"/>
  <c r="Q203" i="15"/>
  <c r="Q204" i="15"/>
  <c r="Q246" i="15"/>
  <c r="Q216" i="15"/>
  <c r="Q247" i="15"/>
  <c r="Q350" i="15"/>
  <c r="Q205" i="15"/>
  <c r="Q217" i="15"/>
  <c r="Q206" i="15"/>
  <c r="Q308" i="15"/>
  <c r="Q282" i="15"/>
  <c r="Q447" i="15"/>
  <c r="Q283" i="15"/>
  <c r="Q218" i="15"/>
  <c r="Q248" i="15"/>
  <c r="Q309" i="15"/>
  <c r="Q219" i="15"/>
  <c r="Q424" i="15"/>
  <c r="Q221" i="15"/>
  <c r="Q222" i="15"/>
  <c r="Q223" i="15"/>
  <c r="Q310" i="15"/>
  <c r="Q224" i="15"/>
  <c r="Q225" i="15"/>
  <c r="Q448" i="15"/>
  <c r="Q449" i="15"/>
  <c r="Q311" i="15"/>
  <c r="Q249" i="15"/>
  <c r="Q250" i="15"/>
  <c r="Q251" i="15"/>
  <c r="Q252" i="15"/>
  <c r="Q226" i="15"/>
  <c r="Q227" i="15"/>
  <c r="Q228" i="15"/>
  <c r="Q284" i="15"/>
  <c r="Q285" i="15"/>
  <c r="Q253" i="15"/>
  <c r="Q269" i="15"/>
  <c r="Q382" i="15"/>
  <c r="Q254" i="15"/>
  <c r="Q255" i="15"/>
  <c r="Q256" i="15"/>
  <c r="Q257" i="15"/>
  <c r="Q286" i="15"/>
  <c r="Q450" i="15"/>
  <c r="Q270" i="15"/>
  <c r="Q312" i="15"/>
  <c r="Q258" i="15"/>
  <c r="Q313" i="15"/>
  <c r="Q259" i="15"/>
  <c r="Q314" i="15"/>
  <c r="Q315" i="15"/>
  <c r="Q316" i="15"/>
  <c r="Q317" i="15"/>
  <c r="Q271" i="15"/>
  <c r="Q260" i="15"/>
  <c r="Q318" i="15"/>
  <c r="Q319" i="15"/>
  <c r="Q261" i="15"/>
  <c r="Q262" i="15"/>
  <c r="Q263" i="15"/>
  <c r="Q451" i="15"/>
  <c r="Q452" i="15"/>
  <c r="Q320" i="15"/>
  <c r="Q272" i="15"/>
  <c r="Q287" i="15"/>
  <c r="Q288" i="15"/>
  <c r="Q289" i="15"/>
  <c r="Q290" i="15"/>
  <c r="Q273" i="15"/>
  <c r="Q291" i="15"/>
  <c r="Q274" i="15"/>
  <c r="Q275" i="15"/>
  <c r="Q276" i="15"/>
  <c r="Q277" i="15"/>
  <c r="Q278" i="15"/>
  <c r="Q539" i="15"/>
  <c r="Q321" i="15"/>
  <c r="Q322" i="15"/>
  <c r="Q323" i="15"/>
  <c r="Q324" i="15"/>
  <c r="Q292" i="15"/>
  <c r="Q325" i="15"/>
  <c r="Q293" i="15"/>
  <c r="Q294" i="15"/>
  <c r="Q295" i="15"/>
  <c r="Q296" i="15"/>
  <c r="Q454" i="15"/>
  <c r="Q297" i="15"/>
  <c r="Q326" i="15"/>
  <c r="Q425" i="15"/>
  <c r="Q298" i="15"/>
  <c r="Q327" i="15"/>
  <c r="Q328" i="15"/>
  <c r="Q353" i="15"/>
  <c r="Q338" i="15"/>
  <c r="Q339" i="15"/>
  <c r="Q340" i="15"/>
  <c r="Q341" i="15"/>
  <c r="Q342" i="15"/>
  <c r="Q343" i="15"/>
  <c r="Q344" i="15"/>
  <c r="Q345" i="15"/>
  <c r="Q385" i="15"/>
  <c r="Q346" i="15"/>
  <c r="Q347" i="15"/>
  <c r="Q348" i="15"/>
  <c r="Q349" i="15"/>
  <c r="Q354" i="15"/>
  <c r="Q355" i="15"/>
  <c r="Q356" i="15"/>
  <c r="Q457" i="15"/>
  <c r="Q357" i="15"/>
  <c r="Q358" i="15"/>
  <c r="Q359" i="15"/>
  <c r="Q360" i="15"/>
  <c r="Q361" i="15"/>
  <c r="Q362" i="15"/>
  <c r="Q426" i="15"/>
  <c r="Q363" i="15"/>
  <c r="Q364" i="15"/>
  <c r="Q365" i="15"/>
  <c r="Q366" i="15"/>
  <c r="Q367" i="15"/>
  <c r="Q368" i="15"/>
  <c r="Q369" i="15"/>
  <c r="Q370" i="15"/>
  <c r="Q458" i="15"/>
  <c r="Q371" i="15"/>
  <c r="Q372" i="15"/>
  <c r="Q373" i="15"/>
  <c r="Q374" i="15"/>
  <c r="Q375" i="15"/>
  <c r="Q376" i="15"/>
  <c r="Q377" i="15"/>
  <c r="Q386" i="15"/>
  <c r="Q387" i="15"/>
  <c r="Q388" i="15"/>
  <c r="Q389" i="15"/>
  <c r="Q390" i="15"/>
  <c r="Q391" i="15"/>
  <c r="Q392" i="15"/>
  <c r="Q393" i="15"/>
  <c r="Q394" i="15"/>
  <c r="Q395" i="15"/>
  <c r="Q396" i="15"/>
  <c r="Q397" i="15"/>
  <c r="Q427" i="15"/>
  <c r="Q398" i="15"/>
  <c r="Q399" i="15"/>
  <c r="Q400" i="15"/>
  <c r="Q401" i="15"/>
  <c r="Q402" i="15"/>
  <c r="Q403" i="15"/>
  <c r="Q404" i="15"/>
  <c r="Q405" i="15"/>
  <c r="Q406" i="15"/>
  <c r="Q459" i="15"/>
  <c r="Q407" i="15"/>
  <c r="Q408" i="15"/>
  <c r="Q409" i="15"/>
  <c r="Q460" i="15"/>
  <c r="Q461" i="15"/>
  <c r="Q410" i="15"/>
  <c r="Q463" i="15"/>
  <c r="Q464" i="15"/>
  <c r="Q472" i="15"/>
  <c r="Q411" i="15"/>
  <c r="Q412" i="15"/>
  <c r="Q413" i="15"/>
  <c r="Q414" i="15"/>
  <c r="Q465" i="15"/>
  <c r="Q415" i="15"/>
  <c r="Q416" i="15"/>
  <c r="Q417" i="15"/>
  <c r="Q378" i="15"/>
  <c r="Q379" i="15"/>
  <c r="Q380" i="15"/>
  <c r="Q466" i="15"/>
  <c r="Q467" i="15"/>
  <c r="Q468" i="15"/>
  <c r="Q469" i="15"/>
  <c r="Q470" i="15"/>
  <c r="Q471" i="15"/>
  <c r="Q418" i="15"/>
  <c r="Q508" i="15"/>
  <c r="Q473" i="15"/>
  <c r="Q474" i="15"/>
  <c r="Q475" i="15"/>
  <c r="Q476" i="15"/>
  <c r="Q477" i="15"/>
  <c r="Q478" i="15"/>
  <c r="Q479" i="15"/>
  <c r="Q480" i="15"/>
  <c r="Q419" i="15"/>
  <c r="Q481" i="15"/>
  <c r="Q420" i="15"/>
  <c r="Q482" i="15"/>
  <c r="Q483" i="15"/>
  <c r="Q541" i="15"/>
  <c r="Q421" i="15"/>
  <c r="Q422" i="15"/>
  <c r="Q485" i="15"/>
  <c r="Q486" i="15"/>
  <c r="Q487" i="15"/>
  <c r="Q488" i="15"/>
  <c r="Q489" i="15"/>
  <c r="Q490" i="15"/>
  <c r="Q491" i="15"/>
  <c r="Q492" i="15"/>
  <c r="Q493" i="15"/>
  <c r="Q494" i="15"/>
  <c r="Q495" i="15"/>
  <c r="Q496" i="15"/>
  <c r="Q497" i="15"/>
  <c r="Q498" i="15"/>
  <c r="Q499" i="15"/>
  <c r="Q500" i="15"/>
  <c r="Q501" i="15"/>
  <c r="Q502" i="15"/>
  <c r="Q503" i="15"/>
  <c r="Q504" i="15"/>
  <c r="Q505" i="15"/>
  <c r="Q506" i="15"/>
  <c r="Q507" i="15"/>
  <c r="Q543" i="15"/>
  <c r="Q509" i="15"/>
  <c r="Q510" i="15"/>
  <c r="Q511" i="15"/>
  <c r="Q512" i="15"/>
  <c r="Q545" i="15"/>
  <c r="Q514" i="15"/>
  <c r="Q515" i="15"/>
  <c r="Q516" i="15"/>
  <c r="Q517" i="15"/>
  <c r="Q518" i="15"/>
  <c r="Q519" i="15"/>
  <c r="Q520" i="15"/>
  <c r="Q521" i="15"/>
  <c r="Q522" i="15"/>
  <c r="Q523" i="15"/>
  <c r="Q484" i="15"/>
  <c r="Q455" i="15"/>
  <c r="Q526" i="15"/>
  <c r="Q527" i="15"/>
  <c r="Q528" i="15"/>
  <c r="Q529" i="15"/>
  <c r="Q530" i="15"/>
  <c r="Q531" i="15"/>
  <c r="Q462" i="15"/>
  <c r="Q546" i="15"/>
  <c r="Q147" i="4"/>
  <c r="Q146" i="4"/>
  <c r="Q211" i="4"/>
  <c r="Q158" i="4"/>
  <c r="Q157" i="4"/>
  <c r="Q156" i="4"/>
  <c r="Q155" i="4"/>
  <c r="Q154" i="4"/>
  <c r="Q153" i="4"/>
  <c r="Q152" i="4"/>
  <c r="Q111" i="4"/>
  <c r="Q151" i="4"/>
  <c r="Q70" i="4"/>
  <c r="Q150" i="4"/>
  <c r="Q110" i="4"/>
  <c r="Q149" i="4"/>
  <c r="Q135" i="4"/>
  <c r="Q148" i="4"/>
  <c r="Q22" i="4"/>
  <c r="Q69" i="4"/>
  <c r="Q217" i="4"/>
  <c r="Q9" i="4"/>
  <c r="Q33" i="4"/>
  <c r="Q68" i="4"/>
  <c r="Q109" i="4"/>
  <c r="Q216" i="4"/>
  <c r="Q215" i="4"/>
  <c r="Q214" i="4"/>
  <c r="Q213" i="4"/>
  <c r="Q67" i="4"/>
  <c r="Q66" i="4"/>
  <c r="Q212" i="4"/>
  <c r="Q65" i="4"/>
  <c r="Q108" i="4"/>
  <c r="Q107" i="4"/>
  <c r="Q21" i="4"/>
  <c r="Q64" i="4"/>
  <c r="Q210" i="4"/>
  <c r="Q63" i="4"/>
  <c r="Q106" i="4"/>
  <c r="Q62" i="4"/>
  <c r="Q209" i="4"/>
  <c r="Q145" i="4"/>
  <c r="Q61" i="4"/>
  <c r="Q105" i="4"/>
  <c r="Q16" i="4"/>
  <c r="Q208" i="4"/>
  <c r="Q144" i="4"/>
  <c r="Q207" i="4"/>
  <c r="Q206" i="4"/>
  <c r="Q3" i="4"/>
  <c r="Q104" i="4"/>
  <c r="Q240" i="4"/>
  <c r="Q32" i="4"/>
  <c r="Q239" i="4"/>
  <c r="Q205" i="4"/>
  <c r="Q103" i="4"/>
  <c r="Q60" i="4"/>
  <c r="Q238" i="4"/>
  <c r="Q59" i="4"/>
  <c r="Q237" i="4"/>
  <c r="Q143" i="4"/>
  <c r="Q159" i="4"/>
  <c r="Q113" i="4"/>
  <c r="Q112" i="4"/>
  <c r="Q102" i="4"/>
  <c r="Q236" i="4"/>
  <c r="Q15" i="4"/>
  <c r="Q235" i="4"/>
  <c r="Q234" i="4"/>
  <c r="Q58" i="4"/>
  <c r="Q20" i="4"/>
  <c r="Q19" i="4"/>
  <c r="Q233" i="4"/>
  <c r="Q31" i="4"/>
  <c r="Q232" i="4"/>
  <c r="Q101" i="4"/>
  <c r="Q100" i="4"/>
  <c r="Q57" i="4"/>
  <c r="Q264" i="4"/>
  <c r="Q263" i="4"/>
  <c r="Q204" i="4"/>
  <c r="Q18" i="4"/>
  <c r="Q99" i="4"/>
  <c r="Q12" i="4"/>
  <c r="Q98" i="4"/>
  <c r="Q203" i="4"/>
  <c r="Q5" i="4"/>
  <c r="Q262" i="4"/>
  <c r="Q261" i="4"/>
  <c r="Q260" i="4"/>
  <c r="Q97" i="4"/>
  <c r="Q96" i="4"/>
  <c r="Q252" i="4"/>
  <c r="Q259" i="4"/>
  <c r="Q231" i="4"/>
  <c r="Q258" i="4"/>
  <c r="Q56" i="4"/>
  <c r="Q55" i="4"/>
  <c r="Q257" i="4"/>
  <c r="Q95" i="4"/>
  <c r="Q54" i="4"/>
  <c r="Q230" i="4"/>
  <c r="Q94" i="4"/>
  <c r="Q256" i="4"/>
  <c r="Q53" i="4"/>
  <c r="Q255" i="4"/>
  <c r="Q254" i="4"/>
  <c r="Q253" i="4"/>
  <c r="Q251" i="4"/>
  <c r="Q250" i="4"/>
  <c r="Q93" i="4"/>
  <c r="Q249" i="4"/>
  <c r="Q229" i="4"/>
  <c r="Q228" i="4"/>
  <c r="Q92" i="4"/>
  <c r="Q91" i="4"/>
  <c r="Q277" i="4"/>
  <c r="Q276" i="4"/>
  <c r="Q90" i="4"/>
  <c r="Q89" i="4"/>
  <c r="Q88" i="4"/>
  <c r="Q87" i="4"/>
  <c r="Q134" i="4"/>
  <c r="Q35" i="4"/>
  <c r="Q133" i="4"/>
  <c r="Q132" i="4"/>
  <c r="Q8" i="4"/>
  <c r="Q275" i="4"/>
  <c r="Q131" i="4"/>
  <c r="Q130" i="4"/>
  <c r="Q129" i="4"/>
  <c r="Q52" i="4"/>
  <c r="Q17" i="4"/>
  <c r="Q7" i="4"/>
  <c r="Q248" i="4"/>
  <c r="Q86" i="4"/>
  <c r="Q274" i="4"/>
  <c r="Q141" i="4"/>
  <c r="Q247" i="4"/>
  <c r="Q85" i="4"/>
  <c r="Q202" i="4"/>
  <c r="Q84" i="4"/>
  <c r="Q83" i="4"/>
  <c r="Q227" i="4"/>
  <c r="Q82" i="4"/>
  <c r="Q273" i="4"/>
  <c r="Q288" i="4"/>
  <c r="Q287" i="4"/>
  <c r="Q128" i="4"/>
  <c r="Q226" i="4"/>
  <c r="Q127" i="4"/>
  <c r="Q126" i="4"/>
  <c r="Q2" i="4"/>
  <c r="Q125" i="4"/>
  <c r="Q124" i="4"/>
  <c r="Q81" i="4"/>
  <c r="Q117" i="4"/>
  <c r="Q246" i="4"/>
  <c r="Q223" i="4"/>
  <c r="Q76" i="4"/>
  <c r="Q312" i="4"/>
  <c r="Q118" i="4"/>
  <c r="Q77" i="4"/>
  <c r="Q119" i="4"/>
  <c r="Q224" i="4"/>
  <c r="Q50" i="4"/>
  <c r="Q313" i="4"/>
  <c r="Q120" i="4"/>
  <c r="Q30" i="4"/>
  <c r="Q314" i="4"/>
  <c r="Q121" i="4"/>
  <c r="Q75" i="4"/>
  <c r="Q311" i="4"/>
  <c r="Q280" i="4"/>
  <c r="Q310" i="4"/>
  <c r="Q49" i="4"/>
  <c r="Q74" i="4"/>
  <c r="Q309" i="4"/>
  <c r="Q245" i="4"/>
  <c r="Q73" i="4"/>
  <c r="Q271" i="4"/>
  <c r="Q308" i="4"/>
  <c r="Q139" i="4"/>
  <c r="Q270" i="4"/>
  <c r="Q269" i="4"/>
  <c r="Q307" i="4"/>
  <c r="Q306" i="4"/>
  <c r="Q351" i="4"/>
  <c r="Q305" i="4"/>
  <c r="Q116" i="4"/>
  <c r="Q115" i="4"/>
  <c r="Q114" i="4"/>
  <c r="Q350" i="4"/>
  <c r="Q268" i="4"/>
  <c r="Q138" i="4"/>
  <c r="Q244" i="4"/>
  <c r="Q243" i="4"/>
  <c r="Q349" i="4"/>
  <c r="Q242" i="4"/>
  <c r="Q304" i="4"/>
  <c r="Q222" i="4"/>
  <c r="Q221" i="4"/>
  <c r="Q267" i="4"/>
  <c r="Q340" i="4"/>
  <c r="Q316" i="4"/>
  <c r="Q444" i="4"/>
  <c r="Q266" i="4"/>
  <c r="Q303" i="4"/>
  <c r="Q4" i="4"/>
  <c r="Q348" i="4"/>
  <c r="Q347" i="4"/>
  <c r="Q302" i="4"/>
  <c r="Q388" i="4"/>
  <c r="Q387" i="4"/>
  <c r="Q346" i="4"/>
  <c r="Q345" i="4"/>
  <c r="Q344" i="4"/>
  <c r="Q343" i="4"/>
  <c r="Q342" i="4"/>
  <c r="Q341" i="4"/>
  <c r="Q279" i="4"/>
  <c r="Q301" i="4"/>
  <c r="Q386" i="4"/>
  <c r="Q385" i="4"/>
  <c r="Q384" i="4"/>
  <c r="Q339" i="4"/>
  <c r="Q338" i="4"/>
  <c r="Q10" i="4"/>
  <c r="Q337" i="4"/>
  <c r="Q383" i="4"/>
  <c r="Q382" i="4"/>
  <c r="Q381" i="4"/>
  <c r="Q380" i="4"/>
  <c r="Q379" i="4"/>
  <c r="Q378" i="4"/>
  <c r="Q377" i="4"/>
  <c r="Q300" i="4"/>
  <c r="Q376" i="4"/>
  <c r="Q336" i="4"/>
  <c r="Q335" i="4"/>
  <c r="Q405" i="4"/>
  <c r="Q404" i="4"/>
  <c r="Q334" i="4"/>
  <c r="Q333" i="4"/>
  <c r="Q14" i="4"/>
  <c r="Q299" i="4"/>
  <c r="Q403" i="4"/>
  <c r="Q375" i="4"/>
  <c r="Q374" i="4"/>
  <c r="Q373" i="4"/>
  <c r="Q402" i="4"/>
  <c r="Q372" i="4"/>
  <c r="Q401" i="4"/>
  <c r="Q332" i="4"/>
  <c r="Q331" i="4"/>
  <c r="Q330" i="4"/>
  <c r="Q369" i="4"/>
  <c r="Q371" i="4"/>
  <c r="Q329" i="4"/>
  <c r="Q328" i="4"/>
  <c r="Q324" i="4"/>
  <c r="Q278" i="4"/>
  <c r="Q370" i="4"/>
  <c r="Q437" i="4"/>
  <c r="Q436" i="4"/>
  <c r="Q435" i="4"/>
  <c r="Q434" i="4"/>
  <c r="Q433" i="4"/>
  <c r="Q432" i="4"/>
  <c r="Q431" i="4"/>
  <c r="Q430" i="4"/>
  <c r="Q429" i="4"/>
  <c r="Q428" i="4"/>
  <c r="Q298" i="4"/>
  <c r="Q427" i="4"/>
  <c r="Q327" i="4"/>
  <c r="Q426" i="4"/>
  <c r="Q326" i="4"/>
  <c r="Q325" i="4"/>
  <c r="Q407" i="4"/>
  <c r="Q425" i="4"/>
  <c r="Q424" i="4"/>
  <c r="Q406" i="4"/>
  <c r="Q265" i="4"/>
  <c r="Q296" i="4"/>
  <c r="Q295" i="4"/>
  <c r="Q294" i="4"/>
  <c r="Q450" i="4"/>
  <c r="Q364" i="4"/>
  <c r="Q323" i="4"/>
  <c r="Q319" i="4"/>
  <c r="Q200" i="4"/>
  <c r="Q48" i="4"/>
  <c r="Q29" i="4"/>
  <c r="Q47" i="4"/>
  <c r="Q449" i="4"/>
  <c r="Q220" i="4"/>
  <c r="Q137" i="4"/>
  <c r="Q318" i="4"/>
  <c r="Q322" i="4"/>
  <c r="Q448" i="4"/>
  <c r="Q368" i="4"/>
  <c r="Q447" i="4"/>
  <c r="Q446" i="4"/>
  <c r="Q367" i="4"/>
  <c r="Q366" i="4"/>
  <c r="Q321" i="4"/>
  <c r="Q320" i="4"/>
  <c r="Q445" i="4"/>
  <c r="Q297" i="4"/>
  <c r="Q423" i="4"/>
  <c r="Q365" i="4"/>
  <c r="Q443" i="4"/>
  <c r="Q442" i="4"/>
  <c r="Q422" i="4"/>
  <c r="Q363" i="4"/>
  <c r="Q441" i="4"/>
  <c r="Q46" i="4"/>
  <c r="Q421" i="4"/>
  <c r="Q391" i="4"/>
  <c r="Q362" i="4"/>
  <c r="Q361" i="4"/>
  <c r="Q355" i="4"/>
  <c r="Q399" i="4"/>
  <c r="Q219" i="4"/>
  <c r="Q398" i="4"/>
  <c r="Q397" i="4"/>
  <c r="Q396" i="4"/>
  <c r="Q508" i="4"/>
  <c r="Q395" i="4"/>
  <c r="Q394" i="4"/>
  <c r="Q440" i="4"/>
  <c r="Q45" i="4"/>
  <c r="Q44" i="4"/>
  <c r="Q420" i="4"/>
  <c r="Q419" i="4"/>
  <c r="Q360" i="4"/>
  <c r="Q359" i="4"/>
  <c r="Q358" i="4"/>
  <c r="Q43" i="4"/>
  <c r="Q357" i="4"/>
  <c r="Q393" i="4"/>
  <c r="Q439" i="4"/>
  <c r="Q136" i="4"/>
  <c r="Q392" i="4"/>
  <c r="Q241" i="4"/>
  <c r="Q418" i="4"/>
  <c r="Q356" i="4"/>
  <c r="Q507" i="4"/>
  <c r="Q317" i="4"/>
  <c r="Q417" i="4"/>
  <c r="Q504" i="4"/>
  <c r="Q506" i="4"/>
  <c r="Q293" i="4"/>
  <c r="Q416" i="4"/>
  <c r="Q415" i="4"/>
  <c r="Q414" i="4"/>
  <c r="Q413" i="4"/>
  <c r="Q353" i="4"/>
  <c r="Q218" i="4"/>
  <c r="Q28" i="4"/>
  <c r="Q354" i="4"/>
  <c r="Q42" i="4"/>
  <c r="Q527" i="4"/>
  <c r="Q292" i="4"/>
  <c r="Q291" i="4"/>
  <c r="Q290" i="4"/>
  <c r="Q561" i="4"/>
  <c r="Q352" i="4"/>
  <c r="Q41" i="4"/>
  <c r="Q40" i="4"/>
  <c r="Q505" i="4"/>
  <c r="Q514" i="4"/>
  <c r="Q513" i="4"/>
  <c r="Q503" i="4"/>
  <c r="Q39" i="4"/>
  <c r="Q512" i="4"/>
  <c r="Q502" i="4"/>
  <c r="Q412" i="4"/>
  <c r="Q390" i="4"/>
  <c r="Q501" i="4"/>
  <c r="Q511" i="4"/>
  <c r="Q500" i="4"/>
  <c r="Q499" i="4"/>
  <c r="Q526" i="4"/>
  <c r="Q27" i="4"/>
  <c r="Q498" i="4"/>
  <c r="Q497" i="4"/>
  <c r="Q525" i="4"/>
  <c r="Q496" i="4"/>
  <c r="Q495" i="4"/>
  <c r="Q524" i="4"/>
  <c r="Q494" i="4"/>
  <c r="Q26" i="4"/>
  <c r="Q493" i="4"/>
  <c r="Q492" i="4"/>
  <c r="Q491" i="4"/>
  <c r="Q38" i="4"/>
  <c r="Q490" i="4"/>
  <c r="Q489" i="4"/>
  <c r="Q488" i="4"/>
  <c r="Q523" i="4"/>
  <c r="Q522" i="4"/>
  <c r="Q521" i="4"/>
  <c r="Q520" i="4"/>
  <c r="Q487" i="4"/>
  <c r="Q389" i="4"/>
  <c r="Q510" i="4"/>
  <c r="Q486" i="4"/>
  <c r="Q485" i="4"/>
  <c r="Q533" i="4"/>
  <c r="Q484" i="4"/>
  <c r="Q483" i="4"/>
  <c r="Q482" i="4"/>
  <c r="Q532" i="4"/>
  <c r="Q519" i="4"/>
  <c r="Q531" i="4"/>
  <c r="Q481" i="4"/>
  <c r="Q411" i="4"/>
  <c r="Q518" i="4"/>
  <c r="Q480" i="4"/>
  <c r="Q410" i="4"/>
  <c r="Q479" i="4"/>
  <c r="Q409" i="4"/>
  <c r="Q478" i="4"/>
  <c r="Q517" i="4"/>
  <c r="Q477" i="4"/>
  <c r="Q476" i="4"/>
  <c r="Q509" i="4"/>
  <c r="Q408" i="4"/>
  <c r="Q560" i="4"/>
  <c r="Q559" i="4"/>
  <c r="Q558" i="4"/>
  <c r="Q557" i="4"/>
  <c r="Q475" i="4"/>
  <c r="Q315" i="4"/>
  <c r="Q474" i="4"/>
  <c r="Q556" i="4"/>
  <c r="Q555" i="4"/>
  <c r="Q554" i="4"/>
  <c r="Q553" i="4"/>
  <c r="Q552" i="4"/>
  <c r="Q473" i="4"/>
  <c r="Q472" i="4"/>
  <c r="Q25" i="4"/>
  <c r="Q471" i="4"/>
  <c r="Q551" i="4"/>
  <c r="Q470" i="4"/>
  <c r="Q37" i="4"/>
  <c r="Q530" i="4"/>
  <c r="Q469" i="4"/>
  <c r="Q468" i="4"/>
  <c r="Q550" i="4"/>
  <c r="Q467" i="4"/>
  <c r="Q466" i="4"/>
  <c r="Q549" i="4"/>
  <c r="Q24" i="4"/>
  <c r="Q465" i="4"/>
  <c r="Q464" i="4"/>
  <c r="Q463" i="4"/>
  <c r="Q462" i="4"/>
  <c r="Q548" i="4"/>
  <c r="Q438" i="4"/>
  <c r="Q461" i="4"/>
  <c r="Q460" i="4"/>
  <c r="Q547" i="4"/>
  <c r="Q459" i="4"/>
  <c r="Q573" i="4"/>
  <c r="Q564" i="4"/>
  <c r="Q458" i="4"/>
  <c r="Q457" i="4"/>
  <c r="Q572" i="4"/>
  <c r="Q546" i="4"/>
  <c r="Q456" i="4"/>
  <c r="Q455" i="4"/>
  <c r="Q289" i="4"/>
  <c r="Q545" i="4"/>
  <c r="Q516" i="4"/>
  <c r="Q454" i="4"/>
  <c r="Q544" i="4"/>
  <c r="Q453" i="4"/>
  <c r="Q452" i="4"/>
  <c r="Q563" i="4"/>
  <c r="Q543" i="4"/>
  <c r="Q542" i="4"/>
  <c r="Q571" i="4"/>
  <c r="Q515" i="4"/>
  <c r="Q451" i="4"/>
  <c r="Q541" i="4"/>
  <c r="Q577" i="4"/>
  <c r="Q540" i="4"/>
  <c r="Q13" i="4"/>
  <c r="Q576" i="4"/>
  <c r="Q574" i="4"/>
  <c r="Q529" i="4"/>
  <c r="Q575" i="4"/>
  <c r="Q570" i="4"/>
  <c r="Q539" i="4"/>
  <c r="Q569" i="4"/>
  <c r="Q538" i="4"/>
  <c r="Q562" i="4"/>
  <c r="Q537" i="4"/>
  <c r="Q582" i="4"/>
  <c r="Q581" i="4"/>
  <c r="Q568" i="4"/>
  <c r="Q580" i="4"/>
  <c r="Q567" i="4"/>
  <c r="Q566" i="4"/>
  <c r="Q400" i="4"/>
  <c r="Q579" i="4"/>
  <c r="Q565" i="4"/>
  <c r="Q578" i="4"/>
  <c r="Q536" i="4"/>
  <c r="Q535" i="4"/>
  <c r="Q534" i="4"/>
  <c r="Q528" i="4"/>
  <c r="G36" i="8"/>
  <c r="C36" i="8"/>
  <c r="B15" i="8"/>
  <c r="H4" i="8"/>
  <c r="I4" i="5"/>
  <c r="I5" i="5"/>
  <c r="I6" i="5"/>
  <c r="I8" i="5"/>
  <c r="I9" i="5"/>
  <c r="I10" i="5"/>
  <c r="I11" i="5"/>
  <c r="I12" i="5"/>
  <c r="I13" i="5"/>
  <c r="I14" i="5"/>
  <c r="I15" i="5"/>
  <c r="I16" i="5"/>
  <c r="I17" i="5"/>
  <c r="I18" i="5"/>
  <c r="I19" i="5"/>
  <c r="I20" i="5"/>
  <c r="I21" i="5"/>
  <c r="I3" i="5"/>
  <c r="I25" i="5"/>
  <c r="B25" i="8"/>
  <c r="C25" i="5"/>
  <c r="E24" i="5"/>
  <c r="D24" i="5"/>
  <c r="A6" i="24" l="1"/>
  <c r="A7" i="24" s="1"/>
  <c r="A8" i="24" s="1"/>
  <c r="A9" i="24" s="1"/>
  <c r="A10" i="24" s="1"/>
  <c r="A11" i="24" s="1"/>
  <c r="A12" i="24" s="1"/>
  <c r="A13" i="24" s="1"/>
  <c r="A14" i="24" s="1"/>
  <c r="A15" i="24" s="1"/>
  <c r="A16" i="24" s="1"/>
  <c r="A17" i="24" s="1"/>
  <c r="A18" i="24" s="1"/>
  <c r="A19" i="24" s="1"/>
  <c r="A20" i="24" s="1"/>
  <c r="A21" i="24" s="1"/>
  <c r="A22" i="24" s="1"/>
  <c r="A23" i="24" s="1"/>
  <c r="A24" i="24" s="1"/>
  <c r="A25" i="24" s="1"/>
  <c r="A26" i="24" s="1"/>
  <c r="A27" i="24" s="1"/>
  <c r="A28" i="24" s="1"/>
  <c r="A29" i="24" s="1"/>
  <c r="A30" i="24" s="1"/>
  <c r="A31" i="24" s="1"/>
  <c r="A32" i="24" s="1"/>
  <c r="A33" i="24" s="1"/>
  <c r="A34" i="24" s="1"/>
  <c r="A35" i="24" s="1"/>
  <c r="A36" i="24" s="1"/>
  <c r="A37" i="24" s="1"/>
  <c r="A38" i="24" s="1"/>
  <c r="A39" i="24" s="1"/>
  <c r="A40" i="24" s="1"/>
  <c r="A41" i="24" s="1"/>
  <c r="A42" i="24" s="1"/>
  <c r="A43" i="24" s="1"/>
  <c r="A44" i="24" s="1"/>
  <c r="A45" i="24" s="1"/>
  <c r="A46" i="24" s="1"/>
  <c r="A47" i="24" s="1"/>
  <c r="A48" i="24" s="1"/>
  <c r="A49" i="24" s="1"/>
  <c r="A50" i="24" s="1"/>
  <c r="A51" i="24" s="1"/>
  <c r="A52" i="24" s="1"/>
  <c r="A53" i="24" s="1"/>
  <c r="A54" i="24" s="1"/>
  <c r="A55" i="24" s="1"/>
  <c r="A56" i="24" s="1"/>
  <c r="A57" i="24" s="1"/>
  <c r="A58" i="24" s="1"/>
  <c r="A59" i="24" s="1"/>
  <c r="A60" i="24" s="1"/>
  <c r="A61" i="24" s="1"/>
  <c r="A62" i="24" s="1"/>
  <c r="A63" i="24" s="1"/>
  <c r="A64" i="24" s="1"/>
  <c r="A65" i="24" s="1"/>
  <c r="A66" i="24" s="1"/>
  <c r="A67" i="24" s="1"/>
  <c r="A68" i="24" s="1"/>
  <c r="A69" i="24" s="1"/>
  <c r="A70" i="24" s="1"/>
  <c r="A71" i="24" s="1"/>
  <c r="A72" i="24" s="1"/>
  <c r="A73" i="24" s="1"/>
  <c r="A74" i="24" s="1"/>
  <c r="A75" i="24" s="1"/>
  <c r="A76" i="24" s="1"/>
  <c r="A77" i="24" s="1"/>
  <c r="A78" i="24" s="1"/>
  <c r="A79" i="24" s="1"/>
  <c r="A80" i="24" s="1"/>
  <c r="A81" i="24" s="1"/>
  <c r="A82" i="24" s="1"/>
  <c r="A83" i="24" s="1"/>
  <c r="A84" i="24" s="1"/>
  <c r="A85" i="24" s="1"/>
  <c r="A86" i="24" s="1"/>
  <c r="A87" i="24" s="1"/>
  <c r="A88" i="24" s="1"/>
  <c r="A89" i="24" s="1"/>
  <c r="A90" i="24" s="1"/>
  <c r="A91" i="24" s="1"/>
  <c r="A92" i="24" s="1"/>
  <c r="A93" i="24" s="1"/>
  <c r="A94" i="24" s="1"/>
  <c r="A95" i="24" s="1"/>
  <c r="A96" i="24" s="1"/>
  <c r="A97" i="24" s="1"/>
  <c r="A98" i="24" s="1"/>
  <c r="A99" i="24" s="1"/>
  <c r="A100" i="24" s="1"/>
  <c r="A101" i="24" s="1"/>
  <c r="A102" i="24" s="1"/>
  <c r="A103" i="24" s="1"/>
  <c r="A104" i="24" s="1"/>
  <c r="A105" i="24" s="1"/>
  <c r="A106" i="24" s="1"/>
  <c r="A107" i="24" s="1"/>
  <c r="A108" i="24" s="1"/>
  <c r="A109" i="24" s="1"/>
  <c r="A110" i="24" s="1"/>
  <c r="A111" i="24" s="1"/>
  <c r="A112" i="24" s="1"/>
  <c r="A113" i="24" s="1"/>
  <c r="A114" i="24" s="1"/>
  <c r="A115" i="24" s="1"/>
  <c r="A116" i="24" s="1"/>
  <c r="A117" i="24" s="1"/>
  <c r="A118" i="24" s="1"/>
  <c r="A119" i="24" s="1"/>
  <c r="A120" i="24" s="1"/>
  <c r="A121" i="24" s="1"/>
  <c r="A122" i="24" s="1"/>
  <c r="A123" i="24" s="1"/>
  <c r="A124" i="24" s="1"/>
  <c r="A125" i="24" s="1"/>
  <c r="A126" i="24" s="1"/>
  <c r="A127" i="24" s="1"/>
  <c r="A128" i="24" s="1"/>
  <c r="A129" i="24" s="1"/>
  <c r="A130" i="24" s="1"/>
  <c r="A131" i="24" s="1"/>
  <c r="A132" i="24" s="1"/>
  <c r="A133" i="24" s="1"/>
  <c r="A134" i="24" s="1"/>
  <c r="A135" i="24" s="1"/>
  <c r="A136" i="24" s="1"/>
  <c r="A137" i="24" s="1"/>
  <c r="A138" i="24" s="1"/>
  <c r="A139" i="24" s="1"/>
  <c r="A140" i="24" s="1"/>
  <c r="A141" i="24" s="1"/>
  <c r="A142" i="24" s="1"/>
  <c r="A143" i="24" s="1"/>
  <c r="A144" i="24" s="1"/>
  <c r="A145" i="24" s="1"/>
  <c r="A146" i="24" s="1"/>
  <c r="A147" i="24" s="1"/>
  <c r="A148" i="24" s="1"/>
  <c r="A149" i="24" s="1"/>
  <c r="A150" i="24" s="1"/>
  <c r="A151" i="24" s="1"/>
  <c r="A152" i="24" s="1"/>
  <c r="A153" i="24" s="1"/>
  <c r="A154" i="24" s="1"/>
  <c r="A155" i="24" s="1"/>
  <c r="A156" i="24" s="1"/>
  <c r="A157" i="24" s="1"/>
  <c r="A158" i="24" s="1"/>
  <c r="A159" i="24" s="1"/>
  <c r="A160" i="24" s="1"/>
  <c r="A161" i="24" s="1"/>
  <c r="A162" i="24" s="1"/>
  <c r="A163" i="24" s="1"/>
  <c r="A164" i="24" s="1"/>
  <c r="A165" i="24" s="1"/>
  <c r="A166" i="24" s="1"/>
  <c r="A167" i="24" s="1"/>
  <c r="A168" i="24" s="1"/>
  <c r="A169" i="24" s="1"/>
  <c r="A170" i="24" s="1"/>
  <c r="A171" i="24" s="1"/>
  <c r="A172" i="24" s="1"/>
  <c r="A173" i="24" s="1"/>
  <c r="A174" i="24" s="1"/>
  <c r="A175" i="24" s="1"/>
  <c r="A176" i="24" s="1"/>
  <c r="A177" i="24" s="1"/>
  <c r="A178" i="24" s="1"/>
  <c r="A179" i="24" s="1"/>
  <c r="A180" i="24" s="1"/>
  <c r="A181" i="24" s="1"/>
  <c r="A182" i="24" s="1"/>
  <c r="A183" i="24" s="1"/>
  <c r="A184" i="24" s="1"/>
  <c r="A185" i="24" s="1"/>
  <c r="A186" i="24" s="1"/>
  <c r="A187" i="24" s="1"/>
  <c r="A188" i="24" s="1"/>
  <c r="A189" i="24" s="1"/>
  <c r="A190" i="24" s="1"/>
  <c r="A191" i="24" s="1"/>
  <c r="A192" i="24" s="1"/>
  <c r="A193" i="24" s="1"/>
  <c r="A194" i="24" s="1"/>
  <c r="A195" i="24" s="1"/>
  <c r="A196" i="24" s="1"/>
  <c r="A197" i="24" s="1"/>
  <c r="A198" i="24" s="1"/>
  <c r="A199" i="24" s="1"/>
  <c r="A200" i="24" s="1"/>
  <c r="A201" i="24" s="1"/>
  <c r="A202" i="24" s="1"/>
  <c r="A203" i="24" s="1"/>
  <c r="A204" i="24" s="1"/>
  <c r="A205" i="24" s="1"/>
  <c r="A206" i="24" s="1"/>
  <c r="A207" i="24" s="1"/>
  <c r="A208" i="24" s="1"/>
  <c r="A209" i="24" s="1"/>
  <c r="A210" i="24" s="1"/>
  <c r="A211" i="24" s="1"/>
  <c r="A212" i="24" s="1"/>
  <c r="A213" i="24" s="1"/>
  <c r="A214" i="24" s="1"/>
  <c r="A215" i="24" s="1"/>
  <c r="A216" i="24" s="1"/>
  <c r="A217" i="24" s="1"/>
  <c r="A218" i="24" s="1"/>
  <c r="A219" i="24" s="1"/>
  <c r="A220" i="24" s="1"/>
  <c r="A221" i="24" s="1"/>
  <c r="A222" i="24" s="1"/>
  <c r="A223" i="24" s="1"/>
  <c r="A224" i="24" s="1"/>
  <c r="A225" i="24" s="1"/>
  <c r="A226" i="24" s="1"/>
  <c r="A227" i="24" s="1"/>
  <c r="A228" i="24" s="1"/>
  <c r="A229" i="24" s="1"/>
  <c r="A230" i="24" s="1"/>
  <c r="A231" i="24" s="1"/>
  <c r="A232" i="24" s="1"/>
  <c r="A233" i="24" s="1"/>
  <c r="A234" i="24" s="1"/>
  <c r="A235" i="24" s="1"/>
  <c r="A236" i="24" s="1"/>
  <c r="A237" i="24" s="1"/>
  <c r="A238" i="24" s="1"/>
  <c r="A239" i="24" s="1"/>
  <c r="A240" i="24" s="1"/>
  <c r="A241" i="24" s="1"/>
  <c r="A242" i="24" s="1"/>
  <c r="A243" i="24" s="1"/>
  <c r="A244" i="24" s="1"/>
  <c r="A245" i="24" s="1"/>
  <c r="A246" i="24" s="1"/>
  <c r="A247" i="24" s="1"/>
  <c r="A248" i="24" s="1"/>
  <c r="A249" i="24" s="1"/>
  <c r="A250" i="24" s="1"/>
  <c r="A251" i="24" s="1"/>
  <c r="A252" i="24" s="1"/>
  <c r="A253" i="24" s="1"/>
  <c r="A254" i="24" s="1"/>
  <c r="A255" i="24" s="1"/>
  <c r="A256" i="24" s="1"/>
  <c r="A257" i="24" s="1"/>
  <c r="A258" i="24" s="1"/>
  <c r="A259" i="24" s="1"/>
  <c r="A260" i="24" s="1"/>
  <c r="A261" i="24" s="1"/>
  <c r="A262" i="24" s="1"/>
  <c r="A263" i="24" s="1"/>
  <c r="A264" i="24" s="1"/>
  <c r="A265" i="24" s="1"/>
  <c r="A266" i="24" s="1"/>
  <c r="A267" i="24" s="1"/>
  <c r="A268" i="24" s="1"/>
  <c r="A269" i="24" s="1"/>
  <c r="A270" i="24" s="1"/>
  <c r="A271" i="24" s="1"/>
  <c r="A272" i="24" s="1"/>
  <c r="A273" i="24" s="1"/>
  <c r="A274" i="24" s="1"/>
  <c r="A275" i="24" s="1"/>
  <c r="A276" i="24" s="1"/>
  <c r="A277" i="24" s="1"/>
  <c r="A278" i="24" s="1"/>
  <c r="A279" i="24" s="1"/>
  <c r="A280" i="24" s="1"/>
  <c r="A281" i="24" s="1"/>
  <c r="A282" i="24" s="1"/>
  <c r="A73" i="25"/>
  <c r="A74" i="25" s="1"/>
  <c r="A75" i="25" s="1"/>
  <c r="A76" i="25" s="1"/>
  <c r="A77" i="25" s="1"/>
  <c r="A78" i="25" s="1"/>
  <c r="A79" i="25" s="1"/>
  <c r="A80" i="25" s="1"/>
  <c r="A81" i="25" s="1"/>
  <c r="A82" i="25" s="1"/>
  <c r="A83" i="25" s="1"/>
  <c r="A84" i="25" s="1"/>
  <c r="A85" i="25" s="1"/>
  <c r="A86" i="25" s="1"/>
  <c r="A87" i="25" s="1"/>
  <c r="A88" i="25" s="1"/>
  <c r="A89" i="25" s="1"/>
  <c r="A90" i="25" s="1"/>
  <c r="A91" i="25" s="1"/>
  <c r="A92" i="25" s="1"/>
  <c r="A93" i="25" s="1"/>
  <c r="A94" i="25" s="1"/>
  <c r="A95" i="25" s="1"/>
  <c r="A96" i="25" s="1"/>
  <c r="A97" i="25" s="1"/>
  <c r="A98" i="25" s="1"/>
  <c r="A99" i="25" s="1"/>
  <c r="A100" i="25" s="1"/>
  <c r="A101" i="25" s="1"/>
  <c r="A102" i="25" s="1"/>
  <c r="A103" i="25" s="1"/>
  <c r="A104" i="25" s="1"/>
  <c r="A105" i="25" s="1"/>
  <c r="A106" i="25" s="1"/>
  <c r="A107" i="25" s="1"/>
  <c r="A108" i="25" s="1"/>
  <c r="A109" i="25" s="1"/>
  <c r="A110" i="25" s="1"/>
  <c r="A111" i="25" s="1"/>
  <c r="A112" i="25" s="1"/>
  <c r="A113" i="25" s="1"/>
  <c r="A114" i="25" s="1"/>
  <c r="A115" i="25" s="1"/>
  <c r="A116" i="25" s="1"/>
  <c r="A117" i="25" s="1"/>
  <c r="A118" i="25" s="1"/>
  <c r="A119" i="25" s="1"/>
  <c r="A120" i="25" s="1"/>
  <c r="A121" i="25" s="1"/>
  <c r="A122" i="25" s="1"/>
  <c r="A123" i="25" s="1"/>
  <c r="A124" i="25" s="1"/>
  <c r="A125" i="25" s="1"/>
  <c r="A126" i="25" s="1"/>
  <c r="A127" i="25" s="1"/>
  <c r="A128" i="25" s="1"/>
  <c r="A129" i="25" s="1"/>
  <c r="A130" i="25" s="1"/>
  <c r="A131" i="25" s="1"/>
  <c r="A132" i="25" s="1"/>
  <c r="A133" i="25" s="1"/>
  <c r="A134" i="25" s="1"/>
  <c r="A135" i="25" s="1"/>
  <c r="A136" i="25" s="1"/>
  <c r="A137" i="25" s="1"/>
  <c r="A138" i="25" s="1"/>
  <c r="A139" i="25" s="1"/>
  <c r="A140" i="25" s="1"/>
  <c r="A141" i="25" s="1"/>
  <c r="A142" i="25" s="1"/>
  <c r="A143" i="25" s="1"/>
  <c r="A144" i="25" s="1"/>
  <c r="A145" i="25" s="1"/>
  <c r="A146" i="25" s="1"/>
  <c r="A147" i="25" s="1"/>
  <c r="A148" i="25" s="1"/>
  <c r="A149" i="25" s="1"/>
  <c r="A150" i="25" s="1"/>
  <c r="A151" i="25" s="1"/>
  <c r="A152" i="25" s="1"/>
  <c r="A153" i="25" s="1"/>
  <c r="A154" i="25" s="1"/>
  <c r="A155" i="25" s="1"/>
  <c r="A156" i="25" s="1"/>
  <c r="A157" i="25" s="1"/>
  <c r="A158" i="25" s="1"/>
  <c r="A159" i="25" s="1"/>
  <c r="A160" i="25" s="1"/>
  <c r="A161" i="25" s="1"/>
  <c r="A162" i="25" s="1"/>
  <c r="A163" i="25" s="1"/>
  <c r="A164" i="25" s="1"/>
  <c r="A165" i="25" s="1"/>
  <c r="A166" i="25" s="1"/>
  <c r="A167" i="25" s="1"/>
  <c r="A168" i="25" s="1"/>
  <c r="A169" i="25" s="1"/>
  <c r="A170" i="25" s="1"/>
  <c r="A171" i="25" s="1"/>
  <c r="A172" i="25" s="1"/>
  <c r="A173" i="25" s="1"/>
  <c r="A174" i="25" s="1"/>
  <c r="A175" i="25" s="1"/>
  <c r="A176" i="25" s="1"/>
  <c r="A177" i="25" s="1"/>
  <c r="A178" i="25" s="1"/>
  <c r="A179" i="25" s="1"/>
  <c r="A180" i="25" s="1"/>
  <c r="A181" i="25" s="1"/>
  <c r="A182" i="25" s="1"/>
  <c r="A183" i="25" s="1"/>
  <c r="A184" i="25" s="1"/>
  <c r="A185" i="25" s="1"/>
  <c r="A186" i="25" s="1"/>
  <c r="A187" i="25" s="1"/>
  <c r="A188" i="25" s="1"/>
  <c r="A189" i="25" s="1"/>
  <c r="A190" i="25" s="1"/>
  <c r="A191" i="25" s="1"/>
  <c r="A192" i="25" s="1"/>
  <c r="A193" i="25" s="1"/>
  <c r="A194" i="25" s="1"/>
  <c r="A195" i="25" s="1"/>
  <c r="A196" i="25" s="1"/>
  <c r="A197" i="25" s="1"/>
  <c r="A198" i="25" s="1"/>
  <c r="A199" i="25" s="1"/>
  <c r="A200" i="25" s="1"/>
  <c r="A201" i="25" s="1"/>
  <c r="A202" i="25" s="1"/>
  <c r="A203" i="25" s="1"/>
  <c r="A204" i="25" s="1"/>
  <c r="A205" i="25" s="1"/>
  <c r="A206" i="25" s="1"/>
  <c r="A207" i="25" s="1"/>
  <c r="A208" i="25" s="1"/>
  <c r="A209" i="25" s="1"/>
  <c r="A210" i="25" s="1"/>
  <c r="A211" i="25" s="1"/>
  <c r="A212" i="25" s="1"/>
  <c r="A213" i="25" s="1"/>
  <c r="A214" i="25" s="1"/>
  <c r="A215" i="25" s="1"/>
  <c r="A216" i="25" s="1"/>
  <c r="A217" i="25" s="1"/>
  <c r="A218" i="25" s="1"/>
  <c r="A219" i="25" s="1"/>
  <c r="A220" i="25" s="1"/>
  <c r="A221" i="25" s="1"/>
  <c r="A222" i="25" s="1"/>
  <c r="A223" i="25" s="1"/>
  <c r="A224" i="25" s="1"/>
  <c r="A225" i="25" s="1"/>
  <c r="A226" i="25" s="1"/>
  <c r="A230" i="25" s="1"/>
  <c r="A231" i="25" s="1"/>
  <c r="A232" i="25" s="1"/>
  <c r="A233" i="25" s="1"/>
  <c r="A234" i="25" s="1"/>
  <c r="A235" i="25" s="1"/>
  <c r="A236" i="25" s="1"/>
  <c r="A237" i="25" s="1"/>
  <c r="A238" i="25" s="1"/>
  <c r="A239" i="25" s="1"/>
  <c r="A240" i="25" s="1"/>
  <c r="A241" i="25" s="1"/>
  <c r="A242" i="25" s="1"/>
  <c r="A243" i="25" s="1"/>
  <c r="A244" i="25" s="1"/>
  <c r="A245" i="25" s="1"/>
  <c r="A246" i="25" s="1"/>
  <c r="A247" i="25" s="1"/>
  <c r="A248" i="25" s="1"/>
  <c r="A249" i="25" s="1"/>
  <c r="A563" i="18"/>
  <c r="A564" i="18" s="1"/>
  <c r="A565" i="18" s="1"/>
  <c r="A566" i="18" s="1"/>
  <c r="A567" i="18" s="1"/>
  <c r="A568" i="18" s="1"/>
  <c r="A569" i="18" s="1"/>
  <c r="A570" i="18" s="1"/>
  <c r="A571" i="18" s="1"/>
  <c r="A572" i="18" s="1"/>
  <c r="A573" i="18" s="1"/>
  <c r="A574" i="18" s="1"/>
  <c r="A575" i="18" s="1"/>
  <c r="A576" i="18" s="1"/>
  <c r="A577" i="18" s="1"/>
  <c r="A578" i="18" s="1"/>
  <c r="A579" i="18" s="1"/>
  <c r="A580" i="18" s="1"/>
  <c r="A581" i="18" s="1"/>
  <c r="A582" i="18" s="1"/>
  <c r="A583" i="18" s="1"/>
  <c r="A584" i="18" s="1"/>
  <c r="A585" i="18" s="1"/>
  <c r="A586" i="18" s="1"/>
  <c r="A587" i="18" s="1"/>
  <c r="A588" i="18" s="1"/>
  <c r="A589" i="18" s="1"/>
  <c r="A590" i="18" s="1"/>
  <c r="A591" i="18" s="1"/>
  <c r="A592" i="18" s="1"/>
  <c r="A593" i="18" s="1"/>
  <c r="A594" i="18" s="1"/>
  <c r="A595" i="18" s="1"/>
  <c r="A596" i="18" s="1"/>
  <c r="A597" i="18" s="1"/>
  <c r="A598" i="18" s="1"/>
  <c r="A599" i="18" s="1"/>
  <c r="A600" i="18" s="1"/>
  <c r="A601" i="18" s="1"/>
  <c r="A602" i="18" s="1"/>
  <c r="A603" i="18" s="1"/>
  <c r="A604" i="18" s="1"/>
  <c r="A605" i="18" s="1"/>
  <c r="A606" i="18" s="1"/>
  <c r="A607" i="18" s="1"/>
  <c r="A608" i="18" s="1"/>
  <c r="A609" i="18" s="1"/>
  <c r="A610" i="18" s="1"/>
  <c r="A611" i="18" s="1"/>
  <c r="A612" i="18" s="1"/>
  <c r="A613" i="18" s="1"/>
  <c r="A614" i="18" s="1"/>
  <c r="A615" i="18" s="1"/>
  <c r="A616" i="18" s="1"/>
  <c r="A617" i="18" s="1"/>
  <c r="A618" i="18" s="1"/>
  <c r="A619" i="18" s="1"/>
  <c r="A620" i="18" s="1"/>
  <c r="A621" i="18" s="1"/>
  <c r="A622" i="18" s="1"/>
  <c r="A623" i="18" s="1"/>
  <c r="A624" i="18" s="1"/>
  <c r="A625" i="18" s="1"/>
  <c r="A626" i="18" s="1"/>
  <c r="A627" i="18" s="1"/>
  <c r="A628" i="18" s="1"/>
  <c r="A629" i="18" l="1"/>
  <c r="A630" i="18" s="1"/>
  <c r="A631" i="18" s="1"/>
  <c r="A632" i="18" s="1"/>
  <c r="A633" i="18" s="1"/>
  <c r="A634" i="18" s="1"/>
  <c r="A635" i="18" s="1"/>
  <c r="A636" i="18" s="1"/>
  <c r="A637" i="18" s="1"/>
  <c r="A638" i="18" s="1"/>
  <c r="A639" i="18" s="1"/>
  <c r="A640" i="18" s="1"/>
  <c r="A641" i="18" s="1"/>
  <c r="A642" i="18" s="1"/>
  <c r="A643" i="18" s="1"/>
  <c r="A644" i="18" s="1"/>
  <c r="A645" i="18" s="1"/>
  <c r="A646" i="18" s="1"/>
  <c r="A647" i="18" s="1"/>
  <c r="A648" i="18" s="1"/>
  <c r="A649" i="18" s="1"/>
  <c r="A650" i="18" s="1"/>
  <c r="A651" i="18" s="1"/>
  <c r="A652" i="18" s="1"/>
  <c r="A653" i="18" s="1"/>
  <c r="A654" i="18" s="1"/>
  <c r="A655" i="18" s="1"/>
  <c r="A656" i="18" s="1"/>
  <c r="A657" i="18" s="1"/>
  <c r="A658" i="18" s="1"/>
  <c r="A659" i="18" s="1"/>
  <c r="A660" i="18" s="1"/>
  <c r="A661" i="18" s="1"/>
  <c r="A662" i="18" s="1"/>
  <c r="A663" i="18" s="1"/>
  <c r="A664" i="18" s="1"/>
  <c r="A665" i="18" s="1"/>
  <c r="A666" i="18" s="1"/>
  <c r="A667" i="18" s="1"/>
  <c r="A668" i="18" s="1"/>
  <c r="A669" i="18" s="1"/>
  <c r="A670" i="18" s="1"/>
  <c r="A671" i="18" s="1"/>
  <c r="A672" i="18" s="1"/>
  <c r="A673" i="18" s="1"/>
  <c r="A674" i="18" s="1"/>
  <c r="A675" i="18" s="1"/>
  <c r="A676" i="18" s="1"/>
  <c r="A677" i="18" s="1"/>
  <c r="A678" i="18" s="1"/>
  <c r="A679" i="18" s="1"/>
  <c r="A680" i="18" s="1"/>
  <c r="A681" i="18" s="1"/>
  <c r="A682" i="18" s="1"/>
  <c r="A683" i="18" s="1"/>
  <c r="A684" i="18" s="1"/>
  <c r="A685" i="18" s="1"/>
  <c r="A686" i="18" s="1"/>
  <c r="A687" i="18" s="1"/>
  <c r="A688" i="18" s="1"/>
  <c r="A689" i="18" s="1"/>
  <c r="A690" i="18" s="1"/>
  <c r="A691" i="18" s="1"/>
  <c r="A692" i="18" s="1"/>
  <c r="A693" i="18" s="1"/>
  <c r="A694" i="18" s="1"/>
  <c r="A695" i="18" s="1"/>
  <c r="A696" i="18" s="1"/>
  <c r="A697" i="18" s="1"/>
  <c r="A698" i="18" s="1"/>
  <c r="A699" i="18" s="1"/>
  <c r="A700" i="18" s="1"/>
  <c r="A701" i="18" s="1"/>
  <c r="A702" i="18" s="1"/>
  <c r="A703" i="18" s="1"/>
  <c r="A704" i="18" s="1"/>
  <c r="A705" i="18" s="1"/>
  <c r="A706" i="18" s="1"/>
  <c r="A707" i="18" s="1"/>
  <c r="A708" i="18" s="1"/>
  <c r="A709" i="18" s="1"/>
  <c r="A710" i="18" s="1"/>
  <c r="A711" i="18" s="1"/>
  <c r="A712" i="18" s="1"/>
  <c r="A713" i="18" s="1"/>
  <c r="A714" i="18" s="1"/>
  <c r="A715" i="18" s="1"/>
  <c r="A716" i="18" s="1"/>
  <c r="A717" i="18" s="1"/>
  <c r="A718" i="18" s="1"/>
  <c r="A719" i="18" s="1"/>
  <c r="A720" i="18" s="1"/>
  <c r="A721" i="18" s="1"/>
  <c r="A722" i="18" s="1"/>
  <c r="A723" i="18" s="1"/>
  <c r="A724" i="18" s="1"/>
  <c r="A725" i="18" s="1"/>
  <c r="A726" i="18" s="1"/>
  <c r="A727" i="18" s="1"/>
  <c r="A728" i="18" s="1"/>
  <c r="A729" i="18" s="1"/>
  <c r="A730" i="18" s="1"/>
  <c r="A731" i="18" s="1"/>
  <c r="A732" i="18" s="1"/>
  <c r="A733" i="18" s="1"/>
  <c r="A734" i="18" s="1"/>
  <c r="A735" i="18" s="1"/>
  <c r="A736" i="18" s="1"/>
  <c r="A737" i="18" s="1"/>
  <c r="A738" i="18" s="1"/>
  <c r="A739" i="18" s="1"/>
  <c r="A740" i="18" s="1"/>
  <c r="A741" i="18" s="1"/>
  <c r="A742" i="18" s="1"/>
  <c r="A743" i="18" s="1"/>
  <c r="A744" i="18" s="1"/>
  <c r="A745" i="18" s="1"/>
  <c r="A746" i="18" s="1"/>
  <c r="A747" i="18" s="1"/>
  <c r="A748" i="18" s="1"/>
  <c r="A749" i="18" s="1"/>
  <c r="A750" i="18" s="1"/>
  <c r="A751" i="18" s="1"/>
  <c r="A752" i="18" s="1"/>
  <c r="A753" i="18" s="1"/>
  <c r="A754" i="18" s="1"/>
  <c r="A755" i="18" s="1"/>
  <c r="A756" i="18" s="1"/>
  <c r="A757" i="18" s="1"/>
  <c r="A758" i="18" s="1"/>
  <c r="A759" i="18" s="1"/>
  <c r="A760" i="18" s="1"/>
  <c r="A761" i="18" s="1"/>
  <c r="A762" i="18" s="1"/>
  <c r="A763" i="18" s="1"/>
  <c r="A764" i="18" s="1"/>
  <c r="A765" i="18" s="1"/>
  <c r="A766" i="18" s="1"/>
  <c r="A767" i="18" s="1"/>
  <c r="A768" i="18" s="1"/>
  <c r="A769" i="18" s="1"/>
  <c r="A770" i="18" s="1"/>
  <c r="A771" i="18" s="1"/>
  <c r="A772" i="18" s="1"/>
  <c r="A773" i="18" s="1"/>
  <c r="A774" i="18" s="1"/>
  <c r="A775" i="18" s="1"/>
  <c r="A776" i="18" s="1"/>
  <c r="A777" i="18" s="1"/>
  <c r="A778" i="18" s="1"/>
  <c r="A779" i="18" s="1"/>
  <c r="A780" i="18" s="1"/>
  <c r="A781" i="18" l="1"/>
  <c r="A782" i="18" s="1"/>
  <c r="A783" i="18" s="1"/>
  <c r="A784" i="18" s="1"/>
  <c r="A785" i="18" s="1"/>
  <c r="A786" i="18" s="1"/>
  <c r="A787" i="18" s="1"/>
  <c r="A788" i="18" s="1"/>
  <c r="A789" i="18" s="1"/>
  <c r="A790" i="18" s="1"/>
  <c r="A791" i="18" s="1"/>
  <c r="A792" i="18" s="1"/>
  <c r="A793" i="18" s="1"/>
  <c r="A794" i="18" s="1"/>
  <c r="A795" i="18" s="1"/>
  <c r="A796" i="18" s="1"/>
  <c r="A797" i="18" s="1"/>
  <c r="A798" i="18" s="1"/>
  <c r="A799" i="18" s="1"/>
  <c r="A800" i="18" s="1"/>
  <c r="A801" i="18" s="1"/>
  <c r="A802" i="18" s="1"/>
  <c r="A803" i="18" s="1"/>
  <c r="A804" i="18" s="1"/>
  <c r="A805" i="18" s="1"/>
  <c r="A806" i="18" s="1"/>
  <c r="A807" i="18" s="1"/>
  <c r="A808" i="18" s="1"/>
  <c r="A809" i="18" s="1"/>
  <c r="A810" i="18" s="1"/>
  <c r="A811" i="18" s="1"/>
  <c r="A812" i="18" s="1"/>
  <c r="A813" i="18" s="1"/>
  <c r="A814" i="18" s="1"/>
  <c r="A815" i="18" s="1"/>
  <c r="A816" i="18" s="1"/>
  <c r="A817" i="18" s="1"/>
  <c r="A818" i="18" s="1"/>
  <c r="A819" i="18" s="1"/>
  <c r="A820" i="18" s="1"/>
  <c r="A821" i="18" s="1"/>
  <c r="A822" i="18" s="1"/>
  <c r="A823" i="18" s="1"/>
  <c r="A824" i="18" s="1"/>
  <c r="A825" i="18" s="1"/>
  <c r="A826" i="18" s="1"/>
  <c r="A827" i="18" s="1"/>
  <c r="A828" i="18" s="1"/>
  <c r="A829" i="18" s="1"/>
  <c r="A830" i="18" s="1"/>
  <c r="A831" i="18" s="1"/>
  <c r="A832" i="18" s="1"/>
  <c r="A833" i="18" s="1"/>
  <c r="A834" i="18" s="1"/>
  <c r="A835" i="18" s="1"/>
  <c r="A836" i="18" s="1"/>
  <c r="A837" i="18" s="1"/>
  <c r="A838" i="18" s="1"/>
  <c r="A839" i="18" s="1"/>
  <c r="A840" i="18" s="1"/>
  <c r="A841" i="18" s="1"/>
  <c r="A842" i="18" s="1"/>
  <c r="A843" i="18" s="1"/>
  <c r="A844" i="18" s="1"/>
  <c r="A845" i="18" s="1"/>
  <c r="A846" i="18" s="1"/>
  <c r="A847" i="18" s="1"/>
  <c r="A848" i="18" s="1"/>
  <c r="A849" i="18" s="1"/>
  <c r="A850" i="18" s="1"/>
  <c r="A851" i="18" s="1"/>
  <c r="A852" i="18" s="1"/>
  <c r="A853" i="18" s="1"/>
  <c r="A854" i="18" s="1"/>
  <c r="A855" i="18" s="1"/>
  <c r="A856" i="18" s="1"/>
  <c r="A857" i="18" s="1"/>
  <c r="A858" i="18" s="1"/>
  <c r="A859" i="18" s="1"/>
  <c r="A860" i="18" s="1"/>
  <c r="A861" i="18" s="1"/>
  <c r="A862" i="18" s="1"/>
  <c r="A863" i="18" s="1"/>
  <c r="A864" i="18" s="1"/>
  <c r="A865" i="18" s="1"/>
  <c r="A866" i="18" s="1"/>
  <c r="A867" i="18" s="1"/>
  <c r="A868" i="18" s="1"/>
  <c r="A869" i="18" s="1"/>
  <c r="A870" i="18" s="1"/>
  <c r="A871" i="18" s="1"/>
  <c r="A872" i="18" s="1"/>
  <c r="A873" i="18" s="1"/>
  <c r="A874" i="18" s="1"/>
  <c r="A875" i="18" s="1"/>
  <c r="A876" i="18" s="1"/>
  <c r="A877" i="18" s="1"/>
  <c r="A878" i="18" s="1"/>
  <c r="A879" i="18" s="1"/>
  <c r="A880" i="18" s="1"/>
  <c r="A881" i="18" s="1"/>
  <c r="A882" i="18" s="1"/>
  <c r="A883" i="18" s="1"/>
  <c r="A9" i="20"/>
  <c r="A10" i="20"/>
  <c r="A11" i="20" s="1"/>
  <c r="A12" i="20" s="1"/>
  <c r="A13" i="20" s="1"/>
  <c r="A14" i="20" s="1"/>
  <c r="A15" i="20" s="1"/>
  <c r="A16" i="20" s="1"/>
  <c r="A17" i="20" s="1"/>
  <c r="A18" i="20" s="1"/>
  <c r="A19" i="20" s="1"/>
  <c r="A20" i="20" s="1"/>
  <c r="A21" i="20" s="1"/>
  <c r="A22" i="20" s="1"/>
  <c r="A23" i="20" s="1"/>
  <c r="A24" i="20" s="1"/>
  <c r="A25" i="20" s="1"/>
  <c r="A26" i="20" s="1"/>
  <c r="A27" i="20" s="1"/>
  <c r="A28" i="20" s="1"/>
  <c r="A29" i="20" s="1"/>
  <c r="A30" i="20" s="1"/>
  <c r="A31" i="20" s="1"/>
  <c r="A32" i="20" s="1"/>
  <c r="A33" i="20" s="1"/>
  <c r="A34" i="20" s="1"/>
  <c r="A35" i="20" s="1"/>
  <c r="A36" i="20" s="1"/>
  <c r="A37" i="20" s="1"/>
  <c r="A38" i="20" s="1"/>
  <c r="A39" i="20" s="1"/>
  <c r="A40" i="20" s="1"/>
  <c r="A41" i="20" s="1"/>
  <c r="A42" i="20" s="1"/>
  <c r="A43" i="20" s="1"/>
  <c r="A44" i="20" s="1"/>
  <c r="A45" i="20" s="1"/>
  <c r="A46" i="20" s="1"/>
  <c r="A47" i="20" s="1"/>
  <c r="A48" i="20" s="1"/>
  <c r="A49" i="20" s="1"/>
  <c r="A50" i="20" s="1"/>
  <c r="A51" i="20" s="1"/>
  <c r="A52" i="20" s="1"/>
  <c r="A53" i="20" s="1"/>
  <c r="A54" i="20" s="1"/>
  <c r="A55" i="20" s="1"/>
  <c r="A56" i="20" s="1"/>
  <c r="A57" i="20" s="1"/>
  <c r="A58" i="20" s="1"/>
  <c r="A59" i="20" s="1"/>
  <c r="A60" i="20" s="1"/>
  <c r="A61" i="20" s="1"/>
  <c r="A62" i="20" s="1"/>
  <c r="A63" i="20" s="1"/>
  <c r="A64" i="20" s="1"/>
  <c r="A65" i="20" s="1"/>
  <c r="A66" i="20" s="1"/>
  <c r="A67" i="20" s="1"/>
  <c r="A68" i="20" s="1"/>
  <c r="A69" i="20" s="1"/>
  <c r="A70" i="20" s="1"/>
  <c r="A71" i="20" s="1"/>
  <c r="A72" i="20" s="1"/>
  <c r="A73" i="20" s="1"/>
  <c r="A74" i="20" s="1"/>
  <c r="A75" i="20" s="1"/>
  <c r="A76" i="20" s="1"/>
  <c r="A77" i="20" s="1"/>
  <c r="A5" i="19"/>
  <c r="A6" i="19"/>
  <c r="A7" i="19"/>
  <c r="A8" i="19"/>
  <c r="A9" i="19"/>
  <c r="A10" i="19"/>
  <c r="A11" i="19"/>
  <c r="A12" i="19"/>
  <c r="A13" i="19"/>
  <c r="A14" i="19"/>
  <c r="A15" i="19"/>
  <c r="A16" i="19"/>
  <c r="A17" i="19"/>
  <c r="A18" i="19"/>
  <c r="A19" i="19"/>
  <c r="A20" i="19" s="1"/>
  <c r="A21" i="19" s="1"/>
  <c r="A22" i="19" s="1"/>
  <c r="A23" i="19" s="1"/>
  <c r="A24" i="19" s="1"/>
  <c r="A25" i="19" s="1"/>
  <c r="A26" i="19" s="1"/>
  <c r="A27" i="19" s="1"/>
  <c r="A28" i="19" s="1"/>
  <c r="A29" i="19" s="1"/>
  <c r="A30" i="19" s="1"/>
  <c r="A31" i="19" s="1"/>
  <c r="A32" i="19" s="1"/>
  <c r="A33" i="19" s="1"/>
  <c r="A34" i="19" s="1"/>
  <c r="A35" i="19" s="1"/>
  <c r="A36" i="19" s="1"/>
  <c r="A37" i="19" s="1"/>
  <c r="A38" i="19" s="1"/>
  <c r="A39" i="19" s="1"/>
  <c r="A40" i="19" s="1"/>
  <c r="A41" i="19" s="1"/>
  <c r="A42" i="19" s="1"/>
  <c r="A43" i="19" s="1"/>
  <c r="A44" i="19" s="1"/>
  <c r="A45" i="19" s="1"/>
  <c r="A46" i="19" s="1"/>
  <c r="A47" i="19" s="1"/>
  <c r="A48" i="19" s="1"/>
  <c r="A49" i="19" s="1"/>
  <c r="A50" i="19" s="1"/>
  <c r="A51" i="19" s="1"/>
  <c r="A52" i="19" s="1"/>
  <c r="A53" i="19" s="1"/>
  <c r="A54" i="19" s="1"/>
  <c r="A55" i="19" s="1"/>
  <c r="A56" i="19" s="1"/>
  <c r="A57" i="19" s="1"/>
  <c r="A58" i="19" s="1"/>
  <c r="A59" i="19" s="1"/>
  <c r="A60" i="19" s="1"/>
  <c r="A61" i="19" s="1"/>
  <c r="A62" i="19" s="1"/>
  <c r="A63" i="19" s="1"/>
  <c r="A64" i="19" s="1"/>
  <c r="A65" i="19" s="1"/>
  <c r="A66" i="19" s="1"/>
  <c r="A89" i="20" l="1"/>
  <c r="A90" i="20"/>
  <c r="A91" i="20"/>
  <c r="A92" i="20"/>
  <c r="A93" i="20"/>
  <c r="A94" i="20"/>
  <c r="A95" i="20"/>
  <c r="A96" i="20"/>
  <c r="A97" i="20"/>
  <c r="A98" i="20"/>
  <c r="A99" i="20"/>
  <c r="A100" i="20"/>
  <c r="A101" i="20"/>
  <c r="A102" i="20"/>
  <c r="A103" i="20"/>
  <c r="A104" i="20"/>
  <c r="A105" i="20"/>
  <c r="A106" i="20"/>
  <c r="A107" i="20"/>
  <c r="A108" i="20"/>
  <c r="A109" i="20"/>
  <c r="A110" i="20"/>
  <c r="A111" i="20"/>
  <c r="A112" i="20"/>
  <c r="A113" i="20"/>
  <c r="A114" i="20"/>
  <c r="A115" i="20"/>
  <c r="A116" i="20"/>
  <c r="A117" i="20"/>
  <c r="A118" i="20"/>
  <c r="A119" i="20"/>
  <c r="A120" i="20"/>
  <c r="A121" i="20"/>
  <c r="A122" i="20"/>
  <c r="A123" i="20"/>
  <c r="A124" i="20"/>
  <c r="A125" i="20"/>
  <c r="A126" i="20"/>
  <c r="A127" i="20"/>
  <c r="A128" i="20"/>
  <c r="A129" i="20"/>
  <c r="A130" i="20"/>
  <c r="A131" i="20"/>
  <c r="A132" i="20"/>
  <c r="A133" i="20"/>
  <c r="A134" i="20"/>
  <c r="A135" i="20"/>
  <c r="A136" i="20"/>
  <c r="A137" i="20"/>
  <c r="A138" i="20"/>
  <c r="A139" i="20"/>
  <c r="A140" i="20"/>
  <c r="A141" i="20"/>
  <c r="A142" i="20"/>
  <c r="A143" i="20"/>
  <c r="A144" i="20"/>
  <c r="A145" i="20"/>
  <c r="A146" i="20"/>
  <c r="A147" i="20"/>
  <c r="A148" i="20"/>
  <c r="A149" i="20"/>
  <c r="A150" i="20"/>
  <c r="A151" i="20"/>
  <c r="A152" i="20"/>
  <c r="A153" i="20"/>
  <c r="A154" i="20"/>
  <c r="A155" i="20"/>
  <c r="A156" i="20"/>
  <c r="A157" i="20"/>
  <c r="A158" i="20"/>
  <c r="A159" i="20"/>
  <c r="A160" i="20"/>
  <c r="A161" i="20"/>
  <c r="A162" i="20"/>
  <c r="A163" i="20"/>
  <c r="A164" i="20"/>
  <c r="A165" i="20"/>
  <c r="A166" i="20"/>
  <c r="A167" i="20"/>
  <c r="A168" i="20"/>
  <c r="A169" i="20"/>
  <c r="A170" i="20"/>
  <c r="A171" i="20"/>
  <c r="A172" i="20"/>
  <c r="A173" i="20"/>
  <c r="A174" i="20"/>
  <c r="A175" i="20"/>
  <c r="A176" i="20"/>
  <c r="A177" i="20"/>
  <c r="A178" i="20"/>
  <c r="A179" i="20"/>
  <c r="A180" i="20"/>
  <c r="A181" i="20"/>
  <c r="A182" i="20"/>
  <c r="A183" i="20"/>
  <c r="A184" i="20"/>
  <c r="A185" i="20"/>
  <c r="A186" i="20"/>
  <c r="A187" i="20"/>
  <c r="A188" i="20"/>
  <c r="A189" i="20"/>
  <c r="A190" i="20"/>
  <c r="A191" i="20"/>
  <c r="A192" i="20"/>
  <c r="A193" i="20"/>
  <c r="A194" i="20"/>
  <c r="A195" i="20"/>
  <c r="A196" i="20"/>
  <c r="A197" i="20"/>
  <c r="A198" i="20"/>
  <c r="A199" i="20"/>
  <c r="A200" i="20"/>
  <c r="A201" i="20"/>
  <c r="A202" i="20"/>
  <c r="A203" i="20"/>
  <c r="A204" i="20"/>
  <c r="A205" i="20"/>
  <c r="A206" i="20"/>
  <c r="A207" i="20"/>
  <c r="A208" i="20"/>
  <c r="A209" i="20"/>
  <c r="A210" i="20"/>
  <c r="A211" i="20"/>
  <c r="A212" i="20"/>
  <c r="A213" i="20"/>
  <c r="A214" i="20"/>
  <c r="A215" i="20"/>
  <c r="A216" i="20"/>
  <c r="A217" i="20"/>
  <c r="A218" i="20"/>
  <c r="A219" i="20"/>
  <c r="A220" i="20"/>
  <c r="A221" i="20"/>
  <c r="A222" i="20"/>
  <c r="A223" i="20"/>
  <c r="A224" i="20"/>
  <c r="A225" i="20"/>
  <c r="A226" i="20"/>
  <c r="A227" i="20"/>
  <c r="A228" i="20"/>
  <c r="A229" i="20"/>
  <c r="A230" i="20"/>
  <c r="A231" i="20"/>
  <c r="A232" i="20"/>
  <c r="A233" i="20"/>
  <c r="A234" i="20"/>
  <c r="A235" i="20"/>
  <c r="A236" i="20"/>
  <c r="A237" i="20"/>
  <c r="A238" i="20"/>
  <c r="A239" i="20"/>
  <c r="A240" i="20"/>
  <c r="A241" i="20"/>
  <c r="A242" i="20"/>
  <c r="A243" i="20"/>
  <c r="A244" i="20"/>
  <c r="A245" i="20"/>
  <c r="A246" i="20"/>
  <c r="A247" i="20"/>
  <c r="A248" i="20"/>
  <c r="A249" i="20"/>
  <c r="A250" i="20"/>
  <c r="A251" i="20"/>
  <c r="A252" i="20"/>
  <c r="A253" i="20"/>
  <c r="A254" i="20"/>
  <c r="A255" i="20"/>
  <c r="A256" i="20"/>
  <c r="A257" i="20"/>
  <c r="A258" i="20"/>
  <c r="A259" i="20"/>
  <c r="A260" i="20"/>
  <c r="A261" i="20"/>
  <c r="A262" i="20"/>
  <c r="A263" i="20"/>
  <c r="A264" i="20"/>
  <c r="A265" i="20"/>
  <c r="A266" i="20"/>
  <c r="A267" i="20"/>
  <c r="A268" i="20"/>
  <c r="A269" i="20"/>
  <c r="A270" i="20"/>
  <c r="A271" i="20"/>
  <c r="A272" i="20"/>
  <c r="A273" i="20"/>
  <c r="A274" i="20"/>
  <c r="A275" i="20"/>
  <c r="A276" i="20"/>
  <c r="A277" i="20"/>
  <c r="A278" i="20"/>
  <c r="A279" i="20"/>
  <c r="A280" i="20"/>
  <c r="A281" i="20"/>
  <c r="A282" i="20"/>
  <c r="A283" i="20"/>
  <c r="A284" i="20"/>
  <c r="A285" i="20"/>
  <c r="A286" i="20"/>
  <c r="A287" i="20"/>
  <c r="A288" i="20"/>
  <c r="A289" i="20"/>
  <c r="A290" i="20"/>
  <c r="A291" i="20"/>
  <c r="A292" i="20"/>
  <c r="A293" i="20"/>
  <c r="A294" i="20"/>
  <c r="A295" i="20"/>
  <c r="A296" i="20"/>
  <c r="A297" i="20"/>
  <c r="A298" i="20"/>
  <c r="A299" i="20"/>
  <c r="A300" i="20"/>
  <c r="A301" i="20"/>
  <c r="A302" i="20"/>
  <c r="A303" i="20"/>
  <c r="A304" i="20"/>
  <c r="A305" i="20"/>
  <c r="A306" i="20"/>
  <c r="A307" i="20"/>
  <c r="A308" i="20"/>
  <c r="A309" i="20"/>
  <c r="A310" i="20"/>
  <c r="A311" i="20"/>
  <c r="A312" i="20"/>
  <c r="A313" i="20"/>
  <c r="A314" i="20"/>
  <c r="A315" i="20"/>
  <c r="A316" i="20"/>
  <c r="A317" i="20"/>
  <c r="A318" i="20"/>
  <c r="A319" i="20"/>
  <c r="A320" i="20"/>
  <c r="A321" i="20"/>
  <c r="A322" i="20"/>
  <c r="A323" i="20"/>
  <c r="A324" i="20"/>
  <c r="A325" i="20"/>
  <c r="A326" i="20"/>
  <c r="A327" i="20"/>
  <c r="A328" i="20"/>
  <c r="A329" i="20"/>
  <c r="A330" i="20"/>
  <c r="A331" i="20"/>
  <c r="A332" i="20"/>
  <c r="A333" i="20"/>
  <c r="A334" i="20"/>
  <c r="A335" i="20"/>
  <c r="A336" i="20"/>
  <c r="A337" i="20"/>
  <c r="A338" i="20"/>
  <c r="A339" i="20"/>
  <c r="A340" i="20"/>
  <c r="A341" i="20"/>
  <c r="A342" i="20"/>
  <c r="A343" i="20"/>
  <c r="A344" i="20"/>
  <c r="A345" i="20"/>
  <c r="A346" i="20"/>
  <c r="A347" i="20"/>
  <c r="A348" i="20"/>
  <c r="A349" i="20"/>
  <c r="A95" i="19"/>
  <c r="A96" i="19"/>
  <c r="A97" i="19"/>
  <c r="A98" i="19"/>
  <c r="A99" i="19"/>
  <c r="A100" i="19"/>
  <c r="A101" i="19"/>
  <c r="A102" i="19"/>
  <c r="A103" i="19"/>
  <c r="A495" i="19"/>
  <c r="A79" i="20"/>
  <c r="A80" i="20"/>
  <c r="A81" i="20"/>
  <c r="A82" i="20"/>
  <c r="A83" i="20"/>
  <c r="A84" i="20"/>
  <c r="A85" i="20"/>
  <c r="A86" i="20"/>
  <c r="A87" i="20"/>
  <c r="A78" i="20"/>
  <c r="A88" i="20"/>
  <c r="A67" i="19"/>
  <c r="A68" i="19"/>
  <c r="A69" i="19"/>
  <c r="A70" i="19"/>
  <c r="A71" i="19"/>
  <c r="A72" i="19"/>
  <c r="A73" i="19"/>
  <c r="A74" i="19"/>
  <c r="A75" i="19"/>
  <c r="A76" i="19"/>
  <c r="A77" i="19"/>
  <c r="A78" i="19"/>
  <c r="A79" i="19"/>
  <c r="A80" i="19"/>
  <c r="A81" i="19"/>
  <c r="A82" i="19"/>
  <c r="A83" i="19"/>
  <c r="A84" i="19"/>
  <c r="A85" i="19"/>
  <c r="A86" i="19"/>
  <c r="A87" i="19"/>
  <c r="A88" i="19"/>
  <c r="A89" i="19"/>
  <c r="A90" i="19"/>
  <c r="A91" i="19"/>
  <c r="A92" i="19"/>
  <c r="A93" i="19"/>
  <c r="A94" i="19"/>
  <c r="A104" i="19"/>
  <c r="A105" i="19"/>
  <c r="A106" i="19"/>
  <c r="A107" i="19"/>
  <c r="A108" i="19"/>
  <c r="A109" i="19"/>
  <c r="A110" i="19"/>
  <c r="A111" i="19"/>
  <c r="A112" i="19"/>
  <c r="A113" i="19"/>
  <c r="A114" i="19"/>
  <c r="A115" i="19"/>
  <c r="A116" i="19"/>
  <c r="A117" i="19"/>
  <c r="A118" i="19"/>
  <c r="A119" i="19"/>
  <c r="A120" i="19"/>
  <c r="A121" i="19"/>
  <c r="A122" i="19"/>
  <c r="A123" i="19"/>
  <c r="A124" i="19"/>
  <c r="A125" i="19"/>
  <c r="A126" i="19"/>
  <c r="A127" i="19"/>
  <c r="A128" i="19"/>
  <c r="A129" i="19"/>
  <c r="A130" i="19"/>
  <c r="A131" i="19"/>
  <c r="A132" i="19"/>
  <c r="A133" i="19"/>
  <c r="A134" i="19"/>
  <c r="A135" i="19"/>
  <c r="A136" i="19"/>
  <c r="A137" i="19"/>
  <c r="A138" i="19"/>
  <c r="A139" i="19"/>
  <c r="A140" i="19"/>
  <c r="A141" i="19"/>
  <c r="A142" i="19"/>
  <c r="A143" i="19"/>
  <c r="A144" i="19"/>
  <c r="A145" i="19"/>
  <c r="A146" i="19"/>
  <c r="A147" i="19"/>
  <c r="A148" i="19"/>
  <c r="A149" i="19"/>
  <c r="A150" i="19"/>
  <c r="A151" i="19"/>
  <c r="A152" i="19"/>
  <c r="A153" i="19"/>
  <c r="A154" i="19"/>
  <c r="A155" i="19"/>
  <c r="A156" i="19"/>
  <c r="A157" i="19"/>
  <c r="A158" i="19"/>
  <c r="A159" i="19"/>
  <c r="A160" i="19"/>
  <c r="A161" i="19"/>
  <c r="A162" i="19"/>
  <c r="A163" i="19"/>
  <c r="A164" i="19"/>
  <c r="A165" i="19"/>
  <c r="A166" i="19"/>
  <c r="A167" i="19"/>
  <c r="A168" i="19"/>
  <c r="A169" i="19"/>
  <c r="A170" i="19"/>
  <c r="A171" i="19"/>
  <c r="A172" i="19"/>
  <c r="A173" i="19"/>
  <c r="A174" i="19"/>
  <c r="A175" i="19"/>
  <c r="A176" i="19"/>
  <c r="A177" i="19"/>
  <c r="A178" i="19"/>
  <c r="A179" i="19"/>
  <c r="A180" i="19"/>
  <c r="A181" i="19"/>
  <c r="A182" i="19"/>
  <c r="A183" i="19"/>
  <c r="A184" i="19"/>
  <c r="A185" i="19"/>
  <c r="A186" i="19"/>
  <c r="A187" i="19"/>
  <c r="A188" i="19"/>
  <c r="A189" i="19"/>
  <c r="A190" i="19"/>
  <c r="A191" i="19"/>
  <c r="A192" i="19"/>
  <c r="A193" i="19"/>
  <c r="A194" i="19"/>
  <c r="A195" i="19"/>
  <c r="A196" i="19"/>
  <c r="A197" i="19"/>
  <c r="A198" i="19"/>
  <c r="A199" i="19"/>
  <c r="A200" i="19"/>
  <c r="A201" i="19"/>
  <c r="A202" i="19"/>
  <c r="A203" i="19"/>
  <c r="A204" i="19"/>
  <c r="A205" i="19"/>
  <c r="A206" i="19"/>
  <c r="A207" i="19"/>
  <c r="A208" i="19"/>
  <c r="A209" i="19"/>
  <c r="A210" i="19"/>
  <c r="A211" i="19"/>
  <c r="A212" i="19"/>
  <c r="A213" i="19"/>
  <c r="A214" i="19"/>
  <c r="A215" i="19"/>
  <c r="A216" i="19"/>
  <c r="A217" i="19"/>
  <c r="A218" i="19"/>
  <c r="A219" i="19"/>
  <c r="A220" i="19"/>
  <c r="A221" i="19"/>
  <c r="A222" i="19"/>
  <c r="A223" i="19"/>
  <c r="A224" i="19"/>
  <c r="A225" i="19"/>
  <c r="A226" i="19"/>
  <c r="A227" i="19"/>
  <c r="A228" i="19"/>
  <c r="A229" i="19"/>
  <c r="A230" i="19"/>
  <c r="A231" i="19"/>
  <c r="A232" i="19"/>
  <c r="A233" i="19"/>
  <c r="A234" i="19"/>
  <c r="A235" i="19"/>
  <c r="A236" i="19"/>
  <c r="A237" i="19"/>
  <c r="A238" i="19"/>
  <c r="A239" i="19"/>
  <c r="A240" i="19"/>
  <c r="A241" i="19"/>
  <c r="A242" i="19"/>
  <c r="A243" i="19"/>
  <c r="A244" i="19"/>
  <c r="A245" i="19"/>
  <c r="A246" i="19"/>
  <c r="A247" i="19"/>
  <c r="A248" i="19"/>
  <c r="A249" i="19"/>
  <c r="A250" i="19"/>
  <c r="A251" i="19"/>
  <c r="A252" i="19"/>
  <c r="A253" i="19"/>
  <c r="A254" i="19"/>
  <c r="A255" i="19"/>
  <c r="A256" i="19"/>
  <c r="A257" i="19"/>
  <c r="A258" i="19"/>
  <c r="A259" i="19"/>
  <c r="A260" i="19"/>
  <c r="A261" i="19"/>
  <c r="A262" i="19"/>
  <c r="A263" i="19"/>
  <c r="A264" i="19"/>
  <c r="A265" i="19"/>
  <c r="A266" i="19"/>
  <c r="A267" i="19"/>
  <c r="A268" i="19"/>
  <c r="A269" i="19"/>
  <c r="A270" i="19"/>
  <c r="A271" i="19"/>
  <c r="A272" i="19"/>
  <c r="A273" i="19"/>
  <c r="A274" i="19"/>
  <c r="A275" i="19"/>
  <c r="A276" i="19"/>
  <c r="A277" i="19"/>
  <c r="A278" i="19"/>
  <c r="A279" i="19"/>
  <c r="A280" i="19"/>
  <c r="A281" i="19"/>
  <c r="A282" i="19"/>
  <c r="A283" i="19"/>
  <c r="A284" i="19"/>
  <c r="A285" i="19"/>
  <c r="A286" i="19"/>
  <c r="A287" i="19"/>
  <c r="A288" i="19"/>
  <c r="A289" i="19"/>
  <c r="A290" i="19"/>
  <c r="A291" i="19"/>
  <c r="A292" i="19"/>
  <c r="A293" i="19"/>
  <c r="A294" i="19"/>
  <c r="A295" i="19"/>
  <c r="A296" i="19"/>
  <c r="A297" i="19"/>
  <c r="A298" i="19"/>
  <c r="A299" i="19"/>
  <c r="A300" i="19"/>
  <c r="A301" i="19"/>
  <c r="A302" i="19"/>
  <c r="A303" i="19"/>
  <c r="A304" i="19"/>
  <c r="A305" i="19"/>
  <c r="A306" i="19"/>
  <c r="A307" i="19"/>
  <c r="A308" i="19"/>
  <c r="A309" i="19"/>
  <c r="A310" i="19"/>
  <c r="A311" i="19"/>
  <c r="A312" i="19"/>
  <c r="A313" i="19"/>
  <c r="A314" i="19"/>
  <c r="A315" i="19"/>
  <c r="A316" i="19"/>
  <c r="A317" i="19"/>
  <c r="A318" i="19"/>
  <c r="A319" i="19"/>
  <c r="A320" i="19"/>
  <c r="A321" i="19"/>
  <c r="A322" i="19"/>
  <c r="A323" i="19"/>
  <c r="A324" i="19"/>
  <c r="A325" i="19"/>
  <c r="A326" i="19"/>
  <c r="A327" i="19"/>
  <c r="A328" i="19"/>
  <c r="A329" i="19"/>
  <c r="A330" i="19"/>
  <c r="A331" i="19"/>
  <c r="A332" i="19"/>
  <c r="A333" i="19"/>
  <c r="A334" i="19"/>
  <c r="A335" i="19"/>
  <c r="A336" i="19"/>
  <c r="A337" i="19"/>
  <c r="A338" i="19"/>
  <c r="A339" i="19"/>
  <c r="A340" i="19"/>
  <c r="A341" i="19"/>
  <c r="A342" i="19"/>
  <c r="A343" i="19"/>
  <c r="A344" i="19"/>
  <c r="A345" i="19"/>
  <c r="A346" i="19"/>
  <c r="A347" i="19"/>
  <c r="A348" i="19"/>
  <c r="A349" i="19"/>
  <c r="A350" i="19"/>
  <c r="A351" i="19"/>
  <c r="A352" i="19"/>
  <c r="A353" i="19"/>
  <c r="A354" i="19"/>
  <c r="A355" i="19"/>
  <c r="A356" i="19"/>
  <c r="A357" i="19"/>
  <c r="A358" i="19"/>
  <c r="A359" i="19"/>
  <c r="A360" i="19"/>
  <c r="A361" i="19"/>
  <c r="A362" i="19"/>
  <c r="A363" i="19"/>
  <c r="A364" i="19"/>
  <c r="A365" i="19"/>
  <c r="A366" i="19"/>
  <c r="A367" i="19"/>
  <c r="A368" i="19"/>
  <c r="A369" i="19"/>
  <c r="A370" i="19"/>
  <c r="A371" i="19"/>
  <c r="A372" i="19"/>
  <c r="A373" i="19"/>
  <c r="A374" i="19"/>
  <c r="A375" i="19"/>
  <c r="A376" i="19"/>
  <c r="A377" i="19"/>
  <c r="A378" i="19"/>
  <c r="A379" i="19"/>
  <c r="A380" i="19"/>
  <c r="A381" i="19"/>
  <c r="A382" i="19"/>
  <c r="A383" i="19"/>
  <c r="A384" i="19"/>
  <c r="A385" i="19"/>
  <c r="A386" i="19"/>
  <c r="A387" i="19"/>
  <c r="A388" i="19"/>
  <c r="A389" i="19"/>
  <c r="A390" i="19"/>
  <c r="A391" i="19"/>
  <c r="A392" i="19"/>
  <c r="A393" i="19"/>
  <c r="A394" i="19"/>
  <c r="A395" i="19"/>
  <c r="A396" i="19"/>
  <c r="A397" i="19"/>
  <c r="A398" i="19"/>
  <c r="A399" i="19"/>
  <c r="A400" i="19"/>
  <c r="A401" i="19"/>
  <c r="A402" i="19"/>
  <c r="A403" i="19"/>
  <c r="A404" i="19"/>
  <c r="A405" i="19"/>
  <c r="A406" i="19"/>
  <c r="A407" i="19"/>
  <c r="A408" i="19"/>
  <c r="A409" i="19"/>
  <c r="A410" i="19"/>
  <c r="A411" i="19"/>
  <c r="A412" i="19"/>
  <c r="A413" i="19"/>
  <c r="A414" i="19"/>
  <c r="A415" i="19"/>
  <c r="A416" i="19"/>
  <c r="A417" i="19"/>
  <c r="A418" i="19"/>
  <c r="A419" i="19"/>
  <c r="A420" i="19"/>
  <c r="A421" i="19"/>
  <c r="A422" i="19"/>
  <c r="A423" i="19"/>
  <c r="A424" i="19"/>
  <c r="A425" i="19"/>
  <c r="A426" i="19"/>
  <c r="A427" i="19"/>
  <c r="A428" i="19"/>
  <c r="A429" i="19"/>
  <c r="A430" i="19"/>
  <c r="A431" i="19"/>
  <c r="A432" i="19"/>
  <c r="A433" i="19"/>
  <c r="A434" i="19"/>
  <c r="A435" i="19"/>
  <c r="A436" i="19"/>
  <c r="A437" i="19"/>
  <c r="A438" i="19"/>
  <c r="A439" i="19"/>
  <c r="A440" i="19"/>
  <c r="A441" i="19"/>
  <c r="A442" i="19"/>
  <c r="A443" i="19"/>
  <c r="A444" i="19"/>
  <c r="A445" i="19"/>
  <c r="A446" i="19"/>
  <c r="A447" i="19"/>
  <c r="A448" i="19"/>
  <c r="A449" i="19"/>
  <c r="A450" i="19"/>
  <c r="A451" i="19"/>
  <c r="A452" i="19"/>
  <c r="A453" i="19"/>
  <c r="A454" i="19"/>
  <c r="A455" i="19"/>
  <c r="A456" i="19"/>
  <c r="A457" i="19"/>
  <c r="A458" i="19"/>
  <c r="A459" i="19"/>
  <c r="A460" i="19"/>
  <c r="A461" i="19"/>
  <c r="A462" i="19"/>
  <c r="A463" i="19"/>
  <c r="A464" i="19"/>
  <c r="A465" i="19"/>
  <c r="A466" i="19"/>
  <c r="A467" i="19"/>
  <c r="A468" i="19"/>
  <c r="A469" i="19"/>
  <c r="A470" i="19"/>
  <c r="A471" i="19"/>
  <c r="A472" i="19"/>
  <c r="A473" i="19"/>
  <c r="A474" i="19"/>
  <c r="A475" i="19"/>
  <c r="A476" i="19"/>
  <c r="A477" i="19"/>
  <c r="A478" i="19"/>
  <c r="A479" i="19"/>
  <c r="A480" i="19"/>
  <c r="A481" i="19"/>
  <c r="A482" i="19"/>
  <c r="A483" i="19"/>
  <c r="A484" i="19"/>
  <c r="A485" i="19"/>
  <c r="A486" i="19"/>
  <c r="A487" i="19"/>
  <c r="A488" i="19"/>
  <c r="A489" i="19"/>
  <c r="A490" i="19"/>
  <c r="A491" i="19"/>
  <c r="A492" i="19"/>
  <c r="A493" i="19"/>
  <c r="A494" i="19"/>
  <c r="A496" i="19"/>
  <c r="A497" i="19"/>
  <c r="A498" i="19"/>
  <c r="A499" i="19"/>
  <c r="A500" i="19"/>
  <c r="A501" i="19"/>
  <c r="A502" i="19"/>
  <c r="A503" i="19"/>
  <c r="A504" i="19"/>
  <c r="A505" i="19"/>
  <c r="A506" i="19"/>
  <c r="A507" i="19"/>
  <c r="A508" i="19"/>
  <c r="A509" i="19"/>
  <c r="A510" i="19"/>
  <c r="A511" i="19"/>
  <c r="A512" i="19"/>
  <c r="A513" i="19"/>
  <c r="A514" i="19"/>
  <c r="A515" i="19"/>
  <c r="A516" i="19"/>
  <c r="A517" i="19"/>
  <c r="A518" i="19"/>
  <c r="A519" i="19"/>
  <c r="A520" i="19"/>
  <c r="A521" i="19"/>
</calcChain>
</file>

<file path=xl/sharedStrings.xml><?xml version="1.0" encoding="utf-8"?>
<sst xmlns="http://schemas.openxmlformats.org/spreadsheetml/2006/main" count="26492" uniqueCount="5503">
  <si>
    <t>CONCEPTO</t>
  </si>
  <si>
    <t>Actualización de datos</t>
  </si>
  <si>
    <t>Supervisores</t>
  </si>
  <si>
    <t>Agencia Virtual</t>
  </si>
  <si>
    <t>Estherlyn</t>
  </si>
  <si>
    <t>Característica Especial Exportador y 29-89</t>
  </si>
  <si>
    <t>Waleska</t>
  </si>
  <si>
    <t>Cese de Actividades</t>
  </si>
  <si>
    <t>Mynor Hernández</t>
  </si>
  <si>
    <t>Citas</t>
  </si>
  <si>
    <t>Rudy</t>
  </si>
  <si>
    <t>Código Exportador</t>
  </si>
  <si>
    <t>Declaraguate</t>
  </si>
  <si>
    <t>Delegación de Permisos</t>
  </si>
  <si>
    <t>FEL</t>
  </si>
  <si>
    <t>Gestiones RTU</t>
  </si>
  <si>
    <t>Habilitación Libros</t>
  </si>
  <si>
    <t>LET</t>
  </si>
  <si>
    <t>Informe de Auditor y EEFF Auditados</t>
  </si>
  <si>
    <t>Pagos Bancario</t>
  </si>
  <si>
    <t>Permisos Delegables AV</t>
  </si>
  <si>
    <t>Inscripción de NIT</t>
  </si>
  <si>
    <t>RFV</t>
  </si>
  <si>
    <t>Sincronización</t>
  </si>
  <si>
    <t>Solvencia Fiscal</t>
  </si>
  <si>
    <t>Traspaso Electrónico Vehículos</t>
  </si>
  <si>
    <t>Traspaso Vehículos (Presencial)</t>
  </si>
  <si>
    <t>Razón Electrónica de Pago</t>
  </si>
  <si>
    <t>Inventario</t>
  </si>
  <si>
    <t>Informe Rentas del Trabajo</t>
  </si>
  <si>
    <t>Padrón de Importadores</t>
  </si>
  <si>
    <t>Aduanas</t>
  </si>
  <si>
    <t>Verificador Integrado</t>
  </si>
  <si>
    <t>Suspendido Arto. 120 CT</t>
  </si>
  <si>
    <t>Característica Especial Importador</t>
  </si>
  <si>
    <t>Característica Especial FEL</t>
  </si>
  <si>
    <t>Característica Especial Perito Contador y CPA</t>
  </si>
  <si>
    <t>Característica Especial Abogados y Notarios</t>
  </si>
  <si>
    <t>ExenIVA</t>
  </si>
  <si>
    <t>Vehículos ISCV, Característica Especial, Distintivos</t>
  </si>
  <si>
    <t>Portal SAT</t>
  </si>
  <si>
    <t>Gestores (Terceros Autorizados)</t>
  </si>
  <si>
    <t>Exoneración de Multas</t>
  </si>
  <si>
    <t>Facilidades de Pago</t>
  </si>
  <si>
    <t>Inscripción de Vehículos</t>
  </si>
  <si>
    <t>CAIS</t>
  </si>
  <si>
    <t>DUA/DUCA</t>
  </si>
  <si>
    <t>avi</t>
  </si>
  <si>
    <t>Característica Especial Asalariados</t>
  </si>
  <si>
    <t>Reporte Semestral Inventarios</t>
  </si>
  <si>
    <t>Orientación Tributaria</t>
  </si>
  <si>
    <t>Número de gestión - Inscripción de NIT</t>
  </si>
  <si>
    <t>RetenISR</t>
  </si>
  <si>
    <t>Error 500 - RTU</t>
  </si>
  <si>
    <t>Imprenta</t>
  </si>
  <si>
    <t>Planilla IVA-FEL</t>
  </si>
  <si>
    <t>Proveedor de Servicios para Ubicaciones</t>
  </si>
  <si>
    <t>AsisteHospitales</t>
  </si>
  <si>
    <t>ISCV</t>
  </si>
  <si>
    <t>Avisos</t>
  </si>
  <si>
    <t>Omisos e incumplimientos</t>
  </si>
  <si>
    <t>Campos inhabilitados - RTU</t>
  </si>
  <si>
    <t>Impuestos Específicos</t>
  </si>
  <si>
    <t>Omisos Sustantivos</t>
  </si>
  <si>
    <t>Pagos Indebidos</t>
  </si>
  <si>
    <t>ANÁLISIS DEL CASO</t>
  </si>
  <si>
    <t>CANAL DE ATENCIÓN</t>
  </si>
  <si>
    <t>FECHA DE INGRESO</t>
  </si>
  <si>
    <t>DESCRIPCIÓN DEL CASO</t>
  </si>
  <si>
    <t>TIPIFICACION</t>
  </si>
  <si>
    <t>SUPERVISOR</t>
  </si>
  <si>
    <t>FECHA DE TRASLADO</t>
  </si>
  <si>
    <t>No. TICKET</t>
  </si>
  <si>
    <t>ENCARGADA DE RESOLVER</t>
  </si>
  <si>
    <t>JEFE DE UNIDAD</t>
  </si>
  <si>
    <t>JEFE DE DEPARTAMENTO</t>
  </si>
  <si>
    <t>RESUELTO</t>
  </si>
  <si>
    <t>TIEMPO DE SOLUCIÓN</t>
  </si>
  <si>
    <t>REPORTADO POR:</t>
  </si>
  <si>
    <t>OBSERVACIÓN</t>
  </si>
  <si>
    <t>Correo</t>
  </si>
  <si>
    <t>El contribuyente NIT 101536410 que al llenar los libros electrónicos tributarios al dar clic en libros electrónicos tributarios en LET para pequeño contribuyente le aparece 404 error</t>
  </si>
  <si>
    <t>Departamento Normativo IAC</t>
  </si>
  <si>
    <t>Ticket colocado 10000273284, se sostuvo reunión con el contribuyente el 25/02/2025.</t>
  </si>
  <si>
    <t>El contribuyente NIT 47397713 que ingresa a los Libros de compras y ventas y no le aparece ningún dato en ningún año y quisiera usar el LET</t>
  </si>
  <si>
    <t>Aura Marysol Perez Cobar</t>
  </si>
  <si>
    <t>NIT 40639207, quien indica que no puede realizar el cierre de LET pequeño contribuyente</t>
  </si>
  <si>
    <t>Ajuste al sistema, conlleva desarrollo, se está trabajando la modificación del caso de uso.</t>
  </si>
  <si>
    <t>El contribuyente NIT 80403093 que al momento de generar el Libro Electrónico desde la Agencia Virtual, le indica que cuenta con cierres de libro pendientes de realizar y no le deja visualizar el libro indica que inició operaciones en abril 2024</t>
  </si>
  <si>
    <t>El contribuyente NIT 120318873 reporta problema que he tenido al intentar actualizar los libros de compras y ventas de un pequeño contribuyente utilizando la modalidad en línea. Al ingresar el año y mes, la pantalla no cambia y no puedo continuar con el proceso.</t>
  </si>
  <si>
    <t>El contribuyente NIT 120246414 que, ya que no deja emitir el LET desde la agencia virtual, ya se verificó que no tiene libros pendientes de realizar, cuenta con libros electrónicos activos, no se ha generado ningún otro reporte y se hicieron otros libros de otros contribuyentes lo cual en este caso indicaría que no es problema de nuestro navegador.</t>
  </si>
  <si>
    <t>El contribuyente NIT 72941626 que al momento de generar el Libro Electrónico desde la Agencia Virtual le da el mensaje que la cantidad de folios disponibles no son suficientes para generar el Libro de Compras y Ventas, por favor habilite más hojas, el indica que inicio operaciones en noviembre de 2024 y habilito 24 hojas con el formulario SAT-7121 No. 44788981474 acceso 646522005</t>
  </si>
  <si>
    <t>El contribuyente NIT 120231050 reporta inconveniente al momento de utilizar la herramienta LET no le permite ingresar</t>
  </si>
  <si>
    <t>Solicitud apoyo generación de LET para el NIT 120409887</t>
  </si>
  <si>
    <t>Libni Hernández</t>
  </si>
  <si>
    <t>el contribuyente NIT 120372525 que está inscrito en el régimen electrónico de pequeño contribuyente desde el 7 de noviembre de 2024, pero el sistema no le deja ingresar las facturas emitidas a la herramienta LET</t>
  </si>
  <si>
    <t>El contribuyente NIT 803284K que al momento de querer ingresar al Libro Electrónico desde la Agencia Virtual no le permite, presiona el boton ingresar y no le permite</t>
  </si>
  <si>
    <t>LET para pequeño contribuyente NIT 41684427</t>
  </si>
  <si>
    <t>Inconveniente con el nombre del Municipio en procedimiento de Actualización de datos del RTU Digital Solicitud de NIT</t>
  </si>
  <si>
    <t>IRE/Departamento de Registros Tributarios</t>
  </si>
  <si>
    <t>MEM-SAT-IAC-DGS-010-2025</t>
  </si>
  <si>
    <t xml:space="preserve">NIT 25997661, en la agencia virtual le muestra el apellido de casada y en el RTU Digital le aparece el apellido de casada, solicita que ya no le aparezca. </t>
  </si>
  <si>
    <t>El 31/01/2025 indica el Depto. Normativo que está pendiente la respuesta de GI</t>
  </si>
  <si>
    <t>Inactivar o retirar la marca de característica especial de Asalariado en el RTU - NIT: 1705938</t>
  </si>
  <si>
    <t>MEM-SAT-IAC-DGS-UST-012-2025</t>
  </si>
  <si>
    <t>El contribuyente NIT 111585775 que al intentar llenar el formulario 471 registro de devolución crédito de exportadores le genera el error debe generar su código de exportador a través de la VUPE, pero él ya cuenta su código.</t>
  </si>
  <si>
    <t>IFI</t>
  </si>
  <si>
    <t>El contribuyente NIT 120276062 que al intentar llenar el formulario 471 registro de devolución crédito de exportadores le genera el error debe generar su código de exportador a través de la VUPE, pero él ya cuenta su código.</t>
  </si>
  <si>
    <t>Solicitud apoyo incorporación código VUPE a formulario SAT-0471 - NIT: 1000030733</t>
  </si>
  <si>
    <t>Solicitud apoyo incorporación código VUPE a formulario SAT-0471 - NIT: 113521685</t>
  </si>
  <si>
    <t>Solicitud apoyo incorporación código VUPE a formulario SAT-0471 - NIT: 99073196</t>
  </si>
  <si>
    <t>Solicitud apoyo incorporación código VUPE a formulario SAT-0471 - NIT:  76340287</t>
  </si>
  <si>
    <t>El contribuyente NIT 108249239  que al intentar llenar el formulario 471 registro de devolución crédito de exportadores le genera el error debe generar su código de exportador a través de la VUPE, pero él ya cuenta su código.</t>
  </si>
  <si>
    <t>NIT 92115438 no puede verificar el reporte del cierre de LET correspondiente a enero 2025.</t>
  </si>
  <si>
    <t>Ticket#10000251462 generado por Normativo el 14/01/2025</t>
  </si>
  <si>
    <t>El contribuyente NIT 57488010 que, no puede generar el reporte del cierre del libro correspondiente al mes de julio 2024 y que ya realizó el cierre de todo el 2024</t>
  </si>
  <si>
    <t>El contribuyente NIT 66856833 que tiene inconveniente para generar los reportes de LET para el año 2021</t>
  </si>
  <si>
    <t>El contribuyente NIT 72729821 que no puede ingresar a LET Pequeño Contribuyente Electrónico</t>
  </si>
  <si>
    <t>El contribuyente NIT 103081526 problema al momento de generar el reporte de LET, de los meses de enero a mayo del año 2021</t>
  </si>
  <si>
    <t>El contribuyente NIT 97130133 Error en LET no le permite generar el reporte y ya realizó el cierre de compras y de ventas de todos los meses</t>
  </si>
  <si>
    <t xml:space="preserve">Inactivación de característica especial de asalariado NIT 8041164   </t>
  </si>
  <si>
    <t>MEM-SAT-IAC-DGS-013-2025</t>
  </si>
  <si>
    <t>Agregar al catálogo del RTU Digital la Licenciatura en Informática y Administración de Negocios</t>
  </si>
  <si>
    <t>MEM-SAT-IAC-DGS-020-2025 de fecha 29/01/2025 recibido en IRE 29/01/2025</t>
  </si>
  <si>
    <t>El contribuyente NIT 120420856 indica rechazo de su solicitud de actualización No.  20251ACT9F77674B dentro de los comentarios de rechazo se encuentra "Estimado contribuyente corregir: -Adjuntar documento de constitución original completo", el contribuyente manifiesta que esta adjuntando el documento completo.</t>
  </si>
  <si>
    <t>GRC</t>
  </si>
  <si>
    <t>El contribuyente NIT 80043224 reporta inconveniente al momento intentar trabajar en el Libro Electrónico de Ventas de noviembre y diciembre 2024, se queda procesando</t>
  </si>
  <si>
    <t>El contribuyente NIT 43363180 solicita el apoyo en la herramienta LET IVA GENERAL, manifiesta que en el mes de diciembre tuvo 2 importaciones con IVA y en la herramienta solo le despliega una, adjunta captura de pantalla tanto del apartado donde debe aparecer las importaciones y captura del Libro de Compras solo con una importación, así mismo describe la otra importación que no aparece en el LET.</t>
  </si>
  <si>
    <t>El contribuyente Jesús García Martínez indica rechazo de su solicitud de Inscripción de contribuyentes No. 20251INSD5B339C1 dentro de los comentarios de rechazo se encuentra "Estimado contribuyente, usted ya cuenta con NIT asignado 11696265, presentarse a una Oficina Tributaria a una actualización de datos", el contribuyente manifiesta que esta solicitando NIT por primera vez y que nunca ha tenido ni con la cédula y que se presentó a la Oficina Tributaria de Chiquimula, en la cual le dijeron que no podían resolver nada y que debía ser en línea, a pesar de que en el comentario del requerimiento le pide que se presente a una oficina</t>
  </si>
  <si>
    <t>GRN</t>
  </si>
  <si>
    <t>El contribuyente NIT 19640994 reporta inconveniente con el saldo de la Billetera Electrónica aparece en cero, sin embargo, según los registros del Notario debería ser Q68.00. Así mismo, al momento en que se hizo la consulta en el sistema de consultas de los movimientos en las razones, les refleja que no tuvimos ningún movimiento de ello ni del año pasado, adjunto captura de pantalla a través de hoja de word.</t>
  </si>
  <si>
    <t>El contribuyente NIT 85783897 que, al realizar el libro de Pequeño Contribuyente Electrónico del mes de diciembre de 2024 y generar la declaración le calcula un impuesto del 5% cuando lo correcto es el 4%.</t>
  </si>
  <si>
    <t>El contribuyente NIT 75911116 que aún no he podido generar el reporte de Libros de compras y ventas electrónico</t>
  </si>
  <si>
    <t>El contribuyente NIT 10292533K que no le permite elegir cero en numero de folio a pasar que no ha llenado ningún folio anterior, para llenar el libro de regímenes especiales del IVA</t>
  </si>
  <si>
    <t>Solicito apoyo para sincronizar el establecimiento comercial No.2 del contribuyente, debido a que, no ha replicado en RTU Oracle - NIT: 65514483</t>
  </si>
  <si>
    <t>GIN</t>
  </si>
  <si>
    <t>Carolina Fuentes</t>
  </si>
  <si>
    <t>Solicitud apoyo gestión Actualización de Datos del RTU - NIT: 8537992</t>
  </si>
  <si>
    <t>Verónica Rodas</t>
  </si>
  <si>
    <t>El contribuyente NIT 120374234 que el sistema aun no le permite llenar los libros de pequeño contribuyente LET</t>
  </si>
  <si>
    <t>Solicitud apoyo verificación de gestión Inscripción de NIT - DPI: 2471882982001</t>
  </si>
  <si>
    <t>El contribuyente NIT 830517K que LET pequeño contribuyente no lleva correcta la secuencia de los folios</t>
  </si>
  <si>
    <t>El contribuyente NIT 120364190 que LET pequeño contribuyente manifiesta que ya intento por varios días y diferentes navegadores y genera inconveniente, es una Sociedad Anónima</t>
  </si>
  <si>
    <t>El contribuyente NIT 1028634 que está tratando de ingresar al LET de pequeño contribuyente, pero sólo me aparece una página en blanco</t>
  </si>
  <si>
    <t>El contribuyente NIT 2675455K Error 404 en LET regímenes especiales contribuyente asegura que ya borro historial  y que también intentó desde incógnito</t>
  </si>
  <si>
    <t>El contribuyente NIT 4302761 Error en LET no le acepta el periodo y en ese mes sí tiene activa la afiliación</t>
  </si>
  <si>
    <t>Solicitud apoyo gestión de inscripción de NIT Copropiedad - Gestión: 202412INSA98B2642</t>
  </si>
  <si>
    <t>Denilson Joachin</t>
  </si>
  <si>
    <t>Activación de característica especial de asalariado NIT 92917739</t>
  </si>
  <si>
    <t>MEM-SAT-IAC-DGS-012-2025</t>
  </si>
  <si>
    <t>Solicitud apoyo gestión inscripción definitiva de S.A. - NIT: 120402165</t>
  </si>
  <si>
    <t>José Daniel Monasterio</t>
  </si>
  <si>
    <t>El contribuyente NIT 4302761 que al momento de  realizar LET le genera el siguiente error: No es posible ingresar al período seleccionado derivado a que el primer periodo aceptado en LET IVA General es posterior al seleccionado</t>
  </si>
  <si>
    <t>Solicitud apoyo verificación de gestión Inscripción de NIT - DPI: 2834658910101</t>
  </si>
  <si>
    <t>Jose Daniel Monasterio</t>
  </si>
  <si>
    <t>Solicitud apoyo gestión de Actualización de Datos del RTU - NIT: 120402165</t>
  </si>
  <si>
    <t>Expediente y seguimiento para Actualización de datos del RTU - NIT: 111406498</t>
  </si>
  <si>
    <t>Minex</t>
  </si>
  <si>
    <t>Solicitud apoyo inconveniente en formulario SAT-0891 - NIT: 21965552</t>
  </si>
  <si>
    <t>IRE/Departamento de Recaudación Tributaria</t>
  </si>
  <si>
    <t>Carlos Emilio Jocop</t>
  </si>
  <si>
    <t>El contribuyente NIT 12419079 reporta que esta intentando llenar el formulario SAT-9031 Impuesto a la distribución de señales por cable, pero al intentar llenar el mes de diciembre de 2024 el sistema Declaraguate lo regresa a la página principal y no se puede generar el formulario</t>
  </si>
  <si>
    <t>Solicitud apoyo verificación de gestión Inscripción de NIT - DPI: 3503214500102</t>
  </si>
  <si>
    <t>Inconveniente Formulario pequeño contribuyente - NIT: 35797487</t>
  </si>
  <si>
    <t>Activación de característica especial de asalariado NIT 4739949</t>
  </si>
  <si>
    <t>Iris Vanesa Martinez Guerra</t>
  </si>
  <si>
    <t>MEM-SAT-IAC-DGS-019-2025</t>
  </si>
  <si>
    <t>Solicitud apoyo Folios Duplicados en LET Pequeño Contribuyente - NIT: 65488989</t>
  </si>
  <si>
    <t>Solicitud apoyo gestión de Actualización de Datos RTU - NIT: 34310169</t>
  </si>
  <si>
    <t>Adolfo Cruz</t>
  </si>
  <si>
    <t>Solicitud apoyo inconveniente folios duplicados LET Pequeño Contribuyente - NIT: 67983596</t>
  </si>
  <si>
    <t xml:space="preserve"> NIT 111229405 gestión 20251ACTB495DB49 </t>
  </si>
  <si>
    <t>NIT 35224169  gestión 202412ACT4F3A63A6</t>
  </si>
  <si>
    <t>Solicitud de apoyo gestión actualización de datos RTU - NIT: 120438178</t>
  </si>
  <si>
    <t>GRO</t>
  </si>
  <si>
    <t>CUI 2358093490610</t>
  </si>
  <si>
    <t xml:space="preserve">Estherlyn </t>
  </si>
  <si>
    <t>Solicitud apoyo en verificación de gestión en la que se encuentra DPI: 3202713581317</t>
  </si>
  <si>
    <t>Brenda Iracena Matias Juarez</t>
  </si>
  <si>
    <t>Solicitud apoyo en verificación de gestión en la que se encuentra DPI: 3658828360101</t>
  </si>
  <si>
    <t>Solicitud apoyo Habilitar formulario SAT-2046 PQ NIT: 55803342</t>
  </si>
  <si>
    <t>Solicitud apoyo llenado formulario SAT-9031 - NIT: 12108456</t>
  </si>
  <si>
    <t>Solicitud apoyo en verificación de gestión en la que se encuentra DPI: 2644790681503</t>
  </si>
  <si>
    <t>Solicitud apoyo gestión de Inscripción de un COCODE - Gestión: 20251INSBD76E8AC</t>
  </si>
  <si>
    <t>Solicitud apoyo gestión de actualización de datos RTU - NIT: 120288451</t>
  </si>
  <si>
    <t>CUI 3833445570101</t>
  </si>
  <si>
    <t>Solicitud apoyo verificación de gestión Inscripción de NIT - DPI: 3432176942214</t>
  </si>
  <si>
    <t>El contribuyente NIT 27839281 indica que el anexo del formulario SAT-8611 No. 45487325803 acceso 40364273 el nombre del vendedor y del comprador lo genera todo junto lo que provoca que no le realicen el trámite.</t>
  </si>
  <si>
    <t>Solicitud apoyo verificación de gestión Inscripción de NIT - DPI: 2724984240513</t>
  </si>
  <si>
    <t>Solicitud apoyo verificación de gestión Inscripción de NIT - DPI: 2251393590513</t>
  </si>
  <si>
    <t>Cecilia Tiño</t>
  </si>
  <si>
    <t>Solicitud de aapoyo gestión de actualización de datos - NIT: 86658530</t>
  </si>
  <si>
    <t>El contribuyente NIT 24421995 reporta que está realizando cambio de Contraseña de la Agencia Virtual, pero al momento de confirmar en el correo que envían le genera error</t>
  </si>
  <si>
    <t>Solicitud apoyo verificación de gestión Inscripción de NIT - DPI: 2225006602005</t>
  </si>
  <si>
    <t>Número de gestión de inscripción de NIT generada con el CUI 2439746711601</t>
  </si>
  <si>
    <t>Número de gestión de inscripción de NIT generada con el CUI 2723743850101</t>
  </si>
  <si>
    <t>Solicitud apoyo verificación de gestión Inscripción de NIT - DPI: 3317514371803</t>
  </si>
  <si>
    <t>Solicitud apoyo gestión Actualización de datos RTU - NIT: 6857191</t>
  </si>
  <si>
    <t>El contribuyente NIT 109707257 reporta problemas de ingreso con la agencia virtual la cual fue creada y aprobada en el 2021. Al momento de ingresar, no recordaba la contraseña y solicité la opción de cambiarla, cuando intento cambiarla, el sistema no me permite porque me indica que no tengo agencia virtual, y cuando intento crear una me indica que ya tengo una agencia virtual.</t>
  </si>
  <si>
    <t>Solicitud apoyo en verificación de gestión en la que se encuentra DPI: 3871327160101</t>
  </si>
  <si>
    <t>Traspaso electronico de la motocicleta Placas M327KJN el vendedor dio la autorizacion y confirmacion pero no se leen los QR de los distintivos electronicos. Al intentar leerlos indica que no son validos. NIT del vendedor 119073757.</t>
  </si>
  <si>
    <t>Solicitud apoyo en verificación de gestión en la que se encuentra el Pasaporte E484346 emitido en Cuba</t>
  </si>
  <si>
    <t>Solicitud apoyo en verificación de gestión en la que se encuentra DPI: 3161329340903</t>
  </si>
  <si>
    <t>Solicitud apoyo en verificación de gestión en la que se encuentra DPI: 1900837351101</t>
  </si>
  <si>
    <t>Solicitud apoyo gestión Actualización de datos del RTU - NIT: 3378365</t>
  </si>
  <si>
    <t>Denilson Joachín</t>
  </si>
  <si>
    <t xml:space="preserve"> DPI 3322315261610 </t>
  </si>
  <si>
    <t>Solicitud apoyo verificación de gestión Inscripción de NIT - DPI: 3126752590807</t>
  </si>
  <si>
    <t xml:space="preserve"> NIT 12472042 gestión 20251ACT521DE159</t>
  </si>
  <si>
    <t xml:space="preserve">Número de gestión de inscripción de NIT generada con el CUI 3265337021014 </t>
  </si>
  <si>
    <t>El contribuyente NIT 92662560 indica rechazo de su solicitud de actualización No.  20251ACTFD0E1954 dentro de los comentarios de rechazo se encuentra "CORREGIR FECHAS DE REPRESENTANTE LEGAL, LAS FECHAS CORRECTAS SON: NOMBRAMIENTO: 12/01/2025 INSCRIPCION: 02/01/2025 VENCIMIENTO: 01/01/2028 SE LES ESTA INDICANDO LAS FECHAS A CORREGIR. FAVOR DE COLOCARLAS COMO SE LES INDICA, DE LO CONTRARIO SE LE BLOQUEARA LA GESTION", el contribuyente manifiesta que coloca esas fechas si se la rechazan</t>
  </si>
  <si>
    <t>Solicitud apoyo en verificación de gestión en la que se encuentra DPI: 2619625311405</t>
  </si>
  <si>
    <t>Mayra  Liliana Sandoval Portillo</t>
  </si>
  <si>
    <t>Solicitud apoyo en verificación de gestión en la que se encuentra DPI: 3769229900115</t>
  </si>
  <si>
    <t>Carolina Victoria Fuentes Carreto</t>
  </si>
  <si>
    <t>Solicitud apoyo en verificación de gestión en la que se encuentra DPI: 2852612740605</t>
  </si>
  <si>
    <t>Cecilia Tiño López</t>
  </si>
  <si>
    <t>Solicitud apoyo verificación de gestión Inscripción de NIT - DPI: 3157457541309</t>
  </si>
  <si>
    <t>Solicitud apoyo en verificación de gestión en la que se encuentra DPI: 2726926621314</t>
  </si>
  <si>
    <t>Solicitud apoyo en verificación de gestión en la que se encuentra DPI: 3591191210101</t>
  </si>
  <si>
    <t>Solicitud apoyo verificación de gestión Inscripción de NIT - DPI: 2259746651224</t>
  </si>
  <si>
    <t>Número de gestión de inscripción de NIT iniciada con el CUI 3163475740904</t>
  </si>
  <si>
    <t>Gestión de actualización de datos 20251ACT8811126D NIT 120383543  , le están rechazando la gestión le solicitan el pago de multa por presentación extemporánea del representante legal.  Indica el contribuyente que el registro del representante legal se realizó en el mes de enero 2025</t>
  </si>
  <si>
    <t>Número de gestión de inscripción de NIT generada con el CUI 3316818541802.</t>
  </si>
  <si>
    <t>Solicitud apoyo en verificación de gestión en la que se encuentra DPI: 2356562831712</t>
  </si>
  <si>
    <t>Solicitud apoyo verificación de gestión Inscripción de NIT - DPI: 3173014110712</t>
  </si>
  <si>
    <t>NIT 96262362 gestión 20251ACT4C531E40</t>
  </si>
  <si>
    <t>Gestión 202411ACT1709F2DD del NIT 74033212 , realizó el pago de la multa pero no hay un apartado para enviarla.</t>
  </si>
  <si>
    <t>Sincronizar afiliaciones NIT 99180847</t>
  </si>
  <si>
    <t>Solicitud apoyo en verificación de gestión en la que se encuentra el Pasaporte EE9562177 emitido en China</t>
  </si>
  <si>
    <t>Solicitud apoyo en verificación de gestión en la que se encuentra DPI: 3207711130801</t>
  </si>
  <si>
    <t>Solicitud apoyo en verificación de gestión en la que se encuentra DPI: 3639375950101</t>
  </si>
  <si>
    <t>Inactivar el contador del RTU – NIT: 99813904</t>
  </si>
  <si>
    <t>MEM-SAT-IAC-DGS-UST-009-2025</t>
  </si>
  <si>
    <t>Solicitud apoyo en verificación de gestión en la que se encuentra DPI: 3220927951324</t>
  </si>
  <si>
    <t>Solicitud apoyo en verificación de gestión en la que se encuentra DPI: 3233137600509</t>
  </si>
  <si>
    <t>Solicitud apoyo en verificación de gestión en la que se encuentra DPI: 3326289491803</t>
  </si>
  <si>
    <t>El contribuyente NIT 74643215 quien manifiesta que le genera Error en solicitud de liquidación de sanciones tributarias, para solicitud de exoneración, indica que lleno todos los datos como indica la guía y le aparece este error</t>
  </si>
  <si>
    <t>Número de gestión de inscripción de NIT generada con el CUI 2724984240513</t>
  </si>
  <si>
    <t>Número de gestión de inscripción de NIT generada con el CUI 3230684801601.</t>
  </si>
  <si>
    <t>Solicitud apoyo en verificación de gestión en la que se encuentra el CUI 1840763152211</t>
  </si>
  <si>
    <t>Solicitud apoyo en verificación de gestión en la que se encuentra el CUI 1680949830801</t>
  </si>
  <si>
    <t>Solicitud apoyo en verificación de gestión en la que se encuentra el CUI 4065856010108</t>
  </si>
  <si>
    <t>Solicitud apoyo en verificación de gestión en la que se encuentra el CUI 1808700841416</t>
  </si>
  <si>
    <t>Solicitud apoyo en verificación de gestión en la que se encuentra el CUI 2071026350116</t>
  </si>
  <si>
    <t>Solicitud apoyo en verificación de gestión en la que se encuentra DPI: 3022532970101</t>
  </si>
  <si>
    <t>Solicitud apoyo en verificación de gestión en la que se encuentra DPI: 2623822451308</t>
  </si>
  <si>
    <t>Solicitud apoyo en verificación de gestión en la que se encuentra DPI: 2936707650614</t>
  </si>
  <si>
    <t>Solicitud apoyo en verificación de gestión en la que se encuentra DPI: 2349613090401</t>
  </si>
  <si>
    <t>Solicitud apoyo en verificación de gestión en la que se encuentra DPI: 2750013770715</t>
  </si>
  <si>
    <t>Solicitud apoyo en verificación de gestión en la que se encuentra DPI: 3305360281711</t>
  </si>
  <si>
    <t>NIT 18231241 gestión 20251ACTB44B40BD</t>
  </si>
  <si>
    <t>Solicito apoyo para inactivar la característica especial de Emisor FEL, debido a que, el contribuyente ya realizó cese de actividades y el establecimiento comercial y afiliación al IVA ya se encuentran inactivos. NIT: 55502911</t>
  </si>
  <si>
    <t>IRE/Departamento de Sistemas de Recaudación</t>
  </si>
  <si>
    <t>Solicitud apoyo en verificación de gestión en la que se encuentra DPI: 2824169780805</t>
  </si>
  <si>
    <t>Solicitud apoyo en verificación de gestión en la que se encuentra DPI: 3361303250901</t>
  </si>
  <si>
    <t>Solicitud apoyo gestión de Actualización de datos - NIT: 49094645</t>
  </si>
  <si>
    <t xml:space="preserve">Gestión de actualización de datos 20251ACT5638E74F NIT 120433931 indica que si está adjuntando el documento de ampliación.  </t>
  </si>
  <si>
    <t xml:space="preserve">GRC </t>
  </si>
  <si>
    <t>Gestión de inscripción de nueva sociedad anónima, 20251ACT00F00771 NIT 120428229 indica que le han rechazado 2 veces la gestión, pero en el comentario no le especifican claramente cuál es el inconveniente</t>
  </si>
  <si>
    <t xml:space="preserve">El contribuyente NIT 43410383 está realizando un traspaso electrónico y cuando va por el paso de hacer las lecturas del QR le indica que el código es invalido y no le permite continuar ya se imprimieron nuevamente los documentos, pero el error persiste. </t>
  </si>
  <si>
    <t>Retención por premio de loterías, rifas o sorteos</t>
  </si>
  <si>
    <t>X</t>
  </si>
  <si>
    <t>Gestión de cese de actividades 20251CESE89BBD307 NIT 74474480 , indica que no puede presentar la declaración de enero, pues tiene otros establecimientos activos.</t>
  </si>
  <si>
    <t>Gestión de inscripción de sociedad anónima 202411ACT99D68170 NIT 120384167, indica que ha colocado las fechas como indican los documentos</t>
  </si>
  <si>
    <t>Reporte Inventario Semestral - NIT: 120021153</t>
  </si>
  <si>
    <t>Contact Center</t>
  </si>
  <si>
    <t>Michelle Alvarez</t>
  </si>
  <si>
    <t>Reporte Semestral Inventarios - NIT: 120112728</t>
  </si>
  <si>
    <t>Reporte semestral de inventarios - NIT: 107237520</t>
  </si>
  <si>
    <t>José Alfredo Bravo</t>
  </si>
  <si>
    <t>Reporte semestral de inventarios - NIT: 101539754</t>
  </si>
  <si>
    <t>Reporte semestral de inventarios - NIT: 70139466</t>
  </si>
  <si>
    <t>NIT 31910823</t>
  </si>
  <si>
    <t>Constancia de envío inventarios NIT 74746510</t>
  </si>
  <si>
    <t>Constancia de envío inventarios NIT 102253595</t>
  </si>
  <si>
    <t>Constancia de envío inventarios NIT 11530771</t>
  </si>
  <si>
    <t>Constancia de envío inventarios NIT 38480506</t>
  </si>
  <si>
    <t>Constancia de envío inventarios NIT 103051589</t>
  </si>
  <si>
    <t>Constancia de envío inventarios NIT 13298887</t>
  </si>
  <si>
    <t>Constancia de envío inventarios NIT 4682599</t>
  </si>
  <si>
    <t>Informe Semestral Inventarios - NIT: 100758037</t>
  </si>
  <si>
    <t>Informe Semestral de Inventarios - NIT: 106205145</t>
  </si>
  <si>
    <t>Reporte semestral del inventarios - NIT: 64788199</t>
  </si>
  <si>
    <t>Reporte Semestral de Inventarios - NIT: 95994475</t>
  </si>
  <si>
    <t>Informe Semestral de Inventarios - NIT: 88884198</t>
  </si>
  <si>
    <t>Inventario Semestral de Inventarios - NIT: 116017635</t>
  </si>
  <si>
    <t>Inventario Semestral de Inventarios - NIT: 103838600</t>
  </si>
  <si>
    <t>Constancia de envío inventarios NIT 36980706</t>
  </si>
  <si>
    <t>Constancia de envío inventarios NIT 3393224</t>
  </si>
  <si>
    <t>Constancia de envío inventarios NIT 64000184</t>
  </si>
  <si>
    <t>Reporte Semestral de Inventarios - NIT: 71288848</t>
  </si>
  <si>
    <t>Reporte semestral de inventarios - NIT: 119644835</t>
  </si>
  <si>
    <t>Constancia de envío inventarios NIT 14942283</t>
  </si>
  <si>
    <t>Constancia de envío inventarios NIT 89976258</t>
  </si>
  <si>
    <t>Constancia de envío inventarios NIT 7935471</t>
  </si>
  <si>
    <t>Constancia de envío inventarios NIT 366986</t>
  </si>
  <si>
    <t>Constancia de envío inventarios NIT 83507396</t>
  </si>
  <si>
    <t>Constancia de envío inventarios NIT 47931701</t>
  </si>
  <si>
    <t>Constancia de envío inventarios NIT 24030570</t>
  </si>
  <si>
    <t>Constancia de envío inventarios NIT 93307462</t>
  </si>
  <si>
    <t>Chat</t>
  </si>
  <si>
    <t>Constancia de envío inventarios NIT 7460376</t>
  </si>
  <si>
    <t>Catarina Mercedes de Leon Rivera</t>
  </si>
  <si>
    <t>Constancia de envío inventarios NIT 841422K</t>
  </si>
  <si>
    <t>Constancia de envío inventarios NIT 2122200</t>
  </si>
  <si>
    <t>Constancia de envío inventarios NIT 11979569</t>
  </si>
  <si>
    <t>Constancia de envío inventarios NIT 50800418</t>
  </si>
  <si>
    <t>Constancia de envío inventarios NIT 8093113</t>
  </si>
  <si>
    <t>Constancia de envío inventarios NIT 10521658</t>
  </si>
  <si>
    <t>Mildred Marisol de León</t>
  </si>
  <si>
    <t>Constancia de envío inventarios NIT 13788981</t>
  </si>
  <si>
    <t xml:space="preserve">Lessly Mariela Ramos </t>
  </si>
  <si>
    <t>Constancia de envío inventarios NIT 42710537</t>
  </si>
  <si>
    <t>Constancia de envío inventarios NIT 4353749</t>
  </si>
  <si>
    <t>Constancia de envío inventarios NIT 120252031</t>
  </si>
  <si>
    <t>Constancia de envío inventarios NIT 120206145</t>
  </si>
  <si>
    <t>Constancia de envío inventarios NIT 120380226</t>
  </si>
  <si>
    <t>Constancia de envío inventarios NIT 102633576</t>
  </si>
  <si>
    <t>Constancia de envío inventarios NIT 52295788</t>
  </si>
  <si>
    <t>Constancia de envío inventarios NIT 85105090</t>
  </si>
  <si>
    <t>Constancia de envío inventarios NIT 23741066</t>
  </si>
  <si>
    <t>Constancia de envío inventarios NIT 109679105</t>
  </si>
  <si>
    <t>Iveth Nohemi Hernandez Flores</t>
  </si>
  <si>
    <t>Constancia de envío inventarios NIT 70149151</t>
  </si>
  <si>
    <t>Constancia de envío inventarios NIT 101437331</t>
  </si>
  <si>
    <t>Constancia de envío inventarios NIT 7806116</t>
  </si>
  <si>
    <t xml:space="preserve">Kevin Quintanilla </t>
  </si>
  <si>
    <t>El contribuyente NIT 65724526 Error No puede ingresar al período seleccionado, debido que tienes cierres pendientes de realizar en el Libro de Ventas, por lo que primero debe realizar los cierres pendientes en el orden de los meses de enero a diciembre, pero el empezó operaciones en noviembre de 2024</t>
  </si>
  <si>
    <t>Gestión de actualización de datos 20251ACTFB5C3F6A NIT 116304227, le solicitan el acta del nombramiento del representante legal y según el contribuyente si lo está adjuntando.</t>
  </si>
  <si>
    <t>Solicitud apoyo verificación de gestión Inscripción de NIT - DPI: CUI 3267300361705</t>
  </si>
  <si>
    <t>El contribuyente NIT 114498016 indica rechazo de su solicitud de actualización No.  20251ACT5D1C0C89 dentro de los comentarios de rechazo se encuentra "Adjuntar correctamente con datos legibles documento de constitución completo.", el contribuyente manifiesta que el documento es legible.</t>
  </si>
  <si>
    <t>Solicitud apoyo en verificación de gestión en la que se encuentra DPI: 3208834180501</t>
  </si>
  <si>
    <t>El contribuyente NIT 239839447 indica rechazo de su solicitud de actualización No.  20251ACT74ACC742 dentro de los comentarios de rechazo se encuentra "ESTIMADO CONTRIBUYENTE Favor adjuntar un comprobante de domicilio que amplié la información de su ubicación, ya que es que adjunta no indica municipio y departamento.", el contribuyente manifiesta que la factura si contiene el municipio y departamento.</t>
  </si>
  <si>
    <t>El contribuyente NIT 10040773 indica que está realizando la gestión de Cese No. 20251CESE4EABA23C dentro del comentario del rechazo indica: "Tiene pendientes de presentar sus declaraciones de marzo a diciembre 2021 y de marzo a noviembre 2024" el contribuyente manifiesta que le solicitan presentar declaraciones del año 2021 y el establecimiento inicio operaciones el 11-01-2022.</t>
  </si>
  <si>
    <t>Inconveniente Traspaso Electronico de Vehiculo Inconveniente Traspaso Electronico de vehiculos NIT vendedor 98414070, NIT Comprador 47578297 y NIT Notario 79810926 Placa C903BPZ</t>
  </si>
  <si>
    <t>Constancia de envío inventarios NIT 43410383</t>
  </si>
  <si>
    <t>Reporte semestral de inventarios - NIT: 55835724</t>
  </si>
  <si>
    <t>Reporte semestral de inventarios - NIT: 72693584</t>
  </si>
  <si>
    <t>Reporte semestral de inventarios - NIT: 110995139</t>
  </si>
  <si>
    <t xml:space="preserve">Constancia de envío inventarios NIT 11976918
</t>
  </si>
  <si>
    <t>Constancia de envío inventarios NIT 45804877</t>
  </si>
  <si>
    <t>Constancia de envío inventarios NIT 6931936</t>
  </si>
  <si>
    <t>Constancia de envío inventarios NIT 115634843</t>
  </si>
  <si>
    <t>Constancia de envío inventarios NIT 12071617</t>
  </si>
  <si>
    <t>El contribuyente indica rechazo de su gestión de traspaso, según boleta de requerimiento porque el vehículo no posee VIN, se verifico y es modelo 1992 y no tiene VIN registrado en el sistema.</t>
  </si>
  <si>
    <t>No permite realizar la actualización de datos y la factura fue emitida el 03/01/2025, el contribuyente indica que es por el servicio de internet prestado por un contribuyente individual NIT del proveedor 63653567</t>
  </si>
  <si>
    <t>El contribuyente NIT 58808486 reporta inconveniente que desde ayer esta generando una razón de pago para patente individual, pero el sistema no le genera la constancia y le deja con el mismo saldo</t>
  </si>
  <si>
    <t>el contribuyente NIT 111176476 indica rechazo de su solicitud de actualización No.  20251ACT8B1F66E5 dentro de los comentarios de rechazo se encuentra "debe de adjuntar factura de domicilio en el ultimo negocio registrado", el contribuyente manifiesta que está agregando el establecimiento No. 21 y esta adjuntando la patente de comercio y están rechazando la solicitud.</t>
  </si>
  <si>
    <t>Gestión de actualización de datos 202412ACTBDEC6BDC  NIT 120413450, indica que si está subiendo la documentación que le indican en el rechazo.</t>
  </si>
  <si>
    <t>Solicitud apoyo verificación de gestión Inscripción de NIT - DPI: 3361949861701</t>
  </si>
  <si>
    <t>NIT 120369567  gestión 20251ACT3B0A0A59</t>
  </si>
  <si>
    <t>Solicitud apoyo en verificación de gestión en la que se encuentra DPI: 2967964331013</t>
  </si>
  <si>
    <t>NIT 48629928 realizó cese de actividades y el verificador le muestra el incumplimiento Renuente a Incorporarse al Régimen FEL</t>
  </si>
  <si>
    <t>Solicitud apoyo en verificación de gestión en la que se encuentra el CUI 3560855970101</t>
  </si>
  <si>
    <t>Gestión de actualización de datos 202412ACTFD6A5AE7 NIT 67895166 , indica que realizó el pago de la multa y el revisor se la está requiriendo nuevamente</t>
  </si>
  <si>
    <t>El contribuyente NIT 120369567 indica rechazo de su solicitud de actualización No.  20251ACT3B0A0A59 dentro de los comentarios de rechazo se encuentra "Pagar multa por actualización extemporánea de nombramiento, generar el formulario en declaraguate con numero 45507081871 acceso 914301593", el contribuyente manifiesta que el día 17 de enero de 2025 pago la multa por aviso extemporáneo con el formulario SAT-0811 No. 45445671171</t>
  </si>
  <si>
    <t>El contribuyente NIT 15749584 indica rechazo de su solicitud de actualización No.  20251ACT6722E04C dentro de los comentarios de rechazo se encuentra "Rectifique tipo de contribuyente en el apartado de afiliaciones", el contribuyente solicita el apoyo en que se le indique exactamente debe de cambiar, si es el IVA o ISR.</t>
  </si>
  <si>
    <t>Solicitud apoyo gestión de actualización de datos RTU - NIT: 118292293 Gestión: 20251ACT29FBA9B6</t>
  </si>
  <si>
    <t>NIT 45681341 -- GESTIÓN 20251ACTFBC06512</t>
  </si>
  <si>
    <t>Rechazo activación usuario de Agencia Virtual NIT 7964218 por mostrar solo la parte frontal del DPI</t>
  </si>
  <si>
    <t>GRS</t>
  </si>
  <si>
    <t>Reporte semestral de inventarios - NIT: 34962484</t>
  </si>
  <si>
    <t>Gerber Morales</t>
  </si>
  <si>
    <t>Constancia de envío inventarios NIT 66680867</t>
  </si>
  <si>
    <t>Constancia de envío inventarios NIT 118392425</t>
  </si>
  <si>
    <t xml:space="preserve">Constancia de envío inventarios NIT 84537272
</t>
  </si>
  <si>
    <t>Inconveniente en el llenado del Libro de Compras de LET - NIT: 47724404</t>
  </si>
  <si>
    <t>Constancia de envío inventarios NIT 12520772</t>
  </si>
  <si>
    <t>Juan Francisco Batz Veliz</t>
  </si>
  <si>
    <t>Constancia de envío inventarios NIT 59465328</t>
  </si>
  <si>
    <t>Constancia de envío inventarios NIT 16342259</t>
  </si>
  <si>
    <t>Julio Cesar Robledo Polanco</t>
  </si>
  <si>
    <t>Habilitación de Establecimientos con status “Cancelación Temporal”, NIT: 86167456</t>
  </si>
  <si>
    <t>MEM-SAT-IAC-DGS-UST-004-2025</t>
  </si>
  <si>
    <t>Solicitud apoyo en verificación de gestión en la que se encuentra DPI: 1934912490208</t>
  </si>
  <si>
    <t>Solicitud apoyo en verificación de gestión en la que se encuentra DPI: 3632065900101</t>
  </si>
  <si>
    <t>Solicitud apoyo en verificación de gestión en la que se encuentra DPI: 3270296841604</t>
  </si>
  <si>
    <t>NIT 108166163 gestión 20251ACT0B333DFE, indica que el rechazo no especifica cuál es el inconveniente</t>
  </si>
  <si>
    <t>NIT 119943220 gestión 20251ACTF7C501B0</t>
  </si>
  <si>
    <t>gestión 20251INSED75D454</t>
  </si>
  <si>
    <t xml:space="preserve">Sincronizar afiliaciones NIT 120414287 no puede habilitar libros. </t>
  </si>
  <si>
    <t>El contribuyente NIT 63117908, manifiesta que realizó su pago de solvencia fiscal el 21/01/2025, pero el formulario no ha habilitado el botón para poder imprimirla y no aparece en el modulo de solicitudes de solvencias fiscales.</t>
  </si>
  <si>
    <t>IRE/Departamento de Cumplimiento Tributario</t>
  </si>
  <si>
    <t>Solicitud apoyo gestión de Cese de Actividades - NIT: 34249990</t>
  </si>
  <si>
    <t>Reporte semestral de inventarios - NIT: 25193880</t>
  </si>
  <si>
    <t>Reporte semestral de Inventarios - NIT: 105725757</t>
  </si>
  <si>
    <t xml:space="preserve">Constancia de envío inventarios NIT 47726903
</t>
  </si>
  <si>
    <t>NIT  7167148</t>
  </si>
  <si>
    <t>NIT 93277156</t>
  </si>
  <si>
    <t>NIT  5781078</t>
  </si>
  <si>
    <t>Constancia de envío inventarios NIT 1703196</t>
  </si>
  <si>
    <t>NIT  (20251INSBAF426FF) DPI 3194761460719</t>
  </si>
  <si>
    <t>x</t>
  </si>
  <si>
    <t>Reporte semestral de inventarios - NIT: 86975609</t>
  </si>
  <si>
    <t>Constancia de envío inventarios NIT 738891</t>
  </si>
  <si>
    <t>Constancia de envío inventarios NIT 86066064</t>
  </si>
  <si>
    <t>Constancia de envío inventarios NIT 71464042</t>
  </si>
  <si>
    <t>Constancia de envío inventarios NIT 95043772</t>
  </si>
  <si>
    <t>Constancia de envío inventarios NIT 96005521</t>
  </si>
  <si>
    <t>Agregar profesión al catalogo de profesiones del RTU Digital NIT 57948550</t>
  </si>
  <si>
    <t>MEM-SAT-IAC-DGS-005-2025</t>
  </si>
  <si>
    <t xml:space="preserve">Gestión de actualización de datos 20251ACT116F19F1NIT: 108012905, le indican que debe tener un representante legal activo  vigente.
</t>
  </si>
  <si>
    <t xml:space="preserve">Gestión de inscripción de NIT 20251INSE73EE92E en la cual le indican que ya tiene NIT, sin embargo, el contribuyente al verificar los datos no coincide con sus generales. </t>
  </si>
  <si>
    <t>El contribuyente NIT 111342201 que al intentar llenar el formulario 471 registro de devolución crédito de exportadores le genera el error debe generar su código de exportador a través de la VUPE, pero él ya cuenta su código</t>
  </si>
  <si>
    <t>Solicitud apoyo gestión de Actualización de datos en el RTU - 6262562</t>
  </si>
  <si>
    <t xml:space="preserve">NIT 120417294 no puede inscribirse como exportador. </t>
  </si>
  <si>
    <t>Departamento de Fiscalización Selectiva / IFI</t>
  </si>
  <si>
    <t xml:space="preserve">NIT 57125643 gestión 20251ACTB4E10FC9 </t>
  </si>
  <si>
    <t>Gestión de cese de actividades 20251CESE313FF359 del NIT 101796846, indica que está adjuntando los folios que le solicitan en el comentario adicional</t>
  </si>
  <si>
    <t xml:space="preserve">Constancia de envío inventarios NIT 36736392
</t>
  </si>
  <si>
    <t>NIT  111134773 se envió constancia de presentación de informe de inventarios.</t>
  </si>
  <si>
    <t>El contribuyente NIT 38249715 reporta que el aparatado de marcas de la Agencia Virtual posee Agencia Virtual desde el 27-02-2017, pero en el aparatado de ubicación no posee correo por lo que, al realizar la gestión de cambio de Correo de la Agencia Virtual, no se procesa.</t>
  </si>
  <si>
    <t>Constancia de envío inventarios NIT 50522612</t>
  </si>
  <si>
    <t>Constancia de envío inventarios NIT 114429316</t>
  </si>
  <si>
    <t>El contribuyente NIT 41545184 indica rechazo de su solicitud de actualización No.  20251ACT224FEF99 dentro de los comentarios de rechazo se encuentra "Estimado contribuyente posterior a la revisión, es necesario que cancelen la multa que corresponde al aviso extemporáneo de la cancelación del representante legal.", el contribuyente manifiesta que en la gestión no esta solicitando cancelación de Representante Legal.</t>
  </si>
  <si>
    <t>NIT 113543395 realizó el pago del ISCV 2025 del vehículo P-887KFR con el formulario SAT 4091 45458921876, sin embargo, al consultar el formulario no muestra datos del vehículo y en la consulta de vehículo aparece como pendiente de pago. </t>
  </si>
  <si>
    <t>NIT 46700951  gestión 20251AVBCEA488A no la han atendido está en reasignada por rechazo</t>
  </si>
  <si>
    <t xml:space="preserve">Constancia de envío inventarios NIT 3454703
</t>
  </si>
  <si>
    <t>NIT 88497135 reporta inconveniente al momento de realizar un traspaso electrónico, el sistema le muestra error NULL.</t>
  </si>
  <si>
    <t>Constancia de envío inventarios NIT 91969174</t>
  </si>
  <si>
    <t xml:space="preserve">Constancia de envío inventarios NIT 8194025
</t>
  </si>
  <si>
    <t xml:space="preserve">Constancia de envío inventarios NIT 51629771
</t>
  </si>
  <si>
    <t>El Notario NIT 40008029 indica problema con generar traspaso electronico al ingresar al apartado de traspasos el sistema le indica que el vendedor no ha autorizado la gestion, sin embargo el vendedor confirma y tengo a la vista que ya ha autorizado la gestion para realizar el traspaso en virtud que a mi como notario ya me ha llegado el correo de confirmacion juntamente con la parte compradora.</t>
  </si>
  <si>
    <t>Constancia de envío inventarios NIT 66784395</t>
  </si>
  <si>
    <t>el NIT 49941437 en la agencia virtual le aparece el apellido de casada como TEMAJ y lo correcto es TEMA tal como esta en el RTU Nube y RTU Oracle.</t>
  </si>
  <si>
    <t>Inactivación de característica especial de asalariado NIT 20656408</t>
  </si>
  <si>
    <t>MEM-SAT-IAC-DGS-UST-002-2025</t>
  </si>
  <si>
    <t>Inactivación de característica especial de asalariado NIT 36624691</t>
  </si>
  <si>
    <t>Inactivación de característica especial de asalariado NIT 92905145</t>
  </si>
  <si>
    <t>El NIT 80671837 en la agencia virtual le aparece el nombre en la parte superior derecha distinto al que tiene en RTU Nube y RTU Oracle</t>
  </si>
  <si>
    <t>Inactivación de característica especial de asalariado NIT 80329748</t>
  </si>
  <si>
    <t>MEM-SAT-IAC-DGS-004-2025</t>
  </si>
  <si>
    <t>Inactivación de característica especial de asalariado NIT 76271161</t>
  </si>
  <si>
    <t>Inactivación de característica especial de asalariado NIT 2283107K</t>
  </si>
  <si>
    <t>gestión de actualización de datos 20251ACTFF37E9E2 NIT 93715188 indica que está subiendo el documento de cancelación del nombramiento y si le pueden aclarar que tiene pendiente</t>
  </si>
  <si>
    <t>NIT 120399636 gestión 202412ACTC48F4B3E</t>
  </si>
  <si>
    <t>Inconveniente con ingreso de número de serie en procedimiento de Actualización de datos del RTU Digital NIT 86126512</t>
  </si>
  <si>
    <t>MEM-SAT-IAC-DGS-009-2025</t>
  </si>
  <si>
    <t>NIT 120387050 GESTIÓN 20251ACTCB506918</t>
  </si>
  <si>
    <t>NIT 38949768 GESTIÓN 20251ACT77B8265F</t>
  </si>
  <si>
    <t>NIT 80835856 EXP 29096006</t>
  </si>
  <si>
    <t>Gestión de cese de actividades 20251CESE521D136F NIT:  41589106, según el contribuyente y los registros de SAT únicamente ha estado en el régimen general del IVA y le están requiriendo libro de compras y ventas de pequeño contribuyente</t>
  </si>
  <si>
    <t>Gestión de actualización de datos 20251ACT77B8265F NIT 38949768</t>
  </si>
  <si>
    <t>Consulta sobre fideicomisos</t>
  </si>
  <si>
    <t>Solicitud consulta Suspensión del IVA - NIT: 70191166</t>
  </si>
  <si>
    <t>Alfredo Bravo</t>
  </si>
  <si>
    <t>Solicitud apoyo verificación de Rechazo en gestión de Activación de AV - NIT: 98614320</t>
  </si>
  <si>
    <t>nit 69272239</t>
  </si>
  <si>
    <t>NIT 40919013</t>
  </si>
  <si>
    <t>NIT 35034785</t>
  </si>
  <si>
    <t>NIT  86337165, realizó varios cambios de régimen y tiene inconvenientes con presentar el formulario SAT 2046 del mes de diciembre</t>
  </si>
  <si>
    <t>La contribuyente GENESÍS VICTORIA ORANTES MONTENEGRO, con CUI 3813442310101, realizó la cita No. 20251CC3062425A para concluir la inscripción 20251INSCEFE44BB. La cita aparece con el estado: no cumple requisitos. Por lo tanto, solicita apoyo para ser atendida el día 23 de enero de 2025, en la Agencia Tributaria Pacific Villa Hermosa.</t>
  </si>
  <si>
    <t>Unidad de Tecnologia IAC</t>
  </si>
  <si>
    <t>El contribuyente NIT 85077402 indica rechazo de su solicitud de actualización No.  20251ACT0D718268 dentro de los comentarios de rechazo se encuentra "Debe adjuntar documento de cancelación de representante legal", el contribuyente solicita el apoyo debido a que manifiesta que esta adjuntando el documento solicitado.</t>
  </si>
  <si>
    <t>El contribuyente NIT 5053471 manifiesta que la herramienta LET no reconoce los folios que se pagaron con el formulario SAT-7121 No. 45498003984  Acceso 936824128</t>
  </si>
  <si>
    <t>Inconveniente en generación de LET Régimen General - NIT 116504161</t>
  </si>
  <si>
    <t>Solicitud apoyo gestión Actualización de datos - NIT: 107923351</t>
  </si>
  <si>
    <t> Solicitud apoyo  No puede ingresar a la AV - NIT: 46469249</t>
  </si>
  <si>
    <t>El contribuyente NIT 74654500 indica rechazo de su solicitud de actualización No.  202412ACT43E74694 dentro de los comentarios de rechazo se encuentra "Adjuntar testimonio de modificación propuesta", el contribuyente manifiesta que no hay escritura de cambio porque únicamente se esta corrigiendo el nombre que le falta una coma.</t>
  </si>
  <si>
    <t>El contribuyente NIT 120400200 indica rechazo de su solicitud de actualización No.  20251ACTDA9E71E2 dentro de los comentarios de rechazo se encuentra "DEBE VERIFICAR FECHA DE NOMBRAMIENTO DEL REP. LEGAL NO COINCIDE CON EL DOCUMENTO ADJUNTO", el contribuyente manifiesta que ha colocado las fechas según los documentos sin embargo le rechazan la gestión</t>
  </si>
  <si>
    <t>Solicitud apoyo verificación de gestión Inscripción de NIT - DPI: 3387804912010</t>
  </si>
  <si>
    <t>Solicitud apoyo verificación de gestión Inscripción de NIT - DPI: 3046867350115</t>
  </si>
  <si>
    <t>Solicitud apoyo en verificación de gestión en la que se encuentra DPI: 3049600630116</t>
  </si>
  <si>
    <t>Solicitud apoyo en verificación de gestión en la que se encuentra DPI: 3473877991326</t>
  </si>
  <si>
    <t>El contribuyente NIT 120422832 indica rechazo de su solicitud de actualización No.  20251ACT7BE39B72 dentro de los comentarios de rechazo se encuentra "señor contribuyente he verificado 4 veces su gestión corrija en la solicitud las fechas del representante CINDY MERCEDES BATZ GONZALEZ", el contribuyente manifiesta que esta colocando las fechas correctas.</t>
  </si>
  <si>
    <t>Solicitud apoyo verificación de gestión Inscripción de NIT - DPI: 3271269491403</t>
  </si>
  <si>
    <t>Solicitud apoyo gestión de inscripción de NIT - Gestión: 20251INS907A3019</t>
  </si>
  <si>
    <t>Solicitud apoyo verificación de gestión Inscripción de NIT - DPI: 3108277280407</t>
  </si>
  <si>
    <t>Solicitud apoyo en verificación de gestión en la que se encuentra DPI: 2676320290412</t>
  </si>
  <si>
    <t>Solicitud apoyo en verificación de gestión en la que se encuentra el Pasaporte G269422 emitido en Honduras</t>
  </si>
  <si>
    <t>Solicitud apoyo en verificación de gestión en la que se encuentra DPI: 2070995960116</t>
  </si>
  <si>
    <t>Solicitud apoyo verificación de gestión Inscripción de NIT - DPI: 1921432391608</t>
  </si>
  <si>
    <t>Número de gestión de inscripción de NIT iniciada con el CUI 2821903331201</t>
  </si>
  <si>
    <t>Solicitud apoyo en verificación de gestión en la que se encuentra DPI: 3291658871103</t>
  </si>
  <si>
    <t>Solicitud apoyo en verificación de gestión en la que se encuentra DPI: 3271839851017</t>
  </si>
  <si>
    <t>Solicitud apoyo en verificación de gestión en la que se encuentra DPI: 3156016121301</t>
  </si>
  <si>
    <t>Solicitud apoyo en verificación de gestión en la que se encuentra DPI: 3438711810101</t>
  </si>
  <si>
    <t>Solicitud apoyo verificación de gestión Inscripción de NIT - DPI: 3580969520805</t>
  </si>
  <si>
    <t>Herbert Flores</t>
  </si>
  <si>
    <t>Solicitud apoyo verificación de gestión Inscripción de NIT - DPI: 3367373780919</t>
  </si>
  <si>
    <t>Solicitud apoyo verificación de gestión Inscripción de NIT - DPI: 3274975991606</t>
  </si>
  <si>
    <t>Solicitud apoyo verificación de gestión Inscripción de NIT - DPI: 1674763430602</t>
  </si>
  <si>
    <t>Solicitud apoyo en verificación de gestión en la que se encuentra DPI: 2877280801101</t>
  </si>
  <si>
    <t>Solicitud apoyo en verificación de gestión en la que se encuentra DPI: 1840763152221</t>
  </si>
  <si>
    <t>Solicitud apoyo en verificación de gestión en la que se encuentra DPI: 3245636711006</t>
  </si>
  <si>
    <t>Solicitud apoyo en verificación de gestión en la que se encuentra DPI: 3044414300114</t>
  </si>
  <si>
    <t>Solicitud apoyo en verificación de gestión en la que se encuentra DPI: 3863747670101</t>
  </si>
  <si>
    <t>Solicitud apoyo en verificación de gestión en la que se encuentra DPI: 2326562150101</t>
  </si>
  <si>
    <t>NIT 23869178 gestión 20251ACT697D0ACA</t>
  </si>
  <si>
    <t>NIT 1064177</t>
  </si>
  <si>
    <t>El contribuyente NIT 198092156 indica rechazo de su gestión cambio de correo electrónico de la Agencia Virtual No.  20251AVC0B4B7B3 dentro de los comentarios de rechazo se encuentra "EN EL VIDEO NO SE VISUALIZA EL DOCUMENTO PERSONAL DE IDENTIFICACIÓN.", el contribuyente manifiesta que si realiza e acercamiento del documento para la visualización.</t>
  </si>
  <si>
    <t>El contribuyente NIT 27075893 indica rechazo de su solicitud de actualización No.  20251ACT22922743 dentro de los comentarios de rechazo se encuentra "ESTIMADO CONTRIBUYENTE CORREGIR FECHA DE INSCRIPCION EN EL REGISTRO.", el contribuyente solicita el apoyo debido a que coloco la fecha que indica el documento emitido por el Registro Mercantil.</t>
  </si>
  <si>
    <t>Constancia de envío inventarios NIT 8370788</t>
  </si>
  <si>
    <t>Inactivación de característica especial de asalariado NIT 95170383</t>
  </si>
  <si>
    <t>El contribuyente NIT 71114203 que le aparece la opción para inscribirse al registro de exportadores y ya tiene código de exportador a través de la VUPE</t>
  </si>
  <si>
    <t>Solicitud apoyo en verificación de gestión en la que se encuentra el Pasaporte E0459382 emitido en Honduras</t>
  </si>
  <si>
    <t>El contribuyente NIT 97579505 indica rechazo de su solicitud de actualización No.  20251ACT9FD09944 dentro de los comentarios de rechazo se encuentra "Estimado contribuyente el Tipo de documento correcto son Factura por los servicios de energía eléctrica, agua potable, teléfono de línea fija ", el contribuyente manifiesta que el documento corresponde la prestación de servicios de telefonía fija.</t>
  </si>
  <si>
    <t>NIT 92057519 en el formulario SAT 4091 no aparece el dato de la placa para la cual efectuaron el pago del impuesto.</t>
  </si>
  <si>
    <t xml:space="preserve">NIT 28496566 gestión 20251ACT8B3B0341, le indican que se comunique a una extensión o envíe información al correo, pero no le indicaron como proceder. 
</t>
  </si>
  <si>
    <t xml:space="preserve">Número de gestión de inscripción de NIT generada con el CUI 3012947120101
</t>
  </si>
  <si>
    <t>Solicitud apoyo verificación de gestión Inscripción de NIT - DPI: 1739472020103</t>
  </si>
  <si>
    <t>DPI  3122413211406</t>
  </si>
  <si>
    <t>Solicitud apoyo en verificación de gestión en la que se encuentra DPI: 3056705650301</t>
  </si>
  <si>
    <t xml:space="preserve">Solicitud apoyo en verificación de gestión en la que se encuentra DPI: 3794486451309 </t>
  </si>
  <si>
    <t>Solicitud apoyo en verificación de gestión en la que se encuentra DPI: 2582345710901</t>
  </si>
  <si>
    <t>El contribuyente NIT 12471895 indica rechazo de su solicitud de actualización No.  20251CEC445F246E dentro de los comentarios de rechazo se encuentra "Estimado contribuyente atender únicamente lo solicitado en comentario adicional: copia certificada debe ser reciente", el contribuyente manifiesta que la legalización es del año 2025.</t>
  </si>
  <si>
    <t>NIT  61624306 expediente 29025405</t>
  </si>
  <si>
    <t xml:space="preserve">Constancia de envío inventarios NIT 105963720
</t>
  </si>
  <si>
    <t>NIT 4356977 gestión 20251ACT60AD31DA</t>
  </si>
  <si>
    <t>Solicitud apoyo en verificación de gestión en la que se encuentra el Pasaporte E0219667 emitido en Honduras</t>
  </si>
  <si>
    <t>El contribuyente NIT 97579505 indica rechazo de su solicitud de actualización No.  20251ACT9FD09944 dentro de los comentarios de rechazo se encuentra "Estimado contribuyente el Tipo de documento correcto son Factura por los servicios de energía eléctrica, agua potable, teléfono de línea fija", el contribuyente manifiesta que esta adjuntando una factura de telefonía fija</t>
  </si>
  <si>
    <t>Solicitud apoyo en verificación de gestión en la que se encuentra DPI: 3062717610312</t>
  </si>
  <si>
    <t>Solicitud apoyo en verificación de gestión en la que se encuentra DPI: 2997697390904</t>
  </si>
  <si>
    <t>Solicitud apoyo verificación de gestión Inscripción de NIT - DPI: 3359163411901</t>
  </si>
  <si>
    <t xml:space="preserve">Número de gestión de inscripción de NIT generada con el CUI 3020773750101.
</t>
  </si>
  <si>
    <t>Solicitud apoyo gestión Actualización de RTU, NIT calificado con riesgo alto - NIT: 95737707</t>
  </si>
  <si>
    <t xml:space="preserve">Gestión 20251ACT822B7AAB NIT 5676878 , indica que está utilizando la factura de teléfono de línea fija pero le indican que no es así. 
</t>
  </si>
  <si>
    <t>NIT  3844706 F 45403133540 ACCESO 552026134 EXP 29069049 no está el ícono de impresión</t>
  </si>
  <si>
    <t xml:space="preserve"> NIT 11991313 gestión 20251CESEA89DD7FB, está solicitando la presentación de las omisiones y está realizando cese prescrito</t>
  </si>
  <si>
    <t>NIT 36299324 gestión 20251ACT7474B20B</t>
  </si>
  <si>
    <t>Constancia de envío inventarios NIT 40056414</t>
  </si>
  <si>
    <t>Constancia de envío inventarios NIT 45603081</t>
  </si>
  <si>
    <t>Constancia de envío inventarios NIT 91175747</t>
  </si>
  <si>
    <t>Constancia de envío inventarios NIT 9876146</t>
  </si>
  <si>
    <t>Cita Copropiedad Gestión 20251INSE0B63873, Agencia Dubai Center, viernes 23-01-25 de 12:30.  Irwin Isaac De León Barrios Representante Legal NIT94970068</t>
  </si>
  <si>
    <t xml:space="preserve">NIT  16897862	</t>
  </si>
  <si>
    <t>Reporte semestral de inventarios - NIT: 8094357</t>
  </si>
  <si>
    <t>Aramis De León</t>
  </si>
  <si>
    <t xml:space="preserve">Constancia de envío inventarios NIT 8094357
</t>
  </si>
  <si>
    <t>Constancia de envío inventarios NIT 104749709</t>
  </si>
  <si>
    <t>Constancia de envío inventarios NIT 100398332</t>
  </si>
  <si>
    <t>El contribuyente NIT 104175893 inconveniente al agregar un agente aduanero, por favor apoyar con el inconveniente</t>
  </si>
  <si>
    <t xml:space="preserve"> Aduanas</t>
  </si>
  <si>
    <t>el contribuyente NIT 23871423 emitió una resolución SAT No. 2024-1-61-2530351 para impresión de Recibos por Donación a Asociaciones, el contribuyente actualmente tiene la característica especial de Registro Fiscal de Imprentas en estado Inactivo, pero desea enviar el Informe de Servicios de Impresión pero no le permite.</t>
  </si>
  <si>
    <t>El contribuyente NIT 25750291 indica rechazo de su solicitud de actualización No.  20251ACTD77E304C dentro de los comentarios de rechazo se encuentra "Registrar correctamente los datos completos de la dirección según factura adjunta, no utilizar abreviaturas", el contribuyente manifiesta que esta colocando la dirección correcta.</t>
  </si>
  <si>
    <t xml:space="preserve">Número de gestión de inscripción de NIT generada con el CUI 1776905341401
</t>
  </si>
  <si>
    <t xml:space="preserve">Número de gestión de inscripción de NIT generada con el CUI 1705255701323
</t>
  </si>
  <si>
    <t>Solicitud apoyo en verificación de gestión en la que se encuentra DPI: 3795907192211</t>
  </si>
  <si>
    <t>Solicitud apoyo en verificación de gestión en la que se encuentra DPI: 3326895141205</t>
  </si>
  <si>
    <t xml:space="preserve">Solicitud apoyo en verificación de gestión en la que se encuentra DPI: 3271201181604 </t>
  </si>
  <si>
    <t>Solicitud apoyo en verificación de gestión en la que se encuentra DPI: 3233822580509</t>
  </si>
  <si>
    <t>Solicitud apoyo en verificación de gestión en la que se encuentra DPI: 3028017070105</t>
  </si>
  <si>
    <t>Solicitud apoyo en verificación de gestión en la que se encuentra DPI: 3065373110513</t>
  </si>
  <si>
    <t>Reporte semestral de inventarios NIT: 747864K</t>
  </si>
  <si>
    <t>Constancia de envío inventarios NIT 74250515</t>
  </si>
  <si>
    <t xml:space="preserve">Constancia de envío inventarios NIT 91758475
</t>
  </si>
  <si>
    <t>Inactivación de característica especial de asalariado NIT 661972K</t>
  </si>
  <si>
    <t>MEM-SAT-IAC-DGS-008-2025</t>
  </si>
  <si>
    <t>El contribuyente 36133051 manifiesta que desde hace como 8 años deshabilitó y dio de baja a la Imprenta Orión, pero aún aparece en el listado de imprentas inscritas, lo que provoca que reciba llamadas por trabajos, el solicita eliminar dentro del registro de imprentas.</t>
  </si>
  <si>
    <t>Constancia de envío inventarios NIT 91463408</t>
  </si>
  <si>
    <t>NIT 4356977 gestión  20251ACT60AD31DA</t>
  </si>
  <si>
    <t>NIT 17530075 gestión 20251ACTE09A456E</t>
  </si>
  <si>
    <t>Al contribuyente NIT 120421003, no le reconoce la Agencia Virtual en RTU Nube ni en RTU Oracle.</t>
  </si>
  <si>
    <t>Al contribuyente NIT 308245385, no le reconoce la Agencia Virtual en RTU Nube ni en RTU Oracle.</t>
  </si>
  <si>
    <t>El contribuyente NIT 44405332 reporta que le aprobaron la Agencia Virtual, pero no aparece la marca de AV, incluso no aparece el correo electrónico. </t>
  </si>
  <si>
    <t>El contribuyente NIT 103967036 reporta que realizó el pago de convenio de pago en el formulario SAT-0891, pero al llenar otro formulario este no le reconoce el pago realizado el 03-01-2025 indica que la cuota esta vencida.</t>
  </si>
  <si>
    <t>El contribuyente NIT 112225624 reporta que no le permite hacer un reinicio de contraseña de Agencia Virtual, cuando hace la solicitud le aparece que no cuenta con Agencia Virtual, pero si le aparece la marca de Agencia Virtual en RTU Nube y en RTU Oracle.</t>
  </si>
  <si>
    <t>Solicitud apoyo en verificación de gestión en la que se encuentra DPI: 3833445570101</t>
  </si>
  <si>
    <t>Solicitud apoyo en verificación de gestión en la que se encuentra DPI: 3643605502202</t>
  </si>
  <si>
    <t>Solicitud apoyo en verificación de gestión en la que se encuentra DPI: 3251931421401</t>
  </si>
  <si>
    <t>Solicitud apoyo en verificación de gestión en la que se encuentra DPI: 2173529870603</t>
  </si>
  <si>
    <t>Solicitud apoyo en verificación de gestión en la que se encuentra DPI: 1805354981606</t>
  </si>
  <si>
    <t xml:space="preserve">Número de gestión de inscripción de NIT generada con el CUI 2906276561013
</t>
  </si>
  <si>
    <t>Solicitud apoyo en verificación de gestión en la que se encuentra DPI: 2742694142211</t>
  </si>
  <si>
    <t>Solicitud apoyo en verificación de gestión en la que se encuentra DPI: 2908669870108</t>
  </si>
  <si>
    <t>El contribuyente NIT 110299361 indica rechazo de su solicitud de actualización No.  20251ACT4DDF4909 dentro de los comentarios de rechazo se encuentra "ESTIMADO CONTRIBUYENTE FAVOR CANCELA MULTA POR PRESENTACION DE NOMBRAMIENTO DE REPRESENTANTE LEGAL", el contribuyente manifiesta que ya pago la multa y la adjuntan al documento del Representante Legal.</t>
  </si>
  <si>
    <t>El contribuyente NIT 116543485 reporta que no le permite hacer un reinicio de contraseña de Agencia Virtual, cuando hace la solicitud le aparece que no cuenta con Agencia Virtual, pero si le aparece la marca de Agencia Virtual en RTU Nube y en RTU Oracle.</t>
  </si>
  <si>
    <t xml:space="preserve">NIT 51415763  gestión 20251CEPRE8E559E5 es una actualización de productores que se encuentra en estado en Proceso de Asignación con fecha 10/01/2025.  
</t>
  </si>
  <si>
    <t>NIT 94799792</t>
  </si>
  <si>
    <t>NIT 94821658 gestión 20251ACT71A7A388</t>
  </si>
  <si>
    <t>Solicitud apoyo consulta respecto a contacto para Boletín 11-2024 SAT</t>
  </si>
  <si>
    <t>Otra Dependencia</t>
  </si>
  <si>
    <t>Reporte semestral de inventarios - NIT: 120160668</t>
  </si>
  <si>
    <t>Constancia de envío inventarios NIT 109988493</t>
  </si>
  <si>
    <t>Constancia de envío inventarios NIT 43305938</t>
  </si>
  <si>
    <t>Constancia de envío inventarios NIT 108083373</t>
  </si>
  <si>
    <t>Constancia de envío inventarios NIT 119592894</t>
  </si>
  <si>
    <t>Constancia de envío inventarios NIT 70423288</t>
  </si>
  <si>
    <t>Constancia de envío inventarios NIT 108128466</t>
  </si>
  <si>
    <t>Constancia de envío inventarios NIT 86084062</t>
  </si>
  <si>
    <t>Constancia de envío inventarios NIT 25559559</t>
  </si>
  <si>
    <t>Constancia de envío inventarios NIT 7302061</t>
  </si>
  <si>
    <t>Constancia de envío inventarios NIT 5999685</t>
  </si>
  <si>
    <t>El NIT 14049864 en la agencia virtual le aparece el nombre anterior y el se cambio de nombre tal como esta en el RTU Nube y RTU Oracle</t>
  </si>
  <si>
    <t>NIT 7189230 generó una solicitud de actualización de datos 202411ACTBB4ACE7C el 30/01/2024 solicitando cambió de régimen, el día 3 de enero 2025 recibió un rechazo indicándole que el cambio solo se puede en diciembre</t>
  </si>
  <si>
    <t>Solicitud apoyo en verificación de gestión en la que se encuentra DPI: 2829120961015</t>
  </si>
  <si>
    <t>El contribuyente NIT 79673252 indica rechazo de su solicitud de actualización No.  20251ACTEE6AD8EC dentro de los comentarios de rechazo se encuentra "ESTIMADO CONTRIBUYENTE FAVOR DE ADJUNTAR ACTA DE CAMBIO DE Tipo de personería MAS INSCRIPCION CORRESPONDIENTE", el contribuyente manifiesta que cambio la personería debido a una notificación que recibió y que ellos son una organización extranjera.</t>
  </si>
  <si>
    <t xml:space="preserve">Constancia de envío inventarios NIT 108062155
</t>
  </si>
  <si>
    <t>NIT 9855793 gestión 20251ACT4ED4E187</t>
  </si>
  <si>
    <t>Reporte semestral inventarios - NIT: 93402406</t>
  </si>
  <si>
    <t>Solicitud apoyo gestión de Actualización de datos del RTU - Gestión: 20251ACT54EA2D90</t>
  </si>
  <si>
    <t>Constancia de envío inventarios NIT 110751396</t>
  </si>
  <si>
    <t>Constancia de envío inventarios NIT 110527216</t>
  </si>
  <si>
    <t>El contribuyente con NIT 31118720 reporta inconveniente en la transmisión de la DUCA  3115700013 debido a que el sistema de aduanas no esta reconociendo la actualización aprobada el día de ayer</t>
  </si>
  <si>
    <t>El contribuyente NIT 67345441 se comunicó al Contact Center de SAT, indicando que no le permite facturar desde Factura Electrónica en línea FEL.</t>
  </si>
  <si>
    <t>Aviso al Superintedente sobre tiempo en revisar actualizaciones</t>
  </si>
  <si>
    <t>Solicitud apoyo en verificación de gestión en la que se encuentra DPI: 2075184450101</t>
  </si>
  <si>
    <t>El contribuyente NIT 5470730 que, al realizar el libro de Pequeño Contribuyente en el mes de diciembre de 2024 al momento de imprimir el reporte, el primer pdf que descargó tiene asignados los folios 40 y 41pero no se pudo imprimir, ya que un mensaje indicaba que el archivo estaba dañado. Entonces volvió a descargar el reporte, pero ahora se descargó con los folios número 42 y 43.</t>
  </si>
  <si>
    <t>Solicitud apoyo en verificación de gestión en la que se encuentra DPI: 2070505970116</t>
  </si>
  <si>
    <t>Solicitud apoyo en verificación de gestión en la que se encuentra DPI: 3039860420110</t>
  </si>
  <si>
    <t>Solicitud apoyo en verificación de gestión en la que se encuentra DPI: 3694839790101</t>
  </si>
  <si>
    <t>Solicitud apoyo en verificación de gestión en la que se encuentra DPI: 3858550521613</t>
  </si>
  <si>
    <t>Solicitud apoyo verificación de gestión Inscripción de NIT - DPI: 1614172051709</t>
  </si>
  <si>
    <t>Libni</t>
  </si>
  <si>
    <t>Solicitud apoyo número de gestión generada con el CUI 3067772660401</t>
  </si>
  <si>
    <t>Solicitud apoyo en verificación de gestión en la que se encuentra DPI: 3262555671603</t>
  </si>
  <si>
    <t>Solicitud apoyo en verificación de gestión en la que se encuentra DPI: 2263203830101</t>
  </si>
  <si>
    <t>Solicitud apoyo en verificación de gestión en la que se encuentra DPI: 3461558350101</t>
  </si>
  <si>
    <t>Solicitud apoyo en verificación de gestión en la que se encuentra DPI: 2408610941308</t>
  </si>
  <si>
    <t>Solicitud apoyo en verificación de gestión en la que se encuentra DPI: 2240863081613</t>
  </si>
  <si>
    <t>Solicitud apoyo verificación de gestión Inscripción de NIT - DPI: 2683114550101</t>
  </si>
  <si>
    <t xml:space="preserve">Número de gestión de inscripción de NIT generada con el CUI 1761258841318
</t>
  </si>
  <si>
    <t>Solicitud apoyo en verificación de gestión en la que se encuentra DPI: 3039908990110</t>
  </si>
  <si>
    <t>Solicitud apoyo en verificación de gestión en la que se encuentra DPI: 2016075300101</t>
  </si>
  <si>
    <t>Solicitud apoyo en verificación de gestión en la que se encuentra DPI: 1623715350208</t>
  </si>
  <si>
    <t>Solicitud apoyo en verificación de gestión en la que se encuentra DPI: 1734908161805</t>
  </si>
  <si>
    <t>Solicitud apoyo en verificación de gestión en la que se encuentra DPI: 3042278460114</t>
  </si>
  <si>
    <t>El contribuyente NIT 109890191 indica rechazo de su solicitud de actualización No.  202412ACT9D18CC40 dentro de los comentarios de rechazo se encuentra "Previo a realizar alguna gestión corregir donde indica Tipo de documento de constitución Cambiar de Acta a Testimonio de escritura para poder continuar con la gestión, adjuntar documentos completos gracias.", el contribuyente manifiesta  no aparece habilitado el campo para cambiarlo a testimonio de escritura pública y tampoco para subir nuevamente el documento y no quiere cancelarla porque la gestión es por cambio de Régimen del ISR</t>
  </si>
  <si>
    <t>El contribuyente NIT 89237706  que,  el libro pequeño contribuyente el folio de Mayo le tira folio 2, junio igual folio 2 y correspondería folio 3 y de allí en adelante sigue Julio 3 que sería 4</t>
  </si>
  <si>
    <t>Solicitud apoyo en verificación de gestión en la que se encuentra DPI: 3803152700101</t>
  </si>
  <si>
    <t>Número de gestión de inscripción de NIT generada con el CUI 2777475620101</t>
  </si>
  <si>
    <t>Solicitud apoyo verificación de gestión Inscripción de NIT - DPI: 1705255701323</t>
  </si>
  <si>
    <t>El contribuyente NIT 79545823 indica rechazo de su solicitud de actualización No.  202412ACT64922AC2 dentro de los comentarios de rechazo se encuentra "Estimado contribuyente el notario que realizo la escritura ya se encontraba inactivo cuando realizo dicho documento según registro de SAT.", el contribuyente solicita que le validen el requerimiento y se le indique que procede.</t>
  </si>
  <si>
    <t>Solicitud apoyo en verificación de gestión en la que se encuentra DPI: 4105633150101</t>
  </si>
  <si>
    <t>Solicitud apoyo en verificación de gestión en la que se encuentra DPI: 2844085810604</t>
  </si>
  <si>
    <t>El contribuyente NIT 38930935 indica rechazo de su solicitud de actualización No.  202412ACT217EB283 dentro de los comentarios de rechazo se encuentra "Según resolución SAT de fecha 20 de diciembre del 2024 la forma de acreditación autorizada es Impuesto sobre la Renta acreditable al Impuesto de Solidaridad", el contribuyente manifiesta que la resolución es por el cambio de acreditamiento que esta realizando.</t>
  </si>
  <si>
    <t>Solicitud apoyo en verificación de gestión en la que se encuentra DPI: 3510127020101</t>
  </si>
  <si>
    <t>Solicitud apoyo verificación de gestión Inscripción de NIT - DPI: 2993951700101</t>
  </si>
  <si>
    <t>Solicitud apoyo gestión Actualización de Datos del RTU - NIT: 48179655</t>
  </si>
  <si>
    <t>Solicitud apoyo verificación de gestión Inscripción de NIT - DPI: CUI 3271254541604</t>
  </si>
  <si>
    <t>Solicitud apoyo en verificación de gestión en la que se encuentra el Pasaporte E466182 emitido en Cuba</t>
  </si>
  <si>
    <t>Solicitud apoyo en verificación de gestión en la que se encuentra DPI: 2631464131415</t>
  </si>
  <si>
    <t>Solicitud apoyo en verificación de gestión en la que se encuentra DPI: 2938039001409</t>
  </si>
  <si>
    <t>Solicitud apoyo en verificación de gestión en la que se encuentra DPI: 3343706711207</t>
  </si>
  <si>
    <t>Solicitud apoyo verificación de gestión Inscripción de NIT - DPI: 3820317840101</t>
  </si>
  <si>
    <t>Gestión de primer NIT 20251INS23425A57, le rechazan por homónimo, indica que el NIT 9881123 no corresponde a su persona</t>
  </si>
  <si>
    <t>Solicitud apoyo verificación de gestión Inscripción de NIT - DPI: 3880297220101</t>
  </si>
  <si>
    <t>Solicitud apoyo en verificación de gestión en la que se encuentra DPI: 3022512430101</t>
  </si>
  <si>
    <t>El contribuyente NIT 5821142 que envío captura de pantalla donde puede visualizar que en el libro compras LET para Profesional Liberal, del año 2024 solo despliega hasta mes de octubre. No sé como hacer que aparezca Diciembre y poder trabajar las declaraciones de diciembre.</t>
  </si>
  <si>
    <t>Solicitud apoyo en verificación de gestión en la que se encuentra DPI: 2445222941611</t>
  </si>
  <si>
    <t>Solicitud apoyo en verificación de gestión en la que se encuentra el Pasaporte G256801 emitido en Honduras</t>
  </si>
  <si>
    <t>Solicitud apoyo en verificación de gestión en la que se encuentra DPI: 2818664491102</t>
  </si>
  <si>
    <t>Solicitud apoyo en verificación de gestión en la que se encuentra DPI: 2972142171001</t>
  </si>
  <si>
    <t>El contribuyente NIT 96015462 indica rechazo de su solicitud de actualización No.  202411ACTC1BF1E3B dentro de los comentarios de rechazo se encuentra "Señores, por favor comprenda que, si no sigue instrucciones no se podrá aprobar, ya es la tercera con rechazo por el mismo motivo.", el contribuyente manifiesta que el comentario de rechazo no le indica el motivo.</t>
  </si>
  <si>
    <t>Solicitud apoyo en verificación de gestión en la que se encuentra DPI: 4025962340101</t>
  </si>
  <si>
    <t>Solicitud apoyo en verificación de gestión en la que se encuentra DPI: 2785550201014</t>
  </si>
  <si>
    <t>Solicitud apoyo en verificación de gestión en la que se encuentra DPI: 3358019781615</t>
  </si>
  <si>
    <t>Solicitud apoyo en verificación de gestión en la que se encuentra DPI: 3149613560502</t>
  </si>
  <si>
    <t>El contribuyente NIT 115680101 reporta que no puede generar los formularios 2046 que tiene omisos le genera el error: Usted se encuentra afiliado al Régimen Electrónico de Pequeño Contribuyente, le corresponde llenar el formulario SAT-2241.</t>
  </si>
  <si>
    <t>El contribuyente NIT 35797487 Solicita que el sistema le permita presentar diciembre 2024 el formulario SAT 2241, ya que en diciembre de dicho año se cambió de régimen a pequeño contribuyente por tal razón no reconoce el régimen del formulario SAT 2241</t>
  </si>
  <si>
    <t>El contribuyente indica rechazo de su solicitud de inscripción de contribuyentes No.  202412INSD3F56D1A dentro de los comentarios de rechazo se encuentra "ESTIMADO CONTRIBUYENTE FAVOR CORREGIR CASILLA DE TIPO DE CONTRIBUYENTE ACORDE A ACTIVIDAD ECONÓMICA", el manifiesta que la herramienta no le genera una opción que indique "Persona jurídica servicios" solo la que indica " Persona jurídica comercio"</t>
  </si>
  <si>
    <t>Gestión de inscripción de sociedad anónima 202412ACT33116A7B NIT 120298384, el rechazo le solicitan el pago de multa por inscripción extemporánea, no puede generar el formulario porque aparece NIT Jurídico inactivo</t>
  </si>
  <si>
    <t>NIT 15475271 sicnronizar CUI en RTU Oracle</t>
  </si>
  <si>
    <t xml:space="preserve">Inscribiendo una asociación de vecinos gestión 20251INSFF5FD6DA, el revisor está rechazando porque no envían información del REPEJU, la asociación se está inscribiendo en la Municipalidad, adjunto documentación. </t>
  </si>
  <si>
    <t xml:space="preserve">El Notario NIT 47738707 reporta inconveniente en el traspaso electrónico, indica que ya intento de varios navegadores, sin embargo no permite iniciar desde la agencia virtual. </t>
  </si>
  <si>
    <t>El contribuyente NIT 47084057 indica rechazó de la gestión de Cese No. 20251CESE0D97ABFE por declaraciones omisas, el contribuyente manifiesta que los formularios indicados ya fueron presentados.</t>
  </si>
  <si>
    <t>El contribuyente NIT 14378477 que LET pequeño contribuyente no lleva correcta la secuencia de los folios de noviembre, diciembre 2020, 2021 y 2024.</t>
  </si>
  <si>
    <t>El contribuyente NIT 5021081 que esta tratando de hacer el cierre de libro de compras y ventas de pequeño contribuyente desde hace días y no aparece el mes de diciembre en el icono correspondiente</t>
  </si>
  <si>
    <t>El contribuyente NIT 89458036 que LET pequeño contribuyente no lleva correcta la secuencia de los folios de noviembre y diciembre 2023 les asignó el mismo número de folio (46) y enero 2024 el 47</t>
  </si>
  <si>
    <t>NIT 109793994 se comunicó al Contact Center, indica que está realizando una gestión de cese de actividades 20251CESEB48E91D4, revisó lo indicado en el rechazo, pero indica que no encuentra la inconsistencia, solicita apoyo para cumplir el rechazo y concluir la gestión.</t>
  </si>
  <si>
    <t>Reporte semestral de inventarios - NIT: 97460672</t>
  </si>
  <si>
    <t>El contribuyente NIT 99437783 al intentar llenar el formulario 471 registro de devolución crédito de exportadores le genera el error debe generar su código de exportador a través de la VUPE, pero él ya cuenta su código.</t>
  </si>
  <si>
    <t>El contribuyente NIT 119254956 que al intentar llenar el formulario 471 registro de devolución crédito de exportadores le genera el error debe generar su código de exportador a través de la VUPE, pero él ya cuenta su código. (se adjunta imagen del error y archivo del código de exportador).</t>
  </si>
  <si>
    <t>El contribuyente NIT 5021081 que no le aparece la opción para generar el Reporte del Libro de Compras y Ventas para Pequeño Contribuyente del mes de diciembre de 2024.</t>
  </si>
  <si>
    <t>El contribuyente indica que envió las correcciones solicitadas en la gestión de inscripción de contribuyentes NIT No.  202412INSE8E427E6 el 04-01-2025 pero aún se encuentra en el estado "Enviada para revisión", el contribuyente manifiesta que le revisen las correcciones porque la inicio desde el 30-12-2024.</t>
  </si>
  <si>
    <t>Solicitud apoyo verificación saldo negativo Planilla IVAFEL - NIT: 88717496</t>
  </si>
  <si>
    <t xml:space="preserve">Solvencia fiscal del NIT 71046607 solicitada el 07/01/2025
</t>
  </si>
  <si>
    <t>Informe semestral de inventarios segundo semestre - NIT: 91212383</t>
  </si>
  <si>
    <t>Reporte semestral de inventarios - NIT: 108974944</t>
  </si>
  <si>
    <t>NIT 35326360 tiene suspendida la afiliación del IVA</t>
  </si>
  <si>
    <t>Los contribuyentes NIT: 86206559, 1989676K y 1823030K solicitan que se agregue la Característica Especial de Asalariado en el RTU Digital, para poder presentar la Planilla de IVA, debido a que están en el Régimen General de IVA y tienen afiliación activa a un Régimen de ISR de Actividades Lucrativas</t>
  </si>
  <si>
    <t>El contribuyente NIT: 12608734 solicita que se agregue la Característica Especial de Asalariado en el RTU Digital, para poder presentar la Planilla de IVA, debido a que esta en el Régimen General de IVA y tiene afiliación activa a un Régimen de ISR de Actividades Lucrativas</t>
  </si>
  <si>
    <t>el contribuyente NIT 98445545 indica que realizó su pago de solvencia fiscal el 06-01-2025 con el formulario 8421-45312569892, pero el formulario aún no muestra el botón para imprimir la solvencia.</t>
  </si>
  <si>
    <t>El contribuyente NIT 71046607 indica que realizó su pago de solvencia fiscal el 07-01-2025 con el formulario 8421-45329401214, pero el formulario aún no muestra el botón para imprimir la solvencia.</t>
  </si>
  <si>
    <t>RTU NIT  7131275 gestión 202412ACT59833798</t>
  </si>
  <si>
    <t xml:space="preserve">NIT  62774360 gestión 202412ACT2A75B07B </t>
  </si>
  <si>
    <t>El contribuyente NIT 23386495 indica rechazo de su solicitud de actualización No.  202412ACTA4EBC2B8 dentro de los comentarios de rechazo se encuentra "Favor de seleccionar forma de acreditamiento", el contribuyente manifiesta que no tiene habilitada la opción porque tiene una actividad de servicios, cuando intenta cambiarlo a comerciante no está habilitada la opción, él no quiere iniciar una nueva actualización porque dentro de la actualización esta un cambio de régimen de ISR y si inicia una nueva ya no le permitirá realizar el cambio de régimen</t>
  </si>
  <si>
    <t xml:space="preserve">Gestión de cese de actividades 20251CESE61DEBE03 NIT 72715413, le están solicitando realizado el cierre anual 2024, pero indica el contribuyente que en ese año estaba afiliado como pequeño contribuyente. </t>
  </si>
  <si>
    <t xml:space="preserve">Constancia de envío inventarios NIT 7091095
</t>
  </si>
  <si>
    <t>Traslado de las sugerencias enviadas por el contribuyente al correo de ayuda@sat.gob.gt en relación al inconveniente de emitir documentos electrónicos desde la Agencia Virtual</t>
  </si>
  <si>
    <t>Número de gestión de inscripción de NIT iniciada con el CUI 2777332350107</t>
  </si>
  <si>
    <t>Número de gestión de inscripción de NIT iniciada con el CUI 3390642261411</t>
  </si>
  <si>
    <t>Número de gestión de inscripción de NIT iniciada con el CUI 3164602570504</t>
  </si>
  <si>
    <t>Solicitud apoyo en verificación de gestión en la que se encuentra DPI: 2990672970101</t>
  </si>
  <si>
    <t>Solicitud apoyo en verificación de gestión en la que se encuentra DPI: 3318169381609</t>
  </si>
  <si>
    <t>DPI. 3390181191001</t>
  </si>
  <si>
    <t>Solicitud apoyo en verificación de gestión en la que se encuentra DPI: 3237196190511</t>
  </si>
  <si>
    <t>Solicitud apoyo en verificación de gestión en la que se encuentra DPI: 3358047721901</t>
  </si>
  <si>
    <t>Solicitud apoyo en verificación de gestión en la que se encuentra DPI: 1834008951311</t>
  </si>
  <si>
    <t>El contribuyente NIT 111306736 indica rechazo de su solicitud de actualización No.  202412ACT0C61F6E9 dentro de los comentarios de rechazo se encuentra "Estimados contribuyentes, posterior a la revisión, es necesario que cancelen la multa que corresponde al aviso extemporáneo de la cancelación del representante legal.", el contribuyente manifiesta que ya realizó el pago de la multa y le siguen rechazando la gestión.</t>
  </si>
  <si>
    <t>Solicitud apoyo en verificación de gestión en la que se encuentra DPI: 3177372870713</t>
  </si>
  <si>
    <t>Al contribuyente NIT 111163846, no le reconoce la Agencia Virtual en RTU Nube ni en RTU Oracle.</t>
  </si>
  <si>
    <t>Solicitud apoyo en verificación de gestión en la que se encuentra DPI: 3141069280901</t>
  </si>
  <si>
    <t>El contribuyente NIT 97020877 indica que realizó su pago de solvencia fiscal, en la cual le generaron constancia de incumplimiento porque no ha presentado la conciliación anual de Rentas de Trabajo año 2023, pero el manifiesta que sus trabajadores no llegan al valor para retener ISR por ese motivo no presentó la conciliación anual de rentas de trabajo año 2023.</t>
  </si>
  <si>
    <t>Solicitud apoyo en verificación de gestión en la que se encuentra DPI: 2916372801401</t>
  </si>
  <si>
    <t>El contribuyente NIT 112377734 reporta que le aparece error a la hora de cambiar la contraseña de su Agencia Virtual, le indica que no posee Agencia Virtual y el contribuyente ya cuenta con Agencia Virtual</t>
  </si>
  <si>
    <t>El contribuyente NIT 1170309 reporta que le aparece error a la hora de cambiar la contraseña de su Agencia Virtual, le indica que no posee Agencia Virtual y el contribuyente ya cuenta con Agencia Virtual</t>
  </si>
  <si>
    <t>Al contribuyente NIT 120389967, no le reconoce la Agencia Virtual en RTU Nube ni en RTU Oracle.</t>
  </si>
  <si>
    <t>Gestión de inscripción de NIT 20251INS2CB8A1DB, se encuentra en estado "Enviada para Revisión" desde el 04/01/2025</t>
  </si>
  <si>
    <t xml:space="preserve">Gestión 202412ACT7D86747B NIT 76191060, según el contribuyente no le aceptan la patenta para el domicilio comercial del establecimiento. 
</t>
  </si>
  <si>
    <t xml:space="preserve">GRO </t>
  </si>
  <si>
    <t xml:space="preserve">Gestión 20251CESE577AC38B NIT 24961965, indica que le están solicitando presentar las declaraciones, pero aún tiene un establecimiento vigente y está en fecha para presentarlas. </t>
  </si>
  <si>
    <t>Reporte semestral de inventarios - NIT: 5027861</t>
  </si>
  <si>
    <t>Constancia de envío inventarios NIT 64309037</t>
  </si>
  <si>
    <t xml:space="preserve">Constancia de envío inventarios NIT </t>
  </si>
  <si>
    <t>Constancia de envío inventarios NIT 120007606</t>
  </si>
  <si>
    <t>Constancia de envío inventarios NIT 95195203</t>
  </si>
  <si>
    <t>Inactivación de característica especial de asalariado NIT 98417746</t>
  </si>
  <si>
    <t>La contribuyente NIT 93916442 indica rechazo de su solicitud de actualización No.  202412ACTA604F15B dentro de los comentarios de rechazo se encuentra " Adjuntar constancia de colegiado activo RECIENTE", la contribuyente manifiesta que la constancia que adjunta es reciente.</t>
  </si>
  <si>
    <t>El contribuyente NIT 115656936 indica rechazo de su solicitud de actualización No.  202412ACT85BE5A3D dentro de los comentarios de rechazo se encuentra "ESTIMADO CONTRIBUYENTE EL TIPO DE REPRESENTANTE QUE ESTABLECE NO COINCIDE - - - Datos del Representante legal", el contribuyente manifiesta que tiene bloqueada la casilla para realizar el cambio y no quiere cancelarla porque dentro de la actualización esta un cambio de régimen de ISR.</t>
  </si>
  <si>
    <t>El contribuyente NIT 75441306 indica rechazo de su solicitud de actualización No.  202412ACTF02EBCF4 dentro de los comentarios de rechazo se encuentra "Estimado contribuyente favor cancelar la solicitud e iniciar una nueva en la cual debe soportar direccion fiscal y comercial, con requisitos establecidos y publicados en el portal.", el contribuyente manifiesta que no quiere cancelarla porque dentro de la actualización esta un cambio de régimen de ISR y que si inicia una nueva ya no le permitira realizar el cambio de regimen.</t>
  </si>
  <si>
    <t>Inconveniente Declaración IVA pequeño contribuyente - NIT: 78345618</t>
  </si>
  <si>
    <t>Solicitud apoyo actualización RTU Digital - NIT: 34723382</t>
  </si>
  <si>
    <t>NIT 85010103 no puede presentar el formulario SAT 2046 de noviembre 2024, realizó cambio de régimen</t>
  </si>
  <si>
    <t>NIT 44260997 no puede llenar el formulario SAT 2046 de noviembre realizó cambio de régimen. </t>
  </si>
  <si>
    <t>Sincronización para el pago de impuesto con el formulario SAT-2241 - NIT: 22823905</t>
  </si>
  <si>
    <t>Inconveniente en presentación de planilla IVA-FEL 64441660</t>
  </si>
  <si>
    <t>El contribuyente NIT 85010103 reporta que está afiliado al Régimen Electrónico de Pequeño Contribuyente a partir del 01-01-2025, pero no puede generar los formularios 2046 del mes de noviembre de 2024 le genera el error: Usted se encuentra afiliado al Régimen Electrónico de Pequeño Contribuyente, le corresponde llenar el formulario SAT-2241.</t>
  </si>
  <si>
    <t>Inconveniente presentación Planilla IVA-FEL - NIT: 28071905</t>
  </si>
  <si>
    <t>Michelle</t>
  </si>
  <si>
    <t>El contribuyente 39253252 le aparece en negativo el IVA y presentó la planilla y le aparece con valor 0.00, el contribuyente manifiesta que lo reporto a Planilla IVA pero no le dan solución.</t>
  </si>
  <si>
    <t>NIT 16604830 gestión 20251ACTBB8ED626</t>
  </si>
  <si>
    <t>Solicitud apoyo Gestión de Actualización de Datos con rechazo - NIT: 81171196</t>
  </si>
  <si>
    <t>Constancia de la presentación del reporte semestral de inventarios segundo semestre - NIT: 5856728</t>
  </si>
  <si>
    <t>El contribuyente NIT 120402521 indica rechazo de su solicitud de actualización No.  202412ACTE90742A0 dentro de los comentarios de rechazo se encuentra "corregir fecha de nombramiento y de vencimiento", el contribuyente manifiesta que en varias ocasiones han rechazado la solicitud por la fecha y ha colocado las que indica el documento.</t>
  </si>
  <si>
    <t>Constancia de envío inventarios NIT 120413361</t>
  </si>
  <si>
    <t>Inconveniente Verificador Integrado - NIT: 1770594</t>
  </si>
  <si>
    <t xml:space="preserve">Solicitud apoyo Contribuyente Mediano Especial -  NIT 107543397 </t>
  </si>
  <si>
    <t>Contribuyentes Medianos Especiales</t>
  </si>
  <si>
    <t>GME</t>
  </si>
  <si>
    <t>NIT 32139802 actualización de datos</t>
  </si>
  <si>
    <t>ONG, pero el sistema no le permite realizar la cita, para concluir la gestión No. 202411INS6B983D07, Representante Legal, Jarrod Gregory Guzmán Carranza, NIT 12317470, CUI 1605502620101, solicita apoyo para ser atendido 03/01/2025 a las 10:00 Horas. Agencia Tributaria Dubai.</t>
  </si>
  <si>
    <t>Reporte Semestral de inventarios - NIT: 7466684</t>
  </si>
  <si>
    <t>Reporte Semestral de Inventarios - NIT: 12774154</t>
  </si>
  <si>
    <t>Solicitud apoyo verificación de gestión Inscripción de NIT - DPI: 3064356610101</t>
  </si>
  <si>
    <t>Solicitud apoyo verificación de gestión Inscripción de NIT - DPI: 3895406760101</t>
  </si>
  <si>
    <t>Solicitud apoyo verificación de gestión Inscripción de NIT - DPI: 2837904230111</t>
  </si>
  <si>
    <t>NIT 104812818 tiene suspendida la afiliación</t>
  </si>
  <si>
    <t>Solicitud apoyo verificación de gestión Inscripción de NIT - DPI: 3708640180924</t>
  </si>
  <si>
    <t>NIT 113232780</t>
  </si>
  <si>
    <t>NIT 34212167, indica que ha realizado varios intentos de recuperar contraseña de agencia virtual pero al ingresar le muestra el mensaje de Credenciales Inválidas.</t>
  </si>
  <si>
    <t>Sincronizar afiliaciones NIT 73895679</t>
  </si>
  <si>
    <t xml:space="preserve">Constancia de envío inventarios NIT 5802458
</t>
  </si>
  <si>
    <t>NIT 120213214</t>
  </si>
  <si>
    <t>Informe Semestral de Inventarios - NIT: 93402406</t>
  </si>
  <si>
    <t>Solicitud apoyo en verificación de gestión en la que se encuentra DPI: 3996430520101</t>
  </si>
  <si>
    <t>Solicitud apoyo en verificación de gestión en la que se encuentra DPI: 3232502460509</t>
  </si>
  <si>
    <t>Constancia de envío inventarios NIT 109035658</t>
  </si>
  <si>
    <t>Karen Zully Michellle Alvarez Iboy</t>
  </si>
  <si>
    <t>El contribuyente NIT 111587476 indica rechazo de su solicitud de actualización No.  20251ACTB052C3D4 dentro de los comentarios de rechazo se encuentra "Estimado Contribuyente no se procederá con el registro de NIT debido que esta utilizando correo temporal, por favor realice su actualizacion de forma presencial, presente DPI original y factura por servicios básicos de internet, energia eléctrica o linea de telefono fijo", el contribuyente solicita el apoyo en que le verifiquen el comentario de correo temporal</t>
  </si>
  <si>
    <t>NIT 7840527 no puede llenar el formulario del impuesto de Cable SAT 9031 llena información del formulario y al validar regresa a la página principal de Declaraguate</t>
  </si>
  <si>
    <t>Solicitud apoyo en verificación de gestión en la que se encuentra DPI: 3294557101106</t>
  </si>
  <si>
    <t>Solicitud apoyo en verificación de gestión en la que se encuentra DPI: 3785278861305</t>
  </si>
  <si>
    <t>Solicitud apoyo en verificación de gestión en la que se encuentra DPI: 4080602550914</t>
  </si>
  <si>
    <t>Monica Aime Limatu Pastor</t>
  </si>
  <si>
    <t>NIT 24762210 , realizó cambio de régimen y no puede presentar el formulario SAT 2046 del mes de diciembre 2024.</t>
  </si>
  <si>
    <t>Solicitud apoyo declaración formulario SAT-2046 - NIT: 89365666</t>
  </si>
  <si>
    <t>Brenda Matías</t>
  </si>
  <si>
    <t>Solicitud apoyo verificación de gestión Inscripción de NIT - DPI: 3164712671302</t>
  </si>
  <si>
    <t>CUI 1924561212005</t>
  </si>
  <si>
    <t xml:space="preserve">NIT 117946680 </t>
  </si>
  <si>
    <t>El contribuyente NIT 48745367 reporta que no permite generar el libro LET Régimen General del mes de enero 2025</t>
  </si>
  <si>
    <t>El contribuyente NIT 2809266K reporta que tiene varios meses en LET que le repite el folio para otro mes, indica que tiene varios meses con folios repetidos</t>
  </si>
  <si>
    <t>Solicitud apoyo en verificación de gestión en la que se encuentra DPI: 3101460110614</t>
  </si>
  <si>
    <t>Constancia de envío inventarios NIT 61768057</t>
  </si>
  <si>
    <t>Constancia de envío inventarios NIT 91825539</t>
  </si>
  <si>
    <t>Constancia de envío inventarios NIT 108999173</t>
  </si>
  <si>
    <t>Constancia de envío inventarios NIT 77506146</t>
  </si>
  <si>
    <t>Constancia de envío inventarios NIT 107028131</t>
  </si>
  <si>
    <t>Constancia de envío inventarios NIT 1417958K</t>
  </si>
  <si>
    <t>Constancia de envío inventarios NIT 2920349k</t>
  </si>
  <si>
    <t>Constancia de envío inventarios NIT 7908938</t>
  </si>
  <si>
    <t>Constancia de envío inventarios NIT 31391621</t>
  </si>
  <si>
    <t>Constancia de envío inventarios NIT 41407105</t>
  </si>
  <si>
    <t>Constancia de envío inventarios NIT 32647522</t>
  </si>
  <si>
    <t>Constancia de envío inventarios NIT 104925078</t>
  </si>
  <si>
    <t>Constancia de envío inventarios NIT 5191688</t>
  </si>
  <si>
    <t>Constancia de envío inventarios NIT 84640189</t>
  </si>
  <si>
    <t>Constancia de envío inventarios NIT 37013270</t>
  </si>
  <si>
    <t>Suspensión IVA NIT 29671302</t>
  </si>
  <si>
    <t>El contribuyente NIT 6156746 indica rechazo de su solicitud de actualización No.  20251ACTA277DBCE dentro de los comentarios de rechazo se encuentra "Escanear documento de creación", el contribuyente manifiesta que en ocasiones anteriores le han aceptado la certificación debido a que no cuentan con otro documento de constitución.</t>
  </si>
  <si>
    <t xml:space="preserve">NIT 91035546, gestión 20251CESE14F7E873  indica que el Registro Mercantil no le genera una negativa de patente porque el NIT del contribuyente si tuvo una patente por el otro establecimiento que ya canceló.
</t>
  </si>
  <si>
    <t>Solicito apoyo en la verificación de gestión Inscripción de NIT - DPI: 3243577101005</t>
  </si>
  <si>
    <t>Solicitud de apoyo para la verificación de gestión Inscripción de NIT - DPI: 3371779100920</t>
  </si>
  <si>
    <t>NIT 118288539</t>
  </si>
  <si>
    <t xml:space="preserve">El contribuyente indica rechazo de su solicitud de inscripción No.  20252INS5F6EFC76 dentro de los comentarios de rechazo se encuentra "Estimado contribuyente adjuntar acta notarial de nombramiento donde indique factor y representante legal, modificar tipo de representante (copropiedad debe contar con representante legal)", el contribuyente manifiesta que esta nombrado únicamente como Factor y así esta inscrito en el Registro Mercantil.
 </t>
  </si>
  <si>
    <t>Solicitud apoyo en verificación de gestión en la que se encuentra DPI: 2342678010412</t>
  </si>
  <si>
    <t>Solicitud apoyo en verificación de gestión en la que se encuentra DPI: 3243577101005</t>
  </si>
  <si>
    <t xml:space="preserve">Solicitud apoyo en verificación de gestión en la que se encuentra DPI: 2815718561016 </t>
  </si>
  <si>
    <t>Constancia de envío inventarios NIT 120046938</t>
  </si>
  <si>
    <t>Constancia de envío inventarios NIT 62348191</t>
  </si>
  <si>
    <t>Constancia de envío inventarios NIT 104170735</t>
  </si>
  <si>
    <t>Constancia de envío inventarios NIT 116092629</t>
  </si>
  <si>
    <t>Constancia de envío inventarios NIT 87483548</t>
  </si>
  <si>
    <t>Gestión de característica especial de contador 20252CEC12376ED2 NIT  109166396, indica que está cumplimiento con todos los requisitos</t>
  </si>
  <si>
    <t>Solicito apoyo para sincronizar el establecimiento comercial, debido a que, no ha replicado en RTU Oracle - NIT: 120433796</t>
  </si>
  <si>
    <t>Henry Joachin</t>
  </si>
  <si>
    <t>Solicitud apoyo en verificación de gestión en la que se encuentra DPI: 1882461690915</t>
  </si>
  <si>
    <t xml:space="preserve">Solicitud apoyo en verificación de gestión en la que se encuentra DPI: 2225006622005 </t>
  </si>
  <si>
    <t xml:space="preserve">Constancia de envío inventarios NIT 18227740
</t>
  </si>
  <si>
    <t xml:space="preserve">Constancia de envío inventarios NIT 100610803
</t>
  </si>
  <si>
    <t>Constancia de envío inventarios NIT 38940647</t>
  </si>
  <si>
    <t>Solicitud apoyo incorporación código VUPE a formulario SAT-0471 - NIT: 101236913</t>
  </si>
  <si>
    <t>Lesslie Ramos</t>
  </si>
  <si>
    <t>NIT 97469971, realizó cambio de régimen y no puede presentar el formulario SAT 2046 de noviembre 2024.</t>
  </si>
  <si>
    <t>RTU NIT 100319769 gestión 20252ACT657FA082</t>
  </si>
  <si>
    <t>CUI 3338081181804</t>
  </si>
  <si>
    <t xml:space="preserve">Número de gestión del CUI 3662787380115 </t>
  </si>
  <si>
    <t>Número de gestión del CUI 3662787380115</t>
  </si>
  <si>
    <t xml:space="preserve">Solicitud apoyo en verificación de gestión en la que se encuentra DPI: 2938846091405 </t>
  </si>
  <si>
    <t xml:space="preserve">Solicitud apoyo en verificación de gestión en la que se encuentra DPI: 1757794651418  </t>
  </si>
  <si>
    <t xml:space="preserve">Solicitud apoyo en verificación de gestión en la que se encuentra DPI: 3109942760805  </t>
  </si>
  <si>
    <t>El contribuyente indica rechazo de su solicitud de Inscripción de NIT No.  20252INSC25B04E7 dentro de los comentarios de rechazo se encuentra "Estimado Contribuyente por favor adicione a su DPI certificacion de asiento de cedula debido que existe otros registros con sus mismos datos", el contribuyente manifiesta que el nunca ha tenido cedula.</t>
  </si>
  <si>
    <t xml:space="preserve">Solicitud apoyo en verificación de gestión en la que se encuentra DPI: 3312941681801  </t>
  </si>
  <si>
    <t>Gestión de cese de actividades 20251CESE8C853D80 NIT 96399783, indica el contribuyente que el dato que está consignando en las declaraciones corresponde a las facturas emitidas</t>
  </si>
  <si>
    <t xml:space="preserve">NIT 24006955 G. 20251ACT10E56A91 </t>
  </si>
  <si>
    <t xml:space="preserve">El NIT 80457584 realizó su actualización de RTU el 18 de enero 2025 sin embargo no le aparece la marca de Agencia Virtual, ni en RTU Nube ni Oracle. </t>
  </si>
  <si>
    <t>NIT   90694007 gestión  20251ACTAEFF05D5</t>
  </si>
  <si>
    <t>El contribuyente NIT 35420596 reporta que el folio 38 se repite para diciembre de 2024 y enero de 2025</t>
  </si>
  <si>
    <t xml:space="preserve"> NIT 110036840 GESTIÓN 20251ACT880E927D </t>
  </si>
  <si>
    <t>NIT  80301029 no permite llenar SAT 2046, ni SAT 2241</t>
  </si>
  <si>
    <t>NIT 8429448 gestión 20252ACT6A1D7BEF</t>
  </si>
  <si>
    <t xml:space="preserve">NIT 48325813 gestión 20252ACTC49097E7, indica que realizó el pago de la multa con otro formulario, pero el revisor le sigue pidiendo el pago de la multa. </t>
  </si>
  <si>
    <t>Buena tarde, Solicito apoyo en la verificación de la gestión de Inscripción de NIT - DPI: 3209192690501</t>
  </si>
  <si>
    <t>Solicitud apoyo declaración tributaria formulario SAT-2046 - NIT: 99705974</t>
  </si>
  <si>
    <t>El contribuyente NIT 111368324 reporta que LET tiene hasta octubre 2022 los folios correctos y luego a partir de noviembre 2022 se pasa al folio 5</t>
  </si>
  <si>
    <t>El contribuyente NIT 86657682 solicita el apoyo para que el sistema le permita presentar el formulario SAT-2046 de enero 2024 que le aparece omiso, al intentar presentarlo le genera el siguiente mensaje: Error. Usted se encuentra afiliado al Régimen Electrónico de Pequeño Contribuyente, le corresponde llenar el formulario SAT-2241</t>
  </si>
  <si>
    <t xml:space="preserve">Solicitud apoyo en verificación de gestión en la que se encuentra DPI: 2046523162103  </t>
  </si>
  <si>
    <t xml:space="preserve">Solicitud apoyo en verificación de gestión en la que se encuentra DPI: 3408398801415  </t>
  </si>
  <si>
    <t xml:space="preserve">Solicitud apoyo en verificación de gestión en la que se encuentra DPI: 2181970631415  </t>
  </si>
  <si>
    <t xml:space="preserve">Solicitud apoyo en verificación de gestión en la que se encuentra DPI: 2486476520102  </t>
  </si>
  <si>
    <t xml:space="preserve">Solicitud apoyo en verificación de gestión en la que se encuentra DPI: 2069814731615  </t>
  </si>
  <si>
    <t>P519LBH NIT 22820957</t>
  </si>
  <si>
    <t>Traspasos electrónicos indica time out</t>
  </si>
  <si>
    <t>CUI 3387804912010</t>
  </si>
  <si>
    <t>Inestabilidad con el sistema de traspaso electronico NIT 57982236</t>
  </si>
  <si>
    <t>El contribuyente NIT 100630014 indica rechazo de su solicitud de actualización No.  20251ACTE1850B31 dentro de los comentarios de rechazo se encuentra "Buen día favor de subir archivo de constancia de colegiado activo original vigente y legible para poder aprobar solicitud.", el contribuyente manifiesta que esta enviando la solitud marcando el colegiado como inactivo.</t>
  </si>
  <si>
    <t xml:space="preserve">NIT 87774577 gestión 20251ACT70965AFD </t>
  </si>
  <si>
    <t>El contribuyente NIT 76563456 indica rechazo de su solicitud de actualización No.  20252ACT1010EDD8 dentro de los comentarios de rechazo se encuentra "Señor contribuyente he verificado su gestión 3 veces y NO puedo aprobar su gestión debe cancelar la multa extemporánea por dirección fiscal notificaciones y comercial Número de Formulario 45677386387 y Número de Acceso 304805014.", el contribuyente manifiesta que ya cancelo la multa con el formulario  45673107475 acceso 613150698</t>
  </si>
  <si>
    <t>CUI 2374090030719</t>
  </si>
  <si>
    <t>Sincronizar afiliaciones en el RTU oracle del NIT 281446512</t>
  </si>
  <si>
    <t>Sincronizar afiliaciones en el RTU oracle del NIT 41737679</t>
  </si>
  <si>
    <t>NIT  380343215 SINC  afiliación</t>
  </si>
  <si>
    <t>Sincronizar afiliaciones en el RTU oracle del NIT 84292288</t>
  </si>
  <si>
    <t>Sincronizar afiliaciones en el RTU oracle del NIT  95531947</t>
  </si>
  <si>
    <t>Sincronizar afiliaciones en el RTU oracle del NIT 40829812</t>
  </si>
  <si>
    <t>NIT  29772168 SINC afiliaciones </t>
  </si>
  <si>
    <t>NIT  120452235 SINC  en oracle</t>
  </si>
  <si>
    <t>Solicito apoyo para sincronizar la afiliación debido a que, no ha replicado en RTU Oracle - NIT: 105509876</t>
  </si>
  <si>
    <t>NIT 95531947 SINC  oracle las afiliaciones </t>
  </si>
  <si>
    <t>Solicitud apoyo para la verificación de gestión Inscripción de NIT - DPI: 3785278861305</t>
  </si>
  <si>
    <t>NIT 365706159 SINC  oracle </t>
  </si>
  <si>
    <t>Solicito apoyo para sincronizar la Actividad Económica, debido a que, no ha replicado en RTU Oracle - NIT: 29291224</t>
  </si>
  <si>
    <t>Solicito apoyo para sincronizar la Actividad Económica, debido a que, no ha replicado en RTU Oracle - NIT: 15882241</t>
  </si>
  <si>
    <t>NIT 76762424 SINC  afiliación</t>
  </si>
  <si>
    <t>Solicito apoyo para sincronizar el NIT del contribuyente, debido a que, no ha replicado en RTU Oracle - NIT: 120452804</t>
  </si>
  <si>
    <t>Sincronizar actividad ecónomica en RTU Oracle NIT 114570493</t>
  </si>
  <si>
    <t>Número de gestión de inscripción de NIT generada con el CUI 3409427461415</t>
  </si>
  <si>
    <t>Sincronizar NIT 120193345 se generó el 10/02/2025 y no aparece en RTU Oracle</t>
  </si>
  <si>
    <t>Solicitud apoyo en verificación de gestión en la que se encuentra DPI: 3056775940301</t>
  </si>
  <si>
    <t>Solicitud apoyo en verificación de gestión en la que se encuentra DPI: 3064114150513</t>
  </si>
  <si>
    <t>El contribuyente NIT 366556746 reporta problemas al intentar ingresar a la Agencia Virtual la cual fue creada conjuntamente con la aprobación del NIT el 05-02-2025. En la consulta NIT/CUI le indica que no cuenta con usuario de Agencia Virtual para acceder a los distintos servicios de SAT</t>
  </si>
  <si>
    <t>El contribuyente NIT 84824700 reporta problemas no le deja solicitar cambio de contraseña para la Agencia Virtual, indica que cuándo solicita le envia correo de recuperación de contraseña le sale un mensaje que el contribuyente no tiene Agencia Virtual y la entidad si tiene.</t>
  </si>
  <si>
    <t>Sincronización de afiliaciones en RTU Oracle del NIT 50192590</t>
  </si>
  <si>
    <t>Sincronización de afiliaciones en RTU Oracle del NIT 80233007</t>
  </si>
  <si>
    <t>Solicitud apoyo en verificación de gestión en la que se encuentra DPI: 3061989080309</t>
  </si>
  <si>
    <t>Sincronización de afiliaciones en RTU Oracle del NIT 14961016</t>
  </si>
  <si>
    <t>Sincronización de afiliaciones en RTU Oracle del NIT 118521829</t>
  </si>
  <si>
    <t xml:space="preserve">Sincronización de afiliaciones en RTU Oracle del NIT 45988331 </t>
  </si>
  <si>
    <t xml:space="preserve">Sincronización de afiliaciones en RTU Oracle del NIT 31722342 </t>
  </si>
  <si>
    <t>Sincronización de información en RTU Oracle del NIT 118084941</t>
  </si>
  <si>
    <t>NIT  287876632 SINC  en oracle </t>
  </si>
  <si>
    <t>Solicito su apoyo para sincronizar la información del contribuyente, debido a que, no ha replicado en RTU Oracle - NIT: 298818310</t>
  </si>
  <si>
    <t xml:space="preserve">Número de gestión de inscripción de NIT ingresado con el CUI 2773020051606.  </t>
  </si>
  <si>
    <t>Solicito apoyo para sincronizar el apellido de casada de la contribuyente, debido a que, no ha replicado en RTU Oracle (no debe aparecer) - NIT: 45320837</t>
  </si>
  <si>
    <t>Solicito apoyo para sincronizar la actividad económica, debido a que, no ha replicado en RTU Oracle - NIT: 4873165</t>
  </si>
  <si>
    <t>Sincronizar el NIT 294139435 no aparece en el RTU Oracle, el NIT fue generado el 10/02/2025</t>
  </si>
  <si>
    <t>NIT  290723299 SINC  oracle</t>
  </si>
  <si>
    <t xml:space="preserve">Gestión 20251CEANE6D338C9 del NIT 9721789, indica la notario que está enviando completa la constancia de colegiado y está molesta porque no puede adquirir especies fiscales. </t>
  </si>
  <si>
    <t>CUI 2558820411002</t>
  </si>
  <si>
    <t>NIT 83897925 gestión 20252AVADA14C1E</t>
  </si>
  <si>
    <t>Sincronización de información en RTU Oracle del NIT 339174358</t>
  </si>
  <si>
    <t>El contribuyente NIT 108258734, manifiesta que realizó su pago de solvencia fiscal el 30/01/2025, pero el formulario no ha habilitado el botón para poder imprimirla.</t>
  </si>
  <si>
    <t xml:space="preserve">GRN </t>
  </si>
  <si>
    <t>Inconveniente al general LET de pequeño Contribuyente - NIT: 803284K</t>
  </si>
  <si>
    <t>Reportado el 4/2/25 por el Lic. Rudy</t>
  </si>
  <si>
    <t>El contribuyente NIT 18192858, indica que realizó su pago de solvencia fiscal el 01/02/2025, se consulto en el sistema y no generado expediente.</t>
  </si>
  <si>
    <t>Solicitud apoyo gestión Actualización de datos del RTU - NIT: 108678377</t>
  </si>
  <si>
    <t>El contribuyente NIT 42469759, indica que realizó su pago de solvencia fiscal el 03/02/2025, pero el formulario no ha habilitado el botón para poder imprimirla</t>
  </si>
  <si>
    <t>El contribuyente NIT 117619523 que al intentar llenar el formulario 471 registro de devolución crédito de exportadores le genera el error debe generar su código de exportador a través de la VUPE, pero él ya cuenta su código.</t>
  </si>
  <si>
    <t>Inactivación de característica especial de asalariado NIT 17584981</t>
  </si>
  <si>
    <t>MEM-SAT-IAC-DGS-UST-015-2025</t>
  </si>
  <si>
    <t>el contribuyente NIT 23359331, indica que realizó su pago de solvencia fiscal el 01/02/2025, se consulto en el sistema y no ha generado expediente.</t>
  </si>
  <si>
    <t>Sincronizar afiliaciones del NIT 31287204 no aparecen en el RTU Oracle</t>
  </si>
  <si>
    <t>Sincronizar el NIT 285616323 no aparece en el RTU Oracle, el NIT fue generado el 09/02/2025</t>
  </si>
  <si>
    <t>NIT 97893366  no le permite generar el SAT 2046</t>
  </si>
  <si>
    <t>Solicitud de apoyo en la verificación de la gestión Inscripción de NIT - DPI: 3032183980108</t>
  </si>
  <si>
    <t>Solicito apoyo para verificar el siguiente inconveniente que presenta el contribuyente debido a que, ya se encuentra habilitado a FEL - NIT: 57533563</t>
  </si>
  <si>
    <t>Lessly Ramos</t>
  </si>
  <si>
    <t xml:space="preserve">Sincronizar el NIT 319883140 no aparece en el RTU Oracle, el NIT fue generado el 10/02/2025.  Gracias.  </t>
  </si>
  <si>
    <t>Solicito apoyo para sincronizar los datos del contribuyente, debido a que, no ha replicado en RTU Oracle - NTI: 302552138</t>
  </si>
  <si>
    <t>Sincronizar el NIT 306108003 no aparece en el RTU Oracle, el NIT fue generado el 10/02/2025</t>
  </si>
  <si>
    <t>Solicito apoyo para sincronizar la actividad económica del contribuyente, debido a que, no ha replicado en RTU Oracle - NIT: 299672565</t>
  </si>
  <si>
    <t>Solicito apoyo para sincronizar los datos del contribuyente, debido a que, no ha replicado en RTU Oracle - NIT: 327443790</t>
  </si>
  <si>
    <t>Renuente de Incorporarse a FEL NIT 28166493</t>
  </si>
  <si>
    <t xml:space="preserve">Sincronización de actividad economica en RTU Oracle del NIT 69395055 </t>
  </si>
  <si>
    <t>Sincronización de información en RTU Oracle del NIT 305878638</t>
  </si>
  <si>
    <t>Sincronización de información en RTU Oracle del NIT 120443511</t>
  </si>
  <si>
    <t>Sincronización de información en RTU Oracle del NIT 314776710</t>
  </si>
  <si>
    <t>Sincronización de información en RTU Oracle del NIT 314804358</t>
  </si>
  <si>
    <t>Sincronización de información en RTU Oracle del NIT 323725864</t>
  </si>
  <si>
    <t>Solicito apoyo para sincronizar la Actividad Económica del contribuyente, debido a que, no ha replicado en RTU Oracle - NIT: 43029256</t>
  </si>
  <si>
    <t>Solicito apoyo para sincronizar los datos del contribuyente, debido a que, no ha replicado en RTU Oracle - NIT: 120451611</t>
  </si>
  <si>
    <t xml:space="preserve">NIT 105190772 gestión de cese de actividades 20252CESE071C7007, indica que se presentó en Cobranza y Cuenta Corriente y no tiene recargos pendientes, solicita que se le indique cuál es el inconveniente. </t>
  </si>
  <si>
    <t>Solicito apoyo para sincronizar los datos del contribuyente, debido a que, no ha replicado en RTU Oracle - NIT: 321744756</t>
  </si>
  <si>
    <t>Solicito apoyo para sincronizar los datos del contribuyente, debido a que, no ha replicado en RTU Oracle - NIT: 342207504</t>
  </si>
  <si>
    <t>Solicitud apoyo en verificación de gestión en la que se encuentra DPI: 2720256660108</t>
  </si>
  <si>
    <t>Solicitud apoyo en verificación de gestión en la que se encuentra DPI: 2869346121222</t>
  </si>
  <si>
    <t>Solicitud apoyo en verificación de gestión en la que se encuentra DPI: 3676632012203</t>
  </si>
  <si>
    <t>Constancia de envío inventarios NIT 36678791</t>
  </si>
  <si>
    <t>NIT 53349962 EXP 29160179</t>
  </si>
  <si>
    <t>El contribuyente NIT 120388677 indica rechazo de su solicitud de actualización No.  20251ACTE797E02C dentro de los comentarios de rechazo se encuentra "Cancelar Multa Q1500 (Q225) por inscripción/cancelación extemporánea del Rep. Legal 30 hábiles para presentar los cambios y datos de la S.A.", el contribuyente manifiesta que la gestión es para activar el NIT Jurídico no esta actualizando datos.</t>
  </si>
  <si>
    <t>Número de gestión primer iniciada con el CUI 2856862670105</t>
  </si>
  <si>
    <t>Sincronización de la razón social del NIT 74880802</t>
  </si>
  <si>
    <t>Número de gestión primer iniciada con el CUI 2235589740501</t>
  </si>
  <si>
    <t>NIT 53416538 gestión 20251ACT9F146890</t>
  </si>
  <si>
    <t>Solicitud apoyo para la verificación de la gestión Inscripción de NIT - DPI: 3169602371304</t>
  </si>
  <si>
    <t>NIT  109244206 SINC  afiliaciones </t>
  </si>
  <si>
    <t>Solicitud de apoyo gestión Activación definitiva de NIT S.A. - NIT: 120439093</t>
  </si>
  <si>
    <t>Actualización de datos 20252ACT9EF8AB83 NIT 72211008, indica que ya cumplió con el requerimiento</t>
  </si>
  <si>
    <t>El contribuyente NIT 74682849 indica rechazo de su solicitud de actualización No.  20252ACTF55BCF96 dentro de los comentarios de rechazo se encuentra "Por favor corregir fechas de nombramiento de representante legal, según documento de representación", el contribuyente manifiesta que se basa en el acta y en la fecha que tiene el registro mercantil.</t>
  </si>
  <si>
    <t>el contribuyente NIT 45817669, indica que realizó su pago de solvencia fiscal el 07/02/2025, la cual fue denegada según constancia de incumplimientos, pero el manifiesta que cumplió con lo requerido antes de solicitar la solvencia</t>
  </si>
  <si>
    <t>Sincronización de afiliaciones en RTU Oracle del NIT 112202969</t>
  </si>
  <si>
    <t>Sincronización de afiliaciones en RTU Oracle del NIT 338975780</t>
  </si>
  <si>
    <t>Sincronización de afiliaciones en RTU Oracle del NIT 100161502</t>
  </si>
  <si>
    <t xml:space="preserve">Sincronización de actividad económica en RTU Oracle del NIT 64323927 </t>
  </si>
  <si>
    <t>El contribuyente NIT 6871755 indica rechazo de su solicitud de actualización No.  202412ACT768FF28D dentro de los comentarios de rechazo se encuentra "adjuntar todos los documentos que se solicito en los comentarios anteriores", el contribuyente manifiesta que esta adjuntando lo solicitado en los comentarios anteriores, dentro del documento esta lo que solicitan.</t>
  </si>
  <si>
    <t xml:space="preserve">Sincronización de información en RTU Oracle del NIT 120439492 </t>
  </si>
  <si>
    <t>Sincronizar las afiliaciones del NIT 52916723 no aparecen en RTU Oracle</t>
  </si>
  <si>
    <t xml:space="preserve">Constancia de envío inventarios NIT 7520654
</t>
  </si>
  <si>
    <t xml:space="preserve">Sincronización de actividad económica en RTU Oracle del NIT 39145816 </t>
  </si>
  <si>
    <t xml:space="preserve">Sincronización de afiliaciones en RTU Oracle del NIT 342603671 </t>
  </si>
  <si>
    <t>Traspaso Electrónicos  a time out</t>
  </si>
  <si>
    <t>Inconveniente con ingreso de número de serie en procedimiento de Actualización de datos del RTU Digital NIT 37227459</t>
  </si>
  <si>
    <t>MEM-SAT-IAC-DGS-UST-016-2025</t>
  </si>
  <si>
    <t>Traspasos electrónicos se queda procesando</t>
  </si>
  <si>
    <t>El contribuyente NIT 109160371 que al intentar llenar el formulario 471 registro de devolución crédito de exportadores le genera el error debe generar su código de exportador a través de la VUPE, pero él ya cuenta su código.</t>
  </si>
  <si>
    <t>Solicito apoyo para sincronizar la afiliación del contribuyente, debido a que, no ha replicado en RTU Oracle - NIT: 13078526</t>
  </si>
  <si>
    <t>Solicito apoyo para sincronizar la afiliación del impuesto, debido a que, no ha replicado en RTU Oracle - NIT: 80287344</t>
  </si>
  <si>
    <t>Número de gestión primer iniciada con el CUI 3147178970901</t>
  </si>
  <si>
    <t xml:space="preserve">NIT 113415842, el formulario SAT 1411 le está solicitando llenar el anexo de Contribuyentes Exentos y/o con Beneficio Fiscal Temporal.  La actividad principal inscrita es la 4663.40 Venta al por mayor de materiales de construcción, artículos de ferretería y equipo y materiales de fontanería y calefacción.  </t>
  </si>
  <si>
    <t>NIT  120439948 SINC  establecimiento</t>
  </si>
  <si>
    <t>20252INS3C6E68C2</t>
  </si>
  <si>
    <t>Solicitud apoyo en verificación de gestión en la que se encuentra DPI: 2858164970304</t>
  </si>
  <si>
    <t>DPI 2858164970304  </t>
  </si>
  <si>
    <t>Reporte semestral de inventarios - NIT: 114460353</t>
  </si>
  <si>
    <t>José Alfredo Bavo</t>
  </si>
  <si>
    <t>Reporte semestral de inventarios - NIT: 100398332</t>
  </si>
  <si>
    <t xml:space="preserve">Gestión 20252INSF7E124C9, indica que no tiene registro de la Copropiedad en algún registro, está adjuntando documento privado. </t>
  </si>
  <si>
    <t xml:space="preserve"> NIT 7057539 gestión 20252AV552FB15A, solicita que le indique la razón por la que no le aceptan el DPI en su solicitud de cambio de correo electrónico. 
</t>
  </si>
  <si>
    <t>NIT 91380103 gestión 20251ACT1B6766B0</t>
  </si>
  <si>
    <t>Los contribuyentes NIT 41413148 y 41413415, indican que realizaron su pago de solvencia fiscal desde el 03/02/2025, pero los formularios no han habilitado el botón para poder imprimirla</t>
  </si>
  <si>
    <t>Los contribuyente  reportan inconveniente en la presentación del Informe de Servicios de Impresión.</t>
  </si>
  <si>
    <t>Constancia de envío inventarios NIT 109718925</t>
  </si>
  <si>
    <t>Constancia de envío inventarios NIT 114616825</t>
  </si>
  <si>
    <t>Constancia de envío inventarios NIT 115973982</t>
  </si>
  <si>
    <t>Renuente de Incorporarse a FEL NIT 61061735</t>
  </si>
  <si>
    <t>Renuente de Incorporarse a FEL NIT 48626643</t>
  </si>
  <si>
    <t>El contribuyente NIT 89935225 indica que realizó un formulario para presentar el impuesto de Régimen Electrónico de Pequeño Contribuyente del mes de enero 2025, se adjunta el formulario congelado número: 45629033103 y contingencia: 613375323 por un total de Q 428.40 de impuesto por pagar, pero al realizar la presentación el formulario cambio el NIT al 83800972</t>
  </si>
  <si>
    <t>NIT 120250055 SA  NIT 321220714  RL  (Joshua)</t>
  </si>
  <si>
    <t>Solicitud apoyo en rechazo gestión de activación de vehículos - NIT: 26904500</t>
  </si>
  <si>
    <t>NIT 61507318 EXP 29224803</t>
  </si>
  <si>
    <t> NIT  120440997 SINC  oracle</t>
  </si>
  <si>
    <t>NIT  107813017 SINC  afiliación</t>
  </si>
  <si>
    <t>NIT 343093855 SINC ORACLE</t>
  </si>
  <si>
    <t>NIT  320050920 SINC  oracle</t>
  </si>
  <si>
    <t>NIT 279813066 SINC afiliación </t>
  </si>
  <si>
    <t>NIT  64323927 SINC  actividad económica</t>
  </si>
  <si>
    <t>NIT 31535364  gestión 20252AV0097DE01</t>
  </si>
  <si>
    <t>NIT  300413076 SINC actividad económica </t>
  </si>
  <si>
    <t>Solicitud apoyo para la verificación de la gestión Inscripción de NIT - DPI: 1716791641020</t>
  </si>
  <si>
    <t>NIT  36265659, indica que solo está actualizando danto y le están requiriendo pago de multa por inscripción de representante legal , indican que no están modificando datos en el apartado de representante legal.</t>
  </si>
  <si>
    <t>Solicitud de apoyo en la verificación de gestión Inscripción de NIT - DPI: 3255042531703</t>
  </si>
  <si>
    <t>Sincronizar las afiliaciones del NIT 92643418 realizó cese definitivo y en el RTU Oracle aparecen activas</t>
  </si>
  <si>
    <t>Consulta Informe de servicios de Impresión - NIT: 16427238</t>
  </si>
  <si>
    <t>Solicito apoyo en la verificación de la gestión Inscripción de NIT - DPI: 3784915940101</t>
  </si>
  <si>
    <t>Solicitud apoyo en verificación de gestión en la que se encuentra DPI: 1982268450505</t>
  </si>
  <si>
    <t>Solicitud apoyo en verificación de gestión en la que se encuentra DPI: 3072984420401</t>
  </si>
  <si>
    <t>Solicitud apoyo en verificación de gestión en la que se encuentra DPI: 1585280420416</t>
  </si>
  <si>
    <t>Solicitud apoyo en verificación de gestión en la que se encuentra DPI: 2664040060609</t>
  </si>
  <si>
    <t xml:space="preserve">Número de gestión inscripción de NIT con CUI 2203933030101  </t>
  </si>
  <si>
    <t>Constancia de envío inventarios NIT 89402545</t>
  </si>
  <si>
    <t xml:space="preserve">NIT 4482441 EXP 29306652 </t>
  </si>
  <si>
    <t>NIT 59408723 aparece inactivo en el verificador integrado y en el RTU digital no tiene la característica especial de suspensión</t>
  </si>
  <si>
    <t>Solicitud apoyo consulta formulario SAT-471 - Regimen Habitual Exportadores NIT 573698</t>
  </si>
  <si>
    <t>El notario NIT 87715162 reporta inconveniente con traspaso electrónico de vehículos, la pantalla se queda cargando y luego muestra un mensaje de sin respuesta. Se generó el Ticket: 10000265966.</t>
  </si>
  <si>
    <t>Solicitud apoyo en verificación de gestión en la que se encuentra DPI: 2132676591305</t>
  </si>
  <si>
    <t>Solicitud apoyo en verificación de gestión en la que se encuentra DPI: 3088269060608</t>
  </si>
  <si>
    <t>Solicitud apoyo en verificación de gestión en la que se encuentra DPI: 3059550470301</t>
  </si>
  <si>
    <t>Solicitud apoyo en verificación de gestión en la que se encuentra DPI: 3167214760505</t>
  </si>
  <si>
    <t>El contribuyente NIT 41030176 reporta que en el mes de diciembre del año 2024 y en el mes de enero del año 2025 al momento de llenar los libros de los meses mencionados, el sistema colocó el folio de ambos meses incorrectamente, siendo correctamente que al mes de diciembre le corresponde el folio número 10 y al mes de enero el folio número 11</t>
  </si>
  <si>
    <t>El contribuyente esta realización la gestión de inscripción de NIT, pero le muestra el error "Su documento personal de identificación se encuentra vencido" y le acaban de entregar su documento y tiene fecha de vencimiento 07 de enero de 2035 (se adjunta archivo que contiene la imagen del error y DPI).</t>
  </si>
  <si>
    <t>El contribuyente NIT 36637238, indica que realizó su pago de solvencia fiscal el 03/02/2025, pero el formulario no ha habilitado el botón para poder imprimirla</t>
  </si>
  <si>
    <t>Inconveniente traspaso electrónico de vehículos, NIT Vendedor: 80633722</t>
  </si>
  <si>
    <t>El contribuyente NIT 96561556, indica que realizó su pago de solvencia fiscal el 05/02/2025, la cual fue denegada según constancia de incumplimientos adjunta, pero el manifiesta que tiene empleados que ganen más del mínimo para realizarles retención.</t>
  </si>
  <si>
    <t>Gestión de actualización de datos 20251ACT39F490F8 NIT 82180067, indica el contribuyente que no aplica el pago de multa por inscripción extemporánea del representante legal,  no han vencido los 30 días.</t>
  </si>
  <si>
    <t>CUI 2042015350116</t>
  </si>
  <si>
    <t>NIT 6666159 no puede ingresar a generar retenciones de ISR, es agencia de retención de IVA, intenta con RNIT</t>
  </si>
  <si>
    <t>El contribuyente indica que su solicitud de inscripción No.  20252INS7D1EAD35 tiene estado Enviada para revisión desde el 12-02-2025.</t>
  </si>
  <si>
    <t>NIT 101116454 EXP 29300010</t>
  </si>
  <si>
    <t>Constancia de envío inventarios NIT 78185696</t>
  </si>
  <si>
    <t>Constancia de envío inventarios NIT 86745832</t>
  </si>
  <si>
    <t>Constancia de envío inventarios NIT 101891237</t>
  </si>
  <si>
    <t>Constancia de envío inventarios NIT 115166823</t>
  </si>
  <si>
    <t>Constancia de envío inventarios NIT 120074443</t>
  </si>
  <si>
    <t>Constancia de envío inventarios NIT 120077523</t>
  </si>
  <si>
    <t>Sincronización de información CUI en RTU Oracle del NIT 29926645</t>
  </si>
  <si>
    <t>Solicitud apoyo gestión de actualización de datos RTU - NIT: 69633568</t>
  </si>
  <si>
    <t xml:space="preserve">NIT 6912699 realizó cambio de régimen y no puede presentar el formulario SAT 2046.
</t>
  </si>
  <si>
    <t>El contribuyente NIT 16854896, se comunicó al Contact Center de SAT, manifestando que realizó su pago de solvencia fiscal el 05/02/2025, la cual fue denegada según constancia de incumplimientos adjunta, pero el manifiesta que ha vencido el plazo para presentar el informe de asiste libros.</t>
  </si>
  <si>
    <t>Agregar profesión al catalogo de profesiones del RTU Digital NIT 72019409</t>
  </si>
  <si>
    <t>MEM-SAT-IAC-DGS-UST-018-2025</t>
  </si>
  <si>
    <t>Inconveniente al general formulario 2046 IVA pequeño contribuyente mes de enero 2025 - NIT: 71962751</t>
  </si>
  <si>
    <t>NIT 62888153 G. 20252ACT72DA0720</t>
  </si>
  <si>
    <t>NIT 67005810 , está realizando un cese de actividades, gestión 20252CESE3A4E95BB y le están solicitando la presentación de las declaraciones de octubre y noviembre, indica el contribuyente que en ese período no tenía establecimiento activo.</t>
  </si>
  <si>
    <t>Número de gestión primer iniciada con el CUI 2840413940914</t>
  </si>
  <si>
    <t xml:space="preserve">Número de gestión primer iniciada con el CUI 3169429521311
</t>
  </si>
  <si>
    <t>Número de gestión primer iniciada con el CUI 3303409561710</t>
  </si>
  <si>
    <t>Solicitud apoyo asignación de roles e-Servicios - NIT: 1652053K</t>
  </si>
  <si>
    <t>Solicitud apoyo en verificación de gestión en la que se encuentra DPI: 4031852970101</t>
  </si>
  <si>
    <t>Solicitud apoyo en verificación de gestión en la que se encuentra DPI: 3639739580922</t>
  </si>
  <si>
    <t>Solicitud apoyo en verificación de gestión en la que se encuentra DPI: 3675489760101</t>
  </si>
  <si>
    <t>Solicitud apoyo en verificación de gestión en la que se encuentra DPI: 3162111411502</t>
  </si>
  <si>
    <t>Solicitud apoyo en verificación de gestión en la que se encuentra DPI: 3061396690306</t>
  </si>
  <si>
    <t>Solicitud apoyo en verificación de gestión en la que se encuentra DPI: 1719593020507</t>
  </si>
  <si>
    <t>Solicitud apoyo gestión actualización de datos RTU - NIT: 66905656</t>
  </si>
  <si>
    <t>Número de gestión primer iniciada con el CUI 1675131762103</t>
  </si>
  <si>
    <t>Solicitud apoyo verificación de formulario SAT-2241 - NIT: 41400771</t>
  </si>
  <si>
    <t>El NIT 68641621 no puede imprimir la razón de pago de carrera técnica.</t>
  </si>
  <si>
    <t>Sincronización de apellido de casada en RTU Oracle del NIT 86049623</t>
  </si>
  <si>
    <t>Sincronización de información CUI en RTU Oracle del NIT 22195114</t>
  </si>
  <si>
    <t xml:space="preserve">Sincronización de información CUI en RTU Oracle del NIT 1960050K </t>
  </si>
  <si>
    <t>El contribuyente NIT 1853406 reporta que al utilizar la Agencia Virtual en Libro Electrónico LET esta dando ese error porque me asigna la numeración del pequeño contribuyente del año 2023 y el estuvo en el Régimen General y luego regreso al pequeño contribuyente y la numeración asigna la continuidad del año 2023 en el año 2025</t>
  </si>
  <si>
    <t>correo</t>
  </si>
  <si>
    <t>NIT  18078990 LET PEQUEÑO CONTRIBUYENTE no le despliega el año 2025 y ya borró el historial</t>
  </si>
  <si>
    <t>El contribuyente NIT 36933872 reporta que cuando desea descargar el reporte de LET le aparece esta alerta sin autorización y si tiene habilitaciones.</t>
  </si>
  <si>
    <t>Renuente de Incorporarse a FEL NIT 72656549</t>
  </si>
  <si>
    <t>Renuente de Incorporarse a FEL NIT 2241424K</t>
  </si>
  <si>
    <t>Solicito apoyo para sincronizar el verificador integrado, debido a que, el contribuyente aparece como "Renuente a incorporarse a FEL", pero, ya no cuenta con establecimientos activos. - NIT: 981389</t>
  </si>
  <si>
    <t>Agregar profesión al catalogo de profesiones del RTU Digital NIT</t>
  </si>
  <si>
    <t>MEM-SAT-IAC-DGS-UST-019-2025</t>
  </si>
  <si>
    <t>El contribuyente NIT 38710129 reporta que tiene inconveniente en el correlativo de los folios del libro</t>
  </si>
  <si>
    <t>NIT 102749590, LET de pequeño contribuyente la asignó el mismo folio a los meses de mayo y junio 2024.  </t>
  </si>
  <si>
    <t xml:space="preserve">Waleska </t>
  </si>
  <si>
    <t>El contribuyente NIT 107419904 reporta que tiene inconveniente en el correlativo de los folios del libro.</t>
  </si>
  <si>
    <t>Renuente de Incorporarse a FEL NIT 5991005</t>
  </si>
  <si>
    <t>Renuente de Incorporarse a FEL NIT 79118240</t>
  </si>
  <si>
    <t xml:space="preserve">Renuente de Incorporarse a FEL NIT 2914289K </t>
  </si>
  <si>
    <t>Renuente de Incorporarse a FEL NIT 3522962</t>
  </si>
  <si>
    <t>Renuente de Incorporarse a FEL NIT 43974945</t>
  </si>
  <si>
    <t>Renuente de Incorporarse a FEL NIT 62406337</t>
  </si>
  <si>
    <t>Solicitud apoyo incorporación código VUPE a formulario SAT-0471 - NIT: 109583949</t>
  </si>
  <si>
    <t>El contribuyente NIT 2107660K reporta que el sistema le dio un error a la hora de ingresar en la opción de la Agencia Virtual</t>
  </si>
  <si>
    <t>El contribuyente NIT 114454566 reporta que en el libro de compras y ventas pequeño en el mes de octubre 2024 se repite el folio 7 y le corresponde folio 10, mes de noviembre 2024 tiene folio 8 y le corresponde folio 11, mes de diciembre 2024 tiene de nuevo repetido el folio 7 y le corresponde folio 12, necesita apoyo para que siga el correlativo correcto los libros</t>
  </si>
  <si>
    <t>Renuente de Incorporarse a FEL NIT 67775381</t>
  </si>
  <si>
    <t>El contribuyente NIT 120212447 que al intentar llenar el formulario 471 registro de devolución crédito de exportadores le genera el error debe generar su código de exportador a través de la VUPE, pero él ya cuenta su código.</t>
  </si>
  <si>
    <t>Solicitud apoyo en verificación de gestión en la que se encuentra DPI: 1736929310412</t>
  </si>
  <si>
    <t>Solicitud apoyo para la verificación de gestión de Inscripción de NIT - DPI: 2988769300101</t>
  </si>
  <si>
    <t>Número de gestión inscripción de NIT con CUI 3784919540101</t>
  </si>
  <si>
    <t>NIT 5746248 exp 29298155</t>
  </si>
  <si>
    <t>Solicitud apoyo en verificación de gestión en la que se encuentra DPI: 3271629371017</t>
  </si>
  <si>
    <t>Solicitud apoyo en verificación de gestión en la que se encuentra DPI: 3011583550101</t>
  </si>
  <si>
    <t>El contribuyente NIT 5990408 reporta que el Sistema de Libros Electrónicos Tributarios -LET- me permitió generar los libros de compras y ventas hasta el mes de Diciembre 2024, pero actualmente le indica un error: Usted no puede utilizar el Sistema LET para IVA General, por no encontrarse afiliado a este régimen desde el año 2022 a la actual </t>
  </si>
  <si>
    <t>El contribuyente NIT 57476993 reporta que, al desplegar los datos previos a descargar el folio de compras y ventas, muestra un número de folio, sin embargo, al realizar la descarga cambia el número del mismo. En el documento adjunto el mes de enero de 2025 en la ventana previa a realizar la descarga muestra el folio 35 de 35, pero al haber realizado la descarga generó el folio 35 y luego el 39. En el segundo caso, el mes de febrero, en la primera pantalla muestra el folio 2 de 2, pero al realizar la descarga muestra el folio 36, luego el 37 y 38</t>
  </si>
  <si>
    <t>Sincronizar afiliaciones NIT 49654136</t>
  </si>
  <si>
    <t>Sincronizar afiliaciones NIT 24475750</t>
  </si>
  <si>
    <t>Inconveniente en menú de Agencia Virtual - NIT: 318153157</t>
  </si>
  <si>
    <t>Sincronizar afiliaciones NIT 56602081</t>
  </si>
  <si>
    <t>Sincronizar afiliaciones NIT 105479063</t>
  </si>
  <si>
    <t>solicito apoyo para sincronizar las afiliaciones del contribuyente, debido a que, no ha replicado en RTU Oracle - NIT: 120461455</t>
  </si>
  <si>
    <t>Solicitud apoyo gestión de Cese definitivo - NIT: 75627183</t>
  </si>
  <si>
    <t>Solicito apoyo para sincronizar la afiliación de Pequeño Contribuyente, debido a que, no ha replicado en RTU Oracle - NIT: 29915082</t>
  </si>
  <si>
    <t>Sincronizar afiliaciones NIT 30877806</t>
  </si>
  <si>
    <t>Sincronizar afiliaciones NIT 61349607</t>
  </si>
  <si>
    <t>Sincronizar afiliaciones NIT 324544219</t>
  </si>
  <si>
    <t>Sincronizar afiliaciones NIT 281272875</t>
  </si>
  <si>
    <t>Sincronizar afiliaciones NIT 279647581</t>
  </si>
  <si>
    <t>Sincronizar afiliaciones NIT 90550196</t>
  </si>
  <si>
    <t>Solicito apoyo para sincronizar la afiliación de Pequeño Contribuyente, debido a que, no ha replicado en RTU Oracle - NIT: 16462173</t>
  </si>
  <si>
    <t>Solicito apoyo para sincronizar la afiliación de Pequeño Contribuyente, debido a que, no ha replicado en RTU Oracle - NIT: 96981148</t>
  </si>
  <si>
    <t>Solicito apoyo para sincronizar la afiliación de Pequeño Contribuyente, debido a que, no ha replicado en RTU Oracle - NIT: 18037976</t>
  </si>
  <si>
    <t xml:space="preserve">NIT 72345500 gestión 20252ACT61E1F60F indica que está colocando bien la dirección.
</t>
  </si>
  <si>
    <t>NIT  120436523 SINC afiliaciones</t>
  </si>
  <si>
    <t>NIT  97100013 SINC afiliaciones </t>
  </si>
  <si>
    <t>NIT 106145630 SINC afiliaciones </t>
  </si>
  <si>
    <t>Sincronización de afiliaciones en RTU Oracle del NIT 114166536</t>
  </si>
  <si>
    <t>Sincronización de afiliaciones en RTU Oracle del NIT 1681915</t>
  </si>
  <si>
    <t>Solicitud apoyo en verificación de gestión en la que se encuentra DPI: 2075159800701</t>
  </si>
  <si>
    <t>Solicitud apoyo en verificación de gestión en la que se encuentra DPI: 3076884100603</t>
  </si>
  <si>
    <t>Solicitud apoyo en verificación de gestión en la que se encuentra DPI: 3220414140506</t>
  </si>
  <si>
    <t>Sincronización de afiliaciones en RTU Oracle del NIT 101610882</t>
  </si>
  <si>
    <t>Sincronización de afiliaciones en RTU Oracle del NIT 10572050K</t>
  </si>
  <si>
    <t>Sincronización de afiliaciones en RTU Oracle del NIT 120449668</t>
  </si>
  <si>
    <t>Sincronización de afiliaciones en RTU Oracle del NIT 81942648</t>
  </si>
  <si>
    <t>Solicitud apoyo en verificación de gestión en la que se encuentra DPI: 3307708021712</t>
  </si>
  <si>
    <t>Sincronización de afiliaciones en RTU Oracle del NIT 88258068</t>
  </si>
  <si>
    <t>Sincronización de afiliaciones en RTU Oracle del NIT 119672006</t>
  </si>
  <si>
    <t xml:space="preserve">Sincronización de afiliaciones en RTU Oracle del NIT 86316141 </t>
  </si>
  <si>
    <t>Sincronización de afiliaciones en RTU Oracle del NIT 38504049</t>
  </si>
  <si>
    <t>Sincronización de afiliaciones en RTU Oracle del NIT 321580923</t>
  </si>
  <si>
    <t>Solicitud apoyo en verificación de gestión en la que se encuentra DPI: 3754003540101</t>
  </si>
  <si>
    <t>Sincronización de afiliaciones en RTU Oracle del NIT 117181463</t>
  </si>
  <si>
    <t>El contribuyente NIT 120461056 indica rechazo de su solicitud de actualización No.  20252ACT1BC36561 dentro de los comentarios de rechazo se encuentra "Estimado contribuyente atender únicamente lo solicitado en comentario adicional: Modificar fecha de nombramiento de representación legal", el contribuyente manifiesta que se basa en el acta y en la fecha que tiene el registro mercantil.</t>
  </si>
  <si>
    <t>Sincronización de afiliaciones en RTU Oracle del NIT 12901334</t>
  </si>
  <si>
    <t>Sincronización de afiliaciones en RTU Oracle del NIT 315308931</t>
  </si>
  <si>
    <t>Sincronización de afiliaciones en RTU Oracle del NIT 86965603</t>
  </si>
  <si>
    <t>El contribuyente NIT 82317909 indica rechazo de su solicitud de actualización No.  20252ACT7825DAAC dentro de los comentarios de rechazo se encuentra "No está en plazo para realizar cambio de régimen", el contribuyente manifiesta que el esta solicitando cambio del Régimen del Impuesto al Valor Agregado.</t>
  </si>
  <si>
    <t>Solicitud apoyo en verificación de gestión en la que se encuentra DPI: 2318521420101</t>
  </si>
  <si>
    <t>Sincronización de afiliaciones en RTU Oracle del NIT 13366092</t>
  </si>
  <si>
    <t>Constancia de envío inventarios NIT 97777056</t>
  </si>
  <si>
    <t>Constancia de envío inventarios NIT 39500012</t>
  </si>
  <si>
    <t>MEM-SAT-IAC-DGS-020-2025</t>
  </si>
  <si>
    <t>Constancia de envío inventarios NIT 107035448</t>
  </si>
  <si>
    <t>NIT 70645698 gestión  20252ACTF25FFC76</t>
  </si>
  <si>
    <t>NIT  45821917 Traspasos Electrónicos, error en la huella  e indica que anteriormente si le permitía</t>
  </si>
  <si>
    <t>Solicitud apoyo gestión de actualización de inscripción de Sociedad - NIT: 120381753</t>
  </si>
  <si>
    <t>El contribuyente NIT 112234151 que al intentar llenar el formulario 471 registro de devolución crédito de exportadores le genera el error debe generar su código de exportador a través de la VUPE, pero él ya cuenta su código</t>
  </si>
  <si>
    <t xml:space="preserve">NIT 44217544, realizó varios cambios de régimen y no puede presentar el formulario SAT 2046 del mes de enero 2025 por la emisión de una factura de Q.12,000.00
</t>
  </si>
  <si>
    <t xml:space="preserve">Sincronizar el NIT 313876843 no aparece en el RTU Oracle. </t>
  </si>
  <si>
    <t>Solicito su apoyo para sincronizar la información del contribuyente, debido a que, no ha replicado en RTU Oracle - NIT: 120444690</t>
  </si>
  <si>
    <t>Sincronizar afiliaciones del NIT 49900323</t>
  </si>
  <si>
    <t xml:space="preserve">Sincronizar el NIT 120436469 no aparece en el RTU Oracle. </t>
  </si>
  <si>
    <t xml:space="preserve">Sincronizar el NIT 120364727 no aparece en el RTU Oracle. </t>
  </si>
  <si>
    <t>NIT  120411229 SINC  oracle</t>
  </si>
  <si>
    <t>Sincronizar afiliaciones del NIT 98929186</t>
  </si>
  <si>
    <t>Sincronizar dirección comercial NIT 8581827</t>
  </si>
  <si>
    <t>Sincronizar afiliaciones NIT 113001819</t>
  </si>
  <si>
    <t>NIT 27977838  Notaria indica que no le permite continuar el traspaso ya que al darle clic en validar no permite avanzar y no refleja algún error, ya intento desde distintos navegadores y dispositivos, pero el inconveniente persiste.</t>
  </si>
  <si>
    <t>Solicitud apoyo gestión de inscripción definitiva - NIT: 120390132</t>
  </si>
  <si>
    <t>NIT 120459302 SINC  oracle </t>
  </si>
  <si>
    <t>Solicitud apoyo en verificación de gestión en la que se encuentra DPI: 3287932801608</t>
  </si>
  <si>
    <t>Sincronización de afiliaciones en RTU Oracle del NIT 71642749</t>
  </si>
  <si>
    <t>Sincronización de informacion en RTU Oracle del NIT 120459787</t>
  </si>
  <si>
    <t>Sincronización del segundo nombre en RTU Oracle del NIT 81879997</t>
  </si>
  <si>
    <t>Solicitud apoyo en verificación de gestión en la que se encuentra DPI: 3489170580111</t>
  </si>
  <si>
    <t>Solicitud apoyo en verificación de gestión en la que se encuentra DPI: 2839055570306</t>
  </si>
  <si>
    <t>Sincronización de la actividad económica en RTU Oracle del NIT 46738126</t>
  </si>
  <si>
    <t>Solicitud apoyo en verificación de gestión en la que se encuentra DPI: 3274957231020</t>
  </si>
  <si>
    <t>Solicitud apoyo en verificación de gestión en la que se encuentra DPI: 1974056061508</t>
  </si>
  <si>
    <t>Sincronización de afiliaciones en RTU Oracle del NIT 111751128</t>
  </si>
  <si>
    <t>Sincronización de afiliaciones en RTU Oracle del NIT 93510551</t>
  </si>
  <si>
    <t>Sincronización de afiliaciones en RTU Oracle del NIT 319777464</t>
  </si>
  <si>
    <t>Sincronización de afiliaciones en RTU Oracle del NIT 14147068</t>
  </si>
  <si>
    <t>Sincronización de afiliaciones en RTU Oracle del NIT 181339986</t>
  </si>
  <si>
    <t>Sincronización de afiliaciones en RTU Oracle del NIT 114534373</t>
  </si>
  <si>
    <t>Sincronización de afiliaciones en RTU Oracle del NIT 303453397</t>
  </si>
  <si>
    <t>Solicitud apoyo en verificación de gestión en la que se encuentra DPI: 3413031512102</t>
  </si>
  <si>
    <t>Solicitud apoyo en verificación de gestión en la que se encuentra DPI: 3408800151415</t>
  </si>
  <si>
    <t>Sincronización de afiliaciones en RTU Oracle del NIT 99145669</t>
  </si>
  <si>
    <t>Sincronización de afiliaciones en RTU Oracle del NIT 30115590</t>
  </si>
  <si>
    <t>No le permite generar el SAT 8560 FPN5007441</t>
  </si>
  <si>
    <t>El contribuyente NIT 31245986 indica que necesita corregir el correlativo del siguiente contribuyente, adjunto los folios correctos que inicia en enero del 2023 hasta septiembre 2024 y donde se pierde el correlativo  es del mes de octubre del 2024.</t>
  </si>
  <si>
    <t>La contribuyente NIT 9603867 reporta error al llenar el 7121, dicho formulario le indica: Error. El NIT es invalido.</t>
  </si>
  <si>
    <t>El contribuyente NIT 76608247 indica rechazo de la gestión de Cese No. 20252CESE5181C7CB dentro del comentario del rechazo indica: "Estimado contribuyente rectificar las declaraciones del mes de JUNIO A DICIEMBRE 2023 Y ENERO A SEPTIEMBRE 2024 según facturas emitidas en FEL" el contribuyente manifiesta que no comprende qué es lo que debe declarar ya que según él está declarando el monto total facturado y lo que le retuvieron, envía como prueba algunos meses del 2024 el resultado de la consulta de DTE de agencia virtual</t>
  </si>
  <si>
    <t>Solicitud apoyo sincronización de apellido de casada en la AV - NIT: 39744809</t>
  </si>
  <si>
    <t>El NIT 23543361 le muestra apellido de casada en la Agencia Virtual y en el RTU tiene registro de soltera</t>
  </si>
  <si>
    <t>Inconveniente con apellido de casada en  Agencia Virtual - NIT: 45058539</t>
  </si>
  <si>
    <t>El contribuyente NIT 1199245K  que al intentar llenar el formulario 471 registro de devolución crédito de exportadores le genera el error debe generar su código de exportador a través de la VUPE, pero él ya cuenta su código</t>
  </si>
  <si>
    <t>El contribuyente NIT 88804577  que al intentar llenar el formulario 471 registro de devolución crédito de exportadores le genera el error debe generar su código de exportador a través de la VUPE, pero él ya cuenta su código</t>
  </si>
  <si>
    <t>El contribuyente NIT 120396645 reporta se inscribió en noviembre 2024 y se acogió al Régimen de Pequeño Contribuyente, pero al momento de intentar generar el libro de pequeño contribuyente desde su Agencia Virtual, no le permite generar dicho libro</t>
  </si>
  <si>
    <t>El contribuyente NIT 120380781 reporta que está en LET de pequeño contribuyente del mes de enero 2025 pero al darle clic en ingresar ya no le genera nada. Ya intentó de varias computadoras y no le permite ingresar</t>
  </si>
  <si>
    <t>Kevin Eduardo Quintanilla Gonzalez</t>
  </si>
  <si>
    <t>El contribuyente 69779872 reporta que en el RTU Digital en el apartado de Visor de documentos no aparece la imagen o archivo del DPI, ya realizó la actualización de datos y adjunto dicho documento las cuales ya tienen estado finalizado, pero no aparece dentro del visor y no le permite realizar gestiones de vehículos porque no pueden visualizar el DPI.</t>
  </si>
  <si>
    <t>Inconveniente al general LET de pequeño Contribuyente - NIT: 105327778</t>
  </si>
  <si>
    <t>Ticket colocado por Normatividad.</t>
  </si>
  <si>
    <t>El contribuyente NIT 87538806 reporta se inicio operaciones en diciembre 2023 y se acogió al Régimen de Pequeño Contribuyente, pero al momento de intentar generar el libro de pequeño contribuyente desde su Agencia Virtual, no le permite generar dicho libro, indica que no existen periodos anteriores porque es el primer periodo mensual el que esta generando</t>
  </si>
  <si>
    <t>NIT  81554990  no le permite ingresar el número de folio y libro .</t>
  </si>
  <si>
    <t>el 20/02/2025 me informó normativo que había generado el ticket 10000266746</t>
  </si>
  <si>
    <t>El contribuyente NIT 93666330 reporta que LET le indica que la cantidad de folios disponibles no son suficientes para generar el Libro de Compras y Ventas el manifiesta que posee folios disponibles</t>
  </si>
  <si>
    <t>El contribuyente NIT 120372525 reporta que al utilizar LET para regímenes especiales IVA selecciona el mes y año y al dar clic en ingresar la herramienta no le carga. Ya intentó borrando historial y desde incógnito y aún así no le despliega el libro</t>
  </si>
  <si>
    <t>El contribuyente NIT 120348691 reporta que al utilizar LET pequeño contribuyente selecciona el mes y año y al dar clic en ingresar la herramienta no le carga. Ya intentó borrando historial y desde incógnito y aún así no le despliega el libro</t>
  </si>
  <si>
    <t>Inactivación de característica especial de asalariado NIT 48070491</t>
  </si>
  <si>
    <t>MEM-SAT-IAC-DGS-UST-025-2025</t>
  </si>
  <si>
    <t>El contribuyente NIT 9300961 reporta que al utilizar LET Régimen General le genera error intento hacerlo de otro navegador, pero el error persiste.</t>
  </si>
  <si>
    <t>Inconveniente al general formulario 2046 IVA pequeño contribuyente mes de enero 2025 - NIT: 67070515</t>
  </si>
  <si>
    <t>NIT 36557919 no tiene la opción para crear proveedores</t>
  </si>
  <si>
    <t>ya lo gestionó están en espera que responda la GI</t>
  </si>
  <si>
    <t>El contribuyente NIT 95417966 reporta que realizo cambio de régimen pago sus libros de pequeño contribuyente, pero al ingresar no le permite indica que lleva varios días desde que habilito el libro y no le permte.</t>
  </si>
  <si>
    <t>Inactivación de característica especial de asalariado NIT 7984219</t>
  </si>
  <si>
    <t>El contribuyente NIT 101817673 solicita el apoyo debido a que realizó la presentación SAT-7121 No.  45121571539 el 16-12-2024 para la habilitación de Libro de Compras y Libro de Ventas, pero el formulario le muestra el siguiente error: Existe una inconsistencia en la generación de la resolución</t>
  </si>
  <si>
    <t>El contribuyente NIT 81436580 reporta que al utilizar LET pequeño contribuyente selecciona el mes y año y le genera el mensaje que no tiene libros habilitados, sin embargo los habilitó desde el 10/01/25.</t>
  </si>
  <si>
    <t>El contribuyente NIT 66010748 reporta que, en el apartado clasificación de la compra, al realizar la selección en una factura por ejemplo Servicios, automáticamente se realiza la selección para todas las FEL, si realiza la sección a Otras compras, automáticamente se realiza la selección para todas las FEL, no permite seleccionar a cada una lo que le corresponde.</t>
  </si>
  <si>
    <t>Inconveniente presentación informe anual de liquidación y devolución de lo rentenido en exceso rentas de trabajo NIT 2750896K y 4484398</t>
  </si>
  <si>
    <t>Inactivación de característica especial de asalariado NIT 68919921</t>
  </si>
  <si>
    <t>MEM-SAT-IAC-DGS-UST-017-2025</t>
  </si>
  <si>
    <t>El contribuyente NIT 115742077 reporta que no le permite imprimir sus reportes derivado a que noviembre/2024 no le carga</t>
  </si>
  <si>
    <t>El contribuyente NIT 120402785 reporta que tiene habilitados sus libros de pequeño contribuyente, pero el sistema no le permite presentar el libro electrónico tributario indica que ya borro historial de navegador e intento con otros navegadores y tampoco le permite</t>
  </si>
  <si>
    <t xml:space="preserve">NIT 75975300, no puede realizar la recuperación de contraseña de agencia virtual, le muestra mensaje que no cuenta con usuario de agencia virtual.  En el RTU Oracle y Nube aparece la marca de Agencia Virtual. </t>
  </si>
  <si>
    <t>El contribuyente NIT 98103814 reporta que desde hace algún tiempo ha intentado realizar el cierre de su establecimiento como Pequeño Contribuyente pero al intentar generar el resumen de compras y ventas de el último mes operado (29/02/2024) y el último mes activo (febrero 2025) no le deja generarlos indicándome que tengo libros pendientes de cierres, entonces procedió a realizar el cierre de todos los libros desde 26/04/2023 cuando fue creado el establecimiento pero aún  no le deja, compro los suficientes folios para esta gestión pero aun así no le  permite.</t>
  </si>
  <si>
    <t xml:space="preserve">NIT 79877222, indica que no puede verificar el cierre del mes de enero 2025.
</t>
  </si>
  <si>
    <t>El contribuyente NIT 71653732 reporta que no puedo generar la razón de pago de timbres fiscales, el contribuyente adjunta archivo de la secuencia de pantalla donde no le permite generar la razón de pago.</t>
  </si>
  <si>
    <t>El contribuyente NIT 114461945 indica que está realizando la gestión de Cese No. 20252CESE663986AD dentro del comentario del rechazo indica: "FAVOR PRESENTAR DECLARACIONES AÑO 2024 PARA PODER VALIDAR LA INFORMACION" el contribuyente manifiesta que en el año 2024 solicito cese temporal por 12 meses por lo que no hay declaraciones en ese período</t>
  </si>
  <si>
    <t>Agregar profesión al catálogo del RTU digital NIT 109564464 Licenciatura en Diseño y Animación Digital</t>
  </si>
  <si>
    <t>MEM-SAT-IAC-DGS-UST-024-2025</t>
  </si>
  <si>
    <t>El contribuyente NIT 118594672 reporta que se encuentra realizando la consulta del LET del año pasado y el sistema le muestra error en donde indica que no tiene folios generados, pero sí los tiene</t>
  </si>
  <si>
    <t>El contribuyente NIT 65126998 reporta que tiene inconveniente estoy tratando de realizar el reporte de compra y ventas de un pequeño contribuyente</t>
  </si>
  <si>
    <t xml:space="preserve"> El contribuyente NIT 116941405 indica rechazo de su solicitud de actualización No.  20252ACT9CFC106B dentro de los comentarios de rechazo se encuentra "Debe corregir las fechas de inscripción, vencimiento y de nombramiento del representante legal, tal como aparecen en la certificación del Registro Mercantil", el contribuyente solicita el apoyo en que le indiquen las fechas que debe colocar debido a que coloca las que indican los documentos y le rechazan la gestión</t>
  </si>
  <si>
    <t>El contribuyente NIT 11991615 reporta que no puedo ingresar al libro de ventas para operar el mes de enero</t>
  </si>
  <si>
    <t>Al contribuyente NIT 253337631 no le permite emitir facturas</t>
  </si>
  <si>
    <t>El contribuyente NIT 26186136 reporta que no puede descargar su Reporte de Libro Electrónico.</t>
  </si>
  <si>
    <t xml:space="preserve">Renuente de Incorporarse a FEL NIT 35533595 </t>
  </si>
  <si>
    <t>Inactivación de característica especial de asalariado NIT 63603837</t>
  </si>
  <si>
    <t>MEM-SAT-IAC-DGS-041-2025</t>
  </si>
  <si>
    <t>Inactivación de característica especial de asalariado NIT 48897833</t>
  </si>
  <si>
    <t>El contribuyente NIT 108473139 que al intentar llenar el formulario 471 registro de devolución crédito de exportadores le genera el error debe generar su código de exportador a través de la VUPE, pero él ya cuenta su código.</t>
  </si>
  <si>
    <t>NIT 53293800, el contribuyente tuvo suspendida la afiliación del IVA, realizó la presentación de las declaraciones omitidas, en el RTU Oracle y Nube la afiliación se encuentra activa, sin embargo, no puede facturar, el verificador integrado muestra el incumplimiento "Afiliación al Impuesto al valor Agregado inactiva por suspensión" </t>
  </si>
  <si>
    <t>Indicaron de IFI que se reportó el inconveniente y realizarán un corrimiento masivo para solventarlo.</t>
  </si>
  <si>
    <t>NIT 48302007, el contribuyente el contribuyente está realizando un traspaso y no le permite porque le aparecen el incumplimiento de afiliación inactiva por suspensión al verificar en RTU nube y Oracle si esta activa, pero en el verificador integrado aun aparece la suspensión.</t>
  </si>
  <si>
    <t xml:space="preserve">NIT 74372742, el contribuyente realizó pago de omisos el día 21 de febrero 2025, RTU nube le muestra afiliación a IVA activo, sistema Oracle de igual manera muestra afiliación activa, sistema verificador integrado muestra afiliación a IVA suspendida por omisión.
</t>
  </si>
  <si>
    <t xml:space="preserve"> NIT 28726057, realizó cese de actividades, en el RTU Oracle y Nube la afiliación se encuentra inactiva., sin embargo, el verificador integrado muestra el incumplimiento de afiliación suspendida al impuesto al valor agregado inactiva por suspensión. </t>
  </si>
  <si>
    <t>NIT 23740906,  el contribuyente realizó pago de omisos el día 22 de febrero 2025, RTU nube le muestra afiliacion a IVA activo, sistema Oracle de igualmanera muestra afiliación activa, sistema verificador integrado muestra afiliación a IVA suspendida por omisión.</t>
  </si>
  <si>
    <t>Solicitud apoyo consulta formulario SAT-471 - Regimen Habitual Exportadores NIT 120392925</t>
  </si>
  <si>
    <t>Inactivación de característica especial de asalariado NIT 77549376</t>
  </si>
  <si>
    <t>NIT 2615343 contribuyente realizó Cese prescrito de establecimiento el día 21 de febrero de 2025, el sistema verificador integrado le muestra que la afiliación al IVA aún esta suspendido</t>
  </si>
  <si>
    <t>NIT 13692860 realizó el cese prescrito y el verificador integrado muestra el incumplimiento de la afiliación al IVA suspendida</t>
  </si>
  <si>
    <t xml:space="preserve">Contribuyente NIT 16730879 realizó cese de actividades por lo que no poseen establecimientos activos ni afiliaciones activas pero el verificador integrado les muestra afiliación inactiva por suspensión del Impuesto al Valor Agregado. </t>
  </si>
  <si>
    <t>El contribuyente NIT 77059182 indica rechazo de su solicitud de Actualización de NIT No.  20251ACTA8B28074 dentro de los comentarios de rechazo se encuentra "Estimado contribuyente se le solicitar adjuntar resolución de nombramiento del director actual", el contribuyente manifiesta que en el caso de los institutos del departamento de Totonicapán, la Coordinación del MINEDUC, sólo extiende un AVAL para el cargo de director.</t>
  </si>
  <si>
    <t>Solicitud apoyo en verificación de gestión en la que se encuentra DPI: 3807667360502</t>
  </si>
  <si>
    <t>La Notario NIT 110331605 reporta problemas para confirmar huella como abogada y notaría</t>
  </si>
  <si>
    <t>La Notario NIT 76014517 reporta problemas para confirmar huella como abogada y notaría</t>
  </si>
  <si>
    <t>Solicitud apoyo en verificación de gestión en la que se encuentra DPI: 2886335390412</t>
  </si>
  <si>
    <t>Solicitud apoyo en verificación de gestión en la que se encuentra DPI: 2471088711608</t>
  </si>
  <si>
    <t>Solicitud apoyo en verificación de gestión en la que se encuentra DPI: 3169429521311</t>
  </si>
  <si>
    <t>Solicitud apoyo en verificación de gestión en la que se encuentra DPI: 3255779431703</t>
  </si>
  <si>
    <t>Inactivación de característica especial de asalariado NIT 101420420</t>
  </si>
  <si>
    <t>MEM-SAT-IAC-DGS-UST-023-2025</t>
  </si>
  <si>
    <t>Solicitud apoyo en verificación de gestión en la que se encuentra DPI: 3637557481412</t>
  </si>
  <si>
    <t>El contribuyente NIT 10450577K reporta que no puede generar el formulario 2241 del mes de enero 2025 le genera el error: Para utilizar este formulario debe estar afiliado al Régimen Electrónico de Pequeño Contribuyente, el contribuyente realizó cambio de regimen a peque contribuyente el cual aplica a partir de marzo 2025.</t>
  </si>
  <si>
    <t>Solicitud apoyo en verificación de gestión en la que se encuentra DPI: 3352679711613</t>
  </si>
  <si>
    <t>El contribuyente NIT 112277322 indica que necesita corregir el correlativo del Libro Electrónico LET el folio 22 del mes de noviembre está bien, pero en el mes de diciembre le genera folio 16, en el mes de enero 2025 folio 15 y el mes de febrero folio 16.</t>
  </si>
  <si>
    <t>Solicitud apoyo en verificación de gestión en la que se encuentra DPI: 1832454901311</t>
  </si>
  <si>
    <t>DPI. 2227318180105</t>
  </si>
  <si>
    <t>Solicitud apoyo sincronización del Verificador Integrado - NIT: 56882610</t>
  </si>
  <si>
    <t>NIT 113237243 contribuyente realizó pago de omisos el día 21 de febrero 2025, RTU nube le muestra afiliacion a IVA activo, sistema Oracle de igualmanera muestra afiliación activa, sistema verificador integrado muestra afiliación a IVA suspendida por omisión.</t>
  </si>
  <si>
    <t>Solicitud apoyo sincronización del Verificador Integrado - NIT: 112560946</t>
  </si>
  <si>
    <t>Claudia Solís</t>
  </si>
  <si>
    <t>NIT 83711643 realizó cese prescrito y el verificador integrado sigue mostrando el incumplimiento de afiliación al IVA inactiva por suspensión.</t>
  </si>
  <si>
    <t>NIT 95348395 en el verificador integrado aparece suspendido por el Arto. 120 y ya realizó cese de actividades</t>
  </si>
  <si>
    <t>nit 17935784  en el verificador integrado aparece suspendido por el Arto. 120 y en RTU nube tiene activa la afiliación</t>
  </si>
  <si>
    <t>NIT 80140599 en el verificador integrado aparece suspendido por el Arto. 120 y en RTU nube tiene activa la afiliación</t>
  </si>
  <si>
    <t xml:space="preserve">NIT 45809682 gestión 20252ACTA7524BBC, indica que le rechazan la gestión por la constancia del colegiado activo, indica que está adjuntado el documento emitido por el colegio. </t>
  </si>
  <si>
    <t>Solicitud apoyo gestión de actualización de datos RTU - NIT: 16873661</t>
  </si>
  <si>
    <t xml:space="preserve"> NIT 54922003 gestión 20252ACT99E949FE </t>
  </si>
  <si>
    <t>NIT 98791974 gestión 20252AV3531B78E si está enviando la constancia de RENAP firmada</t>
  </si>
  <si>
    <t>Inconveniente Traspaso por donación llenado del formulario SAT-2311 - NIT: 328649139</t>
  </si>
  <si>
    <t>Solicitud apoyo en verificación de gestión en la que se encuentra DPI: 3033662730108</t>
  </si>
  <si>
    <t>El contribuyente NIT 26496143 indica al utilizar LET de Pequeño contribuyente, pero al momento a de ingresar mes y año y oprimir el botón INGRESAR no realiza ninguna acción</t>
  </si>
  <si>
    <t>El contribuyente NIT 2649311K reporta inconveniente con la generación del reporte del Libro de Compras y Ventas para Regímenes Especiales del IVA, cuando intenta realizar dicho reporte no le permite seleccionar el mes y año, ya borró el historial, pero el inconveniente continuo</t>
  </si>
  <si>
    <t>Solicitud apoyo Actualización representación legal copropiedad - NIT: 76960722</t>
  </si>
  <si>
    <t>Gerencia de Contribuyentes Especiales Medianos</t>
  </si>
  <si>
    <t>GEM</t>
  </si>
  <si>
    <t>FCR5132721 no permite generar el formulario SAT 8560</t>
  </si>
  <si>
    <t>Sincronizar NIT 36429473 en el RTU Oracle no aparece el CUI</t>
  </si>
  <si>
    <t>Este NIT está en proceso de verificación, ya que el CUI asociado corresponde a un registro previamente depurado y se está validando su información.</t>
  </si>
  <si>
    <t>NIT 89097440 realizó cambio de régimen y no puede presentar el formulario SAT 2046 de enero 2025.</t>
  </si>
  <si>
    <t>CUI 3171999351302</t>
  </si>
  <si>
    <t>DPI. 3253577301010</t>
  </si>
  <si>
    <t>NIT 10450577K, realizó cambio de régimen y no puede presentar el formulario SAT 224 de enero y febrero 2025.  El cambio de régimen a pequeño contribuyente aplica a partir del 01/03/2025.</t>
  </si>
  <si>
    <t>El contribuyente NIT 28417917 que al intentar llenar el formulario 471 registro de devolución crédito de exportadores le genera el error debe generar su código de exportador a través de la VUPE, pero él ya cuenta su código.</t>
  </si>
  <si>
    <t>NIT 34194037 indica que no puede emitir facturas, el 19 de enero realizó la presentación de declaraciones omisas</t>
  </si>
  <si>
    <t>inscribiendo la Federación Deportiva Nacional de de Motociclismo de Guatemala:  "Indica que se lo han rechazado 2 veces y que no tiene otro documento porque ellos no se registran en ningún Registro, es un Acuerdo de la Federación con lo que cuentan y el documento que suscribió el Abogado y Notario, solicita que se comuniquen con el contribuyente para explicarle, porque ha inscrito otras Asociaciones que con esos documentos y se lo han aceptado".</t>
  </si>
  <si>
    <t xml:space="preserve">Renuente de Incorporarse a FEL NIT 60679085 </t>
  </si>
  <si>
    <t>Solicitud apoyo en verificación de gestión en la que se encuentra DPI: 2955507161609</t>
  </si>
  <si>
    <t>El contribuyente NIT 107069725 reporta que LET  Pequeño contribuyente no muestra la factura emitida de junio 2023</t>
  </si>
  <si>
    <t>Solicitud apoyo en verificación de gestión en la que se encuentra DPI: 3188801640719</t>
  </si>
  <si>
    <t>El contribuyente NIT 79195830 reporta que en el Libro de Compras y Ventas Pequeño Contribuyente para Pequeño Contribuyente en el enero 2025 le muestra el folio 14 y le corresponde el folio1, por lo que solicita que tenga el correlativo correcto el Libro</t>
  </si>
  <si>
    <t>NIT 5251532  gestión de actualización de datos 20252ACT30275AB4, indica que le rechazan la gestión por el tipo de personería, ha ingresado Otro tipo de asociación y asociación civil, solicita que le indiquen que tipo de personería debe seleccionar</t>
  </si>
  <si>
    <t>20252ACT5D64C445 R. HAJOACHI NIT 81306288</t>
  </si>
  <si>
    <t>Solvencia fiscal NIT 46688803 pagada el 21/02/2025</t>
  </si>
  <si>
    <t>El contribuyente NIT 1382721 esta realización la gestión de actualización de datos, pero le muestra el error "No se ha podido consultar gestión activa" pero el contribuyente no posee gestiones activas y no le permite realizar la actualización de datos</t>
  </si>
  <si>
    <t>Sincronizar la marca de agencia virtual en el RTU Nube no aparece NIT 79121292</t>
  </si>
  <si>
    <t>Depto. Normativo generó el ticket 10000265953.  Respuesta del 28/02/2025 Normativo le está dando seguimiento al ticket con la GI.</t>
  </si>
  <si>
    <t>el contribuyente NIT 72654694, indica que el agente aduanal 274 José Roberto Cuevas, con NIT1626132, asignó el permiso delegado de "actividades y operaciones permitidas marítimo" al contribuyente 72654694 JONATHAN ALEXANDER OROZCO SANTOS, sin embargo, al delegar este permiso, empezó a recibir repetidamente y sin parar correos avisando de esta acción</t>
  </si>
  <si>
    <t>El contribuyente NIT 67784585 reporta que no puede actualizar el Reporte del Libro de Compras y Ventas para Pequeño Contribuyente, en su Agencia Virtual solo le desplego hasta octubre 2024 y ya no le deja continuar.</t>
  </si>
  <si>
    <t>Solicitud apoyo en verificación de gestión en la que se encuentra DPI: 3720789740115</t>
  </si>
  <si>
    <t>Solicitud apoyo en verificación de gestión en la que se encuentra DPI: 3302485101609</t>
  </si>
  <si>
    <t>Solicitud apoyo en verificación de gestión en la que se encuentra DPI: 3051072830117</t>
  </si>
  <si>
    <t>El contribuyente NIT 92787630 indica que su solicitud de Cancelación Definitiva de Establecimientos No. 20252CESEDAFB4065, el contribuyente manifiesta que envió su solicitud desde el 14-02-2025 y la misma se encuentra en estado En Revisión desde el 17-02-2025.</t>
  </si>
  <si>
    <t>El contribuyente NIT 98169122 realizo el pago del Impuesto del Impuesto de Circulacion del Vehiculo Placa P-125JGH, sin embargo el formulario esta pagado pero no reconoce el pago y no puede imprimir los Distintivos Electronicos.</t>
  </si>
  <si>
    <t xml:space="preserve">NIT 318153157 cuando ingresa a la agencia virtual le muestra mensaje "No tiene permisos Asignados" 
</t>
  </si>
  <si>
    <t>Sincronizar domicilio comercial establecimiento No. 2 NIT 101966539</t>
  </si>
  <si>
    <t>El contribuyente NIT 63649071 reporta que realizó el pago del formulario SAT- 45599306239 Acceso 97212493 correspondiente al mes de diciembre de 2024 que en su momento esta en la etapa 3 de 4 por medio de Neonet, pero al consultar el formulario en Declaraguate aparece sin NIT y sin periodo, sin datos y le genera omiso.</t>
  </si>
  <si>
    <t>El contribuyente NIT 53360125 indica rechazo de su solicitud de actualización No.  20252ACTBE193A81 dentro de los comentarios de rechazo se encuentra "Señor contribuyente previo a la autorización de su solicitud deberá seleccionar la forma de cálculo del IVA", el contribuyente manifiesta que la casilla aparece de forma automática y no es posible seleccionar una diferente.</t>
  </si>
  <si>
    <t>El contribuyente NIT 83759107 reporta que no puede generar el formulario 2046 del mes de enero de 2025 le genera el siguiente mensaje: Error. Usted se encuentra afiliado al Régimen Electrónico de Pequeño Contribuyente, le corresponde llenar el formulario SAT-2241., el contribuyente según el RTU digital cambio de Régimen Electrónico Pequeño contribuyente el cual aplica a partir de febrero de 2025</t>
  </si>
  <si>
    <t>El contribuyente NIT 120307529 reporta inconveniente en presentar los Libros electrónicos de Pequeño Contribuyente.</t>
  </si>
  <si>
    <t>El contribuyente NIT 26393352, el contribuyente manifiesta que actualizó permisos de colaborador, pero empezó a recibir correos de la dirección proceso-av@sat.gob.gt recibió alrededor de 700 correos, para ya no recibir removió los permisos, pero ya lleva recibidos 1366 correos</t>
  </si>
  <si>
    <t>El contribuyente NIT 43466680 reporta que no le permite trabajar el libro de ventas para el período enero 2025, le muestra Error. No es posible ingresar al período seleccionado derivado a que el primer período aceptado en LET IVA General es posterior al seleccionado, sin embargo, diciembre 2024 lo tiene operado</t>
  </si>
  <si>
    <t>Error en la herramienta de traspasos NIT 80870171</t>
  </si>
  <si>
    <t>El contribuyente NIT 77125975 reporta que cuando ingresa a la pestaña LET - Libros de Ventas, me tira el error: "Usted no puede utilizar el Sistema LET para IVA General, por no encontrarse afiliado a este régimen desde el año 2022 a la fecha actual."</t>
  </si>
  <si>
    <t>NIT 78777917 permisos delegables correos de notificaciones , indica que ha recibido 500 correos de notificaciones de permisos delegables</t>
  </si>
  <si>
    <t>El contribuyente NIT 85798592 reporta que tiene problemas de repetición de folio para el Reporte de Libro de Compras y Ventas para Pequeño Contribuyente: Mes de Enero 2025.</t>
  </si>
  <si>
    <t>Solicito apoyo para sincronizar el verificador integrado del contribuyente, debido a que, ya no cuenta con establecimientos activos, ni afiliación al IVA, y aparece renuente a incorporarse a FEL - NIT: 29284007</t>
  </si>
  <si>
    <t>Solicitud apoyo en verificación de gestión en la que se encuentra DPI: 2883468660502</t>
  </si>
  <si>
    <t>Solicitud apoyo en verificación de gestión en la que se encuentra DPI: 2769879690101</t>
  </si>
  <si>
    <t>El contribuyente NIT 77785479 reporta que esta tratando de llenar libros de compras y ventas, pero no me aparecen las FEL de facturas recibidas</t>
  </si>
  <si>
    <t>Solicitud apoyo en verificación de gestión en la que se encuentra DPI: 3368663560919</t>
  </si>
  <si>
    <t>Por favor apoyar con el inconveniente reportado por el contribuyente NIT 51558947, indica que intenta ingresar a la Agencia Virtual, pero le da error de que no tiene permisos asignados</t>
  </si>
  <si>
    <t>NIT 105988308 gestión 20252AV3AB96908</t>
  </si>
  <si>
    <t>El contribuyente NIT 108026000 indica rechazo de su solicitud de actualización No.  20252ACTD4FB2BCE dentro de los comentarios de rechazo se encuentra "Estimado contribuyente favor de cancelar multa por aviso extemporaneo de representante legal, genera multa en el formulario "ingresos cobranza" en la pagina declaraguate, cancelar en los bancos del sistema y adjuntar la multa cancelada a los documentos escaneados de representante legal", el contribuyente manifiesta que el Representante Legal esta activo con fecha de vencimiento 31/05/2026.</t>
  </si>
  <si>
    <t>Libni Filiberto Hernández Orozco</t>
  </si>
  <si>
    <t>Sincronizar NIT 105492671 en el RTU Oracle no aparece el CUI</t>
  </si>
  <si>
    <t>Jessica</t>
  </si>
  <si>
    <t>Solicitud apoyo en verificación de gestión en la que se encuentra DPI: 2992985580101</t>
  </si>
  <si>
    <t>Número de gestión / Inscripción de NIT</t>
  </si>
  <si>
    <t xml:space="preserve">IRE/Departamento de Registros Tributarios
</t>
  </si>
  <si>
    <t>Dayrin Esther Robles Was</t>
  </si>
  <si>
    <t>Solicitud apoyo en verificación de gestión en la que se encuentra DPI: 3058433970301</t>
  </si>
  <si>
    <t>Solicitud apoyo en verificación de gestión en la que se encuentra DPI: 3009446590101</t>
  </si>
  <si>
    <t>Oscar Mario Avalos Flores</t>
  </si>
  <si>
    <t>Solicitud apoyo en verificación de gestión en la que se encuentra DPI: 3272258151605</t>
  </si>
  <si>
    <t>Brenda Iracema Matias Juarez</t>
  </si>
  <si>
    <t>Solicitud apoyo en verificación de gestión en la que se encuentra DPI: 3026772910104</t>
  </si>
  <si>
    <t>CUI 3100577010613</t>
  </si>
  <si>
    <t>Número de gestión inscripción de NIT con CUI 2506846750101</t>
  </si>
  <si>
    <t>NIT 716609086</t>
  </si>
  <si>
    <t>Característica Especial Exportador y 29/89</t>
  </si>
  <si>
    <t>AGEXPORT</t>
  </si>
  <si>
    <t>Número de gestión inscripción de NIT con CUI 3171999351302</t>
  </si>
  <si>
    <t>Número de gestión inscripción de NIT con CUI 3300186391710</t>
  </si>
  <si>
    <t>NIT 90642716</t>
  </si>
  <si>
    <t>Solicitud apoyo en verificación de gestión en la que se encuentra DPI: 3431472622213</t>
  </si>
  <si>
    <t>Mayra Liliana Sandoval Portillo</t>
  </si>
  <si>
    <t>NIT 30038324 gestión 20253AV7B412BEA , indica que cumple con los requisitos y todo está legible.</t>
  </si>
  <si>
    <t xml:space="preserve">GRC  </t>
  </si>
  <si>
    <t>NIT 113418124 pagó las omisiones el 19 y 20 de febrero y aún no le permite seleccionar el tipo de documento y no tiene la suspensión</t>
  </si>
  <si>
    <t>NIT 38965321</t>
  </si>
  <si>
    <t>CUI 4073873311609</t>
  </si>
  <si>
    <t>El contribuyente NIT 2230682K reporta que el folio 55 se repite para noviembre 2024 y febrero 2025, enero 2025 genera el folio 56 y 60.</t>
  </si>
  <si>
    <t>El contribuyente NIT 93758685 se comunicó al Contact Center de SAT indicando rechazo de su solicitud de Cancelación Definitiva de Establecimientos No. 20252CESE8D1B22D4, dentro los comentarios de rechazo indica "estimado contribuyente/ revisa en su agencia virtual con las retenciones y facturas del año 2021" el contribuyente manifiesta que reviso la información y no aparece ninguna retención grabada en su agencia virtual.</t>
  </si>
  <si>
    <t>Número de gestión de inscripción de NIT iniciada con el CUI 3130767820705</t>
  </si>
  <si>
    <t xml:space="preserve">NIT 53656547 gestión 20252ACT95982E51, está realizando una actualización de datos e indica que no está modificando datos del representante legal por lo que no le procede el pago de la multa. </t>
  </si>
  <si>
    <t>Solicitud apoyo en verificación de gestión en la que se encuentra DPI: 1710296580504</t>
  </si>
  <si>
    <t>Solicitud apoyo en verificación de gestión en la que se encuentra DPI: 2698430511416</t>
  </si>
  <si>
    <t>Solicitud apoyo en verificación de gestión en la que se encuentra DPI: 3283850341101</t>
  </si>
  <si>
    <t>Por favor apoyar con el inconveniente reportado por el contribuyente NIT 78777917, indica que no está resuelto el inconveniente, aún siguen recibiendo correos masivos</t>
  </si>
  <si>
    <t>El contribuyente NIT 53656547 indica rechazo de su solicitud de actualización No.  20252ACT95982E51 dentro de los comentarios de rechazo se encuentra "Estimado contribuyente atender únicamente lo solicitado en comentario adicional: GENERE LA MULTA EN DECLARAGUATE POR INSCRIPCION EXTEMPORANEA DE REPRESENTANTE LEGAL Y ADJUNTELA AL DOCUMENTO", el contribuyente manifiesta que no esta modificando al Representante Legal es se encuentra ya registrado en RTU Digital y es por tiempo indefinido</t>
  </si>
  <si>
    <t>Julio Cesar Polanco Robledo</t>
  </si>
  <si>
    <t xml:space="preserve">NIT 120456915, está realizando una actualización de datos gestión 20252ACTCFB35A15, indica que el primer testimonio aparece en el documento en la hoja 9.  </t>
  </si>
  <si>
    <t>NIT 96247460 indica que está solicitando activación de agencia virtual 20253AVD2802B2F , le están solicitando el nombramiento del representante legal, indica que los nombramientos de las Propiedades Horizontales no poseen un registro inscrito</t>
  </si>
  <si>
    <t>NIT 120086069 está concluyendo la gestión de inscripción de sociedad anónima 20251ACT7E84A7F6 y le están solicitando pago de multa por presentación extemporánea indica que no aplica por ser inscripción de NIT.</t>
  </si>
  <si>
    <t>NIT 2214253</t>
  </si>
  <si>
    <t>Solicitud apoyo en verificación de gestión en la que se encuentra DPI: 3246822121006</t>
  </si>
  <si>
    <t>Solicitud apoyo gestión actualización de datos de una Propiedad Horizontal / NIT: 61515922</t>
  </si>
  <si>
    <t>El contribuyente NIT 100949827 que al intentar llenar el formulario 471 registro de devolución crédito de exportadores le genera el error debe generar su código de exportador a través de la VUPE, pero él ya cuenta su código.</t>
  </si>
  <si>
    <t>Inconveniente que presenta el contribuyente NIT 51102404, que le indica retención por factura especial en concepto de ISR por Q181.00 cuando lo correcto es Q181.23, según detalle de la factura.</t>
  </si>
  <si>
    <t>Consulta respecto a Código de estado / NIT: 6666159</t>
  </si>
  <si>
    <t>IRE</t>
  </si>
  <si>
    <t>Número de gestión de inscripción de NIT con el CUI  3100342130613</t>
  </si>
  <si>
    <t>Solicito su apoyo para consultar el número de gestión en el que se encuentra registrado el DPI: 3399859741301</t>
  </si>
  <si>
    <t>NIT 6863892 gestión 20253ACTDD361322</t>
  </si>
  <si>
    <t xml:space="preserve">NIT 3014312  gestión 20253ACT4AC291D2 </t>
  </si>
  <si>
    <t>Solicitud apoyo en verificación de gestión en la que se encuentra el Pasaporte E1224719 emitido en Honduras</t>
  </si>
  <si>
    <t>Solicitud apoyo en verificación de gestión en la que se encuentra DPI: 3408042381415</t>
  </si>
  <si>
    <t>Solicitud apoyo en verificación de gestión en la que se encuentra DPI: 2356024181312</t>
  </si>
  <si>
    <t>Solicitud apoyo en verificación de gestión en la que se encuentra DPI: 3440999461408</t>
  </si>
  <si>
    <t>Joshua Alessandro Losley Ruiz</t>
  </si>
  <si>
    <t>Solicitud apoyo en verificación de gestión en la que se encuentra DPI: 2093414830605</t>
  </si>
  <si>
    <t>Solicitud apoyo en verificación de gestión en la que se encuentra DPI: 3667524560101</t>
  </si>
  <si>
    <t>Solicitud apoyo en verificación de gestión en la que se encuentra DPI: 2773488381221</t>
  </si>
  <si>
    <t>El contribuyente NIT 101150733 reporta inconveniente no puede seleccionar las características de la factura para poder generarlas</t>
  </si>
  <si>
    <t xml:space="preserve">NIT 1263021 indica que está adjuntando factura de servicio de internet residencial. </t>
  </si>
  <si>
    <t xml:space="preserve">NIT 96650788 está actualizando datos gestión 20252ACT0C6865A4, indica que no está modificando datos del representante legal y el registro sigue vigente. </t>
  </si>
  <si>
    <t>El contribuyente NIT 7741383 reporta que subir el DPI último emitido por el Renap dice que no es la versión correcta, indica el contribuyente que llamo al RENAP y ellos verificaron que todo estaba correcto con dicha institución, que el problema es de la SAT que no actualizó la información.</t>
  </si>
  <si>
    <t>El contribuyente NIT 89413482 reporta problemas con la asignación de correlativos del LET de Pequeño Contribuyente</t>
  </si>
  <si>
    <t>Al contribuyente NIT 24612650 le rechazan la Actualización de datos presencial en la Agencia Tributaria Dubai porque en el Nombramiento de Representante Legal porque utilizo razón electrónica de pago para el documento.</t>
  </si>
  <si>
    <t>NIT 8479828 EXP. 29419617</t>
  </si>
  <si>
    <t>El contribuyente NIT 39252299 reporta que en el mes de febrero emitido 2 facturas de Pequeño Contribuyente sin embargo el sistema al intentar llenar el Formulario SAT/2046 le indica que no puedo realizarlo porque debo realizarlo con el 2241, permite llenar los datos, pero no me permite VALIDAR</t>
  </si>
  <si>
    <t>El contribuyente NIT 109779770 indica rechazo de su solicitud de actualización No.  20252ACT9C41AD0A dentro de los comentarios de rechazo se encuentra "Estimado contribuyente corregir campo fecha de nombramiento como representante legal y campo fecha de inscripcion en el registro", el contribuyente manifiesta que esta ingresando la información de acuerdo a los documentos</t>
  </si>
  <si>
    <t>La contribuyente esta realización la gestión de inscripción de NIT, pero le muestra el error "Su documento personal de identificación se encuentra vencido" y el documento tiene fecha de vencimiento 19 de mayo de 2027</t>
  </si>
  <si>
    <t>NIT 88796280, realizó cambio de régimen y no puede presentar el formulario SAT 2046 de febrero 2025.</t>
  </si>
  <si>
    <t xml:space="preserve"> NIT 98174029  el contribuyente inició y canceló la gestión de exportador y en el sistema le aparece en característica especial exportador y decreto 29/89</t>
  </si>
  <si>
    <t>Informe semestral de inventarios del año 2023 / NIT: 109584872</t>
  </si>
  <si>
    <t>El contribuyente NIT 101686080 indica rechazo de su solicitud de actualización No.  20253ACT1F34238D dentro de los comentarios de rechazo se encuentra "Señor contribuyente he verificado 2 veces su gestión debe adjuntar la escritura matriz No. 28 con su respectivo 1er Testimonio y su razón del Registro. Debe escanearla mas legible y clara. Gracias", el contribuyente insiste en que está ingresando correctamente el documento de constitución, sin embargo, le piden que ingrese un documento en particular para autorizar la actualización de sus datos.</t>
  </si>
  <si>
    <t>El contribuyente NIT 36918989 reporta problemas con la asignación de los correlativos de los folios al generar los libros de diciembre 2023 y enero 2024</t>
  </si>
  <si>
    <t>NIT 51995719 INFORME FEBRERO 2025</t>
  </si>
  <si>
    <t>Inconveniente al presentar el informe de impresión / NIT 83231617</t>
  </si>
  <si>
    <t>Inconveniente al llenar informe de impresión / NIT: 45213992</t>
  </si>
  <si>
    <t>Solicitud apoyo Exportadores Inscripción numero/Código de exportador 31526 / NIT: 110765184</t>
  </si>
  <si>
    <t>Solicitud apoyo incorporación código VUPE a formulario SAT/0471 / NIT: 120271818</t>
  </si>
  <si>
    <t>El contribuyente NIT 12044024, con el nombre del Municipio en la gestión de actualización de contribuyentes, el manifiesta que está actualizando su información, pero le envían requerimiento y en el comentario de rechazo le indican consignar lugar de nacimiento según su DPI, en el sistema al colocar el Departamento de nacimiento que en el presente caso es Baja Verapaz y buscar el Municipio de nacimiento no aparece el nombre correcto del Municipio que es: Santa Cruz el Chol, únicamente aparece como El Chol</t>
  </si>
  <si>
    <t>MEM/SAT/IAC/DGS/UST/027/2025</t>
  </si>
  <si>
    <t>El contribuyente NIT 103032347, con el nombre del Municipio en la gestión de actualización de contribuyentes, el manifiesta que está actualizando su información, pero le envían requerimiento y en el comentario de rechazo le indican consignar lugar de nacimiento según su DPI, en el sistema al colocar el Departamento de nacimiento que en el presente caso es Huehuetenango y buscar el Municipio de nacimiento no aparece el nombre correcto del Municipio que es: San Ildefonso Ixtahuacán, únicamente aparece como Ixtahuacán.</t>
  </si>
  <si>
    <t>NIT 5818788 gestión 20253ACTE0A92D7F</t>
  </si>
  <si>
    <t>Solicitud apoyo gestión de Cese de Actividades / NIT: 82615799</t>
  </si>
  <si>
    <t>nit 144223, no le permite enviar el informe de impresión le solicita multa y éste vence el 14 de marzo</t>
  </si>
  <si>
    <t>Inconveniente presentación informe de imprentas / NIT: 7746555</t>
  </si>
  <si>
    <t>Solicito su apoyo para consultar el número de gestión en el que se encuentra registrado el DPI: 2613908480101,</t>
  </si>
  <si>
    <t>Inconveniente con reporte de impresión NIT   1824713K</t>
  </si>
  <si>
    <t>Inconveniente con reporte de impresión NIT   17458919</t>
  </si>
  <si>
    <t xml:space="preserve">Inconveniente con reporte de impresión NIT   55739555
</t>
  </si>
  <si>
    <t>Inconveniente con reporte de impresiónNIT   56929323</t>
  </si>
  <si>
    <t>Inconveniente con reporte de impresión NIT   71958738</t>
  </si>
  <si>
    <t xml:space="preserve">Inconveniente con reporte de impresión NIT   68031084
</t>
  </si>
  <si>
    <t>Inconveniente con reporte de impresión NIT   25192531</t>
  </si>
  <si>
    <t>Inconveniente con reporte de impresión NIT   12045960</t>
  </si>
  <si>
    <t>Inconveniente con reporte de impresión NIT   30550270</t>
  </si>
  <si>
    <t>Solicitud apoyo en verificación de gestión en la que se encuentra DPI: 3955758930608</t>
  </si>
  <si>
    <t>Solicitud apoyo en verificación de gestión en la que se encuentra DPI: 3776665480101</t>
  </si>
  <si>
    <t>Solicitud apoyo en verificación de gestión en la que se encuentra DPI: 3686667001101</t>
  </si>
  <si>
    <t>El contribuyente NIT 6420478, reporta inconveniente en la presentación del Informe de Servicios de Impresión del mes de febrero de 2025, le indica que debe presentar el pago de la multa del formulario SAT/0811, pero, el contribuyente está en tiempo para la presentación de dicho informe.</t>
  </si>
  <si>
    <t>Mildred Marisol Ramos de Leon</t>
  </si>
  <si>
    <t>Sincronizar la dirección del establecimiento del NIT 3378330 en RTU Oracle.</t>
  </si>
  <si>
    <t>El contribuyente NIT 92639437, reporta inconveniente en la presentación del Informe de Servicios de Impresión del mes de febrero de 2025, le indica que debe presentar el pago de la multa del formulario SAT/0811, pero, el contribuyente está en tiempo para la presentación de dicho informe.</t>
  </si>
  <si>
    <t>El contribuyente NIT 18484247 reporta inconveniente en la presentación del Informe de Servicios de Impresión del mes de febrero de 2025, le indica que debe presentar el pago de la multa del formulario SAT/0811, pero, el contribuyente está en tiempo para la presentación de dicho informe.</t>
  </si>
  <si>
    <t>Solicitud apoyo presentación de informe de impresión / NIT: 20647042</t>
  </si>
  <si>
    <t>NIT  120474913 SINC  afiliación</t>
  </si>
  <si>
    <t>Solicito apoyo para sincronizar la zona en el domicilio comercial del contribuyente, debido a que, no ha sincronizado en RTU Oracle / NIT: 3378330</t>
  </si>
  <si>
    <t xml:space="preserve">NIT 4362683  </t>
  </si>
  <si>
    <t xml:space="preserve">Inconveniente con reporte de impresión NIT   44556128
</t>
  </si>
  <si>
    <t>Inconveniente en presentación de Informe servicios de impresión NIT 7972962 y NIT 13313711</t>
  </si>
  <si>
    <t>NIT 89036441, está realizando una actualización de datos con factura del NIT 111107164 Proveedores de Energía S.A</t>
  </si>
  <si>
    <t>Los contribuyente NIT 23562676 / NIT 6206255 / NIT 839394k, reportan inconveniente en la presentación del Informe de Servicios de Impresión del mes de febrero de 2025, le indica que debe presentar el pago de la multa del formulario SAT/0811, pero, el contribuyente está en tiempo para la presentación de dicho informe.</t>
  </si>
  <si>
    <t>Solicitud apoyo en verificación de gestión en la que se encuentra DPI: 2051560530406</t>
  </si>
  <si>
    <t>Solicitud apoyo en verificación de gestión en la que se encuentra DPI: 2546396151603</t>
  </si>
  <si>
    <t>Sincronizar la información del NIT 282718664 en RTU Oracle.</t>
  </si>
  <si>
    <t>Sincronizar la información del NIT 120477432 en RTU Oracle.</t>
  </si>
  <si>
    <t>El contribuyente NIT 47538341, reporta inconveniente en la presentación del Informe de Servicios de Impresión del mes de febrero de 2025, le indica que debe presentar el pago de la multa del formulario SAT/0811, pero, el contribuyente está en tiempo para la presentación de dicho informe.</t>
  </si>
  <si>
    <t>Solicito apoyo para sincronizar la información del contribuyente, debido a que, no ha replicado en RTU Oracle / NIT: 302920056</t>
  </si>
  <si>
    <t>NIT 120473283 gestión 20253ACTB921B0B3</t>
  </si>
  <si>
    <t>Solicito apoyo para sincronizar la información del contribuyente, debido a que, no ha replicado en RTU Oracle / NIT: 167368877</t>
  </si>
  <si>
    <t>Solicito apoyo para sincronizar la información del contribuyente, debido a que, no ha replicado en RTU Oracle / NIT: 373424825</t>
  </si>
  <si>
    <t>Solicito apoyo para sincronizar la información del contribuyente, debido a que, no ha replicado en RTU Oracle / NIT: 417313691</t>
  </si>
  <si>
    <t>Solicito apoyo para sincronizar la información del contribuyente, debido a que, no ha replicado en RTU Oracle / NIT: 120460661</t>
  </si>
  <si>
    <t>Solicito apoyo para sincronizar la información del contribuyente, debido a que, no ha replicado en RTU Oracle / NIT: 290780225</t>
  </si>
  <si>
    <t xml:space="preserve">NIT 26496011 está realizando un cese prescrito pero el sistema le muestra error del correo electrónico, el cual ya actualizó desde agencia virtual. </t>
  </si>
  <si>
    <t>NIT 88736563 está realizando activación de agencia virtual por medio de mandato.  Le rechazan la gestión por el tipo de mandato,, indica que el mandato es general con representación</t>
  </si>
  <si>
    <t>Solicito apoyo para sincronizar la información del contribuyente, debido a que, no ha replicado en RTU Oracle / NIT: 120484390</t>
  </si>
  <si>
    <t>Solicito apoyo para sincronizar la información del contribuyente, debido a que, no ha replicado en RTU Oracle / NIT: 120483769</t>
  </si>
  <si>
    <t>Solicito apoyo para sincronizar la Actividad Económica del contribuyente, debido a que, no ha replicado en RTU Oracle / NIT: 39872270</t>
  </si>
  <si>
    <t>Solicito apoyo para sincronizar la información del contribuyente, debido a que, no ha replicado en RTU Oracle / NIT: 400249367</t>
  </si>
  <si>
    <t>Solicito apoyo para sincronizar la afiliación al IVA Pequeño Contribuyente, debido a que, no ha replicado en RTU Oracle / NIT: 71264647</t>
  </si>
  <si>
    <t>Solicito apoyo para sincronizar la información del contribuyente, debido a que, no ha replicado en RTU Oracle / NIT: 120478528</t>
  </si>
  <si>
    <t>Sincronizar la información del NIT 312281021 en RTU Oracle.</t>
  </si>
  <si>
    <t>Sincronizar afiliaciones del NIT 65856759 en RTU Oracle.</t>
  </si>
  <si>
    <t>Sincronizar actividad econónimca del NIT 40355152 en RTU Oracle.</t>
  </si>
  <si>
    <t>Sincronizar la información del NIT 211368725 en RTU Oracle.</t>
  </si>
  <si>
    <t>Sincronizar la información del NIT 325468990  en RTU Oracle.</t>
  </si>
  <si>
    <t>Sincronizar afiliaciones del NIT 309454670 en RTU Oracle.</t>
  </si>
  <si>
    <t>Sincronizar la información del NIT 339251263  en RTU Oracle.</t>
  </si>
  <si>
    <t>Sincronizar afiliaciones del NIT 313545057 en RTU Oracle.</t>
  </si>
  <si>
    <t>Sincronizar afiliaciones del NIT 91167795 en RTU Oracle.</t>
  </si>
  <si>
    <t>Sincronizar la información del NIT 341047708  en RTU Oracle.</t>
  </si>
  <si>
    <t>Sincronizar afiliaciones del NIT 109903714  en RTU Oracle.</t>
  </si>
  <si>
    <t>Sincronizar la información del NIT 120477289  en RTU Oracle.</t>
  </si>
  <si>
    <t>Sincronizar afiliaciones del NIT 52079309  en RTU Oracle.</t>
  </si>
  <si>
    <t>Consulta respecto a suspensión afiliación al IVA según arto. 120 del CT / NIT: 88230961</t>
  </si>
  <si>
    <t>NIT 26496011 sinc  correo electrónico</t>
  </si>
  <si>
    <t>El contribuyente NIT 75734664, indica que cargo la información para generar las constancias de retención por distribución de dividendos de varios periodos del 2020 al 2023 pero las correspondientes al periodo 2021 le generan error y no puede emitirlas.</t>
  </si>
  <si>
    <t>NIT 103909435 SINC  actividad económica</t>
  </si>
  <si>
    <t>NIT 120472031 SINC en oracle </t>
  </si>
  <si>
    <t>NIT 328737976 SINC  en oracle</t>
  </si>
  <si>
    <t>NIT 205572197 SINC  en oracle</t>
  </si>
  <si>
    <t>NIT 170701271 SINC  oracle</t>
  </si>
  <si>
    <t>Sincronizar el NIT 371903408 finalizó gestión el 11/03/2025 sin embargo no aparece en el RTU Oracle</t>
  </si>
  <si>
    <t>Sincronizar el NIT 159664799 finalizó gestión el 11/03/2025 sin embargo no aparece en el RTU Oracle</t>
  </si>
  <si>
    <t>Solicito su apoyo para consultar el número de gestión en el que se encuentra registrado el DPI: 4037508300802</t>
  </si>
  <si>
    <t>Sincronizar el NIT 173241190 finalizó gestión el 11/03/2025 sin embargo no aparece en el RTU Oracle</t>
  </si>
  <si>
    <t xml:space="preserve">NIT 114346860 RTU 20253ACT9B302878 </t>
  </si>
  <si>
    <t>NIT 120482207 SINC  en oracle</t>
  </si>
  <si>
    <t>Sincronizar el NIT 283369485 finalizó gestión el 11/03/2025 sin embargo no aparece en el RTU Oracle</t>
  </si>
  <si>
    <t>NIT 338515585 SINC  en oracle </t>
  </si>
  <si>
    <t>Sincronizar el NIT 76769305 en el RTU Oracle la actividad económica es diferente a la registrada en el RTU Nube</t>
  </si>
  <si>
    <t>NIT 351998616 SINC  en oracle </t>
  </si>
  <si>
    <t>Sincronizar el NIT 259098639 finalizó gestión el 11/03/2025 sin embargo no aparece en el RTU Oracle</t>
  </si>
  <si>
    <t>número de gestión de inscripción de NIT, se realizó con pasaporte E1803969 Nacionalidad Hondureña, Nombre Santos Antonio Peña Arita</t>
  </si>
  <si>
    <t>NIT 105936499 gestión 20253ACT6B5BC8AB</t>
  </si>
  <si>
    <t>NIT  325102287 SINC  oracle </t>
  </si>
  <si>
    <t>Sincronizar el NIT 162548559 finalizó gestión el 11/03/2025 sin embargo no aparece en el RTU Oracle</t>
  </si>
  <si>
    <t xml:space="preserve">Sincronizar el NIT 321111648 finalizó gestión el 11/03/2025 sin embargo no aparece en el RTU Oracle
</t>
  </si>
  <si>
    <t>Sincronizar el NIT 363528474  finalizó gestión el 11/03/2025 sin embargo no aparece en el RTU Oracle</t>
  </si>
  <si>
    <t>Sincronizar el NIT 44436696 no aparece el CUI en el RTU Oracle</t>
  </si>
  <si>
    <t>Sincronizar el NIT 120471167  finalizó gestión el 12/03/2025 sin embargo no aparece en el RTU Oracle</t>
  </si>
  <si>
    <t>NIT  361067550 SINC  oracle</t>
  </si>
  <si>
    <t>NIT  56016492 SINC  afiliaciones </t>
  </si>
  <si>
    <t>NIT 106124498 SAT 2046</t>
  </si>
  <si>
    <t>NIT  302578927 SINC  oracle </t>
  </si>
  <si>
    <t>NIT  371092094 SINC  oracle </t>
  </si>
  <si>
    <t>NIT  252889762 SINC  oracle </t>
  </si>
  <si>
    <t>NIT  312907397 SINC  oracle </t>
  </si>
  <si>
    <t>Sincronizar el NIT 120466996 finalizó gestión el 11/03/2025 sin embargo no aparece en el RTU Oracle</t>
  </si>
  <si>
    <t>NIT  312281021 SINC  oracle </t>
  </si>
  <si>
    <t>Sincronizar el NIT 302804188  finalizó gestión el 12/03/2025 sin embargo no aparece en el RTU Oracle</t>
  </si>
  <si>
    <t>NIT 120483440  SINC oracle </t>
  </si>
  <si>
    <t>NIT  302062556 SINC  oracle </t>
  </si>
  <si>
    <t>Solicitud apoyo en verificación de gestión en la que se encuentra DPI: 3584760110101</t>
  </si>
  <si>
    <t>NIT 77069609   GESTIÓN 20253AV3776BDDE</t>
  </si>
  <si>
    <t>Renuente de Incorporarse a FEL NIT 35988991</t>
  </si>
  <si>
    <t>NIT 120476924</t>
  </si>
  <si>
    <t>NIT 109603443 indica que la gestión de actualización de datos 20253ACT93C2A8F9 se encuentra en proceso de asignación desde el 04/03/2025.</t>
  </si>
  <si>
    <t>Sincronizar el NIT 120479621 finalizó gestión el 11/03/2025 sin embargo no aparece en el RTU Oracle</t>
  </si>
  <si>
    <t>El NIT 109639898  no le permite emitir facturas y no tiene incumplimiento.   Los omisos que tenía los pago el martes.  El contribuyente  ya borro historial de navegación y cookies además ya reinstalo  la app Fel  y no le deja seleccionar el tipo de DTE</t>
  </si>
  <si>
    <t>Solicito apoyo para sincronizar la información del contribuyente, debido a que, no ha replicado en RTU Oracle / NIT: 120478609</t>
  </si>
  <si>
    <t>Solicito apoyo para sincronizar la Actividad Económica del contribuyente, debido a que, no ha replicado en RTU Oracle / NIT: 383488060</t>
  </si>
  <si>
    <t>NIT 92489648 no tiene suspensión del IVA ni incumplimientos y no puede seleccionar el DTE</t>
  </si>
  <si>
    <t>NIT 34803742  no tiene suspensión y no le permite seleccionar el tipo de DTE</t>
  </si>
  <si>
    <t>NIT 7686404  no tiene suspensión de IVA ni incumplimientos y no puede seleccionar el DTE</t>
  </si>
  <si>
    <t>NIT 5497221 gestión 20253ACT6ED065B0</t>
  </si>
  <si>
    <t>20253ACTD83134C0 nit 67416284</t>
  </si>
  <si>
    <t xml:space="preserve">NIT 68830114 </t>
  </si>
  <si>
    <t>NIT 82147221</t>
  </si>
  <si>
    <t xml:space="preserve">NIT 45845468 gestión 20252CESE905709FE </t>
  </si>
  <si>
    <t>NIT 706120K SINC  actividad económica </t>
  </si>
  <si>
    <t xml:space="preserve">NIT 70827494 gestión 20253ACT66082171 </t>
  </si>
  <si>
    <t>NIT 75030853 no está suspendido y no puede seleccionar el DTE</t>
  </si>
  <si>
    <t>Sincronizar la información del NIT 120461579  en RTU Oracle.</t>
  </si>
  <si>
    <t>Sincronizar la información del NIT 120461757  en RTU Oracle.</t>
  </si>
  <si>
    <t>Análisis ampliación de dominio en direcciones de Correo Electrónico SAT/1352</t>
  </si>
  <si>
    <t>Inconveniente presentación formulario SAT/20416 / NIT: 108545776</t>
  </si>
  <si>
    <t>CUI 2806108230101</t>
  </si>
  <si>
    <t>NIT 107741962 bebidas alcohólicas 3110</t>
  </si>
  <si>
    <t>NIT 99772841 no puede liberar el formulario para que reconozca todas la retenciones</t>
  </si>
  <si>
    <t>NIT  32180381 SINC afiliación </t>
  </si>
  <si>
    <t>CUI 3864657030101</t>
  </si>
  <si>
    <t>Solicitud análisis Solvencia Fiscal / NIT: 110680480</t>
  </si>
  <si>
    <t>NIT 52057062 SINC  afiliación</t>
  </si>
  <si>
    <t>Solicitud de número de gestión inscripción de NIT generada con el CUI 2971635070101</t>
  </si>
  <si>
    <t>Sincronizar NIT 60339268 afiliaciones no aparecen en el RTU Oracle</t>
  </si>
  <si>
    <t>Solicito su apoyo para consultar el número de gestión en el que se encuentra registrado el DPI: 2217616241613</t>
  </si>
  <si>
    <t xml:space="preserve">NIT 94955336 exp. 29449192 </t>
  </si>
  <si>
    <t>Sincronizar CUI del NIT 75055198 en RTU Oracle.</t>
  </si>
  <si>
    <t>Solicitud apoyo en verificación de gestión en la que se encuentra DPI: 2813112180107</t>
  </si>
  <si>
    <t>Solicitud apoyo en verificación de gestión en la que se encuentra DPI: 2666881441322</t>
  </si>
  <si>
    <t>Solicitud apoyo en verificación de gestión en la que se encuentra DPI: 4012558401212</t>
  </si>
  <si>
    <t>El contribuyente NIT 110680480, manifiesta que realizó su pago de solvencia fiscal el 12/03/2025, la cual fue denegada según constancia de incumplimientos adjunta, pero el manifiesta que fue por error de SAT que no están sincronizada la información.</t>
  </si>
  <si>
    <t>El contribuyente NIT 53360125 indica rechazo de su solicitud de actualización No.  20253ACTD9B0595C dentro de los comentarios de rechazo se encuentra "Estimado contribuyente atender únicamente lo solicitado en comentario adicional: llenar casillas en rojo", el contribuyente manifiesta que la solicitud de cambio de régimen esta siendo para pasar a Pequeño Contribuyente por lo que los requerimientos que tiene como "Renta Imponible" no aplica ya que estamos seleccionando afiliarnos a pequeño contribuyente.</t>
  </si>
  <si>
    <t>Sincronizar actividad económica del NIT 87634635 en RTU Oracle.</t>
  </si>
  <si>
    <t xml:space="preserve">NIT 76816729  y 33551006 están reportando inconvenientes para presentar el informe de Asiste Hospitales, el sistema se queda pensando y no les permite concluir el proceso. 
</t>
  </si>
  <si>
    <t xml:space="preserve">NIT 11986131 indica que no puede presentar el reporte de asiste hospitales. </t>
  </si>
  <si>
    <t>Solicito apoyo para sincronizar el DPI del contribuyente, debido a que, no ha replicado en RTU Oracle / NIT: 1671153K</t>
  </si>
  <si>
    <t>El contribuyente NIT 92670083 manifiesta que esta realizando Cese Temporal; sin embargo, el sistema le muestra el siguiente error: Ocurrió algo inesperado, intentelo más tarde.</t>
  </si>
  <si>
    <t>La gestión 20252ACT794BCA4D del NIT 114455252, se encuentra en estado "En Proceso de Asignación" desde el 9 de marzo</t>
  </si>
  <si>
    <t>NIT 115971696 gestión 20251ACTC9986EB7</t>
  </si>
  <si>
    <t>El contribuyente NIT 104964170 indica rechazo de su solicitud de Actualización de NIT No.  20252ACT73F1B24B dentro de los comentarios de rechazo se encuentra "POR FAVOR ADJUNTAR DOCUMENTO DE INSCRIPCION DE REPRESENTANTE LEGAL ANTE EL REGISTRO MERCANTIL", el contribuyente manifiesta que esta adjuntando lo que le solicitan, pero aún así le envían mensaje de corrección de solicitud.</t>
  </si>
  <si>
    <t>CUI 3032183980108</t>
  </si>
  <si>
    <t>Solicito su apoyo para consultar el número de gestión en el que se encuentra registrado el DPI: 3423615622201</t>
  </si>
  <si>
    <t>DTE  NIT 19961030</t>
  </si>
  <si>
    <t>NIT 22185526 y 36872237, indican que realizaron cambio de correo electrónico pero al recuperar contraseña las gestiones aparecen finalizadas pero al ingresar le muestra mensaje de Credenciales Inválidas</t>
  </si>
  <si>
    <t>Solicito su apoyo para consultar el número de gestión en el que se encuentra registrado el DPI: 3238221691601</t>
  </si>
  <si>
    <t>Solicitud apoyo en verificación de gestión en la que se encuentra DPI: 1621940800201</t>
  </si>
  <si>
    <t>Solicitud apoyo en verificación de gestión en la que se encuentra DPI: 3420454152201</t>
  </si>
  <si>
    <t>Solicitud apoyo en verificación de gestión en la que se encuentra DPI: 3607622630101</t>
  </si>
  <si>
    <t>Solicitud apoyo en verificación de gestión en la que se encuentra DPI: 3152621251301</t>
  </si>
  <si>
    <t>Solicitud apoyo en verificación de gestión en la que se encuentra DPI: 2781362731213</t>
  </si>
  <si>
    <t>Solicitud apoyo en verificación de gestión en la que se encuentra DPI: 3549734950101</t>
  </si>
  <si>
    <t>Solicitud apoyo en verificación de gestión en la que se encuentra DPI: 1928085751406</t>
  </si>
  <si>
    <t>Inactivación de característica especial de asalariado NIT 72842180</t>
  </si>
  <si>
    <t>MEM/SAT/IAC/DGS/UST/029/2025</t>
  </si>
  <si>
    <t>NIT 14941600, realizó el pago del impuesto de circulación correspondiente al 2025 del vehículo matricula CCP94592024, por un monto de Q.300.00, sin embargo el monto correcto es de Q.1,200.00 pagado el 20 de febrero 2025 contempló de forma incorrecta las características del vehículo por lo que procede a rectificar el formulario, sin embargo el nuevo formulario le genera una multa por omisión de Q.225.00, por lo que solicita se valide el motivo por el cual el nuevo formulario a rectificar le genera una multa ya que el impuesto vence hasta el 31/07/2025</t>
  </si>
  <si>
    <t>El contribuyente NIT 62003240 reporta que no puede generar el formulario 2241 del mes de diciembre 2024 le genera el error: Para utilizar este formulario debe estar afiliado al Régimen Electrónico de Pequeño Contribuyente, pero el se encontraba afiliado a dicho régimen debido a que el verificador integrado le indica omiso del formulario 2241.</t>
  </si>
  <si>
    <t>NIT 1531492 error asiste hospitales</t>
  </si>
  <si>
    <t>NIT 4323742</t>
  </si>
  <si>
    <t>Solicitud apoyo gestión Actualización de datos del RTU / NIT: 6635407</t>
  </si>
  <si>
    <t>El contribuyente NIT 322324 Misión Técnica Alema / Giz, indica que le genera Error al cargar el archivo de informe de residentes guatemaltecos que laboran para el organismo.</t>
  </si>
  <si>
    <t xml:space="preserve">NIT 81503741 confirmación de huella </t>
  </si>
  <si>
    <t>NIT 31556779 (Francisco)</t>
  </si>
  <si>
    <t>Sincronizar NIT 27342859 las afiliaciones no se reflejan en el RTU Oracle</t>
  </si>
  <si>
    <t>NIT  98511238 SINC  afiliación </t>
  </si>
  <si>
    <t>Sincronización NIT 108809420 no puede seleccionar DTE</t>
  </si>
  <si>
    <t>Marysol</t>
  </si>
  <si>
    <t>Inconveniente para habilitarse como emisor de  FEL / NIT: 119005808</t>
  </si>
  <si>
    <t>NIT 105208744 no tiene omisos y no puede seleccionar el DTE</t>
  </si>
  <si>
    <t>Sincronizar NIT 6212840 el CUI no aparece en el RTU Oracle</t>
  </si>
  <si>
    <t>Sincronizar afiliaciones del NIT 7149980  en RTU Oracle.</t>
  </si>
  <si>
    <t>Rudy Alfonso del Cid Hernandez</t>
  </si>
  <si>
    <t xml:space="preserve">Inconveniente con la Habilitación para emisión de facturas NIT 106230735 </t>
  </si>
  <si>
    <t>Catarina Mercedes De León Rivera</t>
  </si>
  <si>
    <t>Inconveniente con la Habilitación para emisión de facturas NIT 60054247</t>
  </si>
  <si>
    <t>Inconveniente con la Habilitación para emisión de facturas NIT 117349887</t>
  </si>
  <si>
    <t>Sincronizar afiliaciones del NIT 305089447 en RTU Oracle.</t>
  </si>
  <si>
    <t>Sincronizar afiliaciones del NIT 9849866 en RTU Oracle.</t>
  </si>
  <si>
    <t>El contribuyente NIT 5508126 reporta problemas con la asignación de los correlativos de los folios al generar los libros de enero 2025 y febrero 2025, asigno folio 24 para ambos meses</t>
  </si>
  <si>
    <t>El contribuyente NIT 107072971 solicita el apoyo debido a que realizó la presentación SAT/7121 No.  45946320507 el 01/03/2025 para la habilitación de Libro de Compras y Libro de Ventas, pero el formulario le muestra el siguiente error: Existe una inconsistencia en la generación de la resolución.</t>
  </si>
  <si>
    <t>El contribuyente NIT 38438968 reporta que ha generado varias gestiones de actualización para actualizar la DIRECCION COMERCIAL del ESTABLECIMIENTO No.01, para lo cual fue tomado un pantallazo del campo de vista previa dirección registrada antes de enviar la solicitud al sistema; sin embargo,  el sistema al finalizar la gestión no me actualiza la información tal y como esta en su factura de servicios y/o patente de comercio</t>
  </si>
  <si>
    <t>MEM/SAT/IAC/DGS/UST/036/2025</t>
  </si>
  <si>
    <t>CUI 3938481750101</t>
  </si>
  <si>
    <t xml:space="preserve">20253CESE0ED820D6 del NIT 5074290 indica que se encontraba en el régimen general en los períodos por los cuales le solicitan presentar las declaraciones. 
</t>
  </si>
  <si>
    <t xml:space="preserve">NIT 105609722 realizó el pago de omisos el 15/03/2025 y en el verificador integrado le muestra el incumplimiento de afiliación del impuesto al valor agregado inactiva por suspensión. </t>
  </si>
  <si>
    <t>Sincronizar Verificador Integrado /  NIT: 110180658</t>
  </si>
  <si>
    <t xml:space="preserve">NIT 80210511 no tiene omisos pendientes y cuenta con la afiliación del IVA activa, sin embargo el verificador integrado le muestra el incumplimiento de afiliación al IVA inactiva por suspensión. </t>
  </si>
  <si>
    <t>NIT 105208744  ya pagó sus omisiones y no le permite seleccionar el tipo de DTE </t>
  </si>
  <si>
    <t>El contribuyente NIT 117459003 realizó el pago de omisos el 14/03/2025, por lo que la suspensión de la afiliación ya no le aparece en el RTU Digital, pero el Verificador sigue mostrando la suspensión al Impuesto al Valor Agregado.</t>
  </si>
  <si>
    <t>Solicitud apoyo en verificación de gestión en la que se encuentra DPI: 3014943390101</t>
  </si>
  <si>
    <t>Solicitud apoyo en verificación de gestión en la que se encuentra DPI: 3553565431413</t>
  </si>
  <si>
    <t>El contribuyente NIT 29559499 realizó el pago de omisos el 15/03/2025, por lo que la suspensión de la afiliación ya no le aparece en el RTU Digital, pero el Verificador sigue mostrando la suspensión al Impuesto al Valor Agregado.</t>
  </si>
  <si>
    <t>Sincronizar afiliaciones del NIT 325353026  en RTU Oracle.</t>
  </si>
  <si>
    <t>Solicitud apoyo en verificación de gestión en la que se encuentra DPI: 3023980230101</t>
  </si>
  <si>
    <t>Sincronizar NIT 120485257 las afiliaciones no aparecen el RTU oracle</t>
  </si>
  <si>
    <t>El NIT 95284176 está mostrando inconvenientes para habilitarse como emisor FEL.</t>
  </si>
  <si>
    <t>NIT  43638015 SINC  CUI</t>
  </si>
  <si>
    <t>Solicito apoyo para sincronizar la afiliación del IVA del contribuyente, debido a que, no ha replicado en RTU Oracle / NIT: 91766168</t>
  </si>
  <si>
    <t>NIT 72225386 no le permite seleccionar el tipo de DTE realizó el pago el 17/03/2025 </t>
  </si>
  <si>
    <t>NIT  15957624 SINC  afiliación</t>
  </si>
  <si>
    <t>Solicitud apoyo en verificación de gestión en la que se encuentra DPI: 3177524800713</t>
  </si>
  <si>
    <t>El contribuyente NIT 98496778 realizó el pago de omisos el 15/03/2025, por lo que la suspensión de la afiliación ya no le aparece en el RTU Digital, pero el Verificador sigue mostrando la suspensión al Impuesto al Valor Agregado.</t>
  </si>
  <si>
    <t>NIT 35091762 inconvenientes no puede seleccionar DTE</t>
  </si>
  <si>
    <t>Sincronizar NIT 120471043 las afiliaciones no aparecen en el RTU Oracle</t>
  </si>
  <si>
    <t>Sincronizar NIT 120403986 las afiliaciones no aparecen en el RTU Oracle</t>
  </si>
  <si>
    <t>El contribuyente NIT 72769203 indica que está realizando la gestión de Cese No. 20252CESEDC048B43, la cual esta en estado para revisión desde el 09/03/2025.</t>
  </si>
  <si>
    <t xml:space="preserve"> NIT 36918989 Error LET folios Dic 2024 folio 30 Enero 2025 folio 22</t>
  </si>
  <si>
    <t>Inactivación característica asalariado NIT 1248444K</t>
  </si>
  <si>
    <t>MEM/SAT/IAC/DGS/UST/032/2025</t>
  </si>
  <si>
    <t>Inactivación característica asalariado NIT 107251957</t>
  </si>
  <si>
    <t>NIT 6913768 está realizando actualización de datos con la gestión 20253ACT3E8B00C9, indica que le requieren los timbres en el primer testimonio y que si los posee.</t>
  </si>
  <si>
    <t>Solicitud apoyo en verificación de gestión en la que se encuentra DPI: 2615306231613</t>
  </si>
  <si>
    <t>Solicitud apoyo en verificación de gestión en la que se encuentra DPI: 3173853210907</t>
  </si>
  <si>
    <t>Solicitud apoyo en verificación de gestión en la que se encuentra DPI: 3117605970411</t>
  </si>
  <si>
    <t>Solicitud apoyo en verificación de gestión en la que se encuentra el Pasaporte E0281525 emitido en Honduras</t>
  </si>
  <si>
    <t>Solicitud apoyo en verificación de gestión en la que se encuentra DPI: 1741781231901</t>
  </si>
  <si>
    <t>Solicitud apoyo en verificación de gestión en la que se encuentra DPI: 2051510510101</t>
  </si>
  <si>
    <t>Solicitud apoyo en verificación de gestión en la que se encuentra DPI: 3014242250101</t>
  </si>
  <si>
    <t>20253CESE8A5C5848  NIT 18397344</t>
  </si>
  <si>
    <t>Solicitud apoyo gestión de actualización de datos NIT con riesgo / NIT: 14229285</t>
  </si>
  <si>
    <t>El contribuyente NIT 118221507 reporta que generó el formulario SAT/2241 No. 45212883501 acceso 859954061 por el período mensual de abril de 2024 pero al momento de presentarlo el formulario cambio el período a noviembre de 2024 lo que le genera omiso en abril</t>
  </si>
  <si>
    <t>NIT 46956263</t>
  </si>
  <si>
    <t>NIT 24281646</t>
  </si>
  <si>
    <t>NIT 53862686</t>
  </si>
  <si>
    <t>NIT 42830095</t>
  </si>
  <si>
    <t>NIT 10437061 cese de actividades y aparece renuente a incorporarse a FEL</t>
  </si>
  <si>
    <t>Solicitud apoyo en verificación de gestión en la que se encuentra DPI: 1868277330805</t>
  </si>
  <si>
    <t>Solicitud apoyo en verificación de gestión en la que se encuentra DPI: 3413728621416</t>
  </si>
  <si>
    <t>Solicitud apoyo en verificación de gestión en la que se encuentra DPI: 4046657642205</t>
  </si>
  <si>
    <t>Solicitud apoyo en verificación de gestión en la que se encuentra DPI: 1733554391606</t>
  </si>
  <si>
    <t>NIT 50424653 gestión 20253ACTAC52549A</t>
  </si>
  <si>
    <t xml:space="preserve">Gestión 20253ACTE78E8935 NIT 120483726, el contribuyente solicita que se le amplie cual es el requerimiento para poder concluir la gestión.  </t>
  </si>
  <si>
    <t>NIT 83408495  gestión 20253CESE75D8D334</t>
  </si>
  <si>
    <t xml:space="preserve">NIT 45259151 gestión 20252CESE6FD79FA4 </t>
  </si>
  <si>
    <t>Inconveniente al presentar formulario 2241 / NIT: 10450577K</t>
  </si>
  <si>
    <t>NIT 87623358 se comunicó al Contact Center por el rechazo que le generaron en la actualización de datos, solicita apoyo de como ingresar la dirección, indica que la está ingresando como aparece en la factura de energía eléctrica</t>
  </si>
  <si>
    <t>NIT 1883291 gestión 20253ACTD1A3A143</t>
  </si>
  <si>
    <t xml:space="preserve">Inconveniente con la emisión de facturas NIT 2612127 </t>
  </si>
  <si>
    <t>NIT 87104563 SINC ya realizó el pago y aún no le permite seleccionar el tipo de DTE </t>
  </si>
  <si>
    <t>Consulta gestión de Activación de Agencia Virtual / NIT: 7424523</t>
  </si>
  <si>
    <t>NIT 120382911</t>
  </si>
  <si>
    <t>Solicitud apoyo en sincronizar el Verificador Integrado / NIT: 1635</t>
  </si>
  <si>
    <t>Consulta gestión de cancelación definitiva Persona Individual / NIT: 300959869</t>
  </si>
  <si>
    <t>El contribuyente NIT 96561556, manifiesta que realizó su pago una nueva de solvencia fiscal el 18/03/2025, la cual fue denegada según constancia de incumplimientos adjunta, pero el manifiesta que tiene empleados que ganen más del mínimo para realizarles retención.</t>
  </si>
  <si>
    <t>El contribuyente NIT 5551838 reporta que no puede generar el formulario 2046 del mes de febrero 2025 le genera el error: Usted se encuentra afiliado al Régimen Electrónico de Pequeño Contribuyente, le corresponde llenar el formulario SAT/2241, el contribuyente se encuentra afiliado al régimen de Pequeño Contribuyente a partir del 01/02/2025</t>
  </si>
  <si>
    <t>El contribuyente NIT 9585532 reporta inconveniente para emitir facturas tanto desde la página de la Agencia Virtual, así como desde la aplicación</t>
  </si>
  <si>
    <t>Número de gestión de inscripción de NIT iniciada con el CUI 3378870712205</t>
  </si>
  <si>
    <t xml:space="preserve"> NIT 64514668</t>
  </si>
  <si>
    <t>NIT 81421206  se registró como exportador y no le aparece la característica especial de exportador</t>
  </si>
  <si>
    <t>NIT 13309498 realizó la inscripción como exportador, pero en el RTU Nube le aparece el registro de la característica especial como exportador.  </t>
  </si>
  <si>
    <t>Solicitud apoyo en verificación de gestión en la que se encuentra DPI: 1770098610614</t>
  </si>
  <si>
    <t>Solicitud apoyo en verificación de gestión en la que se encuentra DPI: 2150037560920</t>
  </si>
  <si>
    <t xml:space="preserve">Solicitud apoyo en verificación de gestión en la que se encuentra DPI: 3242954211327 </t>
  </si>
  <si>
    <t xml:space="preserve">Solicitud apoyo en verificación de gestión en la que se encuentra DPI: 1957104281004 </t>
  </si>
  <si>
    <t xml:space="preserve">Solicitud apoyo en verificación de gestión en la que se encuentra DPI: 3378870712005   </t>
  </si>
  <si>
    <t xml:space="preserve">Solicitud apoyo en verificación de gestión en la que se encuentra DPI: 3787782691802  </t>
  </si>
  <si>
    <t>Reporte semestral de inventarios / NIT: 118539450</t>
  </si>
  <si>
    <t>El contribuyente NIT 81278640 reporta problemas con la asignación de los correlativos de los folios al generar los libros.</t>
  </si>
  <si>
    <t>NIT 111187346 no le aparece la marca de agencia virtual en el RTU Nube sin embargo en el RTU Oracle si aparece la marca.</t>
  </si>
  <si>
    <t>De acuerdo a correo de normativo de fecha 18/03/2025 generaron ticket</t>
  </si>
  <si>
    <t>NIT 120469669 , está concluyendo la inscripción una sociedad anónima con la gestión 20252ACTF607EE69, le indican en el rechazo que debe realizar el pago de multa por presentación extemporánea, sin embargo como el NIT Jurídica está inactivo no puede generar el recibo SAT 0811 porque el NIT es inválido.</t>
  </si>
  <si>
    <t>Solicitud apoyo gestión inscripción definitiva de S.A. / NIT: 120484463</t>
  </si>
  <si>
    <t>El contribuyente NIT 7340907 reporta que no puede generar el formulario 2046 del mes de febrero 2024 le genera el error: Usted se encuentra afiliado al Régimen Electrónico de Pequeño Contribuyente, le corresponde llenar el formulario SAT/2241, no tenia establecimiento activos y activo uno nuevo el 25/02/2025 y se afilio al régimen a Pequeño Contribuyente (se adjuntan archivos), la factura emitida corresponde a pequeño contribuyente</t>
  </si>
  <si>
    <t>CUI 3386906382009</t>
  </si>
  <si>
    <t>Número de gestión de inscripción de NIT iniciada con el CUI 2218429391609</t>
  </si>
  <si>
    <t xml:space="preserve">Solicitud apoyo en verificación de gestión en la que se encuentra DPI: 2993279730101   </t>
  </si>
  <si>
    <t xml:space="preserve">Solicitud apoyo en verificación de gestión en la que se encuentra DPI: 1945976790513   </t>
  </si>
  <si>
    <t xml:space="preserve">Solicitud apoyo en verificación de gestión en la que se encuentra DPI: 3100862991212   </t>
  </si>
  <si>
    <t xml:space="preserve">Solicitud apoyo en verificación de gestión en la que se encuentra DPI: 1968947511310   </t>
  </si>
  <si>
    <t>2545701913  clase 37 complementaria permiso temporal de exportador</t>
  </si>
  <si>
    <t>Se está a la espera del comunicado de GIN y se está dando el seguimiento e importancia correspondiente.</t>
  </si>
  <si>
    <t xml:space="preserve">NIT 2004429 gestión 20253ACT5E98BABF </t>
  </si>
  <si>
    <t>NIT 120353431 no puede inscribirse como exportador.  </t>
  </si>
  <si>
    <t>Inconveniente presentación de formulario SAT/2046 / NIT: 71511709</t>
  </si>
  <si>
    <t>Julio Cesar Polanco</t>
  </si>
  <si>
    <t>Inconveniente en Inscripción de exportador / NIT: 120245779</t>
  </si>
  <si>
    <t>Solicitud apoyo en sincronizar el Verificador Integrado / NIT: 17498015</t>
  </si>
  <si>
    <t>NIT  99010755 SINC  afiliación </t>
  </si>
  <si>
    <t>Inconveniente reinicio de contraseña de Agencia Virtual / NIT: 100290671</t>
  </si>
  <si>
    <t>NIT 37500260 inconveniente con agencia virtual</t>
  </si>
  <si>
    <t xml:space="preserve">gestión de inscripción de nueva sociedad anónima NIT 120395770 gestión 20253ACT30A72140,  le indican que debe iniciar la gestión en el Registro Mercantil y así la inició y está ingresando desde el buzón SAT del representante legal. </t>
  </si>
  <si>
    <t xml:space="preserve">NIT 2906120 gestión 20253ACT81E216FA </t>
  </si>
  <si>
    <t>El contribuyente NIT 112309631 reporta que no puede generar el formulario 2241 del mes de febrero 2025 le genera el error: Para utilizar este formulario debe estar afiliado al Régimen Electrónico de Pequeño Contribuyente, el contribuyente realizó cambio de régimen a pequeño contribuyente el cual aplica a partir de marzo 2025.</t>
  </si>
  <si>
    <t>Veronica Beatriz Rodas Davila</t>
  </si>
  <si>
    <t>El notario NIT 49671596 indica que le aparece error al cargar las condiciones de traspaso, se verifico el documento con los enlaces correspondientes y el sistema refleja que el documento está firmado correctamente, a su vez el documento pesa 101 kb. Le indica "documento invalido" Derivado de lo anterior se solicita el apoyo porque indica que lleva varios días con este inconveniente.</t>
  </si>
  <si>
    <t>El contribuyente NIT 70490309 reporta inconveniente con la emisión de una nueva constancia de adquisición de insumos, debido a que la anterior fue anulada y el sistema no les permite la emisión de la nueva constancia</t>
  </si>
  <si>
    <t>Solicito su apoyo para consultar el número de gestión en el que se encuentra registrado el CUI: 3020118970101</t>
  </si>
  <si>
    <t xml:space="preserve">Solicitud apoyo en verificación de gestión en la que se encuentra DPI: 2361891070207   </t>
  </si>
  <si>
    <t xml:space="preserve">Solicitud apoyo en verificación de gestión en la que se encuentra DPI: 3271097181403   </t>
  </si>
  <si>
    <t>El NIT 2002612,  URL  reporta que anularon una CIVA pero al momento de generar una de nuevo les indica que existe una CIVA  para ese documento original</t>
  </si>
  <si>
    <t>Solicitud apoyo en sincronizar el Verificador Integrado / NIT: 31549454</t>
  </si>
  <si>
    <t>NIT 94561877 Agencia Virtual cuando quiere cambiar la contraseña le indica que no cuenta con AV</t>
  </si>
  <si>
    <t>Inconveniente reinicio de contraseña de Agencia Virtual / NIT: 59856874</t>
  </si>
  <si>
    <t>CUI 3890078540116</t>
  </si>
  <si>
    <t>NIT  86440837 activó la agencia virtual y no le permite recuperar la contraseña</t>
  </si>
  <si>
    <t>Solicitud apoyo gestión Cambio de Correo Electrónico requerimiento de información de gestión / NIT: 280804997</t>
  </si>
  <si>
    <t>NIT 104744170 no tiene marca de Agencia Virtual en el RTU Oracle</t>
  </si>
  <si>
    <t>NIT 5872251 gestión 20253ACTD8C968F1</t>
  </si>
  <si>
    <t>El contribuyente indica rechazo de su solicitud de NIT No.  20253INS32948FA0 dentro de los comentarios de rechazo se encuentra "Adicione a su DPI certificación de asiento de cedula debido que existe otros registros con sus mismos datos", el contribuyente manifiesta que esta adjuntando el documento solicitado.</t>
  </si>
  <si>
    <t>El contribuyente NIT 2342855 reporta que su proveedor NIT 25517295 esta teniendo problemas para la anulación de una factura, indica que ya cuenta con una constancia de retención y la misma ya está anulada</t>
  </si>
  <si>
    <t>Los contribuyentes NIT 86440837 y 89132483 reportan que concluyeron la activación de usuario y le muestra mensaje que no cuentan con Agencia Virtual Activa. </t>
  </si>
  <si>
    <t>el contribuyente NIT 1636472 indica rechazo de su Solicitud de Actualización No.  20253ACT55BC9DA5 dentro de los comentarios de rechazo se encuentra "estimado contribuyente según fecha de cambio de contador usted ya excedió los 30 días hábiles para dar aviso del cambio por este motivo deberá cancelar multa por aviso extemporáneo de cambio de contador con el formulario no. 46 204 960 495 y acceso no. 5333512. luego de cancelado renvié su solicitud para ya poder finalizarle", el contribuyente manifiesta que cancelo la multa con el formulario SAT 0811 46202977150 acceso 327446668.</t>
  </si>
  <si>
    <t>Constancia de envío inventarios NIT 28530624</t>
  </si>
  <si>
    <t>Constancia de envío inventarios NIT 55534619</t>
  </si>
  <si>
    <t>Inconveniente reporte del libro de compras y ventas para Pequeño Contribuyente (LET) / NIT: 68094922</t>
  </si>
  <si>
    <t>Ticket generado por Normativo el 26/03/2025</t>
  </si>
  <si>
    <t>Solicitud apoyo gestión Actualización de Datos / NIT 27682234</t>
  </si>
  <si>
    <t>Número de gestión de inscripción de NIT iniciada con el CUI 2725549791002</t>
  </si>
  <si>
    <t>NIT 119171325 SINC  domicilio comercial </t>
  </si>
  <si>
    <t>NIT 41738136</t>
  </si>
  <si>
    <t>Solicitud apoyo en sincronizar el Verificador Integrado / NIT: 5404142</t>
  </si>
  <si>
    <t xml:space="preserve">Solicitud apoyo en verificación de gestión en la que se encuentra DPI: 2847318972103   </t>
  </si>
  <si>
    <t xml:space="preserve">Solicitud apoyo en verificación de gestión en la que se encuentra DPI: 4026640860101    </t>
  </si>
  <si>
    <t xml:space="preserve">Solicitud apoyo en verificación de gestión en la que se encuentra DPI: 1594317270906    </t>
  </si>
  <si>
    <t>Solicitud apoyo en verificación de gestión en la que se encuentra DPI: 2158809860101</t>
  </si>
  <si>
    <t>Solicito su apoyo para consultar el número de gestión en el que se encuentra registrado el CUI: 3139735630706</t>
  </si>
  <si>
    <t>Solicito su apoyo para consultar el número de gestión en el que se encuentra registrado el CUI: 3793687651412</t>
  </si>
  <si>
    <t>Solicitud apoyo en sincronizar el Verificador Integrado / NIT: 558583K</t>
  </si>
  <si>
    <t xml:space="preserve">Solicitud apoyo en verificación de gestión en la que se encuentra DPI: 3506652730101   </t>
  </si>
  <si>
    <t xml:space="preserve">Solicitud apoyo en verificación de gestión en la que se encuentra DPI: 3272138171404   </t>
  </si>
  <si>
    <t>Angel Sebastían Diaz Lemus</t>
  </si>
  <si>
    <t>PErmiso de Exportador de Embajada de Cuba NIT 15890864</t>
  </si>
  <si>
    <t>gestión 20253INS29AAC8AF</t>
  </si>
  <si>
    <t>Informe semestral de inventarios / NIT: 81643586</t>
  </si>
  <si>
    <t>Julio Polanco</t>
  </si>
  <si>
    <t>El contribuyente NIT 95675035 reporta el siguiente error "CUI no cumple con el estándar" al intentar generar una activación de AV, se borro el historial de navegación y se cambio de navegación y no le permite  </t>
  </si>
  <si>
    <t>Lessly Mariela Ramos Coroxon</t>
  </si>
  <si>
    <t>Sincronizar NIT 19526466 el teléfono del domicilio fiscal en el RTU Oracle es diferente al registrado en el RTU Nube</t>
  </si>
  <si>
    <t>El día 10/03/2025 indica GIN que se debe realizar ticket. El 11 indican que se debe realizar memorádum.  El 13 se envío MEM/SAT/IAC/DGS/UST/034/2025</t>
  </si>
  <si>
    <t>Sincronizar domicilio comercial establecimiento No. 2 NIT 65514483</t>
  </si>
  <si>
    <t>El 13/03/2025 indican que trabaje por memorándum  MEM/SAT/IAC/DGS/UST/034/2025</t>
  </si>
  <si>
    <t>NIT 11914904 indica que en la Agencia Virtual le aparece el apellido de casada y en el RTU aparece como soltera.</t>
  </si>
  <si>
    <t>Ticket Generado el 11/03/2025 por Normativo IAC</t>
  </si>
  <si>
    <t>El contribuyente NIT 116793562 reporta que no puede generar el formulario 2241 del mes de febrero 2024 le genera el error: Para utilizar este formulario debe estar afiliado al Régimen Electrónico de Pequeño Contribuyente, realizó cambio de régimen a Pequeño Contribuyente, pero este aplica a partir del 01/04/2025.</t>
  </si>
  <si>
    <t>Inconveniente llenado formulario SAT/1411 / NIT CPA: 9931244</t>
  </si>
  <si>
    <t>Solicitud apoyo en sincronizar el Verificador Integrado / NIT: 23138092</t>
  </si>
  <si>
    <t>Consulta pago del ISCV / Placa placa 500KVB NIT 7029020</t>
  </si>
  <si>
    <t>Le esta dando seguimiento el licenciado Juio Cesar Ramirez, de la Oficina Tributaria Izabal</t>
  </si>
  <si>
    <t>Número de gestión de inscripción de primer NIT con CUI 1711593141508</t>
  </si>
  <si>
    <t xml:space="preserve">Solicitud apoyo en verificación de gestión en la que se encuentra DPI: 3098786910613   </t>
  </si>
  <si>
    <t xml:space="preserve">Solicitud apoyo en verificación de gestión en la que se encuentra DPI: 3415314722103   </t>
  </si>
  <si>
    <t xml:space="preserve">Solicitud apoyo en verificación de gestión en la que se encuentra DPI: 1771571941109   </t>
  </si>
  <si>
    <t xml:space="preserve">Solicitud apoyo en verificación de gestión en la que se encuentra DPI: 3356905131901    </t>
  </si>
  <si>
    <t xml:space="preserve">Solicitud apoyo en verificación de gestión en la que se encuentra DPI: 1958606241405    </t>
  </si>
  <si>
    <t xml:space="preserve">Solicitud apoyo en verificación de gestión en la que se encuentra DPI: 3400684771413    </t>
  </si>
  <si>
    <t xml:space="preserve">Solicitud apoyo en verificación de gestión en la que se encuentra el pasaporte B01568099 emitido en el Salvador.  </t>
  </si>
  <si>
    <t>NIT 415285925</t>
  </si>
  <si>
    <t>NIT 118504266</t>
  </si>
  <si>
    <t>NIT 101204388 realizó cambio de régimen y no puede presentar el formulario SAT 2046 de febrero 2025.</t>
  </si>
  <si>
    <t>El contribuyente NIT 322994977 reporta que no puede ingresar a su Agencia Virtual ni generar solicitud de cambio de contraseña. </t>
  </si>
  <si>
    <t>El contribuyente NIT 64543935 reporta que no puede ingresar a su Agencia Virtual ni generar solicitud de cambio de contraseña. </t>
  </si>
  <si>
    <t>Inconveniente reportado por el contribuyente NIT 733849, indica que realizó una actualización de roles para un colaborador y empezó con el envío de correos múltiples (más de 200 correos repetidos)</t>
  </si>
  <si>
    <t>NIT 111237742 cambio  nombre  AV,  es lIMITADA NO SA</t>
  </si>
  <si>
    <t>Normativo generó el ticket</t>
  </si>
  <si>
    <t xml:space="preserve">NIT 2101521 está tratando de recuperar contraseña de Agencia Virtual, desde su usuario pero no le permite, le muestra mensaje que tiene una gestión pendiente. </t>
  </si>
  <si>
    <t>Ticket Generado el 26/03/2025 por Normativo IAC</t>
  </si>
  <si>
    <t>NIT 76573656 Agencia Virtual</t>
  </si>
  <si>
    <t xml:space="preserve">El contribuyente NIT 65829956 reporta inconveniente con la emisión de constancias de Retención de ISR de Dividendos </t>
  </si>
  <si>
    <t>NIT 20364474 no tiene marca de Agencia Virtual en el RTU Oracle</t>
  </si>
  <si>
    <t>El ticket fue generado por el departamento normativo el 27/03/2025</t>
  </si>
  <si>
    <t>CUI 3279465631607</t>
  </si>
  <si>
    <t>CUI 3326904231220</t>
  </si>
  <si>
    <t xml:space="preserve">Solicitud apoyo gestión de Cese de Actividades / NIT: 64262219 </t>
  </si>
  <si>
    <t>Le dará seguimiento el revisor.</t>
  </si>
  <si>
    <t>El contribuyente NIT 48529206 reporta que no puede ingresar a su Agencia Virtual ni generar solicitud de cambio de contraseña, se adjuntan imágenes que indican el inconveniente.</t>
  </si>
  <si>
    <t xml:space="preserve">Solicitud apoyo en verificación de gestión en la que se encuentra DPI: 3041498960112    </t>
  </si>
  <si>
    <t>Angel Sebastian Diaz Lemus</t>
  </si>
  <si>
    <t xml:space="preserve">Solicitud apoyo en verificación de gestión en la que se encuentra DPI: 3090939530805    </t>
  </si>
  <si>
    <t>Catarina Mercedes De Leon Rivera</t>
  </si>
  <si>
    <t xml:space="preserve">Solicitud apoyo en verificación de gestión en la que se encuentra DPI: 2173447712001    </t>
  </si>
  <si>
    <t>Brenda Irecena Matias Juarez</t>
  </si>
  <si>
    <t>El contribuyente NIT 105001341 reporta problemas con la asignación de los correlativos de los folios al generar los libros.</t>
  </si>
  <si>
    <t>Iris Vanessa Martinez Guerra</t>
  </si>
  <si>
    <t>Sincronizar dirección comercial del NIT 70642931 en RTU Oracle.</t>
  </si>
  <si>
    <t>Solicito su apoyo para consultar el número de gestión en el que se encuentra registrado el CUI: 3137066971410</t>
  </si>
  <si>
    <t>Sincronizar marca de Factura Electronica (FEL) del NIT 1686666 en RTU Oracle.</t>
  </si>
  <si>
    <t>Inactivación de característica especial de asalariado NIT 1248444K</t>
  </si>
  <si>
    <t>Rudy Alfonso del Cid Hernández</t>
  </si>
  <si>
    <t>MEM/SAT/IAC/DGS/UST/039/2025</t>
  </si>
  <si>
    <t xml:space="preserve">NIT 704304K gestión 20253ACT5EC65801 le están solicitando el pago de multa registro extemporáneo de contador.   Adjunta información del formulario pagado. </t>
  </si>
  <si>
    <t>NIT 23755105</t>
  </si>
  <si>
    <t>MEM/SAT/IAC/DGS/UST/037/2025</t>
  </si>
  <si>
    <t xml:space="preserve">NIT 42314410 error 404 exportadores </t>
  </si>
  <si>
    <t>El contribuyente 94491631 reporta inconveniente con la lectura del QR del
certificado de propiedad del vehiculo</t>
  </si>
  <si>
    <t>Inconveniente reportado por el NIT 47240105 en la agencia virtual le aparece el apellido de casada, la contribuyente solicita que sea eliminado el apellido "ALDANA" porque ya no está en el RTU Nube</t>
  </si>
  <si>
    <t>El contribuyente NIT 114482055 realizó cambio de razón social y en la agencia virtual le aparece el nombre anterior, solicita que aparezca como esta en RTU Nube.</t>
  </si>
  <si>
    <t>Al consultar el informe de legalizacion de firmas realizado por el notario Hector Garcia, el sistema la muestra a ella como compradora y como notario (Cleidy Lopez) NIT 68950454</t>
  </si>
  <si>
    <t>El contribuyente NIT 96369582 reporta problemas con el LET de pequeño contribuyente a pesar de que inició operaciones en febrero 2025, el sistema indica que existe libros pendientes de cerrar de períodos anteriores.</t>
  </si>
  <si>
    <t>El contribuyente NIT 85261262 reporta que genera el libro de diciembre de 2024 (mes en el cual se afilio) pero al momento de querer imprimir el reporte indica error que: "Cuenta con cierres del libros pendientes (...)</t>
  </si>
  <si>
    <t>El contribuyente NIT 34791205 reporta problemas para la emisión de sus libros electrónicos de pequeño contribuyente.</t>
  </si>
  <si>
    <t>El contribuyente NIT 56946074 reporta  habilitó folios del libro de compras y ventas de pequeño contribuyente, sin embargo, ahora que intenta generar el LET de pequeño contribuyente no le permite cerrar Febrero 2025, pasó a estar afiliado al Régimen General del IVA a partir del 01/03/2025</t>
  </si>
  <si>
    <t>El contribuyente NIT 65490134 reporta encuentra utilizando el LET, pero no le deja generar los folios ya que el sistema muestra el mensaje que hay folios pendientes, pero es primera vez que el contribuyente utiliza el LET y no le deja generar ningún folio</t>
  </si>
  <si>
    <t>El contribuyente NIT 81954646 reporta realizar el libro de compra y ventas de pequeño contribuyente, el negocio se apertura a final de octubre 2024, al momento de seleccionar el año 2024 y el mes de octubre automáticamente le aparece un mensaje que indica: Cuenta con cierres de libros pendientes de realizar,</t>
  </si>
  <si>
    <t>El contribuyente NIT 5397456 reporta problemas en el ingreso de facturas de papel del 2022 al Libro Electrónico Tributario. </t>
  </si>
  <si>
    <t>Inconveniente impresion de distintivos vehiculo placas C0280BZL NIT 8681910</t>
  </si>
  <si>
    <t>El contribuyente NIT 44117930 solicita sincronizar de la caracteristica de "Registro de vehiculos", el posee una motocicleta y en RTU posee la marca de RFV, pero en RTU Digital no posee la caracteristica.</t>
  </si>
  <si>
    <t xml:space="preserve">NIT 109290445 LET  no permite generar reporte </t>
  </si>
  <si>
    <t>Robles</t>
  </si>
  <si>
    <t>Ticket creado por normatividad IAC</t>
  </si>
  <si>
    <t>Solicitud apoyo verificación suspensión artículo 120 Código Tributario / NIT: 17917166</t>
  </si>
  <si>
    <t>Solicitud apoyo gestión inscripción NIT de centro educativo / Gestión: 20253INS2A72AE7B</t>
  </si>
  <si>
    <t>CUI 3359994171616</t>
  </si>
  <si>
    <t>el contribuyente NIT 63853744 indica rechazo de su Solicitud de Actualización No.  20252ACT47EC6955 dentro de los comentarios de rechazo se encuentra "Adjuntar constancia de colegiado donde certifique fecha de colegiado activo vigente, con fecha de emisión no mayor a 3 meses", el contribuyente manifiesta que la constancia de colegiado tiene fecha del 31/01/2025.</t>
  </si>
  <si>
    <t>Gerber Estuardo Nicolas Morales</t>
  </si>
  <si>
    <t>l contribuyente NIT 120500140 indica rechazo de su gestión de actualización de datos No.  20253ACT148D585A dentro de los comentarios de rechazo se encuentra "Estimado contribuyente, el documento de constitución que adjunta debe escanearlo legible", el contribuyente solicita que se verifique el documento y se indique el dato que no se verifica legible</t>
  </si>
  <si>
    <t>Sincronizar CUI del NIT 28268776 en RTU Oracle.</t>
  </si>
  <si>
    <t>CUI 2228312941215</t>
  </si>
  <si>
    <t xml:space="preserve">NIT 30137845 efectuó el pago del ISCV de la placa M/600KTX sin embargo al intentar descargar la calcomanía aparece mensaje que no se ha realizado el pago correspondiente. </t>
  </si>
  <si>
    <t>Sebastián</t>
  </si>
  <si>
    <t xml:space="preserve">NIT 1531492 nuevamente está reportando inconveniente con la presentación de Asiste Hospitales. 
</t>
  </si>
  <si>
    <t>Heidi</t>
  </si>
  <si>
    <t>NIT 103254277</t>
  </si>
  <si>
    <t xml:space="preserve">NIT 75325292 está realizando una actualización de datos 20254ACT0821FD00,  indica que le rechazan por la falta de timbres en el testimonio, el indica que los mismos están adjuntos en la escritura de constitución. </t>
  </si>
  <si>
    <t>Merlyn</t>
  </si>
  <si>
    <t>NIT 38516144, se inscribió como exportador con el formulario SAT 0471, en el RTU Digital no aparece la característica especial como exportador.</t>
  </si>
  <si>
    <t>NIT 96732571</t>
  </si>
  <si>
    <t>NIT 43648665</t>
  </si>
  <si>
    <t>El contribuyente NIT 279991568 reporta que no puede ingresar a su Agencia Virtual ni generar solicitud de cambio de contraseña, se adjuntan imágenes que indican el inconveniente.</t>
  </si>
  <si>
    <t>Jose Daniel Monasterio Barrios</t>
  </si>
  <si>
    <t>El contribuyente NIT 120504588 reporta que no puede ingresar a su Agencia Virtual ni generar solicitud de cambio de contraseña, se adjuntan imágenes que indican el inconveniente.</t>
  </si>
  <si>
    <t>Henry Denilson Joachin Velasquez</t>
  </si>
  <si>
    <t>El contribuyente NIT 100250173 indica rechazo de su solicitud de actualización No.  20254ACTE4195472 dentro de los comentarios de rechazo se encuentra "Estimado contribuyente, en cancelación y nombramiento de representante legal, los documentos que adjunta deben de ser documentos escaneados de los originales, usted está adjuntando una fotocopia de los documentos.", el contribuyente manifiesta que indica que no esta adjuntando copias en las cancelaciones de los representantes legales, indica que son los documentos originales.</t>
  </si>
  <si>
    <t>NIT 66905656 nombre en la AV  actualización cooperativa</t>
  </si>
  <si>
    <t>chat</t>
  </si>
  <si>
    <t>NIT 7143222 le indica que tiene una gesitón pendiente de resolver</t>
  </si>
  <si>
    <t xml:space="preserve">NIT 45160023 LET general </t>
  </si>
  <si>
    <t>El contribuyente NIT 69601038 indica rechazo de su solicitud de actualización No.  20253ACT22BDC4ED dentro de los comentarios de rechazo se encuentra "El Mandato de ABDEL JORGE ANGEL CÁCERES BARRIOS, no se puede inscribir, se debe presentar en el momento de realizar un tramite, gracias", el contribuyente manifiesta que solamente esta ampliado el plazo y es la documentación que ha adjuntado en ocasiones anteriores.</t>
  </si>
  <si>
    <t xml:space="preserve">NIT 120483866  gestión 20253ACTC5A32E9C </t>
  </si>
  <si>
    <t>NIT 5933765 traspaso electrónico, le despliega timeout</t>
  </si>
  <si>
    <t>NIT 29425158 error 404 registro exportadores</t>
  </si>
  <si>
    <t xml:space="preserve">NIT 120431742 gestión 20253ACT20A14A19 </t>
  </si>
  <si>
    <t>Sincronizar Afiliación del NIT 82592071 en RTU Oracle.</t>
  </si>
  <si>
    <t>Adolfo Amilcar Cruz Sandoval</t>
  </si>
  <si>
    <t>El contribuyente NIT 96356634 indica rechazo de su gestión de cancelación prescrita de establecimientos No.  20254CESE0E0E0857 dentro de los comentarios de rechazo se encuentra "Estimado contribuyente hace falta que adjunte Documento de liquidación de la persona jurídica en el registro que corresponda.", el contribuyente manifiesta que es una copropiedad y en su momento se registró en el Registro Mercantil con patente</t>
  </si>
  <si>
    <t>Claudia Marlene Solis de Leon</t>
  </si>
  <si>
    <t>NIT 93744277 está realizando la actualización de datos con la gestión 20253ACT167996A5, la cual es rechazada por el DPI, solicita que le amplíen el motivo del rechazo del  DPI.</t>
  </si>
  <si>
    <t>Número de gestión de inscripción de NIT iniciada con CUI 3315660871802</t>
  </si>
  <si>
    <t>20253ACT5F436D9A del NIT 112466397, solicita apoyo indica que está ingresando los datos según le habían indicado, pero le rechazan nuevamente la gestión.</t>
  </si>
  <si>
    <t>NIT 114468168 SAT 2241 Error en presentación de declaración.</t>
  </si>
  <si>
    <t xml:space="preserve">NIT  99736136 característica especial importador </t>
  </si>
  <si>
    <t>El contribuyente NIT 114834296 reporta que no puede generar el formulario 2241 del mes de marzo 2025 le genera el error: Para utilizar este formulario debe estar afiliado al Régimen Electrónico de Pequeño Contribuyente, el contribuyente realizó cambio de régimen a pequeño contribuyente el cual aplica a partir de abril 2025.</t>
  </si>
  <si>
    <t xml:space="preserve">Carlos Emilio Jocop Patzan </t>
  </si>
  <si>
    <t>El contribuyente NIT 84764333 reporta que no puede generar el formulario 2241 del mes de marzo 2025 le genera el error: Para utilizar este formulario debe estar afiliado al Régimen Electrónico de Pequeño Contribuyente, el contribuyente realizó cambio de régimen a pequeño contribuyente el cual aplica a partir de abril 2025.</t>
  </si>
  <si>
    <t>Número de gestión de inscripción de NIT iniciada con CUI 2260498760904</t>
  </si>
  <si>
    <t>NIT 81410581</t>
  </si>
  <si>
    <t>Intentará el 7 de abril</t>
  </si>
  <si>
    <t>E1907577 emitido en Honduras </t>
  </si>
  <si>
    <t>Mafer</t>
  </si>
  <si>
    <t>CUI 3333609151612</t>
  </si>
  <si>
    <t>Número de gestión de inscripción de NIT iniciada con CUI 1852449711709</t>
  </si>
  <si>
    <t xml:space="preserve">NIT 45680914 gestión 20253ACT80211E27 </t>
  </si>
  <si>
    <t>NIT 73447188 gestión 20252ACT1E5ED11B</t>
  </si>
  <si>
    <t xml:space="preserve">Solicitud apoyo en verificación de gestión en la que se encuentra DPI: 1736929310412    </t>
  </si>
  <si>
    <t>Número de gestión de inscripción de NIT iniciada con CUI 1736929310112</t>
  </si>
  <si>
    <t xml:space="preserve">NIT 31382266  abogado no le permite confirmación de huella </t>
  </si>
  <si>
    <t>Inconveniente con reconocimiento de AV / NIT: 93486936</t>
  </si>
  <si>
    <t xml:space="preserve">20253ACTBE268146 del NIT 6662870, está adjunto recibo del pago de IUSI y le están requiriendo que seleccione la opción 1 para ingresar datos de factura. </t>
  </si>
  <si>
    <t>Mercedes</t>
  </si>
  <si>
    <t>NIT 113010095 error 404 exportador</t>
  </si>
  <si>
    <t>El contribuyente NIT 101881975 al consultar en el portal SAT la placa P0/640LCB aparece en estado inactivo.  Al verificar en el Agencia Virtual se encuentra activo, igualmente en el SAIT Vehículos aparece activo.</t>
  </si>
  <si>
    <t xml:space="preserve">NIT 50982826 Verificador integrado </t>
  </si>
  <si>
    <t>Número de gestión inscripción de NIT iniciada con el CUI 2552731851206.  Gracias</t>
  </si>
  <si>
    <t>número de gestión inscripción de NIT iniciada con el CUI 2989709290101</t>
  </si>
  <si>
    <t>El contribuyente NIT 56951280 reporta problemas con la asignación de los correlativos de los folios al generar los libros.</t>
  </si>
  <si>
    <t xml:space="preserve">Solicitud apoyo en verificación de gestión en la que se encuentra DPI: 3053329020204    </t>
  </si>
  <si>
    <t>El contribuyente NIT 43105068 indica rechazo de su solicitud de actualización No.  20254ACTE84D5605 dentro de los comentarios de rechazo se encuentra "Por favor cancelar multa que se le indicó el día de ayer. Para continuar su trámite debe cancelar multa por presentación extemporánea de nombramiento de representante legal en el formulario 811, colocando la fecha de la inscripción del nombramiento en el registro mercantil tomando como base 1500, para un total de 225", el contribuyente manifiesta que no esta inscribiendo Representante Legal este ya aparece dentro de los registros.</t>
  </si>
  <si>
    <t xml:space="preserve">Solicitud apoyo en verificación de gestión en la que se encuentra DPI: 3032183980108    </t>
  </si>
  <si>
    <t>Aramis Anahi De Leon Tercero</t>
  </si>
  <si>
    <t xml:space="preserve">NIT 98297104 GESTIÓN 20254ACT8F2810AC </t>
  </si>
  <si>
    <t>NIT13743449</t>
  </si>
  <si>
    <t>El contribuyente NIT 43199461 indica rechazo de su Solicitud de Actualización No.  20254ACTDF87E967, el contribuyente manifiesta que el rechazo no indica que debe corregir.</t>
  </si>
  <si>
    <t>P640LCB NIT 101881975,   se encuentra inactivo en portal y activo en el SAIT vehículos</t>
  </si>
  <si>
    <t xml:space="preserve">La Contraloría General de Cuentas NIT 637672K está realizando la inscripción de vehículo con placas particulares y le indicaron que no tiene que solicitar placas Oficiales.  </t>
  </si>
  <si>
    <t>NIT 52503127 el mismo folio en dos meses</t>
  </si>
  <si>
    <t>CUI 1649509070102</t>
  </si>
  <si>
    <t xml:space="preserve">NIT 84102667 GESTIÓN 20254AV7B595524 </t>
  </si>
  <si>
    <t xml:space="preserve">Solicitud apoyo en verificación de gestión en la que se encuentra DPI: 3066334770401    </t>
  </si>
  <si>
    <t xml:space="preserve">Solicitud apoyo en verificación de gestión en la que se encuentra DPI: 3291135341102    </t>
  </si>
  <si>
    <t>Número de gestión de inscripción de NIT con CUI 3051941270202</t>
  </si>
  <si>
    <t>Departamento de Registros Tributarios IRE</t>
  </si>
  <si>
    <t xml:space="preserve">Cecilia </t>
  </si>
  <si>
    <t>Número de gestión de inscripción de NIT con CUI 3142214171411</t>
  </si>
  <si>
    <t>NIT: 73447188 repetidos rechazos 20252ACT1E5ED11B</t>
  </si>
  <si>
    <t>El contribuyente indica rechazo de su solicitud de inscripción de contribuyentes No.  20254INS9C1C954C dentro de los comentarios de rechazo se encuentra "La solicitud de Sociedades deberá iniciar a través de la plataforma de e/servicios del Registro Mercantil o bien en la ventanilla habilitada para el efecto en las instalaciones del Registro Mercantil.", el contribuyente manifiesta que es una sociedad anónima extranjera y le indicaron que tiene que iniciar su gestión desde el portal de SAT</t>
  </si>
  <si>
    <t>El contribuyente NIT 119147211 indica rechazo de su solicitud de actualización No.  20254ACT6F5B9ECC dentro de los comentarios de rechazo se encuentra "Señor contribuyente debe adjuntar la escritura matriz No. 77 con su respectivo 1er Testimonio y su razón del Registro. Debe escanearla mas legible y clara. Gracias", el contribuyente indica que esta adjuntando lo solicitado</t>
  </si>
  <si>
    <t>NIT 67064841  gestión 20253ACTB4A95034</t>
  </si>
  <si>
    <t>CUI 3258612771013</t>
  </si>
  <si>
    <t>CUI 2191209191414</t>
  </si>
  <si>
    <t xml:space="preserve">NIT 93419317  gestión 20254CESED8135648  </t>
  </si>
  <si>
    <t>El contribuyente NIT 110097874 realizó cambio de régimen y no puede presentar el formulario SAT 2046 del mes de agosto 2024.</t>
  </si>
  <si>
    <t>Gilberto</t>
  </si>
  <si>
    <t>CUI 3145617140901</t>
  </si>
  <si>
    <t>Solicitud usuario de AV/ 83259465 gestión  20254AVC3E715C4</t>
  </si>
  <si>
    <t>Gestión de cese de actividades 20253CESE35110345 del NIT: 107811979 se encuentra en estado "En Revisión" de fecha 25/03/2025</t>
  </si>
  <si>
    <t>NIT 44118449 el contribuyente se encontraba inscrito en el mes marzo 2025 en el "Régimen de pequeño Contribuyente Electrónico" sin embargo el día 12 de marzo solicitó el cambio de régimen a Pequeño Contribuyente (vigencia a partir del 01/04/2025, no puede presentar el formulario SAT 2241 de marzo 2025.</t>
  </si>
  <si>
    <t>Número de gestión de inscripción de NIT con CUI 2798660970408</t>
  </si>
  <si>
    <t>NIT 71375473 inconveniente traspaso</t>
  </si>
  <si>
    <t>Se le indicó que no está correcta la firma del 5B</t>
  </si>
  <si>
    <t>NIT 105783064 SINC  actividad económica </t>
  </si>
  <si>
    <t>NIT 102176930 let correlativo de folios</t>
  </si>
  <si>
    <t xml:space="preserve">NIT 99876701  gestión 20254ACTA72F7672 </t>
  </si>
  <si>
    <t xml:space="preserve">Solicitud apoyo en verificación de gestión en la que se encuentra DPI: 1730933101413    </t>
  </si>
  <si>
    <t xml:space="preserve">Solicitud apoyo en verificación de gestión en la que se encuentra DPI: 2317025661802    </t>
  </si>
  <si>
    <t>NIT 120184079</t>
  </si>
  <si>
    <t>NIT 33968705</t>
  </si>
  <si>
    <t>NIT 120111748</t>
  </si>
  <si>
    <t>El contribuyente NIT 3745961, manifiesta que realizó su pago de solvencia fiscal el 08/04/2025, se consulto en el sistema y no ha generado expediente.</t>
  </si>
  <si>
    <t xml:space="preserve">Mildre Marisol Ramos de Leon </t>
  </si>
  <si>
    <t>Solicito su apoyo para consultar el número de gestión en el que se encuentra registrado el CUI: 3638401090101</t>
  </si>
  <si>
    <t>Mildred Ramos</t>
  </si>
  <si>
    <t>Solicito su apoyo para consultar el número de gestión en el que se encuentra registrado el CUI: 1844543790114</t>
  </si>
  <si>
    <t>Solicito su apoyo para consultar el número de gestión en el que se encuentra registrado el CUI: 1911984201211</t>
  </si>
  <si>
    <t>Solicito su apoyo para consultar el número de gestión en el que se encuentra registrado el CUI: 3671634970101</t>
  </si>
  <si>
    <t>Vanesa Martínez</t>
  </si>
  <si>
    <t xml:space="preserve">NIT 84764333 errror declaración </t>
  </si>
  <si>
    <t>CUI 3275644741606</t>
  </si>
  <si>
    <t>Inconveniente con la Agencia Virtual NIT 97386081 y 91539668</t>
  </si>
  <si>
    <t>NIT 77257146 SAT 7121  desea habilitar los libros de compras y ventas y no le aparece para seleccionar, sólo compras y ventas régimen pecuario y primario</t>
  </si>
  <si>
    <t>NIT 46562516</t>
  </si>
  <si>
    <t>CUI 1661156302211</t>
  </si>
  <si>
    <t xml:space="preserve">Solicitud apoyo en verificación de gestión en la que se encuentra DPI: 3044572640114    </t>
  </si>
  <si>
    <t xml:space="preserve"> Error en Nit 96411414 de Exportador</t>
  </si>
  <si>
    <t xml:space="preserve">NIT 70421935 actualizó datos y aparece ratificado a partir de hoy 11/04/2025, al querer emitir una factura no le permite seleccionar el tipo de DTE. </t>
  </si>
  <si>
    <t xml:space="preserve">NIT 50634356, solicita que le expliquen cual es el requerimiento indica que tiene reportada las retenciones. </t>
  </si>
  <si>
    <t>Cristian</t>
  </si>
  <si>
    <t>NIT 73496677 EXP 29606050</t>
  </si>
  <si>
    <t>El contribuyente indica rechazo de su solicitud de inscripción de contribuyentes No.  20254INSD1C5B13F dentro de los comentarios de rechazo se encuentra "La solicitud de Sociedades deberá iniciar a través de la plataforma de e/servicios del Registro Mercantil o bien en la ventanilla habilitada para el efecto en las instalaciones del Registro Mercantil", el contribuyente manifiesta que es una sociedad anónima extranjera y le indicaron que tiene que iniciar su gestión desde el portal de SAT</t>
  </si>
  <si>
    <t>El contribuyente 53983424 reporta que realizó cese de actividades, pero la afiliación no se eliminó y quedo con la suspensión por omisión IVA / no localizado, solicita puedan quitarle la afiliación y suspensión.</t>
  </si>
  <si>
    <t xml:space="preserve">Solicitud apoyo en verificación de gestión en la que se encuentra DPI: 3047309710116    </t>
  </si>
  <si>
    <t>NIT 342777505 SINC  oracle </t>
  </si>
  <si>
    <t>Número de gestión inscripción de NIT generada con el CUI 3256517441601</t>
  </si>
  <si>
    <t>Kevin</t>
  </si>
  <si>
    <t>número de gestión inscripción de NIT generada con el CUI 2017369490108</t>
  </si>
  <si>
    <t>Cecilia</t>
  </si>
  <si>
    <t>: SAT 6017 SEMANAL DECLARACIÓN JURADA DEL IMPUESTO A LA DISTRIBUCIÓN DE PETROLEO CRUDO Y COMBUSTIBLES DERIVADOS DE PETROLEO NIT 120196034</t>
  </si>
  <si>
    <t xml:space="preserve">Solicitud apoyo en verificación de gestión en la que se encuentra DPI: 3630122490101    </t>
  </si>
  <si>
    <t>Sincronizar tilde del segundo apellido del NIT 52356795 en RTU Oracle.</t>
  </si>
  <si>
    <t xml:space="preserve">Solicitud apoyo en verificación de gestión en la que se encuentra DPI: 3065476510513    </t>
  </si>
  <si>
    <t>CUI 3157968711301</t>
  </si>
  <si>
    <t>CUI 2471239001710</t>
  </si>
  <si>
    <t>CUI 2999803080101</t>
  </si>
  <si>
    <t>CUI 2991192380101</t>
  </si>
  <si>
    <t xml:space="preserve">NIT 2967829 gestión 20254ACTD3FD6AED </t>
  </si>
  <si>
    <t>CUI 1945484140802</t>
  </si>
  <si>
    <t>NIT 17805961 sincronizar tilde en apellido  LEÓN</t>
  </si>
  <si>
    <t xml:space="preserve">Solicitud apoyo en verificación de gestión en la que se encuentra DPI: 3264495231603    </t>
  </si>
  <si>
    <t xml:space="preserve">Solicitud apoyo en verificación de gestión en la que se encuentra DPI: 3234420050509    </t>
  </si>
  <si>
    <t>NIT 24790265 Cese de actividades  no tiene expediente activo y no le permite realizar el cese</t>
  </si>
  <si>
    <t>El contribuyente NIT 93354371 manifiesta que le aparecen omisos del Régimen General del IVA correspondiente a los meses de enero y febrero de 2025, pero el está en el Régimen de Pequeño Contribuyente desde enero de 2025, el sistema le está generando omisos de un régimen del que no esta afiliado.</t>
  </si>
  <si>
    <t>NIT 23543361 Nombre AV</t>
  </si>
  <si>
    <t>NIT 118559206 SINC ESTABLECIMIENTO 2</t>
  </si>
  <si>
    <t>El contribuyente NIT 19731272 manifiesta que en el Verificador Integrado le aparecen omisos del Régimen General del IVA correspondiente a los meses de enero y febrero de 2025, pero el está en el Régimen de Pequeño Contribuyente desde enero de 2025, el sistema le está generando omisos de un régimen del que no esta afiliado.</t>
  </si>
  <si>
    <t>Byron Roberto Cordon Archila</t>
  </si>
  <si>
    <t>El contribuyente NIT 29258626 indica que el sistema le muestra omiso por habilitacion de facturas, el contribuyente se encuentra inscrito y afiliado ya que puede emitir facturas, pero en RTU Nube le aparece inactiva la caracteristica y en RTU Oracle no posee la marca. Solicita sincronicen la informacion para poder operar sin problemas su traspaso de vehiculo.</t>
  </si>
  <si>
    <t>El contribuyente NIT 89003047 manifiesta que en el Verificador Integrado le aparecen omisos del Régimen de Pequeño Contribuyente correspondiente a los meses de septiembre 2024 y febrero de 2025, pero el está en el Régimen General del IVA desde Septiembre de 2024, el verificador integrado le está generando omisos de un régimen del que no esta afiliado.</t>
  </si>
  <si>
    <t>El contribuyente NIT 120497387 reporta que no puede ingresar a su Agencia Virtual ni generar solicitud de cambio de contraseña</t>
  </si>
  <si>
    <t>10000281513 </t>
  </si>
  <si>
    <t>El contribuyente NIT 120313774 indica rechazo de su solicitud de actualización No.  20254ACT85E11F2B dentro de los comentarios de rechazo se encuentra "Estimado contribuyente adjuntar documento de cancelación representación legal original completo.", el contribuyente indica que el documento que adjunta esta como lo solicitan.</t>
  </si>
  <si>
    <t>El contribuyente NIT 10310447K reporta que no puede generar el formulario 2241 del mes de marzo 2025 le genera el error: Para utilizar este formulario debe estar afiliado al Régimen Electrónico de Pequeño Contribuyente, el contribuyente realizó cambio de régimen a pequeño contribuyente el cual aplica a partir de abril 2025.</t>
  </si>
  <si>
    <t xml:space="preserve">gestión 20254INSE8873899 </t>
  </si>
  <si>
    <t>14/04/202</t>
  </si>
  <si>
    <t xml:space="preserve">NIT  29678803   apoyo incumplimiento </t>
  </si>
  <si>
    <t>No permite solicitar AV no hay comunicación con RENAP</t>
  </si>
  <si>
    <t>NIT 27655245 CESE PRESCRITO</t>
  </si>
  <si>
    <t>nit 47043660 ya realizó el pago de las omisiones y en el verificador aún aparece suspendido</t>
  </si>
  <si>
    <t>pasaporte B05504869 emitido en el Salvador </t>
  </si>
  <si>
    <t>NIT 33078866 realizó cese prescrito y el verificador integrado le muestra incumplimiento "Afiliación al Impuesto al Valor Agregado Inactiva por Suspensión"</t>
  </si>
  <si>
    <t>CUI 3045106610114</t>
  </si>
  <si>
    <t>NIT 23331550/ 20254CESE7CADDB6B</t>
  </si>
  <si>
    <t>El contribuyente NIT 87722488 manifiesta que el Verificador Integrado le aparece el siguiente mensaje: Afiliación al Impuesto al Valor Agregado inactiva por suspensión y no posee establecimientos activos.</t>
  </si>
  <si>
    <t>El contribuyente NIT 29678803 se comunicó al Contact Center de SAT manifiesta que el Verificador Integrado le aparece el siguiente mensaje: Afiliación al Impuesto al Valor Agregado inactiva por suspensión y no posee establecimientos activos.</t>
  </si>
  <si>
    <t>El contribuyente NIT 53586689 reporta que no puede generar el formulario 2046 del mes de febrero 2025 le genera el error: Usted se encuentra afiliado al Régimen Electrónico de Pequeño Contribuyente, le corresponde llenar el formulario SAT/2241, el contribuyente manifiesta que esta afiliada al Régimen de Pequeño Contribuyente a partir de febrero de 2025</t>
  </si>
  <si>
    <t>El contribuyente NIT 91346711 manifiesta que el Verificador Integrado le aparece el siguiente mensaje: Afiliación al Impuesto al Valor Agregado inactiva por suspensión y en RTU Nuble no tiene suspendida la afiliación.</t>
  </si>
  <si>
    <t xml:space="preserve">Solicitud apoyo en verificación de gestión en la que se encuentra DPI: 1754419950101    </t>
  </si>
  <si>
    <t xml:space="preserve">Solicitud apoyo en verificación de gestión en la que se encuentra DPI: 1693615860101    </t>
  </si>
  <si>
    <t xml:space="preserve">Solicitud apoyo en verificación de gestión en la que se encuentra DPI: 2622626651406    </t>
  </si>
  <si>
    <t>NIT 111569206 cambio de correo electrónico</t>
  </si>
  <si>
    <t>CUI 3270114911402</t>
  </si>
  <si>
    <t>El NIT 78571626 realizó su actualización para cambio de régimen a Pequeño Contribuyente con vigencia a partir del 01/05/02025. No puede emitir DTE y el caso fue reportado al correo de efactura la semana pasada sin embargo, no ha recibido respuesta y debe emitir facturas con urgencia, el contribuyente confirma que ya borro historial, cookies y aún no puede facturar.  Gracias</t>
  </si>
  <si>
    <t>NIT 93926960 solicitud AV error no se tiene comunicación con RENAP</t>
  </si>
  <si>
    <t xml:space="preserve">NIT 27217868 realizó cese prescrito y el verificado integrado muestra incumplimiento:  Afiliación al Impuesto al Valor Agregado Inactiva por Suspensión. 
</t>
  </si>
  <si>
    <t>Gestión de actualización de datos 20254ACTE0A26BBB NIT 17908884 , se encuentra en estado "En Proceso de Asignación" desde el 9/04/2025</t>
  </si>
  <si>
    <t>Gerber</t>
  </si>
  <si>
    <t>CUI 2355269161214</t>
  </si>
  <si>
    <t>CUI 1811696300111</t>
  </si>
  <si>
    <t xml:space="preserve">NIT 104307579 está solicitando la activación de usuario de agencia virtual, la gestión 20254AV04D57BCE  tiene un rechazado indicando que debe aparecer en el video la persona del DPI, indica el contribuyente que el es quien está realizando la gestión. </t>
  </si>
  <si>
    <r>
      <t xml:space="preserve">Número de gestión inscripción de NIT iniciada con el CUI </t>
    </r>
    <r>
      <rPr>
        <b/>
        <sz val="11"/>
        <color theme="1"/>
        <rFont val="Calibri"/>
        <family val="2"/>
        <scheme val="minor"/>
      </rPr>
      <t>3361386521701</t>
    </r>
  </si>
  <si>
    <t xml:space="preserve"> NIT 13833898 LET libros pendientes de cierre. </t>
  </si>
  <si>
    <t xml:space="preserve">NIT  76466108 LET </t>
  </si>
  <si>
    <t>NIT 48567086 LET generar reporte, cuenta con cierres de libro pendientes de realizar</t>
  </si>
  <si>
    <t>NIT 71264647 LET presentación de libros, Al generar el reporte indica que tiene libros pendientes de cierre</t>
  </si>
  <si>
    <t>NIT 117647829 Error let no carga  para seleccionar el período</t>
  </si>
  <si>
    <t xml:space="preserve">NIT 96369582 LET cuenta con cierrres del libro pendientes de realizar </t>
  </si>
  <si>
    <t xml:space="preserve">NIT 46569448 LET cuenta con cierres del libro pendientes de realizar </t>
  </si>
  <si>
    <t>El contribuyente NIT 34791205 reporta inconvenientes en generar los libros de pequeño contribuyente de los años 2023 y 2024. </t>
  </si>
  <si>
    <t xml:space="preserve">NIT 88068218 </t>
  </si>
  <si>
    <t>ERROR 524 SIN RESPUESTA NIT 40215105</t>
  </si>
  <si>
    <t xml:space="preserve"> NIT 24117846 gestión 20254CESECC305B32</t>
  </si>
  <si>
    <t>P572GHV  NIT 60432365</t>
  </si>
  <si>
    <t>EMETRA</t>
  </si>
  <si>
    <t>NIT 74948249  65331028</t>
  </si>
  <si>
    <t>El contribuyente NIT 85687588 reporta inconveniente al realizar cambio de correo electrónico de la Agencia Virtual</t>
  </si>
  <si>
    <t>El contribuyente NIT 57525846 reporta inconveniente en la Activación de la Agencia Virtual el indica que el DPI se encuentra vencido</t>
  </si>
  <si>
    <t>El contribuyente NIT 7340907 reporta que no puede generar el formulario 2046 del mes de febrero 2025 le genera el error: Usted se encuentra afiliado al Régimen Electrónico de Pequeño Contribuyente, le corresponde llenar el formulario SAT/2241, el contribuyente manifiesta que esta afiliada al Régimen de Pequeño Contribuyente a partir del 25 de febrero de 2025.</t>
  </si>
  <si>
    <t>El contribuyente NIT 9442758 reporta que no puede generar el formulario 2046 del mes de diciembre 2024 le genera el error: Usted se encuentra afiliado al Régimen Electrónico de Pequeño Contribuyente, le corresponde llenar el formulario SAT/2241, el contribuyente manifiesta que esta afiliada al Régimen de Pequeño Contribuyente Electrónico a partir de marzo de 2025.</t>
  </si>
  <si>
    <t xml:space="preserve">nit 44431252 </t>
  </si>
  <si>
    <t xml:space="preserve">NIT 78633427 suspensión </t>
  </si>
  <si>
    <t>NIT  7102828 domicilio comercial establecimiento 2</t>
  </si>
  <si>
    <t>nit 1722926K</t>
  </si>
  <si>
    <t>NIT 85603279</t>
  </si>
  <si>
    <t>CUI  3403916501414</t>
  </si>
  <si>
    <t>NIT  8697027 SINC  afiliación</t>
  </si>
  <si>
    <t>Sincronizar el domicilio comercial del establecimiento No. 1, del contribuyente con NIT 45997845, debido a que, en RTU Oracle falta "Complejo Industrial Nuevo Naranjo, Condado Naranjo"</t>
  </si>
  <si>
    <t>Vanesa Martinez</t>
  </si>
  <si>
    <t xml:space="preserve">NIT 91212642 Traspaso electronico </t>
  </si>
  <si>
    <t>Número de gestión inscripción de NIT inicida con el CUI 3324046251803</t>
  </si>
  <si>
    <t>CUI 2070468240116</t>
  </si>
  <si>
    <t>CUI 3206286710501</t>
  </si>
  <si>
    <t>CUI 4007006111705</t>
  </si>
  <si>
    <t>CUI 2732519531601</t>
  </si>
  <si>
    <t>Solicito su apoyo para consultar el número de gestión en el que se encuentra registrado el DPI: 2889709770306</t>
  </si>
  <si>
    <t>Solicito su apoyo para consultar el número de gestión en el que se encuentra registrado el DPI: 2967697460921</t>
  </si>
  <si>
    <t>Solicito su apoyo para consultar el número de gestión en el que se encuentra registrado el DPI: 3051571080201</t>
  </si>
  <si>
    <t>Solicito su apoyo para consultar el número de gestión en el que se encuentra registrado el DPI: 3614419240101</t>
  </si>
  <si>
    <t>Solicito su apoyo para consultar el número de gestión en el que se encuentra registrado el DPI: 2874978791601</t>
  </si>
  <si>
    <t>Solicito su apoyo para consultar el número de gestión en el que se encuentra registrado el DPI: 2910649140101</t>
  </si>
  <si>
    <t>Solicito su apoyo para consultar el número de gestión en el que se encuentra registrado el DPI: 3169438531503</t>
  </si>
  <si>
    <t>CUI  3347907511805</t>
  </si>
  <si>
    <t>Solicito su apoyo para consultar el número de gestión en el que se encuentra registrado el DPI: 2292585730807</t>
  </si>
  <si>
    <t>Solicito su apoyo para consultar el número de gestión en el que se encuentra registrado el DPI: 3886211680101</t>
  </si>
  <si>
    <t>Solicito su apoyo para consultar el número de gestión en el que se encuentra registrado el DPI: 3014101350101</t>
  </si>
  <si>
    <t>Solicito su apoyo para consultar el número de gestión en el que se encuentra registrado el DPI: 3555579591413</t>
  </si>
  <si>
    <t>CUI 2987894340101</t>
  </si>
  <si>
    <t>Solicito su apoyo para consultar el número de gestión en el que se encuentra registrado el DPI: 3498574231711</t>
  </si>
  <si>
    <t>Solicito su apoyo para consultar el número de gestión en el que se encuentra registrado el DPI: 3140973090708</t>
  </si>
  <si>
    <t>Solicito su apoyo para consultar el número de gestión en el que se encuentra registrado el DPI: 3709766492009</t>
  </si>
  <si>
    <t>CUI  4179024921602</t>
  </si>
  <si>
    <t>CUI 3270636291015</t>
  </si>
  <si>
    <t>El contribuyente NIT 83209603 indica rechazo de su gestión de actualización No.  20254ACT5549DB1F dentro de los comentarios de rechazo se encuentra "no procede el cambio a pequeño contribuyente porque supera los 150000", el contribuyente manifiesta tomar en cuenta el decreto 31/2024.</t>
  </si>
  <si>
    <t xml:space="preserve">Solicitud apoyo en verificación de gestión en la que se encuentra DPI: 3606553511801    </t>
  </si>
  <si>
    <t>gestión 20254ACT2BF65313 NIT 100351425</t>
  </si>
  <si>
    <t>Solicitud apoyo gestión Actualización de Datos / NIT: 33862656</t>
  </si>
  <si>
    <t>Inconveniente generación de formularios desde Agencia Virtual / NIT 5242207</t>
  </si>
  <si>
    <t>El contribuyente NIT 120251523 indica rechazo de su solicitud de actualización No.  20254ACT12261927 dentro de los comentarios de rechazo se encuentra "Estimado contribuyente atender únicamente lo solicitado en comentario adicional: Genere la multa en declaraguate por inscripción extemporánea de representante legal y adjúntela al documento. y adjuntar inscripción al registro donde corresponde.", el contribuyente manifiesta que no está activo el NIT el formulario no lo reconoce.</t>
  </si>
  <si>
    <t>Solicitud apoyo verificación de inscripción de NIT Cooperativa / Gestión: 20254INSBBBA6DA5</t>
  </si>
  <si>
    <t>NIT 108875571  no le despliega la factura emitida en marzo 2025</t>
  </si>
  <si>
    <t>NIT 103038272  LET correlativo de los folios</t>
  </si>
  <si>
    <t xml:space="preserve">Renuente de Incorporarse a FEL NIT 97222607 </t>
  </si>
  <si>
    <t xml:space="preserve">Renuente de Incorporarse a FEL NIT 52324494 </t>
  </si>
  <si>
    <t>Renuente de Incorporarse a FEL NIT 13329677</t>
  </si>
  <si>
    <t>Renuente de Incorporarse a FEL NIT 8453969</t>
  </si>
  <si>
    <t>NIT 99354411 realizó cese de actividades y el establecimiento y la afiliación quedaron activas en oracle </t>
  </si>
  <si>
    <t>nit 52324494 indica renuente a FEL y ya realizó cese de actividades</t>
  </si>
  <si>
    <t>Solicito su apoyo para consultar el número de gestión en el que se encuentra registrado el DPI: 2101931150103</t>
  </si>
  <si>
    <t>CUI 3122003661215</t>
  </si>
  <si>
    <t>CUI 2842203530301</t>
  </si>
  <si>
    <t>CUI 1661476561204</t>
  </si>
  <si>
    <t>Solicito su apoyo para consultar el número de gestión en el que se encuentra registrado el DPI: 3729686351101</t>
  </si>
  <si>
    <t>CUI 3031920380108</t>
  </si>
  <si>
    <t>Solicito su apoyo para consultar el número de gestión en el que se encuentra registrado el DPI: 3197978480913</t>
  </si>
  <si>
    <t> CUI 3061828660307</t>
  </si>
  <si>
    <t>Solicito apoyo para verificar el presente caso, en el que el, no se puede realizar la consulta de la Constancia del RTU del NIT 826225K.</t>
  </si>
  <si>
    <t>Error 500 / RTU</t>
  </si>
  <si>
    <t>NIT 84346728 en el registro mercantil indica NIT  inválido</t>
  </si>
  <si>
    <t xml:space="preserve"> NIT 87928140  CUI 2986671420101 , no le permite realizar la solicitud le indica que el DPI  está vencido</t>
  </si>
  <si>
    <t>HN250000000000134752 SAT 2901 46407971088 acceso 116046708,  no permite generar el SAT 4041 y 8620</t>
  </si>
  <si>
    <t>NIT 86814818 envió 2 veces la gestión y no despliega la característica de exportadores</t>
  </si>
  <si>
    <t xml:space="preserve">Solicitud apoyo en verificación de gestión en la que se encuentra DPI: 3896544420101    </t>
  </si>
  <si>
    <t xml:space="preserve">Solicitud apoyo en verificación de gestión en la que se encuentra DPI: 2710109161801    </t>
  </si>
  <si>
    <t xml:space="preserve">Solicitud apoyo en verificación de gestión en la que se encuentra DPI: 3339401801206    </t>
  </si>
  <si>
    <t>Se encuentra en monitoreo de GIN.</t>
  </si>
  <si>
    <t xml:space="preserve">Solicitud apoyo en verificación de gestión en la que se encuentra DPI: 3245647751601    </t>
  </si>
  <si>
    <t>Solicitud apoyo gestión de actualización de datos del RTU / NIT: 120516594</t>
  </si>
  <si>
    <t xml:space="preserve">NIT 4092767 gestión 20254ACT66586BA4  Actualización RTU </t>
  </si>
  <si>
    <t>NIT 109550404</t>
  </si>
  <si>
    <t>Solicitud apoyo gestión de actualización de datos del RTU / NIT: 1610333</t>
  </si>
  <si>
    <t>SAT 1608 NIT 322652</t>
  </si>
  <si>
    <t xml:space="preserve">Solicitud apoyo en verificación de gestión en la que se encuentra DPI: 2872437100916    </t>
  </si>
  <si>
    <t xml:space="preserve">Solicitud apoyo en verificación de gestión en la que se encuentra DPI: 2890949092208    </t>
  </si>
  <si>
    <t xml:space="preserve">Solicitud apoyo en verificación de gestión en la que se encuentra DPI: 2617369490108    </t>
  </si>
  <si>
    <t xml:space="preserve">Solicitud apoyo en verificación de gestión en la que se encuentra DPI: 3139846890901    </t>
  </si>
  <si>
    <t xml:space="preserve">Solicitud apoyo en verificación de gestión en la que se encuentra DPI: 3596795280901    </t>
  </si>
  <si>
    <t xml:space="preserve">NIT 99876701  gestión 20254ACT3F9393F2 </t>
  </si>
  <si>
    <t>NIT 623593K</t>
  </si>
  <si>
    <t xml:space="preserve">NIT 79355307, están llenando el formulario SAT 2046 y el sistema les muestra mensaje que deben llenar el formulario SAT 2241
</t>
  </si>
  <si>
    <t>Solicito su apoyo para consultar el número de gestión en el que se encuentra registrado el DPI: 2726078510806</t>
  </si>
  <si>
    <t>CUI 4027780810101</t>
  </si>
  <si>
    <t xml:space="preserve">NIT 5461723 GESTIÓN 20254ACT8B532BE8 </t>
  </si>
  <si>
    <t>CUI 2979507381801</t>
  </si>
  <si>
    <t>CUI 2853090110101</t>
  </si>
  <si>
    <t>CUI 3398412571412</t>
  </si>
  <si>
    <t>CUI  3328848131221</t>
  </si>
  <si>
    <t>CUI 1922105482001</t>
  </si>
  <si>
    <t>CUI 1817464091706</t>
  </si>
  <si>
    <t>CUI 4029987310112</t>
  </si>
  <si>
    <t>CUI 3367836201908</t>
  </si>
  <si>
    <t>CUI 3063163900314</t>
  </si>
  <si>
    <t>CUI 3642353491703</t>
  </si>
  <si>
    <t>CUI 4015755352106</t>
  </si>
  <si>
    <t>CUI 1824404350110</t>
  </si>
  <si>
    <t>Inconvenientes en la descarga de XML de DTE:
Serie: f4b6c232, DTE: 3731049218, NIT emisor: 6219152</t>
  </si>
  <si>
    <t xml:space="preserve">NIT 36209937 cambio de correo electrónico AV </t>
  </si>
  <si>
    <t>Solicito apoyo para sincronizar la actividad económica del contribuyente, debido a que, no ha replicado en RTU Oracle / NIT: 91727170</t>
  </si>
  <si>
    <t>Solicito su apoyo para consultar el número de gestión en el que se encuentra registrado el DPI: 3611619050101</t>
  </si>
  <si>
    <t>Inconveniente con validación de NIT en el RM / NIT: 120514826</t>
  </si>
  <si>
    <t>Solicitud apoyo gestión de Actualización de Datos del RTU / NIT: 86215833</t>
  </si>
  <si>
    <t xml:space="preserve">Solicitud apoyo en verificación de gestión en la que se encuentra DPI: 2187731611901    </t>
  </si>
  <si>
    <t xml:space="preserve">Solicitud apoyo en verificación de gestión en la que se encuentra DPI: 3862718520101    </t>
  </si>
  <si>
    <t>Cristian Rene Calderon Gutierrez</t>
  </si>
  <si>
    <t xml:space="preserve">Solicitud apoyo en verificación de gestión en la que se encuentra DPI: 3059330000301    </t>
  </si>
  <si>
    <t xml:space="preserve">Solicitud apoyo en verificación de gestión en la que se encuentra DPI: 3068148110401    </t>
  </si>
  <si>
    <t xml:space="preserve">Solicitud apoyo en verificación de gestión en la que se encuentra DPI: 3033710990108    </t>
  </si>
  <si>
    <t xml:space="preserve">Solicitud apoyo en verificación de gestión en la que se encuentra DPI: 1602189500509    </t>
  </si>
  <si>
    <t>El contribuyente NIT 101630700 indica rechazo de su solicitud de actualización No.  20254ACTF4491578 dentro de los comentarios de rechazo se encuentra "Estimado contribuyente atender únicamente lo solicitado en comentario adicional: Verificar fecha de nombramiento de representación legal.", el contribuyente manifiesta que se basa en el acta y en la fecha que tiene el registro mercantil.</t>
  </si>
  <si>
    <t xml:space="preserve"> Declaraguate SAT 8620 MASESA</t>
  </si>
  <si>
    <t>generó el ticket formularios</t>
  </si>
  <si>
    <t xml:space="preserve">NIT 85549665 error presentación formulario SAT 2046 O 2241 </t>
  </si>
  <si>
    <t>Inactivación de característica especial de asalariado NIT 527429K</t>
  </si>
  <si>
    <t>MEM/SAT/IAC/DGS/UST/043/2025</t>
  </si>
  <si>
    <t>NIT 107835835 gestión 20254CESEA50FB76A</t>
  </si>
  <si>
    <t>NIT/33716323 No puede generar su formulario en Declaraguate SAT 2046</t>
  </si>
  <si>
    <t>CUI 3009826150101</t>
  </si>
  <si>
    <t>NIT 99876701  gestión  20254ACT0A94DFEF</t>
  </si>
  <si>
    <t>CUI 3560064320101</t>
  </si>
  <si>
    <t>CUI 3731934910920</t>
  </si>
  <si>
    <t>CUI 3627848841103</t>
  </si>
  <si>
    <t>CUI 3135178191409</t>
  </si>
  <si>
    <t>CUI 3585106511609</t>
  </si>
  <si>
    <t>CUI 3650064320101</t>
  </si>
  <si>
    <t>CUI 3007399150101</t>
  </si>
  <si>
    <t xml:space="preserve">Solicitud apoyo en verificación de gestión en la que se encuentra DPI: 2997322230101    </t>
  </si>
  <si>
    <t xml:space="preserve">Solicitud apoyo en verificación de gestión en la que se encuentra DPI: 2639360660913    </t>
  </si>
  <si>
    <t>Sincronizar la afiliación del IVA en RTU Oracle del NIT 120509334.</t>
  </si>
  <si>
    <t>CUI 3344594431804</t>
  </si>
  <si>
    <t>CUI 4177447220922</t>
  </si>
  <si>
    <t>CUI 2853910110101</t>
  </si>
  <si>
    <t>CUI 3031732110108</t>
  </si>
  <si>
    <t>CUI 2994122530101</t>
  </si>
  <si>
    <t xml:space="preserve">NIT 120459558 gestión 20254ACT2207B8C8 </t>
  </si>
  <si>
    <t>El contribuyente NIT 120479230 indica rechazo de su solicitud de actualización No.  20254ACTDDEB9AFF dentro de los comentarios de rechazo se encuentra "Estimado contribuyente favor de cancelar multa por aviso extemporaneo de representante legal, genera multa en el formulario "ingresos cobranza" en la pagina declaraguate, cancelar en los bancos del sistema y adjuntar la multa cancelada a los documentos escaneados de representante legal", el contribuyente manifiesta que el registro del Representante Legal lo realizó el 14/03/2025, por lo que solicita que le verifiquen la cantidad de días</t>
  </si>
  <si>
    <t>Sincronizar el NIT 276799216 finalizó inscripción el 10/04/2025 no aparece registro en el RTU Nube ni RTU Oracle.</t>
  </si>
  <si>
    <t>Marysol/Sebastián</t>
  </si>
  <si>
    <t>NIT 112064450  datos 20254ACTDCA3EF77está realizando la actualización de datos, indica que ya realizó el pago de la multa.</t>
  </si>
  <si>
    <t>Solicitud apoyo verificación de solicitud Reinicio de Contraseña AV / NIT: 53630637</t>
  </si>
  <si>
    <t>Ticket realizado por Normativo IAC</t>
  </si>
  <si>
    <t>SAT 0811 , calcula  como rectificación, no como multa formal</t>
  </si>
  <si>
    <t>CUI 3014102320101</t>
  </si>
  <si>
    <t>CUI 1573835980804</t>
  </si>
  <si>
    <t>CUI 3356329390901</t>
  </si>
  <si>
    <t>CUI 3243186181601</t>
  </si>
  <si>
    <t>NIT 96710950 de gestión 20254ACT15BF0E26</t>
  </si>
  <si>
    <t>CUI 1633561061402</t>
  </si>
  <si>
    <t>NIT 55657214 LET cuenta con cierres de libro pendientes de realizar</t>
  </si>
  <si>
    <t xml:space="preserve">NIT 9456759 LET  Pequeño Electrónico  no le permite seleccionar  año y mes </t>
  </si>
  <si>
    <t>NIT 47005386 SINC  porque realizó cese de actividades y aparece con estatus activo el establecimiento y la afiliación en oracle</t>
  </si>
  <si>
    <t>El contribuyente NIT 96967129 reporta inconveniente al realizar cambio de contraseña de la Agencia Virtual</t>
  </si>
  <si>
    <t xml:space="preserve">Solicitud apoyo en verificación de gestión en la que se encuentra DPI: 3744010201326    </t>
  </si>
  <si>
    <t xml:space="preserve">Solicitud apoyo en verificación de gestión en la que se encuentra DPI: 2991526420101    </t>
  </si>
  <si>
    <t>sincronizar el cese de actividades en RTU Oracle del NIT 47005386.</t>
  </si>
  <si>
    <t>NIT 35326921 gestión 20254ACT01E13A7D</t>
  </si>
  <si>
    <t>NIT 110665007 GESTIÓN 20254CESECAABB567</t>
  </si>
  <si>
    <t>Incnoveniente afiliación con actividad económica sin obligación / NIT: 72883650</t>
  </si>
  <si>
    <t>Solicitud apoyo gestión de actualización de datos del RTU / NIT: 120518163</t>
  </si>
  <si>
    <t>NIT 120517515 actualización gestión 20254ACT78512898</t>
  </si>
  <si>
    <t>NIT 16018370 no tiene establecimiento activo y le indica renuente a incorporarse a FEL</t>
  </si>
  <si>
    <t xml:space="preserve">NIT 93130104 M393JCF  M544GGW </t>
  </si>
  <si>
    <t>NIT 118777092 gestión 20254AVA943CF45</t>
  </si>
  <si>
    <t>Solicito su apoyo para consultar el número de gestión en el que se encuentra registrado el DPI: 1652273891608</t>
  </si>
  <si>
    <t>Solicito su apoyo para consultar el número de gestión en el que se encuentra registrado el DPI: 3841252471316</t>
  </si>
  <si>
    <t>Solicito su apoyo para consultar el número de gestión en el que se encuentra registrado el DPI: 3203380881317</t>
  </si>
  <si>
    <t xml:space="preserve">Solicitud apoyo en verificación de gestión en la que se encuentra DPI: 3297484591108 </t>
  </si>
  <si>
    <t xml:space="preserve">Solicitud apoyo en verificación de gestión en la que se encuentra DPI: 2629329890109 </t>
  </si>
  <si>
    <t xml:space="preserve">Solicitud apoyo en verificación de gestión en la que se encuentra DPI: 2620232290111  </t>
  </si>
  <si>
    <t xml:space="preserve">Solicitud apoyo en verificación de gestión en la que se encuentra DPI: 2612418691711   </t>
  </si>
  <si>
    <t xml:space="preserve">Solicitud apoyo en verificación de gestión en la que se encuentra DPI: 2384189440501   </t>
  </si>
  <si>
    <t xml:space="preserve">Solicitud apoyo en verificación de gestión en la que se encuentra DPI: 2890530800911   </t>
  </si>
  <si>
    <t xml:space="preserve">Solicitud apoyo en verificación de gestión en la que se encuentra DPI: 3268171311015   </t>
  </si>
  <si>
    <t xml:space="preserve">Solicitud apoyo en verificación de gestión en la que se encuentra DPI: 2253115770406   </t>
  </si>
  <si>
    <t xml:space="preserve">Solicitud apoyo en verificación de gestión en la que se encuentra DPI: 2987894340101   </t>
  </si>
  <si>
    <t xml:space="preserve">Solicitud apoyo en verificación de gestión en la que se encuentra DPI: 2992343040101   </t>
  </si>
  <si>
    <t>El contribuyente NIT 287302024 reporta inconveniente al realizar intentar ingresar a la Agencia Virtual le muestra credenciales invalidas y si intenta realizar cambio de correo electronico de la Agencia Virtual le indica que no posee agencia virtual, se adjunta imagen del inconveniente.</t>
  </si>
  <si>
    <t>El contribuyente NIT 120137704 indica rechazo de su solicitud de actualización No.  20254ACT77F5C16F dentro de los comentarios de rechazo se encuentra "Estimado Contribuyente, Adjuntar/presentar multa por aviso extemporáneo de representación legal, genere boleta Declaraguate formulario No.: 46582360722 Acceso: 506400509", el contribuyente manifiesta que la multa fue cancelada el 14/04/2025 con el formulario SAT 0811 No. 46473013632 acceso: 983849430, que adjunto al nombramiento de Representante Legal.</t>
  </si>
  <si>
    <t>Jessica Faviola Marroquin Mundo</t>
  </si>
  <si>
    <t>El contribuyente NIT 321230515 reporta inconveniente al realizar intentar ingresar a la Agencia Virtual le muestra credenciales invalidas y si intenta realizar cambio de correo electrónico de la Agencia Virtual le indica que no posee agencia virtual, se adjunta imagen del inconveniente.</t>
  </si>
  <si>
    <t>Solicito su apoyo para consultar el número de gestión en el que se encuentra registrado el DPI: 2996636710101</t>
  </si>
  <si>
    <t>Solicito su apoyo para consultar el número de gestión en el que se encuentra registrado el DPI: 2639615671212</t>
  </si>
  <si>
    <t>NIT 96210419</t>
  </si>
  <si>
    <t>El contribuyente NIT 78255740 reporta que realizó el pago del Impuesto Sobre Circulación de Vehículos por medio del formulario SAT/4091 No. 46382481613 acceso 284517337; sin embargo, dentro del mismo en el apartado 3. Detalle de Vehículos no indica la cantidad de vehículos pagados y en el aparatado 4. Determinación del total a pagar no detalla los vehículos a los que se le pago el impuesto, lo anterior le genera el inconveniente que no pueda generar los distintivos electrónicos desde la Agencia Virtual.</t>
  </si>
  <si>
    <t>NIT 100210996 gestión 20254ACT57AAF68F</t>
  </si>
  <si>
    <t xml:space="preserve"> NIT  6496423 gestión 20254ACT7F1EA987 </t>
  </si>
  <si>
    <t>CUI 3160346060903</t>
  </si>
  <si>
    <t>CUI 3139403390706</t>
  </si>
  <si>
    <t>El contribuyente NIT 19606532 reporta que realizó el pago del formulario 46495018080 acceso 625854289 por impuesto de circulación de un vehículo placas P826DLK el 17/04/2025, pero dicho pago no ha sido aplicado, según la consultas aparece pendiente de pago.</t>
  </si>
  <si>
    <t>CUI 3386533842009</t>
  </si>
  <si>
    <t>CUI 1907769782206</t>
  </si>
  <si>
    <t>CUI 3091747911406</t>
  </si>
  <si>
    <t>CUI 2923072410301</t>
  </si>
  <si>
    <t>CUI 1900254091709</t>
  </si>
  <si>
    <t>CUI 3362307451904</t>
  </si>
  <si>
    <t>CUI 1980228240611</t>
  </si>
  <si>
    <t>CUI 2907558400906</t>
  </si>
  <si>
    <t xml:space="preserve">Solicitud apoyo en verificación de gestión en la que se encuentra DPI: 2000044331711   </t>
  </si>
  <si>
    <t>Solicito apoyo para inactivar la afiliación del ISR Régimen Asalariado del contribuyente con NIT 117144002</t>
  </si>
  <si>
    <t>Solicito apoyo para sincronizar el CUI del contribuyente, debido a que, no ha replicado en RTU Oracle / NIT: 20128754</t>
  </si>
  <si>
    <t>Solicitud apoyo Sincronización de AV / NIT: 287302024</t>
  </si>
  <si>
    <t>El contribuyente NIT 63116650 realizó la gestión de inscripción de exportador 20254EXP1A324AF7 la cual ya esta en estado finalizado; sin embargo, no le aparece la característica especial de exportador.</t>
  </si>
  <si>
    <t>Ervin Francisco Rosales Figueroa</t>
  </si>
  <si>
    <t>El Notario NIT 34858857 Problema generado con huella en Traspaso Electrónico por Notario. Se generó el Ticket 10000284664, el ya realizó la confirmación de huella dactilar, pero en el momento del traspaso le genera error.</t>
  </si>
  <si>
    <t>El contribuyente NIT 81048661 reporta que realizó el pago del Impuesto Sobre Circulación de Vehículos por medio del formulario SAT/4091 No. 46509710247 acceso 81727982; sin embargo, dentro del mismo en el apartado 3. Detalle de Vehículos solo indica la cantidad de 2 vehículos pagados y no todos a los que se les pago el impuesto y en el aparatado 4. Determinación del total a pagar solo detalla 2 vehículos y no a todos a los que se le pago el impuesto, lo anterior le genera el inconveniente que no pueda generar los distintivos electrónicos desde la Agencia Virtual.</t>
  </si>
  <si>
    <t>El contribuyente NIT 59224541 reporta que realizó el pago del Impuesto Sobre Circulación de Vehículos por medio del formulario SAT/4091 No. 46570309884 acceso 319833331; sin embargo, dentro del mismo en el apartado 3. Detalle de Vehículos solo indica la cantidad de 1 vehículo pagado y no todos a los que se les pago el impuesto y en el aparatado 4. Determinación del total a pagar solo detalla 1 vehículo y no a todos a los que se le pago el impuesto, lo anterior le genera el inconveniente que no pueda generar los distintivos electrónicos desde la Agencia Virtual.</t>
  </si>
  <si>
    <t>Carlos Emilio Jocop Patzan</t>
  </si>
  <si>
    <t xml:space="preserve"> no permite solicitar Agencia Virtual 78397898</t>
  </si>
  <si>
    <t>CUI 2988797940101</t>
  </si>
  <si>
    <t>El contribuyente NIT 71345892 reporta que realizó el pago del Impuesto Sobre Circulación de Vehículos por medio del formulario SAT/4091 No. 46533126249 acceso 545109748; sin embargo, dentro del mismo en el apartado 3. Detalle de Vehículos no indica la cantidad de vehículos pagados y en el aparatado 4. Determinación del total a pagar no detalla los vehículos a los que se le pago el impuesto, lo anterior le genera el inconveniente que no pueda generar los distintivos electrónicos desde la Agencia Virtual.</t>
  </si>
  <si>
    <t>CUI 1934947361101</t>
  </si>
  <si>
    <t>NIT 17926319 M269FLN P534BHK</t>
  </si>
  <si>
    <t>Solicito su apoyo para consultar el número de gestión en el que se encuentra registrado el DPI: 2612628072005</t>
  </si>
  <si>
    <t>Solicito su apoyo para consultar el número de gestión en el que se encuentra registrado el DPI: 3698755830101</t>
  </si>
  <si>
    <t>Solicito su apoyo para consultar el número de gestión en el que se encuentra registrado el DPI: 3388181972011</t>
  </si>
  <si>
    <t>Solicito su apoyo para consultar el número de gestión en el que se encuentra registrado el DPI: 2493573132215</t>
  </si>
  <si>
    <t>Solicito su apoyo para consultar el número de gestión en el que se encuentra registrado el DPI: 3387757141001</t>
  </si>
  <si>
    <t>Solicito su apoyo para consultar el número de gestión en el que se encuentra registrado el DPI: 2947229040103</t>
  </si>
  <si>
    <t>Solicito su apoyo para consultar el número de gestión en el que se encuentra registrado el DPI: 3022843540101</t>
  </si>
  <si>
    <t>Solicito su apoyo para consultar el número de gestión en el que se encuentra registrado el DPI: 2668339501420</t>
  </si>
  <si>
    <t>CUI 2328281481301</t>
  </si>
  <si>
    <t>CUI 3032191650108</t>
  </si>
  <si>
    <t xml:space="preserve">Solicitud apoyo en verificación de gestión en la que se encuentra DPI: 2328281481301   </t>
  </si>
  <si>
    <t xml:space="preserve">Solicitud apoyo en verificación de gestión en la que se encuentra DPI: 2240356651413   </t>
  </si>
  <si>
    <t xml:space="preserve">Solicitud apoyo en verificación de gestión en la que se encuentra DPI: 3025824360103   </t>
  </si>
  <si>
    <t>P657GFD  NIT 1643272K</t>
  </si>
  <si>
    <t xml:space="preserve">Solicitud apoyo en verificación de gestión en la que se encuentra DPI: 3066852640601   </t>
  </si>
  <si>
    <t>El contribuyente NIT 90750136 se comunicó al Contact Center indicando que está realizando la gestión de Cese No. 20254CESE23EFB9D1 dentro del comentario del rechazo indica: "Libro de compras y ventas de pequeño contribuyente, con registros al día, adjunta folio en donde se registró el último movimiento (donde giro facturas) , último folio operado ( sin movimiento) y siguiente en blanco debidamente anulado ( mayo 2025)." el contribuyente manifiesta que no está adjuntando el último folio donde se registró el último movimiento, el cual no corresponde porque el NIT nunca tuvo movimiento.</t>
  </si>
  <si>
    <t>El contribuyente NIT 120515962 indica rechazo de su solicitud de actualización No.  20254ACT38AD9593 dentro de los comentarios de rechazo se encuentra "Señor contribuyente he verificado 3 veces su gestión debe adjuntar la escritura matriz No. 38 con su respectivo 1er Testimonio y su razón del Registro. Debe escanearla mas legible y clara. Corrija en la solicitud las fechas del nombramiento de ALMA CAROLINA QUECHE MARROQUIN. Gracias", el contribuyente indica que esta adjuntando lo solicitado.</t>
  </si>
  <si>
    <t>CUI 4036167510108</t>
  </si>
  <si>
    <t>NIT 70032955 anular factura DTE</t>
  </si>
  <si>
    <t>El contribuyente NIT 108900509 reporta problemas con la asignación de los correlativos de los folios al generar los libros porque le aparecen desordenados.</t>
  </si>
  <si>
    <t>NIT 120306417  en el Registro Mercantil indica NIT inválido</t>
  </si>
  <si>
    <t>NIT 42276489 le indica que tiene cierres pendientes</t>
  </si>
  <si>
    <t>El contribuyente NIT 267421400 reporta inconveniente al realizar intentar ingresar a la Agencia Virtual le muestra credenciales invalidas y si intenta realizar cambio de contraseña de la Agencia Virtual le indica que no posee agencia virtual, se adjunta imagen del inconveniente.</t>
  </si>
  <si>
    <t>CUI 3121094820705</t>
  </si>
  <si>
    <t xml:space="preserve"> 18278434 IP bloqueada</t>
  </si>
  <si>
    <t>Solicitud apoyo Sincronización de AV / NIT: 120518147</t>
  </si>
  <si>
    <t xml:space="preserve">NIT NIT 81954646 se queda en blanco la pantalla y cuando quiere generar los reportes le indica que cuenta con cierres de libro pendientes de realizar.
</t>
  </si>
  <si>
    <t>NIT 96369582  LET al generar reporte indica que tiene libros pendiente de cierre</t>
  </si>
  <si>
    <t>NIT 48934704 se queda en blanco la pantalla</t>
  </si>
  <si>
    <t>El contribuyente NIT 70618623 reporta inconvenientes en generar los libros de pequeño contribuyente ventas, pero no le genera compras la pantalla queda en blanco, ya borro historial e intento en otro navegador y en ventana de incognito, pero no le permite.</t>
  </si>
  <si>
    <t>El contribuyente NIT 18285562 reporta que está tratando de emitir una factura, pero no le permite seleccionar tipo de DTE ya se realizó borrado de historial y la prueba en ventana de incognito, pero sigue el inconveniente.</t>
  </si>
  <si>
    <t>están realizando solicitud de NIT para una ONG ASOCIACIÓN DE DESARROLLO INTEGRAL IXCÁN /DINAI/ ONG, DE CARIDAD, DE SERVICIOS, PARTICIPATIVA, DE INCIDENCIA, DE INVESTIGACIÓN, DE CULTURAL, DE DEFENSA, DE GENERACIÓN DE INGRESOS DESDE LO LOCAL, DE FORTALECIMIENTO INSTITUCIONAL, DE MEDIO AMBIENTE, DE FORMACIÓN CIUDADANA. pero se lo rechazaban ya que el nombre es muy largo y no cabía en el apartado de establecimientos, canceló la gestión y ahora que le enviaron el nuevo enlace necesita apoyo para colocar el nombre en la nueva solicitud y así evitar rechazos</t>
  </si>
  <si>
    <t>Aparece duplicidad de socios en la actualización del RTU NITs 95904506 y 82232946</t>
  </si>
  <si>
    <t xml:space="preserve">NIT 87602652 contribuyente se llama  VICENTE LAYNEZ PACHECO y en Agencia virtual aparece LAINEZ
</t>
  </si>
  <si>
    <t>NIT 68031904 fue aprobada la AV y no aparece en RTU nube ni oracle</t>
  </si>
  <si>
    <t>NIT 87798980  realizó cese de actividades y aparece renuente a incorporarse a FEL</t>
  </si>
  <si>
    <t>NIT 71264647 LET no le permite realizar el reporte de LET , indica el error cuenta con cierres de libro pendiente de realizar</t>
  </si>
  <si>
    <t>NIT 99220784</t>
  </si>
  <si>
    <t>MEM/SAT/IAC/DGS/UST/048/2025</t>
  </si>
  <si>
    <t>El contribuyente NIT 1412506 reporta inconveniente con la emisión de facturas, el inconveniente le surgió después de realizar cambio de régimen</t>
  </si>
  <si>
    <t>Sincronizar información del Representante Legal en RTU Oracle del NIT 69674264.</t>
  </si>
  <si>
    <t>El contribuyente 112954723 reporta que hizo cancelación definitiva de establecimiento el 20/08/2024 pero la característica de facturas sigue en estado "ACTIVA" desde el 18/03/2023 y ya no posee establecimientos activos y solicita que se finalice correctamente la gestión de cese de actividades.</t>
  </si>
  <si>
    <t>Fíjese que nos solicitan memorándum, entonces está para firma de la Licda. Mayra un corrimiento de todos los casos que existan de NIT con la afiliación activa y sin establecimientos activos, para la inactivación de la característica emisor FEL</t>
  </si>
  <si>
    <t>El contribuyente NIT 38329212 indica que su Vehículo Placas P/006BJW, en la calcomanía la Línea del vehículo le sale TSURU II y en la tarjeta de circulación la Línea del Vehículo le sale Sunny LX, siendo lo correcto según el Certificado de propiedad Tsuru II.</t>
  </si>
  <si>
    <t>NIT 22301569 LET  se queda en blanco la pantalla</t>
  </si>
  <si>
    <t>El contribuyente NIT 105357081 manifiesta que actualizó datos y colocó como Actividad económica el código 0009.40 Otros sin obligaciones, pero le sigue apareciendo la afiliación como asalariado</t>
  </si>
  <si>
    <t xml:space="preserve">NIT 31118720 error LET general error del servidor </t>
  </si>
  <si>
    <t>pendiente, se sostuvo  reunión via Teams con GIN, y se encuentra en monitoreo</t>
  </si>
  <si>
    <t>NIT 72870206 LET general , marzo y abril régimen general y cambio en mayo a pequeño contribuyente</t>
  </si>
  <si>
    <t>REPORTE DE CONSULTAS NO RESUELTAS EN LA PRIMERA INTERACCIÓN</t>
  </si>
  <si>
    <t>NIT</t>
  </si>
  <si>
    <t>Solicitud apoyo gestión Cese de Actividades / NIT: 88719103 gestión: 20254CESE6CF8B196</t>
  </si>
  <si>
    <t>GRS/Jutiapa</t>
  </si>
  <si>
    <t>CUI 3344648891613</t>
  </si>
  <si>
    <t>CUI 2889709770306</t>
  </si>
  <si>
    <t>no le permite realizar el cierre de libros se queda en blanco</t>
  </si>
  <si>
    <t>CUI 3011871690101</t>
  </si>
  <si>
    <t>CUI 3020577300101</t>
  </si>
  <si>
    <t>CUI 3516610420901</t>
  </si>
  <si>
    <t>CUI 3009986190101</t>
  </si>
  <si>
    <t>CUI 3984626070101</t>
  </si>
  <si>
    <t>CUI 2824409760301</t>
  </si>
  <si>
    <t>CUI 3361916260901</t>
  </si>
  <si>
    <t>CUI 2668339501420</t>
  </si>
  <si>
    <t xml:space="preserve">CUI 3115705260805 </t>
  </si>
  <si>
    <t>CUI 2214404370513</t>
  </si>
  <si>
    <t>CUI 3155089300502</t>
  </si>
  <si>
    <t>CUI 1802623861907</t>
  </si>
  <si>
    <t>CUI 3182970431505</t>
  </si>
  <si>
    <t>CUI 3058663380301</t>
  </si>
  <si>
    <t>CUI 2140003891705</t>
  </si>
  <si>
    <t>PAGO DEL ISCV NIT 31817564  placa M042KPN y no de la placa P282KNJ</t>
  </si>
  <si>
    <t>Solicito su apoyo para consultar el número de gestión en el que se encuentra registrado el DPI: 4149148561608</t>
  </si>
  <si>
    <t>CUI 4052371110101</t>
  </si>
  <si>
    <t>CUI 3239297451002</t>
  </si>
  <si>
    <t>NIT 12694460 LET  régimen general</t>
  </si>
  <si>
    <t>CUI 1931192931420</t>
  </si>
  <si>
    <t>CUI 3269232681402</t>
  </si>
  <si>
    <t>CUI 1883621851909</t>
  </si>
  <si>
    <t>Solicito su apoyo para consultar el número de gestión en el que se encuentra registrado el DPI: 3761606670101</t>
  </si>
  <si>
    <t>SAT 8370 declaraguate</t>
  </si>
  <si>
    <t xml:space="preserve">aparece suspendido y ya realizó los pagos </t>
  </si>
  <si>
    <t>se queda en blanco</t>
  </si>
  <si>
    <t>suspendido en el RTU nube y en el verificador aparece suspendido</t>
  </si>
  <si>
    <t>suspendido en el RTU nube y en el verificador aparece suspendido y realizó los pagos</t>
  </si>
  <si>
    <t>CUI 2553897281311</t>
  </si>
  <si>
    <t>20254ACT0D0ADD85 ya realizó el pago de la multa de RL</t>
  </si>
  <si>
    <t>GRC/Chimaltenango</t>
  </si>
  <si>
    <t>aún aparece con incumplimiento y ya realizó el pago</t>
  </si>
  <si>
    <t>CUI 3199496480801</t>
  </si>
  <si>
    <t>gestión 20254ACT32E2B650</t>
  </si>
  <si>
    <t>GRO/San Marcos</t>
  </si>
  <si>
    <t>CUI 2008219890101</t>
  </si>
  <si>
    <t>CUI 2229341230920</t>
  </si>
  <si>
    <t>CUI 1939358721217</t>
  </si>
  <si>
    <t>CUI 3016066680101</t>
  </si>
  <si>
    <t>CUI 3104362140406</t>
  </si>
  <si>
    <t xml:space="preserve">cese 20254CESE521B7FF7 </t>
  </si>
  <si>
    <t>GRN/Izabal</t>
  </si>
  <si>
    <t>CUI 3905474250101</t>
  </si>
  <si>
    <t>Solictiud apoyo sincronización en el verificador integrado</t>
  </si>
  <si>
    <t>CUI 2950263590308</t>
  </si>
  <si>
    <t>CUI 3346664571805</t>
  </si>
  <si>
    <t>Mayra Sandoval</t>
  </si>
  <si>
    <t>Solicito su apoyo para consultar el número de gestión en el que se encuentra registrado el DPI: 2148935290509</t>
  </si>
  <si>
    <t>ya realizó el pago de sus omisiones y aparece suspendido por el Arto. 120</t>
  </si>
  <si>
    <t>CUI 3695546552004</t>
  </si>
  <si>
    <t>CUI 3373871842002</t>
  </si>
  <si>
    <t>no le despliega el mes de abril</t>
  </si>
  <si>
    <t>se inscribió el 28/04/2025 y no le aparece activa la AV</t>
  </si>
  <si>
    <t>95826548 / 5238668</t>
  </si>
  <si>
    <t>Solicitud apoyo verificación suspensión de IVA según Arto. 120 CT /  NIT: 95826548 / 5238668</t>
  </si>
  <si>
    <t>CUI 3866461550101</t>
  </si>
  <si>
    <t>cuenta con libros pendientes de cierre</t>
  </si>
  <si>
    <t>que intente nuevamente</t>
  </si>
  <si>
    <t>El contribuyente NIT 82226164 reporta inconveniente el día 28/04/2025 fue aprobada la solicitud de Agencia Virtual, al ingresar una solicitud de cambio de contraseña de agencia virtual le aparece que no cuenta con usuario, en Oracle le aparece la marca y en RTU nube no.</t>
  </si>
  <si>
    <t>El contribuyente NIT 20584970 reporta inconvenientes en generar el Libro de Compras y Ventas para Regímenes Especiales del IVA del mes de abril de 2025, el sistema no muestra la opción para la descarga</t>
  </si>
  <si>
    <t>El contribuyente NIT 95680292  manifiesta que en el Verificador Integrado le aparece el siguiente mensaje: Afiliación al Impuesto al Valor Agregado inactiva por suspensión y en RTU Nuble no tiene suspendida la afiliación.</t>
  </si>
  <si>
    <t>El contribuyente NIT 91370043 reporta inconvenientes en generar el Libro de Compras y Ventas para Regímenes Especiales del IVA del mes de abril de 2025.</t>
  </si>
  <si>
    <t>El contribuyente NIT 112526047 reporta inconveniente que se activo NIT de la sociedad, pero no aparece la marca de agencia virtual, y si aparece el correo de agencia virtual, necesitan ingresar, pero no les reconoce la contraseña.</t>
  </si>
  <si>
    <t>El contribuyente NIT 14199254 reporta problemas con la generación del libro de compras y ventas del pequeño contribuyente, no se muestra la opción propia del libro de compras</t>
  </si>
  <si>
    <t xml:space="preserve">Solicitud apoyo en verificación de gestión en la que se encuentra DPI: 2759081862105   </t>
  </si>
  <si>
    <t>El contribuyente NIT 27142078 manifiesta que realizó cese de actividades el 30/04/2025 y el sistema aun refleja el incumplimiento de suspendida la afiliación al IVA.</t>
  </si>
  <si>
    <t>El contribuyente NIT 9572783 manifiesta que actualizó el día 30/04/2025 realizo un cambio de régimen el cual fue aprobado el día de hoy 05/05/2025 el indica que la fechas no coinciden de las afiliaciones ya que el IVA tiene de inicio de vigencia el 01/06/2025 y el ISR tiene fecha de 01/05/2025</t>
  </si>
  <si>
    <t xml:space="preserve">Solicitud apoyo en verificación de gestión en la que se encuentra DPI: 3254181010801   </t>
  </si>
  <si>
    <t xml:space="preserve">Solicitud apoyo en verificación de gestión en la que se encuentra DPI: 2677894591309   </t>
  </si>
  <si>
    <t>El contribuyente NIT 104660902 reporta que al querer presentar el mes de abril de LET no le genera las compras se queda en blanco y de ahí no puede pasar y solo es en ese mes que le da problema</t>
  </si>
  <si>
    <t xml:space="preserve">Solicitud apoyo en verificación de gestión en la que se encuentra DPI: 3516656680608   </t>
  </si>
  <si>
    <t xml:space="preserve">Solicitud apoyo en verificación de gestión en la que se encuentra DPI: 3028900330106   </t>
  </si>
  <si>
    <t>El contribuyente NIT 35900849 reporta problemas con el funcionamiento del LET de Pequeño Contribuyente, no permite continuar con el proceso una vez se oprime el botón de continuar.</t>
  </si>
  <si>
    <t>El contribuyente NIT 82519412 reporta problemas en la generación del libro de compras para LET DE PEQUEÑO CONTRIBUYENTE. </t>
  </si>
  <si>
    <t>El contribuyente NIT 52493830 reporta problemas en la generación del libro de compras para LET DE PEQUEÑO CONTRIBUYENTE.</t>
  </si>
  <si>
    <t>El contribuyente NIT 28818865 indica rechazo de su solicitud de actualización No.  20254ACTD814203D dentro de los comentarios de rechazo se encuentra "Estimado contribuyente. La constancia que esta subiendo es de colegiado de abogado y notario por eso mismo su solicitud no puede ser aprobada ya que no coincide con la profesión seleccionada", el contribuyente indica que esta profesión se inscribe en el Colegio de Abogados y Notarios.</t>
  </si>
  <si>
    <t>GRC/San Rafael</t>
  </si>
  <si>
    <t>El contribuyente NIT 70394032 reporta problemas en la generación del libro de compras para LET DE PEQUEÑO CONTRIBUYENTE.</t>
  </si>
  <si>
    <t>El contribuyente NIT 18421792 manifiesta que inscribió un establecimiento el 14/05/2025 fue aprobado pero la afiliación al ISR esta inactiva y ya realizó dos actualizaciones de datos y están aprobadas, pero no se activa el ISR.</t>
  </si>
  <si>
    <t xml:space="preserve">Solicitud apoyo en verificación de gestión en la que se encuentra DPI: 3330332991222   </t>
  </si>
  <si>
    <t>P631JFH  ya pago el ISCV 2025 y no le despliega los distintivos</t>
  </si>
  <si>
    <t>CUI 3323239781803</t>
  </si>
  <si>
    <t>realizó depuración y aparece en el verificador que no tiene registrado el CUI</t>
  </si>
  <si>
    <t>CUI 2837698900101</t>
  </si>
  <si>
    <t xml:space="preserve">20254ACTF1C47FEF </t>
  </si>
  <si>
    <t>actividad económica otros, pero no le permite inactivar ISR asalariado</t>
  </si>
  <si>
    <t>CUI 3155313201309</t>
  </si>
  <si>
    <t>Solicito su apoyo para consultar el número de gestión en el que se encuentra registrado el DPI: 3253759921703</t>
  </si>
  <si>
    <t>Solicito su apoyo para consultar el número de gestión en el que se encuentra registrado el DPI: 3698372070101</t>
  </si>
  <si>
    <t>Solicitud apoyo pago de formulario SAT/4091 ISCV</t>
  </si>
  <si>
    <t>Solicitud apoyo gestión de actualización de datos del RTU</t>
  </si>
  <si>
    <t>GRC/Prima</t>
  </si>
  <si>
    <t>CUI 2418434560108</t>
  </si>
  <si>
    <t>Solicito su apoyo para consultar el número de gestión en el que se encuentra registrado el DPI: 3104302910701</t>
  </si>
  <si>
    <t>Solicitud apoyo en verificación de gestión en la que se encuentra DPI: 2010414051901</t>
  </si>
  <si>
    <t xml:space="preserve">Solicitud apoyo en verificación de gestión en la que se encuentra DPI: 2324457960101   </t>
  </si>
  <si>
    <t xml:space="preserve">Solicitud apoyo en verificación de gestión en la que se encuentra DPI: 3318499171609   </t>
  </si>
  <si>
    <t xml:space="preserve">Solicitud apoyo en verificación de gestión en la que se encuentra DPI: 3425767982201   </t>
  </si>
  <si>
    <t>El contribuyente NIT 4865367 reporta que cuando visualiza el formulario número 46709083441 es por valor de Q16,709.30 pero cuando visualiza el SAT/2000 está por valor de Q16,709.26.</t>
  </si>
  <si>
    <t xml:space="preserve">Solicitud apoyo en verificación de gestión en la que se encuentra DPI: 3860940200101   </t>
  </si>
  <si>
    <t xml:space="preserve">Solicitud apoyo en verificación de gestión en la que se encuentra DPI: 2994122530101   </t>
  </si>
  <si>
    <t xml:space="preserve">Solicitud apoyo en verificación de gestión en la que se encuentra DPI: 2725866842006   </t>
  </si>
  <si>
    <t xml:space="preserve">Solicitud apoyo en verificación de gestión en la que se encuentra DPI: 3528401370101   </t>
  </si>
  <si>
    <t>El contribuyente NIT 86134973  manifiesta que en el Verificador Integrado le aparece el siguiente mensaje: Contribuyente renuente a incorporarse al Régimen Fel y no posee establecimientos activos.</t>
  </si>
  <si>
    <t>El contribuyente NIT 37549979 indica rechazo de su gestión de actualización No.  20255ACTAC6A9F2C dentro de los comentarios de rechazo se encuentra "Estimado contribuyente debe adjuntar Constancia de colegiado Activo vigente o inactive la casilla de colegiado activo.", el contribuyente manifiesta que el documento que adjunta esta vigente hasta el 30/09/2025.</t>
  </si>
  <si>
    <t>El contribuyente NIT 120518147 reporta inconveniente al realizar intentar ingresar a la Agencia Virtual le muestra credenciales invalidas y si intenta realizar cambio de contraseña de la Agencia Virtual le indica que no posee agencia virtual</t>
  </si>
  <si>
    <t xml:space="preserve">Solicitud apoyo en verificación de gestión en la que se encuentra DPI: 2840737092010   </t>
  </si>
  <si>
    <t xml:space="preserve">Solicitud apoyo en verificación de gestión en la que se encuentra DPI: 3088514120608   </t>
  </si>
  <si>
    <t xml:space="preserve">Solicitud apoyo en verificación de gestión en la que se encuentra DPI: 3306500251712   </t>
  </si>
  <si>
    <t xml:space="preserve">Solicitud apoyo en verificación de gestión en la que se encuentra DPI: 3339470021301   </t>
  </si>
  <si>
    <t xml:space="preserve">Solicitud apoyo en verificación de gestión en la que se encuentra DPI: 2470026740116   </t>
  </si>
  <si>
    <t>Inactivar o retirar la marca características especiales de “Asalariado – Activo” del RTU</t>
  </si>
  <si>
    <t>MEM/SAT/IAC/DGS/UST/053/2025</t>
  </si>
  <si>
    <t>1833976K</t>
  </si>
  <si>
    <t>91370043 </t>
  </si>
  <si>
    <t>10410757K</t>
  </si>
  <si>
    <t>2055561K</t>
  </si>
  <si>
    <t>Jessica Fabiola Marroquin Mundo</t>
  </si>
  <si>
    <t>Aura Marisol Perez Cobar</t>
  </si>
  <si>
    <t>1646060K</t>
  </si>
  <si>
    <t>Activación del Régimen del Impuesto Sobre la Renta en el RTU Digital</t>
  </si>
  <si>
    <t>MEM/SAT/IAC/DGS/UST/054/2025</t>
  </si>
  <si>
    <t>Solicitud apoyo gestión de actualización del RTU</t>
  </si>
  <si>
    <t>no está registrado en SAT como notario activo</t>
  </si>
  <si>
    <t>CUI 3047884730116</t>
  </si>
  <si>
    <t>20255ACTD804B74F , indica la revisora que  es NIT  con riesgo</t>
  </si>
  <si>
    <t>CUI 3072966520101</t>
  </si>
  <si>
    <t>CUI 3424049702201</t>
  </si>
  <si>
    <t>20254ACT0BBF3C6D</t>
  </si>
  <si>
    <t>El contribuyente realizó la actualización del RTU por cambio de régimen de Pequeño Contribuyente a Contribuyente del IVA Régimen General durante el mes de abril, sin embargo la aprobación le recibió el 05 de mayo 2025</t>
  </si>
  <si>
    <t>20254INSD1C5B13F  base legal del timbre de Q.0.50</t>
  </si>
  <si>
    <t>CUI 3330332991222</t>
  </si>
  <si>
    <t>CUI 3055281650208</t>
  </si>
  <si>
    <t>CUI 3257006050802</t>
  </si>
  <si>
    <t>El contribuyente NIT 34163883 indica rechazo de su gestión de actualización de datos No.  20254ACT05708F81 dentro de los comentarios de rechazo se encuentra "un cordial saludo, favor revisar lugar de nacimiento, consignar según dato en su DPI, gracias, atte.", el contribuyente manifiesta que el sistema dentro de la actualización solo muestra el municipio como Alotenango.</t>
  </si>
  <si>
    <t>GRC/Sacatepéquez</t>
  </si>
  <si>
    <t xml:space="preserve">Solicitud apoyo en verificación de gestión en la que se encuentra DPI: 1955696280306   </t>
  </si>
  <si>
    <t xml:space="preserve">Solicitud apoyo en verificación de gestión en la que se encuentra DPI: 3024893200102   </t>
  </si>
  <si>
    <t>El contribuyente NIT 37406000 manifiesta que actualizó el día 30/04/2025 realizó un cambio de régimen el cual fue aprobado el día 05/05/2025 el indica que la fechas no coinciden de las afiliaciones ya que el IVA tiene de inicio de vigencia el 01/06/2025 y el ISR tiene fecha de 01/05/2025 el contribuyente que le verifiquen y que le sincronicen la información</t>
  </si>
  <si>
    <t xml:space="preserve">Solicitud apoyo en verificación de gestión en la que se encuentra DPI: 3021349990101   </t>
  </si>
  <si>
    <t>El contribuyente NIT 118039989 indica rechazo de su gestión de actualización de datos No.  20255ACT967FF607 dentro de los comentarios de rechazo se encuentra "Corregir fecha de inscripción ante el Registro Mercantil", el contribuyente manifiesta que esta colocando los datos correctos.</t>
  </si>
  <si>
    <t>GRN/Baja Verapaz</t>
  </si>
  <si>
    <t xml:space="preserve">Solicitud apoyo en verificación de gestión en la que se encuentra DPI: 1995938250301   </t>
  </si>
  <si>
    <t>El contribuyente NIT 91401666 reporta que realizó el pago del Impuesto Sobre Circulación de Vehículos por medio del formulario SAT/4091 No. 46 709 498 824 acceso 786 034 458; sin embargo, dentro del mismo en el apartado 3. Detalle de Vehículos solo indica la cantidad de 5 vehículos pagados y no todos a los que se les pago el impuesto siendo lo correcto 6 vehículos y en el aparatado 4. Determinación del total a pagar solo detalla 5 vehículos y no a todos a los que se le pago el impuesto, lo anterior le genera el inconveniente que no pueda generar los distintivos electrónicos desde la Agencia Virtual.</t>
  </si>
  <si>
    <t xml:space="preserve">Solicitud apoyo en verificación de gestión en la que se encuentra DPI: 3385707992007   </t>
  </si>
  <si>
    <t>El contribuyente NIT 120497492 indica rechazo de su solicitud de actualización No.  20255ACT65D80044 dentro de los comentarios de rechazo se encuentra "Favor de solventar multa por aviso extemporáneo, (descargar de Declaraguate con el número de formulario y acceso adjunto), posterior enviar nuevamente la solicitud con la constancia de pago. Numero de formulario: 46 709 760 926 Numero de acceso: 794 396 101 Revisar que los datos correspondan a la empresa.", el contribuyente manifiesta que el solo esta realizando corrección del nombre que en el proceso de inscripción fue escrito incorrectamente.</t>
  </si>
  <si>
    <t xml:space="preserve"> Inconveniente con Traspaso Electronico de Vehiculos Notario NIT
68362889.</t>
  </si>
  <si>
    <t>Reporte semestral de inventarios</t>
  </si>
  <si>
    <t>consulta DTE general</t>
  </si>
  <si>
    <t>C971BVZ M025HPF P343KNY TC30BYL TC99CPL indica el contribuyente que le cobró de más del formulario aunque tiene la placa C682BWY</t>
  </si>
  <si>
    <t>CUI 3177406791312</t>
  </si>
  <si>
    <t>CUI 2377839160901</t>
  </si>
  <si>
    <t>A02361103 emitido en Estados Unidos </t>
  </si>
  <si>
    <t>CUI 3044453390114</t>
  </si>
  <si>
    <t>Solicito su apoyo para consultar el número de gestión en el que se encuentra registrado el DPI: 3045332620114</t>
  </si>
  <si>
    <t>20254ACTA1D2F6B8</t>
  </si>
  <si>
    <t>GRO/Quetzaltenango</t>
  </si>
  <si>
    <t xml:space="preserve">SINC  afiliaciones,  RTU nube y oracle aparecen activas y no tiene establecimiento activo </t>
  </si>
  <si>
    <t>GI   me indicó que realizar ticket</t>
  </si>
  <si>
    <t>Solicito su apoyo para consultar el número de gestión en el que se encuentra registrado el DPI: 2543977270116</t>
  </si>
  <si>
    <t>Solicito su apoyo para consultar el número de gestión en el que se encuentra registrado el DPI: 3293071691105</t>
  </si>
  <si>
    <t>Solicito su apoyo para consultar el número de gestión en el que se encuentra registrado el DPI: 3364211760917</t>
  </si>
  <si>
    <t>Solicitud apoyo inconveniente en solicitud de Agencia Virtual,</t>
  </si>
  <si>
    <t>inactivar característica asalariado</t>
  </si>
  <si>
    <t>MEM/SAT/IAC/DGS/UST/055/2025</t>
  </si>
  <si>
    <t>Solicito su apoyo para consultar el número de gestión en el que se encuentra registrado el DPI: 2535007101413</t>
  </si>
  <si>
    <t>Solicito su apoyo para consultar el número de gestión en el que se encuentra registrado el DPI: 2474286982214</t>
  </si>
  <si>
    <t>Solicito su apoyo para consultar el número de gestión en el que se encuentra registrado el número de pasaporte RD7161411</t>
  </si>
  <si>
    <t>solicito su apoyo para sincronizar la afiliación del contribuyente, debido a que, el ISR debería estar inactivo y no ha replicado en RTU Oracle.</t>
  </si>
  <si>
    <t>Solicito su apoyo para consultar el número de gestión en el que se encuentra registrado el DPI: 3002090960101</t>
  </si>
  <si>
    <t>CUI 3079757620605</t>
  </si>
  <si>
    <t>característica de FEL</t>
  </si>
  <si>
    <t>NIT 77007190 Al generar reporte de abril, le indica que la cantidad de folios disponibles no son suficientes y al tratar de generar el mes anterior (marzo) le genera el mensaje: Cuenta con cierres del libro pendientes de realizar. </t>
  </si>
  <si>
    <t>Solicito su apoyo para consultar el número de gestión en el que se encuentra registrado el DPI: 3139928780707</t>
  </si>
  <si>
    <t>Caso inconveniente con traspaso electrónico</t>
  </si>
  <si>
    <t xml:space="preserve">Solicitud apoyo en verificación de gestión en la que se encuentra DPI: 2003695630101   </t>
  </si>
  <si>
    <t xml:space="preserve">Solicitud apoyo en verificación de gestión en la que se encuentra DPI: 3024250550102   </t>
  </si>
  <si>
    <t xml:space="preserve">Solicitud apoyo en verificación de gestión en la que se encuentra DPI: 3367254500919   </t>
  </si>
  <si>
    <t xml:space="preserve">Solicitud apoyo en verificación de gestión en la que se encuentra DPI: 3254679941401   </t>
  </si>
  <si>
    <t xml:space="preserve">Solicitud apoyo en verificación de gestión en la que se encuentra DPI: 3650591530114   </t>
  </si>
  <si>
    <t xml:space="preserve">Solicitud apoyo en verificación de gestión en la que se encuentra DPI: 1585434400208    </t>
  </si>
  <si>
    <t xml:space="preserve">Solicitud apoyo en verificación de gestión en la que se encuentra DPI: 3300317671201    </t>
  </si>
  <si>
    <t xml:space="preserve">Solicitud apoyo en verificación de gestión en la que se encuentra DPI: 3020809290101     </t>
  </si>
  <si>
    <t xml:space="preserve">Solicitud apoyo en verificación de gestión en la que se encuentra DPI: 2615562580105     </t>
  </si>
  <si>
    <t xml:space="preserve">Solicitud apoyo en verificación de gestión en la que se encuentra DPI: 3599560251803   </t>
  </si>
  <si>
    <t xml:space="preserve">Solicitud apoyo en verificación de gestión en la que se encuentra DPI: 3006044320101     </t>
  </si>
  <si>
    <t>El contribuyente Christian Javier López Cajas con NIT 35542195, se encuentra suspendida la afiliación de acuerdo al artículo 120 del Código Tributario</t>
  </si>
  <si>
    <t xml:space="preserve">Solicitud apoyo en verificación de gestión en la que se encuentra DPI: 3914021020101     </t>
  </si>
  <si>
    <t xml:space="preserve">Solicitud apoyo en verificación de gestión en la que se encuentra DPI: 3020769130101     </t>
  </si>
  <si>
    <t xml:space="preserve">Solicitud apoyo en verificación de gestión en la que se encuentra DPI: 3228766210507     </t>
  </si>
  <si>
    <t>El contribuyente indica que ya realizó el pago de la multa de tránsito del departamento de tránsito de la PNC, pero, en nuestro sistema aún aparece dicha multa. M/981KXH, NIT 116679905</t>
  </si>
  <si>
    <t>Otras dependencias</t>
  </si>
  <si>
    <t>El contribuyente NIT 7609000 reporta problemas para la emisión masiva de constancias de exención, el sistema indica que no tiene el registro de un establecimiento como exento constitucional</t>
  </si>
  <si>
    <t xml:space="preserve">Solicitud apoyo en verificación de gestión en la que se encuentra DPI: 1581015610205   </t>
  </si>
  <si>
    <t xml:space="preserve">cambio régimen a partir del 17/12/2023 el sistema le indica que no tiene generado el libro de diciembre de 2023, pero el sistema le da mensaje que cuenta con periodos pendientes de realizar, pero antes de este estaba como pequeño contribuyente. </t>
  </si>
  <si>
    <t>le indica en el Registro Mercantil  error en el NIT  ingresado</t>
  </si>
  <si>
    <t>GESTIÓN 20254INS0B5E36AC CUI 3923780861322 le indica que su DPI  está vencido y éste vence en el 2033</t>
  </si>
  <si>
    <t>CUI 3009621500101</t>
  </si>
  <si>
    <t>CUI  3533087141316</t>
  </si>
  <si>
    <t>CUI 3170216130505</t>
  </si>
  <si>
    <t>CUI 3018053770101</t>
  </si>
  <si>
    <t>20254CESEBFB8F9B, no emitió DTE en marzo 2024</t>
  </si>
  <si>
    <t>Sincronización de registro de pago de multa, para impresión calcomanía PO/ 053JGM</t>
  </si>
  <si>
    <t>SAT 4091 46729431112 214991820 C806BDT P286DZM P029FYP M621DXG no aparece el pago en el SAIT  vehículos</t>
  </si>
  <si>
    <t>aparece suspendido y ya realizó el pago de las omisiones</t>
  </si>
  <si>
    <t>el ticket lo generó la IFI</t>
  </si>
  <si>
    <t>CUI 3538020181613</t>
  </si>
  <si>
    <t>Solicito su apoyo para consultar el número de gestión en el que se encuentra registrado el DPI: 3584605220501</t>
  </si>
  <si>
    <t>CUI 3852945810101</t>
  </si>
  <si>
    <t>CUI 2470026740116</t>
  </si>
  <si>
    <t>No le permite presentar los libros del régimen general, en el que se encontraba antes del cambio de régimen</t>
  </si>
  <si>
    <t>Solicito su apoyo para consultar el número de gestión en el que se encuentra registrado el DPI: 3245342801006</t>
  </si>
  <si>
    <t>SINC CUI</t>
  </si>
  <si>
    <t>El contribuyente NIT 120519593 indica rechazo de su solicitud de actualización No.  20255ACTC9F14424 dentro de los comentarios de rechazo se encuentra "Estimado contribuyente atender únicamente el comentario adicional. *Los timbres por razón de registro ya habían sido utilizados anteriormente.", el contribuyente indica que necesita aclaración de comentario de requerimiento porque no los han utilizado en ningún otro documento.</t>
  </si>
  <si>
    <t>El contribuyente NIT 108292894 reporta problemas con la información contenida en el informe de facturas especiales de retenciones Web, existen facturas del 08/04/2025 que no se encuentran contenidas en el informe que emite el sistema de la SAT pero las mismas si se encuentran detalladas en el reporte del certificador</t>
  </si>
  <si>
    <t xml:space="preserve">Solicitud apoyo en verificación de gestión en la que se encuentra DPI: 2824892820112     </t>
  </si>
  <si>
    <t xml:space="preserve">Solicitud apoyo en verificación de gestión en la que se encuentra DPI: 2749903261612     </t>
  </si>
  <si>
    <t xml:space="preserve">Solicitud apoyo en verificación de gestión en la que se encuentra DPI: 2759422361615     </t>
  </si>
  <si>
    <t>Sincronizar las afiliaciones del NIT: 120529149, en RTU Oracle.</t>
  </si>
  <si>
    <t xml:space="preserve">Solicitud apoyo en verificación de gestión en la que se encuentra DPI: 2239141181607     </t>
  </si>
  <si>
    <t xml:space="preserve">Solicitud apoyo en verificación de gestión en la que se encuentra DPI: 3043645410114   </t>
  </si>
  <si>
    <t>El contribuyente NIT 59412550 reporta que al querer hacer el cierre de sus libros de compras y ventas el sistema de LET le indica que no se encuentra en ese régimen desde el 2021 el contribuyente realizo un cambio de régimen en el mes de abril y entro en vigencia el 01/05/2025 ya como pequeño contribuyente.</t>
  </si>
  <si>
    <t>Ticket creado por Normatividad</t>
  </si>
  <si>
    <t xml:space="preserve">Solicitud apoyo en verificación de gestión en la que se encuentra DPI: 3134197281216   </t>
  </si>
  <si>
    <t xml:space="preserve">Solicitud apoyo en verificación de gestión en la que se encuentra DPI: 3232810010509   </t>
  </si>
  <si>
    <t xml:space="preserve">Solicitud apoyo en verificación de gestión en la que se encuentra DPI: 3142751851411    </t>
  </si>
  <si>
    <t xml:space="preserve">Solicitud apoyo en verificación de gestión en la que se encuentra DPI: 3392060122101    </t>
  </si>
  <si>
    <t>El contribuyente NIT 72806389, manifiesta que ya se comunicó respecto al Plan Operativo y que le indicaron que tenia que esperar para que se lo retirara, pero ya van 2 semanas y aun le aparece la marca.</t>
  </si>
  <si>
    <t>GRO/Huehuetenango</t>
  </si>
  <si>
    <t>20255ACTEA4AB8D6  aún no ha sido revisada</t>
  </si>
  <si>
    <t>GRN/Zacapa</t>
  </si>
  <si>
    <t>CUI 3040647340111</t>
  </si>
  <si>
    <t>no permite generar SAT 2046 ni SAT 2241, se cambió de régimen</t>
  </si>
  <si>
    <t>CUI 3058091640301</t>
  </si>
  <si>
    <t>CHAT</t>
  </si>
  <si>
    <t>37776363 </t>
  </si>
  <si>
    <t>20255AV16254EDE , indica que el DPI  tiene vencimiento y es indefinido</t>
  </si>
  <si>
    <t>GRC/Dubai</t>
  </si>
  <si>
    <t>CUI 2893747660101</t>
  </si>
  <si>
    <t>CUI 3714165580101</t>
  </si>
  <si>
    <t>CUI 3092438070609</t>
  </si>
  <si>
    <t>CUI 2860268210301</t>
  </si>
  <si>
    <t>CUI 3384035312007</t>
  </si>
  <si>
    <t>Número de gestión de inscripción de NIT generada con el CUI 3412356012102</t>
  </si>
  <si>
    <t>Número de gestión de inscripción de NIT generada con el CUI 2922134760103</t>
  </si>
  <si>
    <t>número de gestión de inscripción de NIT generada con el CUI 3719231900101</t>
  </si>
  <si>
    <t>número de gestión de inscripción de NIT generada con el CUI 3423155522201</t>
  </si>
  <si>
    <t>Inconvenientes con emisión de CIVAs, Comité Olímpico de Guatemala</t>
  </si>
  <si>
    <t>Solicito su apoyo para consultar el número de gestión en el que se encuentra registrado el DPI: 3359635281616</t>
  </si>
  <si>
    <t>Solicitud apoyo en verificación de gestión en la que se encuentra DPI: 3097297691611</t>
  </si>
  <si>
    <t xml:space="preserve">Solicitud apoyo en verificación de gestión en la que se encuentra DPI: 2792688152216     </t>
  </si>
  <si>
    <t xml:space="preserve">Solicitud apoyo en verificación de gestión en la que se encuentra DPI: 3423155522201     </t>
  </si>
  <si>
    <t xml:space="preserve">Solicitud apoyo en verificación de gestión en la que se encuentra DPI: 3231431801601      </t>
  </si>
  <si>
    <t xml:space="preserve">Solicitud apoyo en verificación de gestión en la que se encuentra DPI: 3383677562007     </t>
  </si>
  <si>
    <t xml:space="preserve">Solicitud apoyo en verificación de gestión en la que se encuentra DPI: 2778142190202     </t>
  </si>
  <si>
    <t xml:space="preserve">Solicitud apoyo en verificación de gestión en la que se encuentra DPI: 1680729981206      </t>
  </si>
  <si>
    <t xml:space="preserve">Solicitud apoyo en verificación de gestión en la que se encuentra DPI: 2470511871607       </t>
  </si>
  <si>
    <t xml:space="preserve">Solicitud apoyo en verificación de gestión en la que se encuentra DPI: 3709795750806       </t>
  </si>
  <si>
    <t xml:space="preserve">842389K </t>
  </si>
  <si>
    <t>El contribuyente NIT 842389K indica que está realizando la gestión de Cambio de Correo Electrónico de la Agencia Virtual No. 20255AV89B02842 dentro del comentario del rechazo indica: "LA PERSONA INTERESADA DEBE DE INDICAR LOS DATOS." el contribuyente manifiesta que el indica los datos y solicita cual es el motivo del rechazo.</t>
  </si>
  <si>
    <t>GRN/Chiquimula</t>
  </si>
  <si>
    <t>Solicito su apoyo para consultar el número de gestión en el que se encuentra registrado el DPI: 2398099630103</t>
  </si>
  <si>
    <t>número de gestión de inscripción de NIT generada con el CUI 3077598811405</t>
  </si>
  <si>
    <t>NIT 105042684 se habilitó como emisor FEL a partir del 29/04/2025 sin embargo en el RTU Oracle no muestra la marca, el contribuyente tiene inconvenientes para realizar gestiones de traspaso.</t>
  </si>
  <si>
    <t>generar la solicitud de AV</t>
  </si>
  <si>
    <t xml:space="preserve">NIT 78168384 gestión 20255ACT4D3E0978, indica que no desea activar el colegiado activo y necesita finalizar la actualización de datos. </t>
  </si>
  <si>
    <t>NIT 59530146 está solicitando la gestión “cambio de correo electrónico” no le permite hacer la solicitud porque aparece el siguiente comentario “no fue posible obtener información de RENAP”</t>
  </si>
  <si>
    <t xml:space="preserve">Gestión 20255ACT29130245 de la nueva sociedad anónima NIT 120432323, indica que no procede la multa, el NIT se encuentra en estado Inactivo es una inscripción de sociedad anónima. </t>
  </si>
  <si>
    <t>GRC/Pacific</t>
  </si>
  <si>
    <t xml:space="preserve">20255ACT48D25BBE </t>
  </si>
  <si>
    <t>20255CESEBC2B04B6</t>
  </si>
  <si>
    <t>GRS/Suchitepéquez</t>
  </si>
  <si>
    <t>número de gestión de inscripción de NIT generada con el CUI 3268998121015</t>
  </si>
  <si>
    <t>CUI 2963784021205</t>
  </si>
  <si>
    <t>Solicito su apoyo para consultar el número de gestión en el que se encuentra registrado el DPI: 2474626752214</t>
  </si>
  <si>
    <t>P742GCB no aparece el pago del ISCV 2025 en el SAIT  vehículos</t>
  </si>
  <si>
    <t xml:space="preserve">Solicitud apoyo habilitación de formulario SAT/2046 período abril/2025 </t>
  </si>
  <si>
    <t xml:space="preserve">Solicitud apoyo en verificación de gestión en la que se encuentra DPI: 3045823600115     </t>
  </si>
  <si>
    <t xml:space="preserve">Solicitud apoyo en verificación de gestión en la que se encuentra DPI: 2796475300205     </t>
  </si>
  <si>
    <t xml:space="preserve">Solicitud apoyo en verificación de gestión en la que se encuentra DPI: 3026723460104     </t>
  </si>
  <si>
    <t>El contribuyente NIT 60925949 manifiesta que registro un establecimiento y solicitó la afiliación al Régimen de Pequeño Contribuyente, el negocio quedó registrado con fecha de inicio de operaciones 07//05/2025; sin embargo, no se activó la afiliación al régimen antes indicado, le visualiza como inactivas las afiliaciones que poseía antes, ha intentado activar la afiliación realizando actualización pero el sistema no se la activa</t>
  </si>
  <si>
    <t>El contribuyente NIT 72082313 manifiesta que tiene problemas para actualizar sus datos en RTU, en la última actualización quedó inactivo como pequeño contribuyente y se afilió al Régimen Sobre Utilidades en el ISR, pero no le aparece activo el Régimen General del IVA</t>
  </si>
  <si>
    <t>El contribuyente NIT 4323742 reporta problemas en la carga del informe, indica que el error tiene más de tres meses y no ha obtenido solución, menciona que no ha presentado el informe de febrero, marzo y abril.</t>
  </si>
  <si>
    <t>El contribuyente NIT 99236389 reporta que realizó el pago del Impuesto Sobre Circulación de Vehículos del vehículo P/415HYM por medio del formulario SAT/4091 No. 46765154895 acceso 25651429; sin embargo, dentro del mismo en el apartado  4. Determinación del total a pagar no detalla el vehículo, lo anterior le genera el inconveniente que no pueda generar los distintivos electrónicos desde la Agencia Virtual y aparezca el impuesto pendiente de pago.</t>
  </si>
  <si>
    <t xml:space="preserve">gestión 20255ACTDBCDF53F </t>
  </si>
  <si>
    <t>Solicito su apoyo para consultar el número de gestión en el que se encuentra registrado el DPI: 3047014910116</t>
  </si>
  <si>
    <t>número de gestión de inscripción de NIT generada con el CUI 2116968381612</t>
  </si>
  <si>
    <t>Solicito su apoyo para consultar el número de gestión en el que se encuentra registrado el DPI: 3045337770114</t>
  </si>
  <si>
    <t>Solicito su apoyo para consultar el número de gestión en el que se encuentra registrado el DPI: 3113657870409</t>
  </si>
  <si>
    <t>Inactivar característica especial de asalariados NIT 62778870</t>
  </si>
  <si>
    <t>MEM/SAT/IAC/DGS/UST/056/2025</t>
  </si>
  <si>
    <t>número de gestión de inscripción de NIT generada con el CUI 1977574560915</t>
  </si>
  <si>
    <t>Solicito su apoyo para consultar el número de gestión en el que se encuentra registrado el DPI: 3529239620101</t>
  </si>
  <si>
    <t>Solicito su apoyo para consultar el número de gestión en el que se encuentra registrado el DPI: 1980228240611</t>
  </si>
  <si>
    <t>Solicito su apoyo para consultar el número de gestión en el que se encuentra registrado el DPI: 1987738541304</t>
  </si>
  <si>
    <t>Solicitud apoyo validaciones con el RM</t>
  </si>
  <si>
    <t>El contribuyente NIT 60521309 manifiesta que realizó cese de actividades el 19/11/2024 y el sistema aun refleja el incumplimiento de suspendida la afiliación al IVA y renuente a incorporarse al Regimen FEL.</t>
  </si>
  <si>
    <t xml:space="preserve">Solicitud apoyo en verificación de gestión en la que se encuentra DPI: 2690299150901     </t>
  </si>
  <si>
    <t xml:space="preserve">Solicitud apoyo en verificación de gestión en la que se encuentra DPI: 2944926662201     </t>
  </si>
  <si>
    <t xml:space="preserve">Solicitud apoyo en verificación de gestión en la que se encuentra DPI: 3097297690611     </t>
  </si>
  <si>
    <t xml:space="preserve">Solicitud apoyo en verificación de gestión en la que se encuentra DPI: 3848946580115      </t>
  </si>
  <si>
    <t xml:space="preserve">Solicitud apoyo en verificación de gestión en la que se encuentra DPI: 3232302100509      </t>
  </si>
  <si>
    <t xml:space="preserve">NIT 120522160 está inscribiendo una nueva sociedad anónima gestión 20255ACT7437F6C3, indica que está ingresando los datos según el razonamiento de acta del Registro Mercantil, solicita que se le indique que fechas debe consignar para concluir la gestión. 
</t>
  </si>
  <si>
    <t>GRC/Montserrat</t>
  </si>
  <si>
    <t>número de gestión de inscripción de NIT generada con el CUI 3097288940406</t>
  </si>
  <si>
    <t>solicitud de AV,   no existe comunicación con RENAP</t>
  </si>
  <si>
    <t xml:space="preserve">NIT 78196264 solicitó una solvencia el día de ayer 13 de mayo, al consultar no aparece registro de solvencia para dicho NIT.   Según el formulario es del escenario A. </t>
  </si>
  <si>
    <t>CUI 3420813572201</t>
  </si>
  <si>
    <t xml:space="preserve">Cese de actividades 20254CESEBFB8F9B6 del NIT 78225191, indica que la factura correspondiente al mes de marzo 2024 fue emitida en el mes de febrero 2024.    </t>
  </si>
  <si>
    <t>número de gestión de inscripción de NIT generada con el CUI 3917796720101</t>
  </si>
  <si>
    <t>CUI 3269582071705</t>
  </si>
  <si>
    <t>constancia de inventarios</t>
  </si>
  <si>
    <t>NIT 68485050 no puede generar cambio de correo</t>
  </si>
  <si>
    <t>TC61CLN</t>
  </si>
  <si>
    <t xml:space="preserve">20255CESEBC2B04B6 </t>
  </si>
  <si>
    <t>CUI 1905468240112</t>
  </si>
  <si>
    <t>Sincronización inactivar régimen ISR asalariados (Ama de casa)</t>
  </si>
  <si>
    <t>MEM/SAT/IAC/DGS/UST/057/2025</t>
  </si>
  <si>
    <t>número de gestión de inscripción de NIT generada con el CUI 3407140421415</t>
  </si>
  <si>
    <t>número de gestión de inscripción de NIT generada con el CUI 2516622760611</t>
  </si>
  <si>
    <t>número de gestión de inscripción de NIT generada con el CUI 3398003211412</t>
  </si>
  <si>
    <t>Mayra</t>
  </si>
  <si>
    <t xml:space="preserve">Solicitud apoyo en verificación de gestión en la que se encuentra DPI: 3029004110106      </t>
  </si>
  <si>
    <t>El contribuyente NIT 7751419 reporta error de LET PEQUEÑO CONTRIBUYENTE, no le permite ingresar el folio cero a pesar de ser un libro nuevo de pequeño contribuyente, posterior a la actualización de cambio de régimen.</t>
  </si>
  <si>
    <t>Solicitud apoyo en verificación de gestión en la que se encuentra el Pasaporte G033944 emitido en Honduras.</t>
  </si>
  <si>
    <t xml:space="preserve">Solicitud apoyo en verificación de gestión en la que se encuentra DPI: 3058518370301     </t>
  </si>
  <si>
    <t xml:space="preserve">Solicitud apoyo en verificación de gestión en la que se encuentra DPI: 1913595052217     </t>
  </si>
  <si>
    <t xml:space="preserve">El contribuyente NIT 104274409 manifiesta que actualizó datos y colocó como Actividad económica el código 0001.40 Estudiante, pero le sigue apareciendo la afiliación como asalariado en estado activo </t>
  </si>
  <si>
    <t>El contribuyente NIT 9615431 manifiesta que realizó cese de actividades el 28/04/2025 y el sistema aun refleja el incumplimiento de renuente a incorporarse al Regimen FEL.</t>
  </si>
  <si>
    <t>El contribuyente NIT 85805181 indica que en la Agencia Virtual le aparece el apellido de casada, solicita que sea eliminado el apellido "PAZ" porque ya no está en el RTU Nube</t>
  </si>
  <si>
    <t xml:space="preserve">Solicitud apoyo en verificación de gestión en la que se encuentra DPI: 3620952130115     </t>
  </si>
  <si>
    <t xml:space="preserve">Solicitud apoyo en verificación de gestión en la que se encuentra DPI: 3600046520101     </t>
  </si>
  <si>
    <t xml:space="preserve">Solicitud apoyo en verificación de gestión en la que se encuentra DPI: 2991771220101     </t>
  </si>
  <si>
    <t>El contribuyente NIT 107885557 reporta que realizó el pago por habilitación de libros con el formulario SAT/7121 No. 44841625091 acceso 655444699; sin embargo, el formualrio en el apartado 2. no detalla el establecimiento por el cual fueron autorizados el Libro de Compras y Libro de Ventas, lo anterior le genera el inconveniente porque no le permite generar los Libros Electronicos Tributarios.</t>
  </si>
  <si>
    <t xml:space="preserve">Solicitud apoyo en verificación de gestión en la que se encuentra DPI: 3324046331803     </t>
  </si>
  <si>
    <t xml:space="preserve">Solicitud apoyo en verificación de gestión en la que se encuentra DPI: 2889523591020     </t>
  </si>
  <si>
    <t>El contribuyente NIT 81082762 indica que está realizando la gestión de Cese No. 20255CESE55D177C5 dentro del comentario del rechazo indica: "Se debe de colocar la certificación de cancelación y liquidación de la Sociedad. Balance a mayo 2025, sí debe de llevar información. Presentar declaraciones de IVA, ISR, a mayo 2025, presentar declaración anual 2025." el contribuyente manifiesta que si esta cargada en el sistema la información que le están solicitando.</t>
  </si>
  <si>
    <t xml:space="preserve">NIT 19713614 no puede realizar la gestión de cambio de correo electrónico, </t>
  </si>
  <si>
    <t xml:space="preserve"> NIT 4688058 no puede realizar el cierre de LET General de Abril, realizó cambio de régimen.</t>
  </si>
  <si>
    <t>Ticket generado por normativo 15/05/2025</t>
  </si>
  <si>
    <t>número de gestión de inscripción de NIT generada con el CUI 3044769350114</t>
  </si>
  <si>
    <t>Solicitud apoyo, no genero expediente para solicitud de solvencia fiscal</t>
  </si>
  <si>
    <t>Claudia Solis</t>
  </si>
  <si>
    <t xml:space="preserve">Solicitud apoyo en verificación de gestión en la que se encuentra DPI: 3022511700101     </t>
  </si>
  <si>
    <t xml:space="preserve">Solicitud apoyo en verificación de gestión en la que se encuentra DPI: 3554518830101     </t>
  </si>
  <si>
    <t>Solicito su apoyo para consultar el número de gestión en el que se encuentra registrado el DPI: 3047526650116</t>
  </si>
  <si>
    <t>número de gestión de inscripción de NIT generada con el CUI 1888820220808</t>
  </si>
  <si>
    <t>número de gestión de inscripción de NIT generada con el CUI 3220939021601</t>
  </si>
  <si>
    <t>número de gestión de inscripción de NIT generada con el CUI 3384501062007</t>
  </si>
  <si>
    <t>NIT 68044836 gestión 20254ACT1C843A45, le solicitan el pago de multa por presentación extemporánea de representante legal, indica el contribuyente que realizó el pago de multa, adjunto formulario</t>
  </si>
  <si>
    <t>Sincronizar las afiliaciones del NIT 5454018, finalizó la actualización de datos el 14/05/2025</t>
  </si>
  <si>
    <t>número de gestión de inscripción de NIT generada con el CUI 3675771941220</t>
  </si>
  <si>
    <t>Solicitud apoyo  Error al descargar reporte de LET IVA general,</t>
  </si>
  <si>
    <t>20255CESE45289F43</t>
  </si>
  <si>
    <t>número de gestión de inscripción de NIT generada con el CUI 3231431801601</t>
  </si>
  <si>
    <t xml:space="preserve">20255AV95F9E620 </t>
  </si>
  <si>
    <t>CUI 3106639890701</t>
  </si>
  <si>
    <t>número de gestión de inscripción de NIT generada con el CUI 1807408810402</t>
  </si>
  <si>
    <t>CUI 3601408311326</t>
  </si>
  <si>
    <t>CUI 3234004501001</t>
  </si>
  <si>
    <t>CUI 3025240610103</t>
  </si>
  <si>
    <t>Solicito su apoyo para consultar el número de gestión en el que se encuentra registrado el DPI: 2803846881601</t>
  </si>
  <si>
    <t xml:space="preserve">Solicitud apoyo en verificación de gestión en la que se encuentra DPI: 3047081940116     </t>
  </si>
  <si>
    <t xml:space="preserve">Solicitud apoyo en verificación de gestión en la que se encuentra DPI: 2878794021207     </t>
  </si>
  <si>
    <t xml:space="preserve">Solicitud apoyo en verificación de gestión en la que se encuentra DPI: 3432045332214     </t>
  </si>
  <si>
    <t xml:space="preserve">Solicitud apoyo en verificación de gestión en la que se encuentra DPI: 3222131931001      </t>
  </si>
  <si>
    <t xml:space="preserve">Solicitud apoyo en verificación de gestión en la que se encuentra DPI: 3603114230101      </t>
  </si>
  <si>
    <t xml:space="preserve">Solicitud apoyo en verificación de gestión en la que se encuentra DPI: 3426395282202      </t>
  </si>
  <si>
    <t xml:space="preserve">Solicitud apoyo en verificación de gestión en la que se encuentra DPI: 3609663810101      </t>
  </si>
  <si>
    <t xml:space="preserve">Solicitud apoyo en verificación de gestión en la que se encuentra DPI: 3414420530101      </t>
  </si>
  <si>
    <t xml:space="preserve">Solicitud apoyo en verificación de gestión en la que se encuentra DPI: 3256677561601      </t>
  </si>
  <si>
    <t>Sincronizar el CUI del NIT: 39848094, en RTU Oracle.</t>
  </si>
  <si>
    <t>El contribuyente NIT 111165342 indica rechazo de su solicitud de Actualización de NIT No.  20255ACT7C9E173C dentro de los comentarios de rechazo se encuentra "ESTIMADO CONTRIBUYENTE VERIFICAR Y CORREGIR LOS DOCUMENTOS QUE ADJUNTA.", el contribuyente manifiesta que ya ha realizado varias veces la gestión y se la rechazan solicita que sean mas especifico con el comentario de rechazo.</t>
  </si>
  <si>
    <t xml:space="preserve">Solicitud apoyo en verificación de gestión en la que se encuentra DPI: 3754769701220      </t>
  </si>
  <si>
    <t xml:space="preserve">Solicitud apoyo en verificación de gestión en la que se encuentra DPI: 3494359951202      </t>
  </si>
  <si>
    <t xml:space="preserve">Solicitud apoyo en verificación de gestión en la que se encuentra DPI: 3182002440715      </t>
  </si>
  <si>
    <t xml:space="preserve">Solicitud apoyo en verificación de gestión en la que se encuentra DPI: 3656428941327      </t>
  </si>
  <si>
    <t>Solito apoyo para sincronizar la marca de Factura Electrónica (FEL), debido a que, no ha replicado en RTU Oracle</t>
  </si>
  <si>
    <t>Solicitud apoyo Error al descargar reporte de LET IVA general,</t>
  </si>
  <si>
    <t>El contribuyente NIT 51818779 reporta que realizó el pago del Impuesto Sobre Circulación de Vehículos del vehículo M/259KTK por medio del formulario SAT/4091 No. 46522453623; sin embargo, en la consulta de vehículos aparece pendiente de pago, por lo que no le permite la impresión de los distintivos.</t>
  </si>
  <si>
    <t>El contribuyente NIT 90120353 manifiesta que inscribió un establecimiento el 08/05/2025 el cual ya fue aprobado, indica que se afilio al Régimen de Pequeño Contribuyente; sin embargo, en el apartado de afiliaciones le aparece, inactiva la afiliación al IVA y de ISR cuando lo correcto es que le aparezca el Régimen de Pequeño Contribuyente.</t>
  </si>
  <si>
    <t>Solicitud apoyo gestión cese definitivo de actividades.</t>
  </si>
  <si>
    <t>Henry Joachín</t>
  </si>
  <si>
    <t>número de gestión de inscripción de NIT generada con el CUI 3231742800508</t>
  </si>
  <si>
    <t>NIT 65149270 gestión 20255ACT0CC3DD38 , indica que no está consignando la información del domicilio de acuerdo a la factura de energía electrica</t>
  </si>
  <si>
    <t xml:space="preserve">número de gestión de inscripción de NIT generada con el CUI 2917030620602
</t>
  </si>
  <si>
    <t>número de gestión de inscripción de NIT generada con el CUI 3539697610101</t>
  </si>
  <si>
    <t>NIT 87379392 realizó cambio de régimen y no puede presentar el formulario el  SAT 2046 correspondiente al mes de abril 2025.</t>
  </si>
  <si>
    <t>CUI 2798117210304</t>
  </si>
  <si>
    <t>CUI 2878919250902</t>
  </si>
  <si>
    <t>no permite realizar el cambio de correo electrónico indica que no hay comunicación con RENAP</t>
  </si>
  <si>
    <t>Solicito su apoyo para consultar el número de gestión en el que se encuentra registrado el DPI: 3856462240108</t>
  </si>
  <si>
    <t>Sincronización de registro de pago de multa de tránsito PO/200FRJ</t>
  </si>
  <si>
    <t>Otras Entidades</t>
  </si>
  <si>
    <t>Solicito su apoyo para consultar el número de gestión en el que se encuentra registrado el DPI: 3416083782103</t>
  </si>
  <si>
    <t>no le permite verificar las retenciones</t>
  </si>
  <si>
    <t>número de gestión de inscripción de NIT generada con el CUI 3200357190501</t>
  </si>
  <si>
    <t>no tiene establecimientos y está suspendido por Arto. 120</t>
  </si>
  <si>
    <t>número de gestión de inscripción de NIT generada con el CUI 2919671831203</t>
  </si>
  <si>
    <t>número de gestión de inscripción de NIT generada con el CUI 3051508040201</t>
  </si>
  <si>
    <t>número de gestión de inscripción de NIT generada con el CUI 3056919880301</t>
  </si>
  <si>
    <t>número de gestión de inscripción de NIT generada con el CUI 3682187321002</t>
  </si>
  <si>
    <t>Solicito su apoyo para consultar el número de gestión en el que se encuentra registrado el DPI: 1773995031206</t>
  </si>
  <si>
    <t xml:space="preserve">Solicitud apoyo en verificación de gestión en la que se encuentra DPI: 2931071490610      </t>
  </si>
  <si>
    <t xml:space="preserve">Solicitud apoyo en verificación de gestión en la que se encuentra DPI: 3024581780102      </t>
  </si>
  <si>
    <t>El contribuyente NIT 70851646, manifiesta que realizó su pago de solvencia fiscal el 12/05/2025, la cual no ha habilitado el botón para imprimirla, se observó que esta en proceso con fecha de autorización.</t>
  </si>
  <si>
    <t xml:space="preserve">Solicitud apoyo en verificación de gestión en la que se encuentra DPI: 2987334200101      </t>
  </si>
  <si>
    <t xml:space="preserve">Solicitud apoyo en verificación de gestión en la que se encuentra DPI: 3561602890101       </t>
  </si>
  <si>
    <t xml:space="preserve">Solicitud apoyo en verificación de gestión en la que se encuentra DPI: 1663839100101       </t>
  </si>
  <si>
    <t>El contribuyente NIT 118322982, reporta inconveniente con la emisión de DTE</t>
  </si>
  <si>
    <t xml:space="preserve">Solicitud apoyo en verificación de gestión en la que se encuentra DPI: 3271236131017       </t>
  </si>
  <si>
    <t xml:space="preserve">Solicitud apoyo en verificación de gestión en la que se encuentra DPI: 3861571110101       </t>
  </si>
  <si>
    <t>Inactivación de característica especial de asalariado NIT 34145974</t>
  </si>
  <si>
    <t>MEM/SAT/IAC/DGS/UST/060/2025</t>
  </si>
  <si>
    <t>El contribuyente NIT 5530202  manifiesta que en el Verificador Integrado le aparece el siguiente mensaje: Afiliación al Impuesto al Valor Agregado inactiva por suspensión, pero dentro del RTU no posee suspensión.</t>
  </si>
  <si>
    <t xml:space="preserve">Solicitud apoyo en verificación de gestión en la que se encuentra DPI: 2162723350101        </t>
  </si>
  <si>
    <t>El contribuyente NIT 25274317 manifiesta que actualizó datos y colocó como Actividad económica el código 0001.40 Estudiante, pero le sigue apareciendo la afiliación como asalariado en estado activo</t>
  </si>
  <si>
    <t xml:space="preserve">Solicitud apoyo en verificación de gestión en la que se encuentra DPI: 3268950861604        </t>
  </si>
  <si>
    <t>El contribuyente NIT 84577851 reporta que realizó el pago del Impuesto Sobre Circulación de Vehículos por medio del formulario SAT/4091 No. 46772912168; sin embargo, dentro del mismo en el apartado 4. Determinación del total a pagar solo detalla 1 vehículo y no a todos a los que se le pago el impuesto, lo anterior le genera el inconveniente que no pueda generar los distintivos electrónicos desde la Agencia Virtual.</t>
  </si>
  <si>
    <t xml:space="preserve">Solicitud apoyo en verificación de gestión en la que se encuentra DPI: 3146988411301       </t>
  </si>
  <si>
    <t>El contribuyente NIT 1660705 reporta error de LET PEQUEÑO CONTRIBUYENTE, no le permite seleccionar el mes de abril de 2025. </t>
  </si>
  <si>
    <t xml:space="preserve">Solicitud apoyo en verificación de gestión en la que se encuentra DPI: 3848937240115        </t>
  </si>
  <si>
    <t>El contribuyente NIT 97909017  manifiesta que en el Verificador Integrado le aparece el siguiente mensaje: Afiliación al Impuesto al Valor Agregado inactiva por suspensión, pero dentro del RTU no posee suspensión.</t>
  </si>
  <si>
    <t>Suspensión del IVA del contribuyente NIT 78771854 el contribuyente no posee omisos ni plan operativo.</t>
  </si>
  <si>
    <t>número de gestión de inscripción de NIT generada con el CUI 2471699192001</t>
  </si>
  <si>
    <t>está suspendido e indica que no tiene omisiones</t>
  </si>
  <si>
    <t>CUI  3087853710608</t>
  </si>
  <si>
    <t>Solicito apoyo para sincronizar el CUI del contribuyente, debido a que, no ha replicado en RTU Oracle.</t>
  </si>
  <si>
    <t>número de gestión de inscripción de NIT generada con el CUI 2549010770116</t>
  </si>
  <si>
    <t>número de gestión de inscripción de NIT generada con el CUI 3045988600115</t>
  </si>
  <si>
    <t>tiene habilitados folios para los diferentes establecimientos</t>
  </si>
  <si>
    <t>el ticket lo generó normativo IAC</t>
  </si>
  <si>
    <t xml:space="preserve">NIT 101805705, lo están inscribiendo como contador de otro contribuyente, cuando ingresa a la agencia virtual para realizar la confirmación, le indica que debe estar inscrito en el Registro de Contadores. </t>
  </si>
  <si>
    <t>número de gestión de inscripción de NIT generada con el CUI 3057750730301</t>
  </si>
  <si>
    <t>no tiene establecimiento activo y le indica renuente a incorporarse a FEL</t>
  </si>
  <si>
    <t>Solicitud apoyo gestión Cese Temporal de Actividades.</t>
  </si>
  <si>
    <t>Juan Guillermo Sandoval</t>
  </si>
  <si>
    <t>Se realizó el memorándum MEM/SAT/IAC/DGS/UST/079/2025</t>
  </si>
  <si>
    <t>Coreo</t>
  </si>
  <si>
    <t>Solicitud apoyo en verificación de gestión en la que se encuentra DPI: 3927887210101</t>
  </si>
  <si>
    <t>Karen Zully Michelle Alvarez Iboy</t>
  </si>
  <si>
    <t>Solicitud apoyo en verificación de gestión en la que se encuentra DPI: 3350536101808</t>
  </si>
  <si>
    <t>Solicitud apoyo en verificación de gestión en la que se encuentra DPI: 3053878980206</t>
  </si>
  <si>
    <t>Solicitud apoyo en verificación de gestión en la que se encuentra DPI: 3168476740906</t>
  </si>
  <si>
    <t>Solicitud apoyo en verificación de gestión en la que se encuentra DPI: 3038986310110</t>
  </si>
  <si>
    <t>Solicitud apoyo en verificación de gestión en la que se encuentra DPI: 3221661361324</t>
  </si>
  <si>
    <t>Solicitud apoyo en verificación de gestión en la que se encuentra DPI: 2642930880101</t>
  </si>
  <si>
    <t>Solicitud apoyo en verificación de gestión en la que se encuentra DPI: 3697384700101</t>
  </si>
  <si>
    <t>Solicitud apoyo en verificación de gestión en la que se encuentra DPI: 3875214100101</t>
  </si>
  <si>
    <t>Solicitud apoyo en verificación de gestión en la que se encuentra DPI: 3363701211904</t>
  </si>
  <si>
    <t>Solicitud apoyo en verificación de gestión en la que se encuentra DPI: 2749733240713</t>
  </si>
  <si>
    <t>Solicitud apoyo en verificación de gestión en la que se encuentra DPI: 3645303750101</t>
  </si>
  <si>
    <t>Solicitud apoyo en verificación de gestión en la que se encuentra DPI: 2719603101221</t>
  </si>
  <si>
    <t>Solicitud apoyo en verificación de gestión en la que se encuentra DPI: 3098151931406</t>
  </si>
  <si>
    <t>Solicitud apoyo en verificación de gestión en la que se encuentra DPI: 3024571780102</t>
  </si>
  <si>
    <t>Solicitud apoyo en verificación de gestión en la que se encuentra DPI: 3291155451608</t>
  </si>
  <si>
    <t>Solicitud apoyo en verificación de gestión en la que se encuentra DPI: 3430949402212</t>
  </si>
  <si>
    <t>Solicitud apoyo en verificación de gestión en la que se encuentra DPI: 2857712050502</t>
  </si>
  <si>
    <t>Solicitud apoyo en verificación de gestión en la que se encuentra DPI: 3873366990101</t>
  </si>
  <si>
    <t>Solicitud apoyo en verificación de gestión en la que se encuentra DPI: 3098065500406</t>
  </si>
  <si>
    <t>El contribuyente NIT 41742656 manifiesta que actualizó datos y colocó como Actividad económica el código 0009.40 Otros, pero le sigue apareciendo la afiliación como asalariado en estado activo</t>
  </si>
  <si>
    <t>número de gestión de inscripción de NIT generada con el CUI 3127747370807</t>
  </si>
  <si>
    <t>número de gestión de inscripción de NIT generada con el CUI 3385861802008</t>
  </si>
  <si>
    <t>Solicito su apoyo para consultar el número de gestión en el que se encuentra registrado el DPI: 3540986830920</t>
  </si>
  <si>
    <t>NIT 38217082 en el cual realizó el pago del ISCV de 2 vehículos, sin embargo el formulario solo muestra 1 y no puede descargar los distintivos en agencia virtual. </t>
  </si>
  <si>
    <t>Solicitud apoyo sincronización del verificador integrado.</t>
  </si>
  <si>
    <t>Solicito su apoyo para consultar el número de gestión en el que se encuentra registrado el DPI: 3149335730803</t>
  </si>
  <si>
    <t xml:space="preserve">20255CESE555B7568 </t>
  </si>
  <si>
    <t>número de gestión de inscripción de NIT generada con el CUI 3722799610101</t>
  </si>
  <si>
    <t>CUI 3009791930101</t>
  </si>
  <si>
    <t>NIT 66580617 realizó el pago de solvencia fiscal el 15/05/2025 no aparece en la consulta</t>
  </si>
  <si>
    <t>Iveth</t>
  </si>
  <si>
    <t>CUI 3027144050105</t>
  </si>
  <si>
    <t xml:space="preserve">NIT 4771249, realizó un cese de actividades en abril 2025 e inscribió otro establecimiento en  mayo 2025, sin embargo no le permite activar las afiliaciones. </t>
  </si>
  <si>
    <t>número de gestión de inscripción de NIT generada con el CUI 3501989771416</t>
  </si>
  <si>
    <t>número de gestión de inscripción de NIT generada con el CUI 3904602140101</t>
  </si>
  <si>
    <t>número de gestión de inscripción de NIT generada con el CUI 3190882940719</t>
  </si>
  <si>
    <t>CUI 2394088100101</t>
  </si>
  <si>
    <t>NIT 108979261 realizó cese de actividades y actualizó la actividad económica como Estudiante, sin embargo, la afiliación de rentas del trabajo sigue apareciendo activa.</t>
  </si>
  <si>
    <t>Solicito su apoyo para consultar el número de gestión en el que se encuentra registrado el DPI: 2556241311002</t>
  </si>
  <si>
    <t>NIT 29986915 está realizando actualización de datos con gestión 20255ACT81328BF3 en la cual está cambiando la actividad económica como "ama de casa", desea inactivar el colegiado activo sin embargo indica que desea inactivar dicho registro.</t>
  </si>
  <si>
    <t>número de gestión de inscripción de NIT generada con el CUI 3375505300920</t>
  </si>
  <si>
    <t>número de gestión de inscripción de NIT generada con el CUI 2401260681317</t>
  </si>
  <si>
    <t>Solicitud apoyo en verificación de gestión en la que se encuentra DPI: 3547773430101</t>
  </si>
  <si>
    <t>Sincronización de registro de pago de multa, para impresión calcomanía PO/ 610GYF NIT 93793510</t>
  </si>
  <si>
    <t>Solicitud apoyo en verificación de gestión en la que se encuentra DPI: 3350536101805</t>
  </si>
  <si>
    <t>Solicitud apoyo en verificación de gestión en la que se encuentra DPI: 3002696170101</t>
  </si>
  <si>
    <t>El contribuyente NIT 29060370 reporta que solicito la activación de la Agencia Virtual con la gestión No. 20255AV17618636 el 12/05/2025, en el sistema aparece que fue reasignada pero aún no tiene respuesta, el contribuyente se encuentra un poco molesto y manifiesta que le urge un poco ya que transcurrió una semana y aún no tiene respuesta. </t>
  </si>
  <si>
    <t>La contribuyente Mayda Aracely Barrios Barrios, con CUI 1732181560101, realizó la cita No. 20254CC38A29775 para concluir la inscripción 20254INS43DAABAA. La cita aparece con el estado: Atendida, pero le realizaron diferentes observaciones para el proceso de inscripción. Por lo tanto, solicita apoyo para ser atendida el día 28 de mayo de 2025 a las 15:00 horas, en la Agencia Tributaria Dubai.</t>
  </si>
  <si>
    <t>Unidad de Tecnología IAC</t>
  </si>
  <si>
    <t>La contribuyente Mayda Aracely Barrios Barrios, con CUI 1732181560101, realizó la cita No. 20254CC4030F3F5 para concluir la inscripción 20254INS023916DC. La cita aparece con el estado: Abandonada, pero le realizaron diferentes observaciones para el proceso de inscripción. Por lo tanto, solicita apoyo para ser atendida el día 28 de mayo de 2025 a las 15:00 horas, en la Agencia Tributaria Dubai.</t>
  </si>
  <si>
    <t>Sincronizar la Razón Social y el nombre comercial del NIT: 120223376, en RTU Oracle debido a que no le aparecen los apóstrofes tanto en la Razón Social como en el nombre comercial.</t>
  </si>
  <si>
    <t>Ticket generado en el Contact Center</t>
  </si>
  <si>
    <t xml:space="preserve">Solicitud apoyo en verificación de gestión en la que se encuentra DPI: 3375505300920 </t>
  </si>
  <si>
    <t xml:space="preserve">Solicitud apoyo en verificación de gestión en la que se encuentra DPI: 3439941431713 </t>
  </si>
  <si>
    <t>El contribuyente NIT 88673383 reportan problemas con la asignación de folios en el LET DE REGÍMENES ESPECIALES DEL IVA. En febrero 2025 el sistema asigno el folio 5 mientras que en el mes de marzo 2025 el sistema asignó el folio 14 al libro.</t>
  </si>
  <si>
    <t xml:space="preserve">Solicitud apoyo en verificación de gestión en la que se encuentra DPI: 3569018020101  </t>
  </si>
  <si>
    <t>Solicitud apoyo en verificación de gestión en la que se encuentra DPI: 3868426980101</t>
  </si>
  <si>
    <t>número de gestión de inscripción de NIT generada con el CUI 3298744031109</t>
  </si>
  <si>
    <t>número de gestión de inscripción de NIT generada con el CUI 3870798820101</t>
  </si>
  <si>
    <t>número de gestión de inscripción de NIT generada con el CUI 2441789170101</t>
  </si>
  <si>
    <t xml:space="preserve">NIT 120406772 gestión 20255ACT6A5C20AB, indica que las facturas de sus servicios indican la misma dirección que está consignando en la actualización. </t>
  </si>
  <si>
    <t>Sincronizar el CUI del NIT: 36772399, en RTU Oracle.</t>
  </si>
  <si>
    <t>Solicito su apoyo para consultar el número de gestión en el que se encuentra registrado el DPI: 3119931251215</t>
  </si>
  <si>
    <t>Solicito su apoyo para consultar el número de gestión en el que se encuentra registrado el DPI: 2169114191225</t>
  </si>
  <si>
    <t>Solicito su apoyo para consultar el número de gestión en el que se encuentra registrado el DPI: 1730641400603</t>
  </si>
  <si>
    <t>número de gestión de inscripción de NIT generada con el CUI 3537863810401</t>
  </si>
  <si>
    <t>número de gestión de inscripción de NIT generada con el CUI 3087853710608</t>
  </si>
  <si>
    <t>CUI 3556126311801</t>
  </si>
  <si>
    <t xml:space="preserve">Solicitud apoyo generación de expediente Solvencia Fiscal / NIT: </t>
  </si>
  <si>
    <t>Solicito su apoyo para consultar el número de gestión en el que se encuentra registrado el DPI: 3189744011305</t>
  </si>
  <si>
    <t>Solicito su apoyo para consultar el número de gestión en el que se encuentra registrado el DPI: 3113188780701</t>
  </si>
  <si>
    <t>CUI 2911812601301</t>
  </si>
  <si>
    <t>CUI 2990043580101</t>
  </si>
  <si>
    <t>Solicitud apoyo Consulta aduanera.</t>
  </si>
  <si>
    <t>Solicitud apoyo activación de afiliación al IVA Pequeño Contribuyente.</t>
  </si>
  <si>
    <t>Solicito su apoyo para consultar el número de gestión en el que se encuentra registrado el DPI: 3520779210102</t>
  </si>
  <si>
    <t>Solicito su apoyo para consultar el número de gestión en el que se encuentra registrado el DPI: 3054962120207</t>
  </si>
  <si>
    <t>número de gestión de inscripción de NIT generada con el CUI 3009251230101</t>
  </si>
  <si>
    <t>número de gestión de inscripción de NIT generada con el CUI 1666397880502</t>
  </si>
  <si>
    <t>NIT 74613863 en el cual realizó el pago del ISCV de más de 2 vehículos, sin embargo el formulario no muestra detalle de los vehículos.</t>
  </si>
  <si>
    <t>Solicito apoyo para sincronizar la información del contribuyente, debido a que, no ha replicado en RTU Oracle.</t>
  </si>
  <si>
    <t>NIT 78554152 gestión 20255CESEAC4C67F0 indica que le están requiriendo la presentación de marzo 2025 y el se inscribió en abril 2025.</t>
  </si>
  <si>
    <t xml:space="preserve">NIT 22820914 gestión 20255ACT4A0323DE indica que le están requiriendo el pago de multa por presentación extemporánea, indica que no se han cumplido los 30 días. 
</t>
  </si>
  <si>
    <t>número de gestión de inscripción de NIT generada con el CUI 1736229330805</t>
  </si>
  <si>
    <t>número de gestión de inscripción de NIT generada con el CUI 4003891420506</t>
  </si>
  <si>
    <t>112972330 </t>
  </si>
  <si>
    <t>actividad económica</t>
  </si>
  <si>
    <t>solicito apoyo para sincronizar el NIT del contribuyente, debido a que, no ha Replicado en RTU Oracle.</t>
  </si>
  <si>
    <t>Solicito apoyo para sincronizar el apellido de casada de la contribuyente, debido a que, no ha replicado en RTU Oracle y aparece duplicada la palabra "De".</t>
  </si>
  <si>
    <t>CUI 3058758760301</t>
  </si>
  <si>
    <t>Sincronizar el NIT 288732502 finalizó inscripción el 21/05/2025 aún no aparece en el RTU Oracle</t>
  </si>
  <si>
    <t>Sebastian</t>
  </si>
  <si>
    <t>Solicito apoyo para sincronizar la afiliación de Pequeño Contribuyente, debido a que, no ha replicado en RTU Oracle.</t>
  </si>
  <si>
    <t>El contribuyente NIT 34161376 reporta problemas con LET DE PEQUEÑO CONTRIBUYENTE, el 28/03/2025 habilitó libro de compras y ventas de pequeño contribuyente debido a que solicitó un cambio de régimen en marzo 2025, pasó de régimen general a pequeño contribuyente, efectivo en el sistema a partir del 01/04/2025. Al generar el LET de abril 2025, no lo genera como folio 1 sino como folio 51 a pesar del cambio realizado en el tipo de LET que debe utilizar en la actualidad.</t>
  </si>
  <si>
    <t xml:space="preserve">Solicitud apoyo en verificación de gestión en la que se encuentra DPI: 3140684570901 </t>
  </si>
  <si>
    <t xml:space="preserve">Solicitud apoyo en verificación de gestión en la que se encuentra DPI: 2728676400101 </t>
  </si>
  <si>
    <t xml:space="preserve">Solicitud apoyo en verificación de gestión en la que se encuentra DPI: 3110901250407 </t>
  </si>
  <si>
    <t xml:space="preserve">Solicitud apoyo en verificación de gestión en la que se encuentra DPI: 2818484590101 </t>
  </si>
  <si>
    <t xml:space="preserve">Solicitud apoyo en verificación de gestión en la que se encuentra DPI: 3292229101104 </t>
  </si>
  <si>
    <t xml:space="preserve">Solicitud apoyo en verificación de gestión en la que se encuentra DPI: 3059182300301 </t>
  </si>
  <si>
    <t>Sincronizar el Cese de actividades del establecimiento No. 2; asimismo, inactivar la afiliación del IVA del NIT: 41155580, en RTU Oracle.</t>
  </si>
  <si>
    <t>La contribuyente se comunicó al Contact Center de SAT indicando que su gestión de Inscripción No. 20255INS91DB1524 fue rechazada con requerimiento y muestra el siguiente comentario "Consignar las fecha de nombramiento 01/03/2022 inscripción 11/03/2025 y vencimiento 28/02/2027 según su representación legal (Registro de Personas Jurídicas) falta corregir la fecha de nombramiento", el contribuyente manifiesta que al colocar las fechas indicadas en el comentario de rechazo le genera el siguiente error: La fecha de nombramiento no puede ser menor a la fecha de constitución</t>
  </si>
  <si>
    <t>Sincronizar afiliaciones NIT: 311756727, en RTU Oracle.</t>
  </si>
  <si>
    <t>constancia de informe</t>
  </si>
  <si>
    <t>Solicitud apoyo verificación de formulario SAT/4091</t>
  </si>
  <si>
    <t>Solicito apoyo para sincronizar la afiliación del contribuyente, debido a que, no ha replicado en RTU Oracle.</t>
  </si>
  <si>
    <t>Solicitud apoyo para verificación de expediente.</t>
  </si>
  <si>
    <t>número de gestión de inscripción de NIT generada con el CUI 3600080540101</t>
  </si>
  <si>
    <t>Sincronizar el NIT 307855635 finalizó inscripción el 21/05/2025 aún no aparece en el RTU Oracle</t>
  </si>
  <si>
    <t>Sincronizar el NIT 366869698 finalizó inscripción el 21/05/2025 aún no aparece en el RTU Oracle</t>
  </si>
  <si>
    <t>Sincronizar el NIT 282884068 finalizó inscripción el 21/05/2025 aún no aparece en el RTU Oracle</t>
  </si>
  <si>
    <t>CUI 3943176100101</t>
  </si>
  <si>
    <t>número de gestión de inscripción de NIT generada con el CUI 3712099510101</t>
  </si>
  <si>
    <t>CUI 2844559110101</t>
  </si>
  <si>
    <t>FACE  no permite realizar la consulta (Oscar)</t>
  </si>
  <si>
    <t>Sincronizar el NIT 244023689 finalizó actualización el 21/05/2025 y no aparece en el RTU Oracle.</t>
  </si>
  <si>
    <t>265299071 </t>
  </si>
  <si>
    <t>SINC nit  en oracle</t>
  </si>
  <si>
    <t>Sincronizar el NIT 340024372 finalizó actualización el 22/05/2025 y no aparece en el RTU Oracle.</t>
  </si>
  <si>
    <t>NIT SINC  oracle</t>
  </si>
  <si>
    <t>Sincronizar el NIT 335126006 finalizó actualización el 21/05/2025 y no aparece en el RTU Oracle.</t>
  </si>
  <si>
    <t>número de gestión de inscripción de NIT generada con el CUI 3120102300806</t>
  </si>
  <si>
    <t>firma de PRISMA</t>
  </si>
  <si>
    <t>exp 29830947</t>
  </si>
  <si>
    <t>CUI 3144102950711</t>
  </si>
  <si>
    <t>CUI 2767920682210</t>
  </si>
  <si>
    <t>CUI 2555697771805</t>
  </si>
  <si>
    <t>310006082 </t>
  </si>
  <si>
    <t>sinc  nit  en oracle</t>
  </si>
  <si>
    <t>Solicito su apoyo para consultar el número de gestión en el que se encuentra registrado el DPI: 3507691680101</t>
  </si>
  <si>
    <t>20255ACT0A6BBB39</t>
  </si>
  <si>
    <t>número de gestión de inscripción de NIT generada con el CUI 3216509990502</t>
  </si>
  <si>
    <t>número de gestión de inscripción de NIT generada con el CUI 3009826230101</t>
  </si>
  <si>
    <t>Solicito su apoyo para consultar el número de gestión en el que se encuentra registrado el DPI: 3637025630101</t>
  </si>
  <si>
    <t>número de gestión de inscripción de NIT generada con el CUI 2865491070103</t>
  </si>
  <si>
    <t>número de gestión de inscripción de NIT generada con el CUI 3597309650115</t>
  </si>
  <si>
    <t>NIT 79085121 está actualizando datos con la gestión 20255ACTE899E0AA, le están solicitando el pago de la multa por inscripción extemporánea de contador, como se le venció el formulario que le enviaron canceló la multa con otro formulario</t>
  </si>
  <si>
    <t>CUI 1939094641320</t>
  </si>
  <si>
    <t>CUI 3354327271614</t>
  </si>
  <si>
    <t>Solicito apoyo para sincronizar la actividad económica del contribuyente, debido a que, no ha replicado en RTU Oracle.</t>
  </si>
  <si>
    <t>Solicito su apoyo para consultar el número de gestión en el que se encuentra registrado el DPI: 3111445351215</t>
  </si>
  <si>
    <t>Solicito apoyo para sincronizar el apellido de casada de la contribuyente, debido a que, aparece un "De" de más.</t>
  </si>
  <si>
    <t>número de gestión de inscripción de NIT generada con el CUI 2497732010110</t>
  </si>
  <si>
    <t>NIT 5956021 inactivar afiliación ISR Rentas del Trabajo por cancelación de negocios y actualización de datos</t>
  </si>
  <si>
    <t>MEM/SAT/IAC/DGS/UST/061/2025</t>
  </si>
  <si>
    <t>número de gestión de inscripción de NIT generada con el CUI 3233870551326</t>
  </si>
  <si>
    <t xml:space="preserve">está inscribiendo una copropiedad gestión 20255INS6C777787 con documento privado y le están realizando un rechazo, solicita que se amplíe el motivo del rechazo, según él está llenando y adjuntan los datos correctos. </t>
  </si>
  <si>
    <t xml:space="preserve">Solicitud apoyo en verificación de gestión en la que se encuentra DPI: 3168885081302  </t>
  </si>
  <si>
    <t>Sincronizar la información NIT: 340577886, en RTU Oracle.</t>
  </si>
  <si>
    <t>Sincronizar la información NIT: 311533515 en RTU Oracle.</t>
  </si>
  <si>
    <t>El contribuyente NIT 358278392 manifiesta que actualizó datos y colocó como Actividad económica el código 0001.40 Estudiante, pero le sigue apareciendo la afiliación como asalariado en estado activo</t>
  </si>
  <si>
    <t xml:space="preserve">Solicitud apoyo en verificación de gestión en la que se encuentra DPI: 1585096481802   </t>
  </si>
  <si>
    <t>Sincronizar la información NIT: 321723708 en RTU Oracle.</t>
  </si>
  <si>
    <t xml:space="preserve">Solicitud apoyo en verificación de gestión en la que se encuentra DPI: 2916351641213    </t>
  </si>
  <si>
    <t xml:space="preserve">Solicitud apoyo en verificación de gestión en la que se encuentra DPI: 3081173010606     </t>
  </si>
  <si>
    <t xml:space="preserve">Solicitud apoyo en verificación de gestión en la que se encuentra DPI: 2974838030101      </t>
  </si>
  <si>
    <t>Sincronizar del nombre NIT: 83101195  en RTU Oracle.</t>
  </si>
  <si>
    <t xml:space="preserve">Solicitud apoyo en verificación de gestión en la que se encuentra DPI: 3107752211213      </t>
  </si>
  <si>
    <t>Sincronizar la información NIT: 321700872  en RTU Oracle.</t>
  </si>
  <si>
    <t xml:space="preserve">Solicitud apoyo en verificación de gestión en la que se encuentra DPI: 1730767181406       </t>
  </si>
  <si>
    <t xml:space="preserve">Solicitud apoyo en verificación de gestión en la que se encuentra DPI: 4190408381801        </t>
  </si>
  <si>
    <t xml:space="preserve">Solicitud apoyo en verificación de gestión en la que se encuentra DPI: 3020981860101         </t>
  </si>
  <si>
    <t>El contribuyente NIT 6253032 manifiesta que actualizó datos y colocó como Actividad económica el código 0002.40 Ama de Casa, pero le sigue apareciendo la afiliación como asalariado en estado activo</t>
  </si>
  <si>
    <t xml:space="preserve">Solicitud apoyo en verificación de gestión en la que se encuentra DPI: 3893211411209         </t>
  </si>
  <si>
    <t>Solicitud apoyo gestión actualización de datos RL.</t>
  </si>
  <si>
    <t>Inconvenientes en habilitación al emisor FEL.</t>
  </si>
  <si>
    <t>Solicito su apoyo para consultar el número de gestión en el que se encuentra registrado el DPI: 3028039120105</t>
  </si>
  <si>
    <t>Solicitud apoyo inconveniente llenado de LET Régimen General.</t>
  </si>
  <si>
    <t>CUI 3624719670101</t>
  </si>
  <si>
    <t>CUI 3581118110511</t>
  </si>
  <si>
    <t>Solicitud apoyo solicitud de Agencia Virtual.</t>
  </si>
  <si>
    <t>Solicito su apoyo para consultar el número de gestión en el que se encuentra registrado el DPI: 3059274500301</t>
  </si>
  <si>
    <t>número de gestión de inscripción de NIT generada con el CUI 3103356470406</t>
  </si>
  <si>
    <t>número de gestión de inscripción de NIT generada con el CUI 3098322840612</t>
  </si>
  <si>
    <t>número de gestión de inscripción de NIT generada con el CUI 3168885081302</t>
  </si>
  <si>
    <t>CUI 2971745331701</t>
  </si>
  <si>
    <t>Solicito su apoyo para sincronizara el CUI de la contribuyente, debido a que, no ha replicado en RTU Oracle.</t>
  </si>
  <si>
    <t>Solicito su apoyo para consultar el número de gestión en el que se encuentra registrado el DPI: 3033566260108</t>
  </si>
  <si>
    <t>NIT 83175407, está realizando cese de actividades con la gestión 20255CESE53576D73</t>
  </si>
  <si>
    <t>Sincronizar el CUI en el RTU Oracle del NIT 69232873</t>
  </si>
  <si>
    <t>gestión de característica especial de contador y CPA del NIT 80400477 gestión 20255CECA804603F</t>
  </si>
  <si>
    <t>número de gestión de inscripción de NIT generada con el CUI 3047526650116</t>
  </si>
  <si>
    <t>no le despliega el año, ni mes</t>
  </si>
  <si>
    <t>CUI 1662495210610</t>
  </si>
  <si>
    <t>Solicitud apoyo verificación de formulario SAT/2046.</t>
  </si>
  <si>
    <t>CUI 2245419191322</t>
  </si>
  <si>
    <t>1072821K</t>
  </si>
  <si>
    <t>Solicitud apoyo inconveniente en regisro de Contador.</t>
  </si>
  <si>
    <t>número de gestión de inscripción de NIT generada con el CUI 3853968561307</t>
  </si>
  <si>
    <t>Solicito su apoyo para consultar el número de gestión en el que se encuentra registrado el DPI: 4192497370101</t>
  </si>
  <si>
    <t>Contribuyente indica que esta tratando de inscribir a representante legal.</t>
  </si>
  <si>
    <t xml:space="preserve">NIT 118560603, gestión 20255ACTB692006B, le están solicitando el timbre en el primer testimonio, podrían ampliar cuál es el inconveniente para orientar al contribuyente, el indica que el testimonio tiene los timbres respectivos. </t>
  </si>
  <si>
    <t>CUI 3363819050917</t>
  </si>
  <si>
    <t xml:space="preserve">Solicitud apoyo en verificación de gestión en la que se encuentra DPI: 3268193391015        </t>
  </si>
  <si>
    <t xml:space="preserve">Solicitud apoyo en verificación de gestión en la que se encuentra DPI: 1935571691401        </t>
  </si>
  <si>
    <t xml:space="preserve">Solicitud apoyo en verificación de gestión en la que se encuentra DPI: 2969036551410        </t>
  </si>
  <si>
    <t xml:space="preserve">Solicitud apoyo en verificación de gestión en la que se encuentra DPI: 3082706141207        </t>
  </si>
  <si>
    <t>El contribuyente NIT 120530287 indica rechazo de su solicitud de actualización No.  20255ACT739A1DF5 dentro de los comentarios de rechazo se encuentra "Estimado contribuyente atender únicamente lo solicitado en comentario adicional: Verificar fecha vencimiento de representación legal. Inhabilitar timbres de ley.", el contribuyente manifiesta que si cumplen con las condiciones que indica el revisor en el comentario de corrección.</t>
  </si>
  <si>
    <t xml:space="preserve"> Suspensión del IVA del contribuyente NIT 88154572 el contribuyente no posee omisos ni plan operativo.</t>
  </si>
  <si>
    <t xml:space="preserve">Solicitud apoyo en verificación de gestión en la que se encuentra DPI: 3371216800920         </t>
  </si>
  <si>
    <t xml:space="preserve">Solicitud apoyo en verificación de gestión en la que se encuentra DPI: 2797163701609         </t>
  </si>
  <si>
    <t xml:space="preserve">Solicitud apoyo en verificación de gestión en la que se encuentra DPI: 1975798841318         </t>
  </si>
  <si>
    <t>El Notario NIT 4405722 indica que al momento de querer generar un traspaso
electronico le aparece el mensaje que tiene documentacion pendiente de
presentar, indica que no tiene conocimiento de a que documentacion se refiere
este mensaje</t>
  </si>
  <si>
    <t xml:space="preserve">Solicitud apoyo en verificación de gestión en la que se encuentra DPI: 2071017950116         </t>
  </si>
  <si>
    <t xml:space="preserve">El contribuyente NIT 93054343 manifiesta que actualizó datos y colocó como Actividad económica el código 0009.40 Otros, pero le sigue apareciendo la afiliación como asalariado en estado activo </t>
  </si>
  <si>
    <t>El contribuyente NIT 115252444 manifiesta que actualizó datos y colocó como Actividad económica el código 0001.40 Estudiante, pero le sigue apareciendo la afiliación como asalariado en estado activo</t>
  </si>
  <si>
    <t>El contribuyente NIT 4092767, solicita el apoyo con la gestión No. 20254ACT66586BA4, debido a que ya no obtuvo respuesta.</t>
  </si>
  <si>
    <t>El contribuyente NIT 118642855 indica que su gestión de Actualización No. 20255ACT4F8A3436 fue rechazada con requerimiento y muestra el siguiente comentario "Estimado contribuyente el cambio que solicita en el ISO, no se puede realizar ya que necesita previa autorización de SAT, debe registrar el que ya tiene aprobado, cambios unicamente en el mes de diciembre", el contribuyente manifiesta que no esta realizando ningún cambio en la afiliación al ISO</t>
  </si>
  <si>
    <t>Solicitud apoyo gestión de Actualización de Datos del RTU / NI:T 100925707 gestión 20255ACTF6F3EDE3</t>
  </si>
  <si>
    <t>Solicito su apoyo para consultar el número de gestión en el que se encuentra registrado el DPI: 3405136081414</t>
  </si>
  <si>
    <t>CUI 3276063201405</t>
  </si>
  <si>
    <t>CUI 3769018020101</t>
  </si>
  <si>
    <t>Solicitud de apoyo gestión de solicitud de agencia virtual.</t>
  </si>
  <si>
    <t>CUI 2058996251224</t>
  </si>
  <si>
    <t>número de gestión de inscripción de NIT generada con el CUI 2998038210101</t>
  </si>
  <si>
    <t>número de gestión de inscripción de NIT generada con el CUI 2313731392005</t>
  </si>
  <si>
    <t>número de gestión de inscripción de NIT generada con el CUI 3328501531206</t>
  </si>
  <si>
    <t>número de gestión de inscripción de NIT generada con el CUI 1730767181406</t>
  </si>
  <si>
    <t>número de gestión de inscripción de NIT generada con el CUI 2668278450101</t>
  </si>
  <si>
    <t>gestión de inscripción de NIT 20255INSEE5ABFCC, a pesar que en el comentario indica que atienda lo indicado por teléfono, el contribuyente solicita apoyo para que se le indique que debe corregir.</t>
  </si>
  <si>
    <t>NIT 45804877 en el cual realizó el pago del ISCV de 21 vehículos, sin embargo el formulario no muestra información y no puede descargar los distintivos en agencia virtual.</t>
  </si>
  <si>
    <t>NIT 74326511 en el cual realizó el pago del ISCV de 3 vehículos, sin embargo el formulario no muestra información y no puede descargar los distintivos en agencia virtual.</t>
  </si>
  <si>
    <t xml:space="preserve">NIT 42884136 cuenta con la suspensión de la afiliación del IVA y no tiene omisos. </t>
  </si>
  <si>
    <t>CUI 3054337920207</t>
  </si>
  <si>
    <t>número de gestión de inscripción de NIT generada con el CUI 3644949560101</t>
  </si>
  <si>
    <t>NIT 25584316 está realizando cese de actividades 20255CESE703C23E6, indica que inició operaciones en mayo 2024 y le están requiriendo la declaración de abril 2024.</t>
  </si>
  <si>
    <t xml:space="preserve">NIT 61865591 reporta inconveniente para solicitar usuario de agencia virtual. </t>
  </si>
  <si>
    <t>confirmación como perito contador</t>
  </si>
  <si>
    <t>Registros generó el ticket</t>
  </si>
  <si>
    <t>Solicitud apoyo en verificación de gestión en la que se encuentra DPI: 3604623750101</t>
  </si>
  <si>
    <t>Solicitud apoyo en verificación de gestión en la que se encuentra DPI: 3115987650704</t>
  </si>
  <si>
    <t>Solicitud apoyo en verificación de gestión en la que se encuentra DPI: 3150199211501</t>
  </si>
  <si>
    <t>Solicitud apoyo en verificación de gestión en la que se encuentra DPI: 3021894160101</t>
  </si>
  <si>
    <t>Sincronizar afiliaciones del NIT: 76889416, en RTU Oracle.</t>
  </si>
  <si>
    <t>El NIT 35297972 en la Agencia Virtual le aparece el apellido de casada, la contribuyente solicita que sea eliminado el apellido "MINERA" porque ya no está en el RTU Nube.</t>
  </si>
  <si>
    <t>Solicitud apoyo en verificación de gestión en la que se encuentra DPI: 3382918572006</t>
  </si>
  <si>
    <t xml:space="preserve">Solicitud apoyo en verificación de gestión en la que se encuentra DPI: 3101896831212   </t>
  </si>
  <si>
    <t xml:space="preserve">Solicitud apoyo en verificación de gestión en la que se encuentra DPI: 1585096841802   </t>
  </si>
  <si>
    <t xml:space="preserve">Solicitud apoyo en verificación de gestión en la que se encuentra DPI: 1839420781017    </t>
  </si>
  <si>
    <t xml:space="preserve">Solicitud apoyo en verificación de gestión en la que se encuentra DPI: 3053409130204    </t>
  </si>
  <si>
    <t xml:space="preserve">Solicitud apoyo en verificación de gestión en la que se encuentra DPI: 3897263890610    </t>
  </si>
  <si>
    <t>El contribuyente NIT 109526937 manifiesta que actualizó datos y colocó como Actividad económica el código 0001.40 Estudiante, pero le sigue apareciendo la afiliación como asalariado en estado activo</t>
  </si>
  <si>
    <t xml:space="preserve">Solicitud apoyo en verificación de gestión en la que se encuentra DPI: 1970057051405    </t>
  </si>
  <si>
    <t xml:space="preserve">Solicitud apoyo en verificación de gestión en la que se encuentra DPI: 2798259190407    </t>
  </si>
  <si>
    <t xml:space="preserve">Solicitud apoyo en verificación de gestión en la que se encuentra DPI: 3666529150101    </t>
  </si>
  <si>
    <t>El contribuyente NIT 43317669 reporta que desea pagar el ISCV del vehículo C0596BPK y el sistema indica que error la placa registrada con otro NIT, se verificó la placa y si esta a nombre del contribuyente</t>
  </si>
  <si>
    <t>El contribuyente NIT 76272591 reportan problemas con generación de LET de Pequeño Contribuyente. </t>
  </si>
  <si>
    <t>El notario 54679427 reporta problemas para llevar a cabo la confirmación de la huella</t>
  </si>
  <si>
    <t>cambio de correo electrónico</t>
  </si>
  <si>
    <t>CUI 2774319720107</t>
  </si>
  <si>
    <t>no tiene establecimiento activo y aparece renuente a incorporarse a FEL</t>
  </si>
  <si>
    <t>CUI3032518670108</t>
  </si>
  <si>
    <t>CUI 2825416080501</t>
  </si>
  <si>
    <t>Evelin</t>
  </si>
  <si>
    <t>CUI 3053328720204</t>
  </si>
  <si>
    <t>Juan Guillermo Sadoval</t>
  </si>
  <si>
    <t>inactivar la afiliación de asalariado</t>
  </si>
  <si>
    <t>Dairy</t>
  </si>
  <si>
    <t>MEM/SAT/IAC/DGS/UST/065/2025</t>
  </si>
  <si>
    <t>CUI 3308466471203</t>
  </si>
  <si>
    <t>no tiene la opción para actualizarse como perito contador</t>
  </si>
  <si>
    <t>CUI 3640201730115</t>
  </si>
  <si>
    <t>Mónica</t>
  </si>
  <si>
    <t>CUI 2707526090101</t>
  </si>
  <si>
    <t>Solicitud apoyo gestión Actualización de Datos Acreditación de ISO.</t>
  </si>
  <si>
    <t xml:space="preserve">NIT 120279290  gestión 20255ACTF6F1BC3D está actualizando representante legal, consulta porque le solicitan que habilite la afiliación del ISR si se encuentra inscrito en el Régimen de Pequeño Contribuyente. </t>
  </si>
  <si>
    <t>Reporte semestral de inventarios segundo semestre 2024.</t>
  </si>
  <si>
    <t>CUI 1821743442105</t>
  </si>
  <si>
    <t>CUI 3025895030103</t>
  </si>
  <si>
    <t>CUI 3170138821503</t>
  </si>
  <si>
    <t>CUI 3027754390105</t>
  </si>
  <si>
    <t>número de gestión de inscripción de NIT generada con el CUI 3816951070513</t>
  </si>
  <si>
    <t>número de gestión de inscripción de NIT generada con el CUI 3604623750101</t>
  </si>
  <si>
    <t>número de gestión de inscripción de NIT generada con el CUI 2642860221415</t>
  </si>
  <si>
    <t>gestión 20255AVC312BA81</t>
  </si>
  <si>
    <t>GRO/Coatepeque</t>
  </si>
  <si>
    <t>Martita</t>
  </si>
  <si>
    <t>Solicitud apoyo en verificación de gestión en la que se encuentra DPI: 2005069430101</t>
  </si>
  <si>
    <t>Solicitud apoyo en verificación de gestión en la que se encuentra DPI: 2017624710115</t>
  </si>
  <si>
    <t>Solicitud apoyo en verificación de gestión en la que se encuentra DPI: 3503619750101</t>
  </si>
  <si>
    <t>Solicitud apoyo en verificación de gestión en la que se encuentra DPI: 1948464152101</t>
  </si>
  <si>
    <t>Constancia de envío inventarios NIT 107900092</t>
  </si>
  <si>
    <t>Aramis Anahi de Leon Tercero</t>
  </si>
  <si>
    <t>Solicitud apoyo en verificación de gestión en la que se encuentra DPI: 3006516860101</t>
  </si>
  <si>
    <t>Solicitud apoyo en verificación de gestión en la que se encuentra DPI: 1946224362011</t>
  </si>
  <si>
    <t>Solicitud apoyo en verificación de gestión en la que se encuentra DPI: 2008290090101</t>
  </si>
  <si>
    <t>Solicitud apoyo en verificación de gestión en la que se encuentra DPI: 2907337150116</t>
  </si>
  <si>
    <t>El contribuyente NIT 44378653 indica que tiene problemas para confirmar su registro como contador de un cliente.</t>
  </si>
  <si>
    <t>el contribuyente NIT  80383955 indica rechazo de su solicitud de actualización No.  20255ACT6D62E34C dentro de los comentarios de rechazo se encuentra "ESTIMADO CONTRIBUYENTE FAVOR CANCELAR MULTA POR INSCRIPCION EXTEMPORANEA DE CONTADOR. CANCELAR EN EL FORMULARIO 811", el contribuyente manifiesta que cancelo la multa con el formulario 46822651849 acceso 938486529 el cual se adjunta al presente correo.</t>
  </si>
  <si>
    <t>CUI 3110289770701</t>
  </si>
  <si>
    <t>Solicitud apoyo gestión de Cese de Actividades.</t>
  </si>
  <si>
    <t>renuente a incorporarse a FEL  y no tiene establecimiento activo</t>
  </si>
  <si>
    <t>CUI 3917924230101</t>
  </si>
  <si>
    <t>número de gestión de inscripción de NIT generada con el CUI 3172110720906</t>
  </si>
  <si>
    <t>número de gestión de inscripción de NIT generada con el CUI 3769145480101</t>
  </si>
  <si>
    <t>número de gestión de inscripción de NIT generada con el CUI 3384391100207</t>
  </si>
  <si>
    <t>número de gestión de inscripción de NIT generada con el CUI 2817706700412</t>
  </si>
  <si>
    <t>número de gestión de inscripción de NIT generada con el CUI 3624719670101</t>
  </si>
  <si>
    <t>número de gestión de inscripción de NIT generada con el CUI 2562974520608</t>
  </si>
  <si>
    <t>número de gestión de inscripción de NIT generada con el CUI 1821743442105</t>
  </si>
  <si>
    <t>CUI 3251531751703</t>
  </si>
  <si>
    <t>sincronizar NIT 332025624 finalizó inscripción el 27/05/2025, sin embargo no aparece en el RTU Oracle, necesita realizar un traspaso electrónico</t>
  </si>
  <si>
    <t>CUI 3941291560101</t>
  </si>
  <si>
    <t>Dayrin</t>
  </si>
  <si>
    <t>Solicitud apoyo gestión cese definitivo de establecimiento.</t>
  </si>
  <si>
    <t>número de gestión de inscripción de NIT generada con el CUI 3020225970101</t>
  </si>
  <si>
    <t>número de gestión de inscripción de NIT generada con el CUI 2000044331711</t>
  </si>
  <si>
    <t xml:space="preserve">número de gestión de inscripción de NIT generada con el CUI 3250856921601
</t>
  </si>
  <si>
    <t>NIT 1644777, realizó cese de actividades y en el verificador aún aparece el incumplimiento de renuente a incorporarse al régimen FEL.</t>
  </si>
  <si>
    <t>Solicitud apoyo verificación formulario SAT/2311</t>
  </si>
  <si>
    <t>Solicitud apoyo en verificación de gestión en la que se encuentra DPI: 3109353691214</t>
  </si>
  <si>
    <t>Solicitud apoyo en verificación de gestión en la que se encuentra DPI: 3369672411909</t>
  </si>
  <si>
    <t>Solicitud apoyo en verificación de gestión en la que se encuentra DPI: 4038567440101</t>
  </si>
  <si>
    <t>Solicitud apoyo en verificación de gestión en la que se encuentra DPI: 2980353910922</t>
  </si>
  <si>
    <t>El contribuyente NIT 290712858 manifiesta que actualizó datos y colocó como Actividad económica el código 0009.40 Otros, pero le sigue apareciendo la afiliación como asalariado en estado activo</t>
  </si>
  <si>
    <t>Solicitud apoyo en verificación de gestión en la que se encuentra DPI: 1869575640921</t>
  </si>
  <si>
    <t>Solicitud apoyo en verificación de gestión en la que se encuentra DPI: 3026231590103</t>
  </si>
  <si>
    <t>Solicitud apoyo en verificación de gestión en la que se encuentra DPI: 3587084000901</t>
  </si>
  <si>
    <t>Solicitud apoyo en verificación de gestión en la que se encuentra DPI: 2754776060601</t>
  </si>
  <si>
    <t>CUI 2378976280115</t>
  </si>
  <si>
    <t>CUI 3630432090101</t>
  </si>
  <si>
    <t xml:space="preserve">NIT 94220980, tiene omisos de octubre y noviembre 2021 del régimen electrónico de pequeño contribuyente, sin embargo, por el cambio de régimen no puede realizar la presentación de dichas declaraciones. </t>
  </si>
  <si>
    <t>número de gestión de inscripción de NIT generada con el CUI 3666529150101</t>
  </si>
  <si>
    <t>número de gestión de inscripción de NIT generada con el CUI 3111420520701</t>
  </si>
  <si>
    <t>CUI 3677987510101</t>
  </si>
  <si>
    <t>Francisco</t>
  </si>
  <si>
    <t>NIT 53811224, indica que está llenando solicitud de liquidación desde la Agencia Virtual por exoneración de multas e intereses generados por el Impuesto al Valor Agregado IVA; indica que ya realizó el pago del impuesto correspondiente, sin embargo al momento que llena la solicitud desde la AV indica que le calcula el impuesto nuevamente.</t>
  </si>
  <si>
    <t>CUI 2071052510116</t>
  </si>
  <si>
    <t xml:space="preserve">número de gestión de inscripción de NIT generada con el CUI 2707526090101
</t>
  </si>
  <si>
    <t>no tiene establecimiento activo y aparece renuente a FEL</t>
  </si>
  <si>
    <t>Julia</t>
  </si>
  <si>
    <t>CUI 3088508580608</t>
  </si>
  <si>
    <t>María Fernanda</t>
  </si>
  <si>
    <t>número de gestión de inscripción de NIT generada con el CUI 3054498690207</t>
  </si>
  <si>
    <t>número de gestión de inscripción de NIT generada con el CUI 2969036551410</t>
  </si>
  <si>
    <t>número de gestión de inscripción de NIT generada con el CUI 2695737711216</t>
  </si>
  <si>
    <t>número de gestión de inscripción de NIT generada con el CUI 3095707860610</t>
  </si>
  <si>
    <t xml:space="preserve">número de gestión de inscripción de NIT generada con el CUI 3666529150101
</t>
  </si>
  <si>
    <t>Solicitud apoyo gestión de actualización de datos del RTU / Gestión: 20255ACTB692006B</t>
  </si>
  <si>
    <t>CUI 3156698370901</t>
  </si>
  <si>
    <t>Solicitud apoyo gestión actualización de datos.</t>
  </si>
  <si>
    <t>CUI 3189397971508</t>
  </si>
  <si>
    <t>CUI 3094373421210</t>
  </si>
  <si>
    <t>Solicitud apoyo formulario SAT/4091 pago de ISCV de vehículos.</t>
  </si>
  <si>
    <t>número de gestión de inscripción de NIT generada con el CUI 3129866291409</t>
  </si>
  <si>
    <t>número de gestión de inscripción de NIT generada con el CUI 2133812811406</t>
  </si>
  <si>
    <t xml:space="preserve">número de gestión de inscripción de NIT generada con el CUI 2847353962102
</t>
  </si>
  <si>
    <t xml:space="preserve">número de gestión de inscripción de NIT generada con el CUI 2610317590412
</t>
  </si>
  <si>
    <t xml:space="preserve">Solicitud apoyo en verificación de gestión en la que se encuentra DPI: 3288720401608 </t>
  </si>
  <si>
    <t>Solicitud apoyo en verificación de gestión en la que se encuentra DPI: 3595538930101</t>
  </si>
  <si>
    <t>Solicitud apoyo en verificación de gestión en la que se encuentra DPI: 3091381911209</t>
  </si>
  <si>
    <t>Solicitud apoyo en verificación de gestión en la que se encuentra DPI: 2734035671803</t>
  </si>
  <si>
    <t>Solicitud apoyo en verificación de gestión en la que se encuentra DPI: 3293712151106</t>
  </si>
  <si>
    <t xml:space="preserve">Solicitud apoyo en verificación de gestión en la que se encuentra DPI: 3045974810115 </t>
  </si>
  <si>
    <t>El contribuyente NIT 5637929 reporta inconveniente al ingresar a la Agencia Virtual y para realizar cambio de contraseña de la Agencia Virtual</t>
  </si>
  <si>
    <t xml:space="preserve">10000289267  </t>
  </si>
  <si>
    <t>El contribuyente NIT 50172093 reporta que no puede generar el formulario 2046 del mes de enero 2025 le genera el error: Usted se encuentra afiliado al Régimen Electrónico de Pequeño Contribuyente, le corresponde llenar el formulario SAT/2241, el contribuyente manifiesta que está afiliado al Régimen de Pequeño Contribuyente a partir del 01/01/2025, incluso le refleja incumplimiento del formulario SAT/2046 del mes de enero 2025.</t>
  </si>
  <si>
    <t xml:space="preserve">Solicitud apoyo en verificación de gestión en la que se encuentra DPI: 3046113870115 </t>
  </si>
  <si>
    <t xml:space="preserve">Solicitud apoyo en verificación de gestión en la que se encuentra DPI: 2938947011508 </t>
  </si>
  <si>
    <t xml:space="preserve">Solicitud apoyo en verificación de gestión en la que se encuentra DPI: 3037752460110 </t>
  </si>
  <si>
    <t>El contribuyente NIT 8142831 reporta inconveniente al realizar cambio de contraseña de la Agencia Virtual, la solicitud le despliega que ingrese Constancia emitida por Renap y el ya cuenta con DPI por lo que su gestión ha sido rechazada en varias ocasiones.</t>
  </si>
  <si>
    <t>NIT 75276585 no puede realizar el pago del formulario SAT 2046 del mes de abril 2025, realizó cambio de régimen.</t>
  </si>
  <si>
    <t xml:space="preserve">NIT 24178748 tiene un rechazo en la gestión de actualización de datos 20254ACT751386C1, indica que adjuntó el documento de nombramiento del representante legal y que no le aplica la multa. </t>
  </si>
  <si>
    <t>CUI 3107816121406</t>
  </si>
  <si>
    <t>CUI 3387731262010</t>
  </si>
  <si>
    <t>número de gestión de inscripción de NIT generada con el CUI 2870833731406</t>
  </si>
  <si>
    <t>CUI 3829685140101</t>
  </si>
  <si>
    <t>CUI 2666659771711</t>
  </si>
  <si>
    <t xml:space="preserve">CUI 3498589181611 </t>
  </si>
  <si>
    <t>Brandon</t>
  </si>
  <si>
    <t>CUI 3455621270101</t>
  </si>
  <si>
    <t>CUI 3337007241804</t>
  </si>
  <si>
    <t>número de gestión de inscripción de NIT generada con el CUI 2264869580101</t>
  </si>
  <si>
    <t xml:space="preserve">NIT 8181276 está llenando el formulario SAT 8611 y no le permite validar el formulario, el sistema le regresa a la página principal de Declaraguate. </t>
  </si>
  <si>
    <t>número de gestión de inscripción de NIT generada con el CUI 4010569961213</t>
  </si>
  <si>
    <t xml:space="preserve">El contribuyente indica rechazo de su solicitud de inscripción No.  20255INS676F7B77 dentro de los comentarios de rechazo se encuentra "SU SOLICITUD PRESENTA INCONSISTENCIAS EN LOS CAMPOS DE LOS APELLIDOS, FAVOR DE ACERCARSE A UNA OFICINA TRIBUTARIA", el contribuyente indica que no comprende la razón del rechazo ya que el sistema automáticamente es el que llena toda la información con solo ingresar el número de CUI. Y lo otro que para poder ir a una Agencia SAT tendría que viajar 10 horas para solventar este inconveniente, sobre el error del sistema de la SAT.
</t>
  </si>
  <si>
    <t>GRO/Totonicapan</t>
  </si>
  <si>
    <t>CUI 1665994761013</t>
  </si>
  <si>
    <t>IRE-Departamento de Registros Tributarios</t>
  </si>
  <si>
    <t>Dayrin Robles</t>
  </si>
  <si>
    <t>gestión 20255ACTF5EC2D1D</t>
  </si>
  <si>
    <t>NIT 87095971 está realizando cese de actividades con la gestión 20255CESE3C37BB03, indica que solo emitió una factura y dicho monto es el que está reportando en la declaración de junio.</t>
  </si>
  <si>
    <t>Solicitud apoyo en verificación de gestión en la que se encuentra DPI: 2855375981218</t>
  </si>
  <si>
    <t>Solicitud apoyo en verificación de gestión en la que se encuentra DPI: 3007203780101</t>
  </si>
  <si>
    <t>Solicitud apoyo en verificación de gestión en la que se encuentra DPI: 3021486470101</t>
  </si>
  <si>
    <t>CUI 1927986420610</t>
  </si>
  <si>
    <t>CUI 2213193951010</t>
  </si>
  <si>
    <t>CUI 2820981192206</t>
  </si>
  <si>
    <t>CUI 30288877401062</t>
  </si>
  <si>
    <t>número de gestión de inscripción de NIT generada con el CUI 3029663820107</t>
  </si>
  <si>
    <t xml:space="preserve">gestión 20255ACTCA8A357E </t>
  </si>
  <si>
    <t>GRS/Santa Rosa</t>
  </si>
  <si>
    <t>CUI 3641438001609</t>
  </si>
  <si>
    <t>CUI  3270136801402</t>
  </si>
  <si>
    <t>CUI 1947186031103</t>
  </si>
  <si>
    <t>número de gestión de inscripción de NIT generada con el CUI 3719641051220</t>
  </si>
  <si>
    <t>número de gestión de inscripción de NIT generada con el CUI 3356661911615</t>
  </si>
  <si>
    <t>CUI  2256519980101</t>
  </si>
  <si>
    <t>número de gestión de inscripción de NIT generada con el CUI 3557068490101</t>
  </si>
  <si>
    <t>Solicitud apoyo gestión de Actualización de Datos DPI Indefinido,</t>
  </si>
  <si>
    <t>Solicitud apoyo en verificación de gestión en la que se encuentra DPI: 3034352590108</t>
  </si>
  <si>
    <t>Solicitud apoyo en verificación de gestión en la que se encuentra DPI: 3970625671206</t>
  </si>
  <si>
    <t>Solicitud apoyo en verificación de gestión en la que se encuentra DPI: 3348899441805</t>
  </si>
  <si>
    <t>Solicitud apoyo en verificación de gestión en la que se encuentra DPI: 3069154720602</t>
  </si>
  <si>
    <t>Solicitud apoyo en verificación de gestión en la que se encuentra DPI: 2473351270602</t>
  </si>
  <si>
    <t>Solicitud apoyo en verificación de gestión en la que se encuentra DPI: 3751859331609</t>
  </si>
  <si>
    <t>CUI 3189276160719</t>
  </si>
  <si>
    <t>CUI 3641353790101</t>
  </si>
  <si>
    <t>CUI 3028887740106</t>
  </si>
  <si>
    <t>P852BJC  está inactivo por OJ e indica que en depto jurídico le indicaron que no debe pagar el ISCV</t>
  </si>
  <si>
    <t xml:space="preserve">gestión 20256ACTCADE4BF2 </t>
  </si>
  <si>
    <t xml:space="preserve">NIT 120383608, está inscribiendo una nueva sociedad anónima y le están requiriendo el pago de una multa, el contribuyente no puede realizar el recibo porque el NIT se encuentra inactivo. </t>
  </si>
  <si>
    <t xml:space="preserve">NIT 55715265 tiene suspendida la afiliación del IVA pero no cuenta con declaraciones pendientes ni plan operativo, podría indicar si alguna dependencia de SAT solicitó la inactivación. </t>
  </si>
  <si>
    <t>Contribuyente indica que le aparece forma de acreditamiento de ISR a ISO con fecha de 01/06/2025.</t>
  </si>
  <si>
    <t>NIT 101362854 en el cual realizó el pago del ISCV de varios  vehículos, sin embargo el formulario no muestra información y no puede descargar los distintivos en agencia virtual.</t>
  </si>
  <si>
    <t>El contribuyente NIT 13568027 reporta que realizó el pago del Impuesto Sobre Circulación de Vehículos por medio del formulario SAT-4091 No. 46514843971 acceso 671941599; sin embargo, dentro del mismo en el apartado 3. Detalle de Vehículos solo indica la cantidad de 1 vehículo pagado y no todos a los que se les pago el impuesto y en el aparatado 4. Determinación del total a pagar solo detalla 1 vehículo y no a todos a los que se le pago el impuesto, lo anterior le genera el inconveniente que no pueda generar los distintivos electrónicos desde la Agencia Virtual.</t>
  </si>
  <si>
    <t>error NULL</t>
  </si>
  <si>
    <t>número de gestión de inscripción de NIT generada con el CUI 2998424360101</t>
  </si>
  <si>
    <t>número de gestión de inscripción de NIT generada con el CUI 3011474340101</t>
  </si>
  <si>
    <t>número de gestión de inscripción de NIT generada con el CUI 2495006550306</t>
  </si>
  <si>
    <t>número de gestión de inscripción de NIT generada con el CUI 3041799060113</t>
  </si>
  <si>
    <t>número de gestión de inscripción de NIT generada con el CUI 3200859291317</t>
  </si>
  <si>
    <t>número de gestión de inscripción de NIT generada con el CUI 3328041781611</t>
  </si>
  <si>
    <t>número de gestión de inscripción de NIT generada con el CUI 1572862820805</t>
  </si>
  <si>
    <t>número de gestión de inscripción de NIT generada con el CUI 3266323281014 </t>
  </si>
  <si>
    <t>CUI 3675771941220</t>
  </si>
  <si>
    <t xml:space="preserve">NIT 7028261, no puede realizar el cierre de LET General. </t>
  </si>
  <si>
    <t>CUI 4165257411705</t>
  </si>
  <si>
    <t>CUI 3174094330907</t>
  </si>
  <si>
    <t>Brenda Iracena Matías</t>
  </si>
  <si>
    <t>CUI 3009904480101</t>
  </si>
  <si>
    <t>CUI 3112542331406</t>
  </si>
  <si>
    <t>CUI 3073887860403</t>
  </si>
  <si>
    <t>sincronizar afiliaciones del NIT 120500221</t>
  </si>
  <si>
    <t>NIT 83842713, generó el cierre de febrero 2022 y le asignó el folio 1, en el mes de marzo 2022 le asignó el folio 26.</t>
  </si>
  <si>
    <t>CUI 3081311930606</t>
  </si>
  <si>
    <t>número de gestión de inscripción de NIT generada con el CUI 3096855830611</t>
  </si>
  <si>
    <t>número de gestión de inscripción de NIT generada con el CUI 3158936641301</t>
  </si>
  <si>
    <t>número de gestión de inscripción de NIT generada con el CUI 3151671731301</t>
  </si>
  <si>
    <t>número de gestión de inscripción de NIT generada con el CUI 3128658801215</t>
  </si>
  <si>
    <t>número de gestión de inscripción de NIT generada con el CUI 4062577010101</t>
  </si>
  <si>
    <t xml:space="preserve">número de gestión de inscripción de NIT generada con el CUI 3006662760101
</t>
  </si>
  <si>
    <t xml:space="preserve">número de gestión de inscripción de NIT generada con el CUI 3281560001101
</t>
  </si>
  <si>
    <t>Solicitud apoyo en verificación de gestión en la que se encuentra DPI: 2926173640115</t>
  </si>
  <si>
    <t>Solicitud apoyo en verificación de gestión en la que se encuentra DPI: 2419194870801</t>
  </si>
  <si>
    <t>el contribuyente NIT 120552752 indica rechazo de su solicitud de actualización No.  20255ACTEB599C33 dentro de los comentarios de rechazo se encuentra "Señor contribuyente he verificado 3 veces su gestión debe adjuntar la escritura matriz No 83 con su respectivo 1er Testimonio y su razón del Registro.", el contribuyente indica que está adjuntando la escritura No. 63, la número 83 no corresponde</t>
  </si>
  <si>
    <t>CUI 2670415000101</t>
  </si>
  <si>
    <t>2385278K</t>
  </si>
  <si>
    <t>NIT 2385278K tiene inactiva la afiliación del IVA realizó el pago de declaraciones omisas</t>
  </si>
  <si>
    <t>Consulta cambios formulario Habilitación de Libros SAT-7121</t>
  </si>
  <si>
    <t>Solicitud apoyo sincronización de Verificador Integrado Portal SAT.</t>
  </si>
  <si>
    <t xml:space="preserve">NIT 4323742, no puede enviar el reporte de Asiste Hospitales. </t>
  </si>
  <si>
    <t xml:space="preserve">pago de ISCV </t>
  </si>
  <si>
    <t>RTU muestra mensaje que superaron el monto de 125 salarios mínimos durante al año anterior y no pueden finalizar la gestión</t>
  </si>
  <si>
    <t>CUI 3688813340101</t>
  </si>
  <si>
    <t>CUI 3052708340203</t>
  </si>
  <si>
    <t>CUI 3141999341218</t>
  </si>
  <si>
    <t>El contribuyente NIT 56885393 reporta que no puede generar el formulario 2046 del mes de abril 2025 le genera el error: Usted se encuentra afiliado al Régimen Electrónico de Pequeño Contribuyente, le corresponde llenar el formulario SAT-2241, el contribuyente manifiesta que está afiliado al Régimen de Pequeño Contribuyente a partir del 01-04-2025, incluso le refleja incumplimiento del formulario SAT-2046 del mes de abril 2025.</t>
  </si>
  <si>
    <t>IRE-Departamento de Recaudación Tributaria</t>
  </si>
  <si>
    <t>El contribuyente NIT 8313369, reporta inconveniente en la presentación del Informe de Servicios de Impresión.</t>
  </si>
  <si>
    <t>IRE-Departamento de Sistemas de Recaudación</t>
  </si>
  <si>
    <t>Solicitud apoyo Omisos sustantivos GRO.</t>
  </si>
  <si>
    <t>gestión 20255INS5FA0A963 indica que si está adjuntando el documento de registro en la municipalidad.</t>
  </si>
  <si>
    <t>GRN/Jalapa</t>
  </si>
  <si>
    <t>NIT 38096862, ha realizado tres intentos para crear usuario de agencia virtual, indica que no recibe el correo .</t>
  </si>
  <si>
    <t>CUI 3041810050113</t>
  </si>
  <si>
    <t>CUI 3249691711703</t>
  </si>
  <si>
    <t>CUI 2098381321804</t>
  </si>
  <si>
    <t>CUI 3371708350920</t>
  </si>
  <si>
    <t>CUI 3280876291607</t>
  </si>
  <si>
    <t>CUI 3758366240101</t>
  </si>
  <si>
    <t>Solicitud apoyo en verificación de gestión en la que se encuentra DPI: 2103955591108</t>
  </si>
  <si>
    <t>Maria Fernanda Herrera Oliva</t>
  </si>
  <si>
    <t>Solicitud apoyo en verificación de gestión en la que se encuentra DPI: 3366145940917</t>
  </si>
  <si>
    <t>El contribuyente NIT 83949976 reporta que no puede generar el formulario 2046 del mes de enero 2025 le genera el error: Usted se encuentra afiliado al Régimen Electrónico de Pequeño Contribuyente, le corresponde llenar el formulario SAT-2241, el contribuyente manifiesta que está afiliado al Régimen de Pequeño Contribuyente a partir del 17-01-2025, incluso le refleja incumplimiento del formulario SAT-2046 del mes de enero 2025.</t>
  </si>
  <si>
    <t>Solicitud apoyo en verificación de gestión en la que se encuentra DPI: 3757774740101</t>
  </si>
  <si>
    <t xml:space="preserve">NIT 67553826 tiene suspendida la afiliación del IVA, no tiene omisos pendientes. </t>
  </si>
  <si>
    <t>CUI 3001348000101</t>
  </si>
  <si>
    <t>CUI 2621935741402</t>
  </si>
  <si>
    <t>Consulta Municipalidad de Santiago Atitlán, respecto a aplicación de multas de tránsito.</t>
  </si>
  <si>
    <t>SAT 2311 NIT COMPRADOR 4999045   SERIE 10F2DD0B DOCTO 3325185399</t>
  </si>
  <si>
    <t>SAT 2046  no le permitió generarlo de marzo 2025 y generó el SAT 2241</t>
  </si>
  <si>
    <t>Mariela</t>
  </si>
  <si>
    <t xml:space="preserve">número de gestión de inscripción de NIT generada con el CUI 2861729091415
</t>
  </si>
  <si>
    <t>NIT 98179829 realizó cambio de régimen y no puede presentar el formulario SAT 2046 del mes de marzo 2025.</t>
  </si>
  <si>
    <t>número de gestión de inscripción de NIT generada con el CUI 1994666102107</t>
  </si>
  <si>
    <t>número de gestión de inscripción de NIT generada con el CUI 3653069241201</t>
  </si>
  <si>
    <t>Monica</t>
  </si>
  <si>
    <t xml:space="preserve">número de gestión de inscripción de NIT generada con el CUI 3026674580103
</t>
  </si>
  <si>
    <t xml:space="preserve">número de gestión de inscripción de NIT generada con el CUI 4051912190101 
</t>
  </si>
  <si>
    <t>número de gestión de inscripción de NIT generada con el CUI 3512313900101</t>
  </si>
  <si>
    <t>número de gestión de inscripción de NIT generada con el CUI 3292596951105</t>
  </si>
  <si>
    <t>número de gestión de inscripción de NIT generada con el CUI 1629575570608</t>
  </si>
  <si>
    <t>número de gestión de inscripción de NIT generada con el CUI 2320757272101</t>
  </si>
  <si>
    <t>número de gestión de inscripción de NIT generada con el CUI 3422322822201</t>
  </si>
  <si>
    <t>número de gestión de inscripción de NIT generada con el CUI 3436642122203</t>
  </si>
  <si>
    <t>número de gestión de inscripción de NIT generada con el CUI 3023812790101</t>
  </si>
  <si>
    <t>número de gestión de inscripción de NIT generada con el CUI 3387284572009</t>
  </si>
  <si>
    <t xml:space="preserve">número de gestión de inscripción de NIT generada con el CUI 3619732920603
</t>
  </si>
  <si>
    <t>número de gestión de inscripción de NIT generada con el CUI 3217557900506</t>
  </si>
  <si>
    <t>número de gestión de inscripción de NIT generada con el CUI 3011466590101</t>
  </si>
  <si>
    <t>número de gestión de inscripción de NIT generada con el CUI 3647435570101</t>
  </si>
  <si>
    <t>número de gestión de inscripción de NIT generada con el CUI 3405810421415</t>
  </si>
  <si>
    <t>número de gestión de inscripción de NIT generada con el CUI 3047200540116 </t>
  </si>
  <si>
    <t>número de gestión de inscripción de NIT generada con el CUI 3000661120101</t>
  </si>
  <si>
    <t xml:space="preserve">NIT 28770102 realizó el pago de omisos el día 04 de junio, sin embargo aún tiene suspendida la afiliación del IVA. </t>
  </si>
  <si>
    <t xml:space="preserve">NIT 19617143 tiene suspendida la afiliación del IVA y no tiene omisos pendientes. </t>
  </si>
  <si>
    <t>NIT 82941602 tiene suspendida la afiliación del IVA y no tiene omisos pendientes</t>
  </si>
  <si>
    <t xml:space="preserve">número de gestión de inscripción de NIT generada con el CUI 1872402480805
</t>
  </si>
  <si>
    <t xml:space="preserve">número de gestión de inscripción de NIT generada con el CUI 3016301860101
</t>
  </si>
  <si>
    <t>número de gestión de inscripción de NIT generada con el CUI 2256512540101</t>
  </si>
  <si>
    <t>número de gestión de inscripción de NIT generada con el CUI 3150788040502</t>
  </si>
  <si>
    <t>número de gestión de inscripción de NIT generada con el CUI 3055179960208</t>
  </si>
  <si>
    <t>CUI 3823430340502</t>
  </si>
  <si>
    <t>CUI 3517199700101</t>
  </si>
  <si>
    <t xml:space="preserve">NIT 89277287 no tiene omisos y cuenta con la afiliación del IVA suspendida. </t>
  </si>
  <si>
    <t xml:space="preserve">NIT 58467254 tiene la afiliación del IVA suspendida y no tiene omisos pendientes. 
</t>
  </si>
  <si>
    <t>NIT 9725148 no tiene omisos y tiene suspendida la afiliación del IVA</t>
  </si>
  <si>
    <t>permiso exportador</t>
  </si>
  <si>
    <t xml:space="preserve">NIT 67862853 tiene suspendida la afiliación del IVA y no tiene omisos. </t>
  </si>
  <si>
    <t>Solicitud apoyo gestiones de Agencia Virtual, con dominio "@hotmail.com"</t>
  </si>
  <si>
    <t>NIT 14008173 le aparece inactiva la afiliación del IVA, ya realizó varias actualizaciones</t>
  </si>
  <si>
    <t>CUI 2491565550506</t>
  </si>
  <si>
    <t>CUI 3413252951416</t>
  </si>
  <si>
    <t>CUI 2433562501221</t>
  </si>
  <si>
    <t>CUI 2907753290713</t>
  </si>
  <si>
    <t>NIT 119731894 está solicitando el cambio de retención definitiva a pago directo en el régimen opcional simplificado, el sistema no le permite realizar el cambio</t>
  </si>
  <si>
    <t>número de gestión de inscripción de NIT generada con el CUI 3371708350920</t>
  </si>
  <si>
    <t>número de gestión de inscripción de NIT generada con el CUI 3813669792009</t>
  </si>
  <si>
    <t>número de gestión de inscripción de NIT generada con el CUI 2760085290201</t>
  </si>
  <si>
    <t>número de gestión de inscripción de NIT generada con el CUI 2654987080605</t>
  </si>
  <si>
    <t>número de gestión de inscripción de NIT generada con el CUI 2225769601805</t>
  </si>
  <si>
    <t>número de gestión de inscripción de NIT generada con el CUI 3021052630101</t>
  </si>
  <si>
    <t>número de gestión de inscripción de NIT generada con el CUI 1955252801608</t>
  </si>
  <si>
    <t xml:space="preserve">número de gestión de inscripción de NIT generada con el CUI 4064335260101
</t>
  </si>
  <si>
    <t>CUI  3122171020413</t>
  </si>
  <si>
    <t xml:space="preserve">número de gestión de inscripción de NIT generada con el CUI 2991490210101
</t>
  </si>
  <si>
    <t>número de gestión de inscripción de NIT generada con el CUI 2430877480604</t>
  </si>
  <si>
    <t>número de gestión de inscripción de NIT generada con el CUI 2907498910301</t>
  </si>
  <si>
    <t xml:space="preserve">número de gestión de inscripción de NIT generada con el CUI 3342323921301 </t>
  </si>
  <si>
    <t xml:space="preserve">número de gestión de inscripción de NIT generada con el CUI 2765424520101  </t>
  </si>
  <si>
    <t>número de gestión de inscripción de NIT generada con el CUI  2924608720101</t>
  </si>
  <si>
    <t>número de gestión de inscripción de NIT generada con el CUI 3073185830401</t>
  </si>
  <si>
    <t>número de gestión de inscripción de NIT generada con el CUI 4008291421010</t>
  </si>
  <si>
    <t>número de gestión de inscripción de NIT generada con el CUI 1929713440101</t>
  </si>
  <si>
    <t>número de gestión de inscripción de NIT generada con el CUI 2905307250501</t>
  </si>
  <si>
    <t>número de gestión de inscripción de NIT generada con el CUI 3275494321405</t>
  </si>
  <si>
    <t>número de gestión de inscripción de NIT generada con el CUI 3597082180101</t>
  </si>
  <si>
    <t>número de gestión de inscripción de NIT generada con el CUI 3317801431609</t>
  </si>
  <si>
    <t>número de gestión de inscripción de NIT generada con el CUI 3270439971604</t>
  </si>
  <si>
    <t>número de gestión de inscripción de NIT generada con el CUI 3016382840101</t>
  </si>
  <si>
    <t>número de gestión de inscripción de NIT generada con el CUI 2915778060112</t>
  </si>
  <si>
    <t>número de gestión de inscripción de NIT generada con el CUI 35555586020922</t>
  </si>
  <si>
    <t>número de gestión de inscripción de NIT generada con el CUI 3582567040101</t>
  </si>
  <si>
    <t>CUI 3842279371105</t>
  </si>
  <si>
    <t>CUI 3260770651602</t>
  </si>
  <si>
    <t>CUI 3345847601613</t>
  </si>
  <si>
    <t>CUI 3045923150115</t>
  </si>
  <si>
    <t>NIT 102564736 está realizando registro en el RGAE, sin embargo, el sistema le muestra que tiene incumplimientos pendientes con SAT,  consultando el verificador no le muestra incumplimientos</t>
  </si>
  <si>
    <t xml:space="preserve">número de gestión de inscripción de NIT generada con el CUI 3899406580602
</t>
  </si>
  <si>
    <t>CUI 3563076700101</t>
  </si>
  <si>
    <t>CUI 3079709810805</t>
  </si>
  <si>
    <t>CUI 2757408461101</t>
  </si>
  <si>
    <t>CUI 1954828160513</t>
  </si>
  <si>
    <t xml:space="preserve">número de gestión de inscripción de NIT generada con el CUI 1686674320805
</t>
  </si>
  <si>
    <t>número de gestión de inscripción de NIT generada con el CUI 3517199700101</t>
  </si>
  <si>
    <t>número de gestión de inscripción de NIT generada con el CUI 3298454971609</t>
  </si>
  <si>
    <t>número de gestión de inscripción de NIT generada con el CUI 3752342921804</t>
  </si>
  <si>
    <t>CUI  2847192181102</t>
  </si>
  <si>
    <t>número de gestión de inscripción de NIT generada con el CUI 1875850911332</t>
  </si>
  <si>
    <t>número de gestión de inscripción de NIT generada con el CUI 3262770651602</t>
  </si>
  <si>
    <t>número de gestión de inscripción de NIT generada con el CUI 3024817290102</t>
  </si>
  <si>
    <t xml:space="preserve">NIT 57035431 tiene suspendida la afiliación del IVA, y no tiene omisos pendientes. </t>
  </si>
  <si>
    <t>suspendido y no tiene omisos</t>
  </si>
  <si>
    <t>Suspensión del IVA del contribuyente NIT 87613409 el contribuyente no posee omisos ni plan operativo.</t>
  </si>
  <si>
    <t>2742460K</t>
  </si>
  <si>
    <t>NIT 2742460K en el cual realizó el pago del ISCV de varios  vehículos, sin embargo el formulario no muestra información y no puede descargar los distintivos en agencia virtual.</t>
  </si>
  <si>
    <t>NIT 108979261 solicita la inactivación de la afiliación ISR rentas del trabajo</t>
  </si>
  <si>
    <t>MEM/SAT/IAC/DGS/UST/068/2025</t>
  </si>
  <si>
    <t>NIT 68973063 habilitación de opciones para delegar permisos en aduanas</t>
  </si>
  <si>
    <t>Aduana Moderna</t>
  </si>
  <si>
    <t xml:space="preserve">20255ACTF77AEB8B </t>
  </si>
  <si>
    <t>Agregar profesión al catalogo de profesiones del RTU Digital NIT 74507346 Ingeniero Ambiental</t>
  </si>
  <si>
    <t>MEM-SAT-IAC-DGS-UST-070-2025</t>
  </si>
  <si>
    <t>NIT 109395301 realizó cambio de régimen de pequeño contribuyente electrónico a pequeño normal pero el sistema lo registró dentro del mismo mes en ambos regímenes, el declaró en el formulario electrónico pero le aparece omiso el 2046 al ingresar este no permite llenarlo</t>
  </si>
  <si>
    <t xml:space="preserve">NIT 50468081, indica que el sistema no le reconoce la contraseña ingresada en agencia virtual. </t>
  </si>
  <si>
    <t xml:space="preserve">NIT 120538687 indica que la opción indicada por revisor no aparece en el sistema. </t>
  </si>
  <si>
    <t>CUI 2726515320108</t>
  </si>
  <si>
    <t>CUI 4192508830115</t>
  </si>
  <si>
    <t>CUI 3028591950106</t>
  </si>
  <si>
    <t>CUI 3915128970101</t>
  </si>
  <si>
    <t>Inconveniente al validar o presentar el formulario SAT 2241 mes de mayo 2025.</t>
  </si>
  <si>
    <t>Mildred Ramos De León</t>
  </si>
  <si>
    <t>Solicitud apoyo gestión de actualizcación de datos RTU.</t>
  </si>
  <si>
    <t>CUI 3701625010101</t>
  </si>
  <si>
    <t>Inconveniente presentación de formulario SAT-2241 Período Mayo/2025.</t>
  </si>
  <si>
    <t xml:space="preserve">gestión 20255CESE131591F9 </t>
  </si>
  <si>
    <t>El contribuyente NIT 26906376 tiene el NIT inactivo por anomalías, ya se presentó a una agencia</t>
  </si>
  <si>
    <t>NIT 36938890 está facturando y el sistema le indica que ya superó el monto de facturación permitido pero indica que no ha superado los 125 salarios mínimos</t>
  </si>
  <si>
    <t xml:space="preserve">NIT 82025592 no tiene omisos pendientes y tiene inactiva la afiliación del IVA. </t>
  </si>
  <si>
    <t>gestión 20256AVCB8C2D37</t>
  </si>
  <si>
    <t>2213087K</t>
  </si>
  <si>
    <t>Solicitud apoyo formulario SAT-1411 inconvenientes en campo de contador.</t>
  </si>
  <si>
    <t>La contribuyente NIT 78847842 se comunicó al Contact Center de SAT manifestando que en el Verificador Integrado le aparece el siguiente mensaje: Afiliación al Impuesto al Valor Agregado inactiva por suspensión, pero dentro del RTU no posee suspensión.</t>
  </si>
  <si>
    <t>2563934K</t>
  </si>
  <si>
    <t>no le permite actualizar datos le indica que sobrepasó los 125 salarios mínimos</t>
  </si>
  <si>
    <t xml:space="preserve">NIT 86944908 está realizando una actualización de datos, el número de colegio tiene una letra, la cual no puede consignarla porque el sistema solo permite números. </t>
  </si>
  <si>
    <t xml:space="preserve">gestión 20255ACTA330E5B1 </t>
  </si>
  <si>
    <t>suspendido Arto. 120 y realizó cese de actividades</t>
  </si>
  <si>
    <t>CUI 2204181010101</t>
  </si>
  <si>
    <t>CUI 3332811521804</t>
  </si>
  <si>
    <t>CUI 3645306690101</t>
  </si>
  <si>
    <t>número de gestión de inscripción de NIT generada con el CUI 2710830342103</t>
  </si>
  <si>
    <t>número de gestión de inscripción de NIT generada con el CUI 3057171620301</t>
  </si>
  <si>
    <t>número de gestión de inscripción de NIT generada con el CUI 3057771220301</t>
  </si>
  <si>
    <t>número de gestión de inscripción de NIT generada con el CUI 2391913150110</t>
  </si>
  <si>
    <t xml:space="preserve">número de gestión de inscripción de NIT generada con el CUI 3752342921804
</t>
  </si>
  <si>
    <t>CUI 3703001650101</t>
  </si>
  <si>
    <t xml:space="preserve">número de gestión de inscripción de NIT generada con el CUI 2474993230901
</t>
  </si>
  <si>
    <t>CUI 2687292631325</t>
  </si>
  <si>
    <t xml:space="preserve">número de gestión de inscripción de NIT generada con el CUI 3032335930108
</t>
  </si>
  <si>
    <t xml:space="preserve">número de gestión de inscripción de NIT generada con el CUI 2470034090116
</t>
  </si>
  <si>
    <t xml:space="preserve">número de gestión de inscripción de NIT generada con el CUI 4020498450101
</t>
  </si>
  <si>
    <t xml:space="preserve">número de gestión de inscripción de NIT generada con el CUI 4008291421010
</t>
  </si>
  <si>
    <t>Solicitud apoyo en verificación de gestión en la que se encuentra DPI: 1968134241006</t>
  </si>
  <si>
    <t>Solicitud apoyo en verificación de gestión en la que se encuentra DPI: 3032735930108</t>
  </si>
  <si>
    <t xml:space="preserve">número de gestión de inscripción de NIT generada con el CUI 3371135480920
</t>
  </si>
  <si>
    <t xml:space="preserve">número de gestión de inscripción de NIT generada con el CUI 2029128090308
</t>
  </si>
  <si>
    <t>solicitud de AV</t>
  </si>
  <si>
    <t>CUI 1893530310705</t>
  </si>
  <si>
    <t xml:space="preserve">número de gestión de inscripción de NIT generada con el CUI 3108520050407
</t>
  </si>
  <si>
    <t>realizó cese de actividades y aparece  suspendido</t>
  </si>
  <si>
    <t xml:space="preserve">número de gestión de inscripción de NIT generada con el CUI 2008921180101
</t>
  </si>
  <si>
    <t xml:space="preserve">número de gestión de inscripción de NIT generada con el CUI 2140719360304
</t>
  </si>
  <si>
    <t>CUI 3082397090608</t>
  </si>
  <si>
    <t>Solicitud apoyo en verificación de gestión en la que se encuentra DPI: 3072972680101</t>
  </si>
  <si>
    <t>Sincronización de registro de pago de multa de tránsito M-487JBL</t>
  </si>
  <si>
    <t>Otra Entidad - EMETRA</t>
  </si>
  <si>
    <t>número de gestión de inscripción de NIT generada con el CUI 2533405351215</t>
  </si>
  <si>
    <t>número de gestión de inscripción de NIT generada con el CUI 3515670460701</t>
  </si>
  <si>
    <t>número de gestión de inscripción de NIT generada con el CUI E0219241</t>
  </si>
  <si>
    <t xml:space="preserve">número de gestión de inscripción de NIT generada con el CUI 3555586020922
</t>
  </si>
  <si>
    <t>gestión 20255CESE18603430</t>
  </si>
  <si>
    <t>CUI 3944460540101</t>
  </si>
  <si>
    <t>CUI 4004396111205</t>
  </si>
  <si>
    <t>CUI  3596841300101</t>
  </si>
  <si>
    <t>CUI  3264575261401</t>
  </si>
  <si>
    <t>número de gestión de inscripción de NIT generada con el CUI 3179392540909</t>
  </si>
  <si>
    <t>número de gestión de inscripción de NIT generada con el CUI 2752056811215</t>
  </si>
  <si>
    <t>número de gestión de inscripción de NIT generada con el CUI 3701790990101</t>
  </si>
  <si>
    <t>número de gestión de inscripción de NIT generada con el CUI 3208678700501</t>
  </si>
  <si>
    <t>Solicitud apoyo en verificación de gestión en la que se encuentra DPI: 3230614350508</t>
  </si>
  <si>
    <t>número de gestión de inscripción de NIT generada con el CUI 3700531091209</t>
  </si>
  <si>
    <t>número de gestión de inscripción de NIT generada con el CUI 3080884250805</t>
  </si>
  <si>
    <t>gestión 20256INSBED0CF07</t>
  </si>
  <si>
    <t>CUI 2930870831904</t>
  </si>
  <si>
    <t>CUI 2585553351301</t>
  </si>
  <si>
    <t>CUI 2986586230101</t>
  </si>
  <si>
    <t>CUI 3681343690101</t>
  </si>
  <si>
    <t xml:space="preserve">número de gestión de inscripción de NIT generada con el CUI 3974784020101
</t>
  </si>
  <si>
    <t>SAT 8008</t>
  </si>
  <si>
    <t>Adolfo</t>
  </si>
  <si>
    <t xml:space="preserve">gestión 20256INSAC4A2A05 </t>
  </si>
  <si>
    <t>GRO/Sololá</t>
  </si>
  <si>
    <t>gestión 20256ACTD856A47E</t>
  </si>
  <si>
    <t>NIT 15990141 indica que canceló las multas del vehículo M/316JWN y aún aparecen en SAT.</t>
  </si>
  <si>
    <t xml:space="preserve">Otras dependencias </t>
  </si>
  <si>
    <t xml:space="preserve">gestión 20256ACT94445BA0    </t>
  </si>
  <si>
    <t>GRS/Mazatenango</t>
  </si>
  <si>
    <t>gestión 20256INSAC4A2A05</t>
  </si>
  <si>
    <t>Inactivación de característica especial de asalariado NIT 32992300</t>
  </si>
  <si>
    <t>MEM-SAT-IAC-DGS-UST-069-2025</t>
  </si>
  <si>
    <t>Solicitud apoyo sincronización formulario SAT-4091 ISCV.</t>
  </si>
  <si>
    <t>La contribuyente NIT 113502850 manifiesta que en el Verificador Integrado le aparece el siguiente mensaje: Afiliación al Impuesto al Valor Agregado inactiva por suspensión, pero dentro del RTU no posee suspensión.</t>
  </si>
  <si>
    <t>MEM-SAT-IAC-DGS-UST-073-2025</t>
  </si>
  <si>
    <t>no permite ingresar la factura de Claro a la actualización de datos</t>
  </si>
  <si>
    <t>NIT 49019066 solicita inactivación de característica especial de asalariado</t>
  </si>
  <si>
    <t>MEM/SAT/IAC/DGS/UST/074/2025</t>
  </si>
  <si>
    <t xml:space="preserve">Sincronizar las obligaciones del contribuyente NIT: 82439737, en RTU Oracle, debido a que le aparecen obligaciones del régimen general del IVA y lo correcto es de pequeño contribuyente. </t>
  </si>
  <si>
    <t>es diplomático y necesita exportar</t>
  </si>
  <si>
    <t>CUI 1832803932212</t>
  </si>
  <si>
    <t>CUI 3139757950501</t>
  </si>
  <si>
    <t>CUI 3028365510106</t>
  </si>
  <si>
    <t>CUI 2310294110101</t>
  </si>
  <si>
    <t xml:space="preserve">gestión 20256CESE347D2402 </t>
  </si>
  <si>
    <t>SAT 1608</t>
  </si>
  <si>
    <t>El contribuyente NIT  40114880 indica rechazo de su solicitud de actualización No.  20255ACT0618F284 dentro de los comentarios de rechazo se encuentra "Previo a la autorización de su solicitud deberá cancelar multa por inscripción extemporánea de nombramiento de representante legal, dicha sanción podrá ser efectivo a través del formulario declaraguate opción búsqueda con los siguientes datos: Numero de Formulario 47105402506, Numero de Acceso 465341873 en cualquiera de los bancos del Sistema, dicho pago solo podrá hacerse efectivo en esta fecha", el contribuyente manifiesta que cancelo la multa con el formulario 46943334296 acceso 7879310 el cual se adjunta al presente correo.</t>
  </si>
  <si>
    <t>CUI 3117104170806</t>
  </si>
  <si>
    <t>Solicitud apoyo verificación de solicitud de AV - CUI no cumple con el estándar.</t>
  </si>
  <si>
    <t>El NIT 39967026 tiene inactiva la característica de FEL y no puede habilitarse nuevamente.</t>
  </si>
  <si>
    <t>CUI 1736854041604</t>
  </si>
  <si>
    <t>NIT 55852238 gestión 20256ACT5822C595, está realizando la actualización de datos y le están requiriendo el pago de multa por inscripción extemporánea de representante legal</t>
  </si>
  <si>
    <t>CUI 3387786912010</t>
  </si>
  <si>
    <t>gestión 20256ACT05EDD0FB</t>
  </si>
  <si>
    <t>GRC/Carretera a El Salvador</t>
  </si>
  <si>
    <t xml:space="preserve">NIT 18057330 está actualizando datos, indica que no está ejerciendo y quiere inactivar el colegiado. </t>
  </si>
  <si>
    <t xml:space="preserve">Constancia de envío inventarios NIT 120049732
</t>
  </si>
  <si>
    <t>no le permite actualizar datos porque realizó cese de actividades y la afiliación al IVA  quedó activa</t>
  </si>
  <si>
    <t>MEM-SAT-IAC-DGS-UST-072-2025</t>
  </si>
  <si>
    <t xml:space="preserve">gestión 20256ACTB093761C  </t>
  </si>
  <si>
    <t>CUI 3312817751801</t>
  </si>
  <si>
    <t>Mildred Marisol Ramos</t>
  </si>
  <si>
    <t>número de gestión de inscripción de NIT generada con el CUI 1955250352214</t>
  </si>
  <si>
    <t>número de gestión de inscripción de NIT generada con el CUI 3646640610101</t>
  </si>
  <si>
    <t xml:space="preserve">número de gestión de inscripción de NIT generada con el CUI 3057771220301
</t>
  </si>
  <si>
    <t xml:space="preserve">número de gestión de inscripción de NIT generada con el CUI 2752056811215
</t>
  </si>
  <si>
    <t xml:space="preserve">número de gestión de inscripción de NIT generada con el CUI 4093696161901
</t>
  </si>
  <si>
    <t xml:space="preserve">número de gestión de inscripción de NIT generada con el CUI 2950263590308
</t>
  </si>
  <si>
    <t xml:space="preserve">número de gestión de inscripción de NIT generada con el CUI 2258384940706
</t>
  </si>
  <si>
    <t xml:space="preserve">número de gestión de inscripción de NIT generada con el CUI 1984134241006
</t>
  </si>
  <si>
    <t xml:space="preserve">número de gestión de inscripción de NIT generada con el CUI 3933823380101
</t>
  </si>
  <si>
    <t xml:space="preserve">número de gestión de inscripción de NIT generada con el CUI 3806314580101
</t>
  </si>
  <si>
    <t xml:space="preserve">número de gestión de inscripción de NIT generada con el CUI 3044360620114
</t>
  </si>
  <si>
    <t>Corre</t>
  </si>
  <si>
    <t xml:space="preserve">número de gestión de inscripción de NIT generada con el CUI 2995127970101
</t>
  </si>
  <si>
    <t>CUI 3229942091001</t>
  </si>
  <si>
    <t>CUI 3656731960101</t>
  </si>
  <si>
    <t>CUI 3335672501225</t>
  </si>
  <si>
    <t>número de gestión de inscripción de NIT generada con el CUI 3160580171302</t>
  </si>
  <si>
    <t>12/06/20025</t>
  </si>
  <si>
    <t>número de gestión de inscripción de NIT generada con el CUI 3097213770611</t>
  </si>
  <si>
    <t>CUI 2475274320901</t>
  </si>
  <si>
    <t>número de gestión de inscripción de NIT generada con el CUI 2892872350116</t>
  </si>
  <si>
    <t>NIT 101888759 no le reconoce el DPI en la gestión de Agencia Virtual</t>
  </si>
  <si>
    <t>gestión 20256ACT96A60EF2</t>
  </si>
  <si>
    <t>Solicitud apoyo en verificación de gestión en la que se encuentra DPI: 2836522090901</t>
  </si>
  <si>
    <t>Solicitud apoyo en verificación de gestión en la que se encuentra DPI: 2834188770105</t>
  </si>
  <si>
    <t>Solicitud apoyo en verificación de gestión en la que se encuentra DPI: 3184988551313</t>
  </si>
  <si>
    <t xml:space="preserve">NIT 53270878
Indica si pueden ampliar el requerimiento de información para concluir la gestión de cese.  Adicional consulta donde adjuntar el contrato de recisión. </t>
  </si>
  <si>
    <t>Solicitud apoyo en verificación de gestión en la que se encuentra DPI: 4047935921711</t>
  </si>
  <si>
    <t>C0280BZL  no le permite imprimir los distintivos</t>
  </si>
  <si>
    <t>NIT 37253107 placa C/870BPH refleja multas de tránsito PNC</t>
  </si>
  <si>
    <t>799138K</t>
  </si>
  <si>
    <t xml:space="preserve">Sincronizar NIT 799138K el apellido de casa en RTU Oracle, aparece "DE DE" en el RTU Nube no aparece. </t>
  </si>
  <si>
    <t xml:space="preserve">número de gestión de inscripción de NIT generada con el CUI 3655287570101
</t>
  </si>
  <si>
    <t>CUI 2680088680501</t>
  </si>
  <si>
    <t>CUI 3114474570409</t>
  </si>
  <si>
    <t>número de gestión de inscripción de NIT generada con el CUI 2173906331416</t>
  </si>
  <si>
    <t>número de gestión de inscripción de NIT generada con el CUI 2925284341419</t>
  </si>
  <si>
    <t>CUI 3810478220115</t>
  </si>
  <si>
    <t>CUI  3650876960101</t>
  </si>
  <si>
    <t>número de gestión de inscripción de NIT generada con el CUI 3280012281101</t>
  </si>
  <si>
    <t>número de gestión de inscripción de NIT generada con el CUI 3080062400403</t>
  </si>
  <si>
    <t>número de gestión de inscripción de NIT generada con el CUI 3239926331327</t>
  </si>
  <si>
    <t>número de gestión de inscripción de NIT generada con el CUI 3299573681109</t>
  </si>
  <si>
    <t xml:space="preserve">NIT 46949526 tiene suspendida la afiliación del IVA y no tiene omisos pendientes. </t>
  </si>
  <si>
    <t>CUI  3110580431215</t>
  </si>
  <si>
    <t>CUI 3050995580117</t>
  </si>
  <si>
    <t xml:space="preserve">número de gestión de inscripción de NIT generada con el CUI 3270290991015
</t>
  </si>
  <si>
    <t>Solicitud apoyo en verificación de gestión en la que se encuentra DPI: 3700531091209</t>
  </si>
  <si>
    <t>número de gestión de inscripción de NIT generada con el CUI 3191455301508</t>
  </si>
  <si>
    <t>Oscar</t>
  </si>
  <si>
    <t>número de gestión de inscripción de NIT generada con el CUI 4033499900101</t>
  </si>
  <si>
    <t>número de gestión de inscripción de NIT generada con el CUI 3508747350101</t>
  </si>
  <si>
    <t xml:space="preserve">número de gestión de inscripción de NIT generada con el CUI 3515670460701 </t>
  </si>
  <si>
    <t>número de gestión de inscripción de NIT generada con el CUI 3340995361613</t>
  </si>
  <si>
    <t>número de gestión de inscripción de NIT generada con el CUI 1971407421606</t>
  </si>
  <si>
    <t>número de gestión de inscripción de NIT generada con el CUI 3672340920507</t>
  </si>
  <si>
    <t>Solicitud apoyo inconveniente gestión solicitud e NIT - CUI 3608326440101</t>
  </si>
  <si>
    <t>número de gestión de inscripción de NIT generada con el CUI 3199938090914</t>
  </si>
  <si>
    <t>número de gestión de inscripción de NIT generada con el CUI 4007326370101</t>
  </si>
  <si>
    <t>gestión 20256CESEEA7D320E  necesita saber qué DUCA están en proceso de audiencia</t>
  </si>
  <si>
    <t>GRS/Retalhuleu</t>
  </si>
  <si>
    <t>NIT 12746371 tiene suspendida la afiliación del IVA.</t>
  </si>
  <si>
    <t>CUI 3254183571010</t>
  </si>
  <si>
    <t>P743FNC  están enviando correo de no responder y no tiene multas de tránsito</t>
  </si>
  <si>
    <t>IRE-Departamento de Cumplimiento Tributario</t>
  </si>
  <si>
    <t>NIT 33713685 no puede imprimir calcomanía tiene multas de tránsito pendiente</t>
  </si>
  <si>
    <t>Otras Dependencias</t>
  </si>
  <si>
    <t xml:space="preserve">número de gestión de inscripción de NIT generada con el CUI 2986590690101
</t>
  </si>
  <si>
    <t xml:space="preserve">NIT 27986195 gestión 20256ACTB387E413 , indica que está subiendo la constancia de colegiado activa. </t>
  </si>
  <si>
    <t xml:space="preserve">20255ACTCF34BD5E del NIT 112264646, le están solicitando la cancelación de multa por aviso extemporáneo de nombramiento de Representante Legal, NIT 119196557 RICARDO ALBERTO CUELLAR VEGA, pero él ya figura como Representante Legal en RTU Digital y está vigente, solo están realizando la cancelación del otro representante legal. Por lo cual no aplica la multa que le están cobrando a través del rechazo.  </t>
  </si>
  <si>
    <t>permiso para exportar menaje de casa</t>
  </si>
  <si>
    <t>La contribuyente MARGARITA LOBO AJIN, con CUI 2538631550511 y NIT 57927766, realizó la cita No. 20256CC44191DC0 para concluir la inscripción 20256INS487C9E44. La cita aparece con el estado: atendida, pero no completaron el proceso porque no llevaba todos los documentos. Por lo tanto, solicita apoyo para ser atendida el día miércoles 18 de junio de 2025 a las 8:30 horas, en la Oficina Tributaria de Escuintla.</t>
  </si>
  <si>
    <t>Solicitud apoyo en verificación de gestión en la que se encuentra DPI: 2947850001711</t>
  </si>
  <si>
    <t>Solicitud apoyo en verificación de gestión en la que se encuentra DPI: 2904536071416</t>
  </si>
  <si>
    <t>Solicitud apoyo en verificación de gestión en la que se encuentra DPI: 3022456500101</t>
  </si>
  <si>
    <t>número de gestión de inscripción de NIT generada con el CUI 3581956240101</t>
  </si>
  <si>
    <t>número de gestión de inscripción de NIT generada con el CUI 3494789610108</t>
  </si>
  <si>
    <t xml:space="preserve">número de gestión de inscripción de NIT generada con el CUI 3266323281014
</t>
  </si>
  <si>
    <t xml:space="preserve">número de gestión de inscripción de NIT generada con el CUI 3626621340406
</t>
  </si>
  <si>
    <t xml:space="preserve">número de gestión de inscripción de NIT generada con el CUI 3068500790401
</t>
  </si>
  <si>
    <t xml:space="preserve">número de gestión de inscripción de NIT generada con el CUI 3274180871404
</t>
  </si>
  <si>
    <t xml:space="preserve">número de gestión de inscripción de NIT generada con el CUI 2822562020101
</t>
  </si>
  <si>
    <t xml:space="preserve">número de gestión de inscripción de NIT generada con el CUI 1866039241804
</t>
  </si>
  <si>
    <t>Reporte semestral de inventarios.</t>
  </si>
  <si>
    <t>Evelyn Sam</t>
  </si>
  <si>
    <t>número de gestión de inscripción de NIT generada con el CUI 3282349741708</t>
  </si>
  <si>
    <t>número de gestión de inscripción de NIT generada con el CUI 1882792881204</t>
  </si>
  <si>
    <t>número de gestión de inscripción de NIT generada con el CUI 2764543590101</t>
  </si>
  <si>
    <t>número de gestión de inscripción de NIT generada con el CUI 3009582420101</t>
  </si>
  <si>
    <t>Solicitud apoyo en verificación de gestión en la que se encuentra DPI: 3261568601013</t>
  </si>
  <si>
    <t>Solicitud apoyo en verificación de gestión en la que se encuentra DPI: 3431344702213</t>
  </si>
  <si>
    <t>Solicitud apoyo en verificación de gestión en la que se encuentra DPI: 3683463661001</t>
  </si>
  <si>
    <t>Solicitud apoyo en verificación de gestión en la que se encuentra DPI: 3110003550407</t>
  </si>
  <si>
    <t>El contribuyente NIT 112294405 solicita el apoyo con permiso para exportar el menaje de casa de diplomático.</t>
  </si>
  <si>
    <t>El contribuyente NIT 78907640 indica rechazo de la gestión de Cese No. 20255CESEFB2ED3E1 dentro del comentario del rechazo indica: "Inactivar la Resolución No.2020-1-61-1333698." el contribuyente manifiesta que la resolución dentro de la Agencia Virtual le aparece como cancelada.</t>
  </si>
  <si>
    <t>CUI 2234085731420</t>
  </si>
  <si>
    <t xml:space="preserve">número de gestión de inscripción de NIT generada con el CUI 2916355551219
</t>
  </si>
  <si>
    <t>número de gestión de inscripción de NIT generada con el CUI 3412833712102</t>
  </si>
  <si>
    <t>número de gestión de inscripción de NIT generada con el CUI 2646610790114</t>
  </si>
  <si>
    <t>número de gestión de inscripción de NIT generada con el CUI 3052330840203</t>
  </si>
  <si>
    <t xml:space="preserve"> apoyo para ampliar como atender el requerimiento de la gestión 20256ACT39856183 NIT 33678839, indica que está ingresando bien el domicilio. </t>
  </si>
  <si>
    <t>El contribuyente NIT 101765673 indica rechazo de su actualización No.  20256ACT1E8B50A4 dentro del comentario de rechazo se encuentra "NO PUEDE ADJUNTAR LA PATENTE COMO DOCUMENTO PARA LA DIRECCION COMECIAL DEBE: INGRESAR UNA FACTURA DE ENERGIA ELECTRICA; DE TELEFONO DE LINEA FIJA CON DIRECCION EXACTA, O PUEDE ADJUNTAR RECIBO DE PAGO DE AGUA O IUSI", el contribuyente indica que dentro de los requisitos esta la opción de patente de comercio de empresa como documento para comprobar el domicilio comercial.</t>
  </si>
  <si>
    <t>Solicitud apoyo en verificación de gestión en la que se encuentra DPI: 3241444151002</t>
  </si>
  <si>
    <t>Constancia de envío inventarios NIT 75832739</t>
  </si>
  <si>
    <t xml:space="preserve">NIT 44876823 no tiene omisos pendientes y tiene suspendida la afiliación del IVA. </t>
  </si>
  <si>
    <t>CUI 2434836861013</t>
  </si>
  <si>
    <t>CUI 3683463661001</t>
  </si>
  <si>
    <t xml:space="preserve">número de gestión de inscripción de NIT generada con el CUI 3157773380804
</t>
  </si>
  <si>
    <t xml:space="preserve">número de gestión de inscripción de NIT generada con el CUI 3199233550501
</t>
  </si>
  <si>
    <t>Sincronizar CUI del NIT 58378723</t>
  </si>
  <si>
    <t xml:space="preserve">número de gestión de inscripción de NIT generada con el CUI 3892338700101
</t>
  </si>
  <si>
    <t>Solicitud apoyo en verificación de gestión en la que se encuentra DPI: 3214832120101</t>
  </si>
  <si>
    <t>el contribuyente NIT 120508958 indica rechazo de su solicitud de actualización No. 20255ACT3DF97E63 dentro de los comentarios de rechazo se encuentra "Estimado contribuyente, favor de adjuntar documento de inscripción de la empresa ante el registro que corresponde (documento con los datos para revisar)", el contribuyente manifiesta que en las sociedades de emprendimiento, la información de la razón se consulta por medio del código QR que tiene inmerso.</t>
  </si>
  <si>
    <t>Solicitud apoyo en verificación de gestión en la que se encuentra DPI: 3944460540101</t>
  </si>
  <si>
    <t>el contribuyente NIT 96561556 manifesta que realizó su pago una nueva de solvencia fiscal el 17/06/2025, la cual fue denegada según constancia de incumplimientos adjunta, pero el manifiesta que tiene empleados que ganen más del mínimo para realizarles retención.</t>
  </si>
  <si>
    <t>sincronizar la dirección del establecimiento comercial No., debido a que, no ha replicado el "NIvel 4 Oficina 404" en RTU Oracle. TEL: 31019834 - José Lemus.</t>
  </si>
  <si>
    <t>CUI 3806314580101</t>
  </si>
  <si>
    <t xml:space="preserve">NIT 103663533, indica que tiene duplicidad de folios en LET. </t>
  </si>
  <si>
    <t>El contribuyente NIT 119386704 reportan problemas con generación de LET de Pequeño Contribuyente, el inconveniente es que los habilita por cada establecimiento, pero al generarlos le aparecen unificados</t>
  </si>
  <si>
    <t>CUI 2953679621421</t>
  </si>
  <si>
    <t>NIT 94220980 realizó cambio de régimen y no puede presentar el formulario SAT 2241.</t>
  </si>
  <si>
    <t>Solicitud apoyo verificación formulario SAT-2046.</t>
  </si>
  <si>
    <t>NIT 75292122 reporta duplicidad de folios en LET</t>
  </si>
  <si>
    <t>585749K</t>
  </si>
  <si>
    <t>NIT 585749K realizó cambio de régimen y no puede presentar el formulario SAT 2241 de mayo 2025. </t>
  </si>
  <si>
    <t>CUI 3484254300101</t>
  </si>
  <si>
    <t>Sincronizar los datos del vehículo en el sistema, debido a que, al contribuyente le aparece una multa de tránsito en el Portal SAT, pero el manifiesta que ya fue pagada y no aparece la consulta de remisiones de la Municipalidad de Escuintla. Placa P302GDX NIT 31145744</t>
  </si>
  <si>
    <t>Otras instituciones</t>
  </si>
  <si>
    <t>NIT 84904496 solicitó solvencia fiscal el 11/06/2025 sin embargo no aparece en la consulta de solvencias</t>
  </si>
  <si>
    <t xml:space="preserve">NIT 3177475, realizó cambio de régimen y no puede presentar el formulario SAT 2290. </t>
  </si>
  <si>
    <t>Sincronizar las afiliaciones del NIT 120567148 no puede habilitar libros</t>
  </si>
  <si>
    <t>El contribuyente NIT 13625349 reporta que no puede generar el formulario 2046 del mes de abril 2025 le genera el error: Usted se encuentra afiliado al Régimen Electrónico de Pequeño Contribuyente, le corresponde llenar el formulario SAT-2241, el contribuyente manifiesta que inicio operaciones como pequeño contribuyente en el mes de abril.</t>
  </si>
  <si>
    <t xml:space="preserve">gestión 20256ACT4518E345 </t>
  </si>
  <si>
    <t>El contribuyente NIT 38504049 manifiesta que registro un establecimiento y solicitó la afiliación al Régimen de Pequeño Contribuyente, el negocio quedó registrado con fecha de inicio de operaciones 20/02/2025; sin embargo, no se activó la afiliación al régimen antes indicado, le visualiza como inactiva la afiliación, ha intentado activar la afiliación realizando actualización, pero el sistema no se la activa, se adjunta las pantallas de las consultas realizadas en RTU.</t>
  </si>
  <si>
    <t xml:space="preserve">gestión de actualización de datos 20256CESE7C12A8A9 NIT 71392467 indica que no le procede la presentación de la declaración.  </t>
  </si>
  <si>
    <t>Sincronizar las afiliaciones del NIT 120582910 no puede habilitar libros</t>
  </si>
  <si>
    <t>NIT 63362627, indica que tiene inconvenientes con el reporte semestral de inventarios.</t>
  </si>
  <si>
    <t>NIT 109869656, por cambio de régimen no puede presentar el formulario SAT 2046</t>
  </si>
  <si>
    <t>El contribuyente NIT 66155444 solicita la inactivación de la característica especial de asalariado</t>
  </si>
  <si>
    <t>MEM/SAT/IAC/DGS/UST/080/2025</t>
  </si>
  <si>
    <t>El contribuyente NIT 8278024 Banco Internacional de Reconstrucción y Fomento (BIRF) solicita el apoyo para realizar proceso de exportador. </t>
  </si>
  <si>
    <t xml:space="preserve">NIT 114177015  gestión 20256ACTFD8D73D1 indica que está adjuntando la documentación original y legible  y cancelada la multa. </t>
  </si>
  <si>
    <t xml:space="preserve">NIT 69668523, está realizando trámite de patente de comercio en el Registro Mercantil. </t>
  </si>
  <si>
    <t>Solicitud apoyo gestión activación AV.</t>
  </si>
  <si>
    <t>CUI 2986586520101</t>
  </si>
  <si>
    <t>CUI 2873351270602</t>
  </si>
  <si>
    <t>CUI 4035914220101</t>
  </si>
  <si>
    <t>CUI 3196485671601</t>
  </si>
  <si>
    <t>CUI 3276585411606</t>
  </si>
  <si>
    <t>CUI 1786799922215</t>
  </si>
  <si>
    <t>CUI 3363816030917</t>
  </si>
  <si>
    <t>CUI 3837217921224</t>
  </si>
  <si>
    <t>CUI 3364008450917</t>
  </si>
  <si>
    <t>CUI 3338764050101</t>
  </si>
  <si>
    <t>CUI 3315827671802</t>
  </si>
  <si>
    <t>CUI 2775901672206</t>
  </si>
  <si>
    <t>CUI 4036347920101</t>
  </si>
  <si>
    <t>CUI 1702466120501</t>
  </si>
  <si>
    <t>CUI 3864379040115</t>
  </si>
  <si>
    <t>CUI 2546549831109</t>
  </si>
  <si>
    <t>CUI 3023937220101</t>
  </si>
  <si>
    <t>CUI 3285293461607</t>
  </si>
  <si>
    <t>CUI 2409034201601</t>
  </si>
  <si>
    <t xml:space="preserve">NIT 120547635 está realizando el trámite de patente de comercio en el Registro Mercantil, el sistema del RM muestra el error que es necesario validar correctamente el NIT, el contribuyente indica que ha reportado en diferentes ocasiones el problema ante el RM pero ellos le indican que es inconveniente es de SAT. </t>
  </si>
  <si>
    <t>CUI 3162465220903</t>
  </si>
  <si>
    <t>CUI 2790393280112</t>
  </si>
  <si>
    <t>CUI 3045478400114</t>
  </si>
  <si>
    <t>CUI 3012312810101</t>
  </si>
  <si>
    <t>CUI 3022151070101 Tel: 38987014 - Madelyn Batres.</t>
  </si>
  <si>
    <t>CUI 2484206230501</t>
  </si>
  <si>
    <t>CUI 2657085910101</t>
  </si>
  <si>
    <t>CUI 1937923380111</t>
  </si>
  <si>
    <t>CUI 3103610521213</t>
  </si>
  <si>
    <t>CUI 3146399850901</t>
  </si>
  <si>
    <t>CUI 3110686500407</t>
  </si>
  <si>
    <t>Consulta de cobro de multa de Q. 150.00 presentación extemporánea habilitación libro de compras y ventas Establecimiento No. 2</t>
  </si>
  <si>
    <t>CUI 3783316202215</t>
  </si>
  <si>
    <t>Solicitud apoyo sincronización de información Portal SAT.</t>
  </si>
  <si>
    <t>CUI 3009725040101</t>
  </si>
  <si>
    <t>CUI 3534504051801</t>
  </si>
  <si>
    <t>CUI 3414975332103</t>
  </si>
  <si>
    <t>CUI 3100490320613</t>
  </si>
  <si>
    <t>CUI 2473032162001 - Tel 31550512</t>
  </si>
  <si>
    <t>CUI 2964884531001</t>
  </si>
  <si>
    <t>Solicitud apoyo gestión Actualización de DAtos  GESTIÓN 20256ACT5A7AD26B</t>
  </si>
  <si>
    <t>NIT 120581566 indica que está tramitando patente en el Registro Mercantil y le muestra error</t>
  </si>
  <si>
    <t xml:space="preserve">NIT 963259 indica que no puede solicitar patente en el Registro Mercantil. </t>
  </si>
  <si>
    <t>NIT 84758325 está realizando cese de actividades 20256CESE0E27BD6C indica que si presentó las declaraciones del 2021 con el formulario SAT 2241</t>
  </si>
  <si>
    <t xml:space="preserve">El contribuyente NIT 80002374 manifiesta que registro un establecimiento y solicitó la afiliación al Régimen General del IVA, el negocio quedó registrado con fecha de inicio de operaciones 06/06/2024; sin embargo, no se activó la afiliación al régimen antes indicado, le visualiza como inactiva la afiliación, ha intentado activar la afiliación realizando actualización, pero el sistema no se la activa, se adjunta las pantallas de las consultas realizadas en RTU. </t>
  </si>
  <si>
    <t>Solicitud apoyo generación expediente de Solvencia Fiscal.</t>
  </si>
  <si>
    <t>MEM-SAT-IAC-DGS-UST-087-2025</t>
  </si>
  <si>
    <t xml:space="preserve">Sincronizar la actividad económica del contribuyente NIT: 320961184, en RTU Oracle.
</t>
  </si>
  <si>
    <t>Solicitud apoyo gestión Actualización de Datos del RTU.</t>
  </si>
  <si>
    <t>Dairy Arévalo</t>
  </si>
  <si>
    <t>El contribuyente NIT 108689336 manifiesta que tiene el establecimiento activo pero la afiliación al Régimen Pequeño contribuyente esta inactiva, ha intentado activar la afiliación realizando actualización, pero el sistema no se la activa, se adjunta las pantallas de las consultas realizadas en RTU.</t>
  </si>
  <si>
    <t xml:space="preserve">IRE-Departamento de Registros Tributarios
</t>
  </si>
  <si>
    <t>El contribuyente NIT 99213028 manifiesta que tiene el establecimiento activo pero la afiliación al Régimen Pequeño contribuyente esta inactiva, ha intentado activar la afiliación realizando actualización, pero el sistema no se la activa, se adjunta las pantallas de las consultas realizadas en RTU.</t>
  </si>
  <si>
    <t>Catarina Mercedez De Leon Rivera</t>
  </si>
  <si>
    <t>El contribuyente NIT 100492703 indica rechazo de su solicitud de actualización No.  20256ACT1CE8ED08 dentro de los comentarios de rechazo se encuentra "Estimado contribuyente atender únicamente lo solicitado en comentario adicional: Adjuntar constancia de colegiado vigente.", el contribuyente manifiesta que su constancia indica que esta activo hasta julio 2025.</t>
  </si>
  <si>
    <t>El contribuyente NIT 111547350 solicita el apoyo con permiso para exportar el menaje de casa de diplomático, el contribuyente manifiesta que el menaje de casa saldrá de Guatemala el domingo 29-06-2025.</t>
  </si>
  <si>
    <t>Solicitud apoyo Inconveniente en REGAE</t>
  </si>
  <si>
    <t>Agregar profesión al catalogo de profesiones del RTU Digital NIT 44936338 Licenciado en Administración de Recursos Turísticos</t>
  </si>
  <si>
    <t>MEM/SAT/IAC/DGS/UST/081/2025</t>
  </si>
  <si>
    <t>NIT 51790394 no puede recuperar contraseña de agencia virtual, le indica que no cuenta con usuario.</t>
  </si>
  <si>
    <t>El contribuyente NIT 52766896, manifiesta que realizó su pago de solvencia fiscal el 19/06/2025, se consulto en el sistema y no ha generado expediente.</t>
  </si>
  <si>
    <t xml:space="preserve">NIT 9871616 indica que los pagos realizados para habilitación de libros no le aparecen reflejados en sus registros de libros autorizados consultados en la agencia virtual. </t>
  </si>
  <si>
    <t>Solicitud apoyo registro de proveedor servicio telefónico</t>
  </si>
  <si>
    <t xml:space="preserve">NIT 108762351, solicita indicar cual es el inconveniente con el documento de constitución, indica que está completo y legible y que adjunta el original. </t>
  </si>
  <si>
    <t xml:space="preserve">NIT 114533997 solicita que el revisor amplíe el requerimiento de información para la gestión de actualización de datos  20256ACTE88D47B6,  </t>
  </si>
  <si>
    <t>Solicitud apoyo sincronización de multas de tránsito en el Portal SAT.</t>
  </si>
  <si>
    <t>Otra Entidad</t>
  </si>
  <si>
    <t>Solicitud apoyo gestión de Sincronización de Agencia Virtaul.</t>
  </si>
  <si>
    <t>Ticket generado por normatividad.</t>
  </si>
  <si>
    <t xml:space="preserve">NIT 120112469  no tiene actualizado la razón social en la página de agencia virtual. </t>
  </si>
  <si>
    <t>Ticket#10000297098</t>
  </si>
  <si>
    <t>NIT 25158902 solicita inactivación de característica especial de asalariado</t>
  </si>
  <si>
    <t>MEM/SAT/IAC/DGS/UST/082/2025</t>
  </si>
  <si>
    <t>NIT 74855662 realizó actualización de datos, ingresando actividad económica "Ama de Casa" sin embargo, la afiliación del ISR Rentas del trabajo aún aparece activa.</t>
  </si>
  <si>
    <t>MEM/SAT/IAC/DGS/UST/088/2025</t>
  </si>
  <si>
    <t>NIT 22452885 solicita inactivación de característica especial de asalariado</t>
  </si>
  <si>
    <t>MEM/SAT/IAC/DGS/UST/083/2025</t>
  </si>
  <si>
    <t>NIT 53478959 solicita inactivación característica especial de asalariado</t>
  </si>
  <si>
    <t>MEM/SAT/IAC/DGS/UST/084/2025</t>
  </si>
  <si>
    <t>NIT 74839241 solicita inactivación característica especial de asalariado</t>
  </si>
  <si>
    <t>MEM/SAT/IAC/DGS/UST/085/2025</t>
  </si>
  <si>
    <t>NIT 53478959 solicita inactivación característica especial de perito contador</t>
  </si>
  <si>
    <t>MEM/SAT/IAC/DGS/UST/086/2025</t>
  </si>
  <si>
    <t>NIT 100438342 en el cual realizó el pago del ISCV de varios  vehículos, sin embargo el formulario no muestra información y no puede descargar los distintivos en agencia virtual.</t>
  </si>
  <si>
    <t>Solicitud apoyo sincronización Verificador Integrado.</t>
  </si>
  <si>
    <t xml:space="preserve">NIT 120295369 RTU nube ni Oracle le muestra la característica especial de Importador Activo. </t>
  </si>
  <si>
    <t>MEM/SAT/IAC/DGS/UST/094/2025</t>
  </si>
  <si>
    <t>NIT 67234402 no puede realizar el cierre de LET</t>
  </si>
  <si>
    <t>NIT 120269880 no puede realizar el cierre de LET, no le permite colocar 0 en el número de folio.</t>
  </si>
  <si>
    <t>que el 20/06 se envió correo a la dirección electrónica indicado en el reporte, con indicaciones se como realizar el registro de folios, hasta el momento no se ha tenido noticias de parte del contribuyente</t>
  </si>
  <si>
    <t xml:space="preserve">NIT 8784086 realizó cese prescrito, sin embargo el establecimiento sigue activo. </t>
  </si>
  <si>
    <t>MEM/SAT/IAC/DGS/UST/089/2025</t>
  </si>
  <si>
    <t>Habilitación de Establecimientos con status “Cancelación Temporal”</t>
  </si>
  <si>
    <t>MEM-SAT-IAC-DGS-UST-090-2025</t>
  </si>
  <si>
    <t>El contribuyente NIT 4377370 indica que ya realizo el llenado del libro de mayo de pequeño contribuyente y al intentar verificar el reporte le refleja un mensaje que no le permite visualizar los libros. </t>
  </si>
  <si>
    <t xml:space="preserve">NIT 108890112 , el formulario SAT 7121 no muestra el tipo de libro. </t>
  </si>
  <si>
    <t xml:space="preserve">El 02/07/2025 indica IRE que todavía está en proceso. </t>
  </si>
  <si>
    <t>El contribuyente NIT 38240998 manifiesta que actualizó datos y colocó como Actividad económica el código 0009.40 Otros, pero le sigue apareciendo la afiliación como asalariado en estado activo</t>
  </si>
  <si>
    <t>MEM-SAT-IAC-DGS-UST-111-2025</t>
  </si>
  <si>
    <t xml:space="preserve">NIT 108890112 se encuentra en el régimen de pequeño contribuyente, habilitó libros con el formulario SAT 7121 sin embargo le habilitó en forma separada los libros de compras y ventas </t>
  </si>
  <si>
    <t>El contribuyente NIT 91808189 reporta que tiene inconveniente con la Calcomanía Electrónica de Circulación del Vehículo Placa M0845LVK debido a que dentro de esta le aparece antes del apellido de casada dos "DE" cuando lo correcto es que aparezca una vez, se verificó en el RTU Oracle y solo aparece en una ocasión.</t>
  </si>
  <si>
    <t>Ticket generado por el Registro Fiscal de Vehículos</t>
  </si>
  <si>
    <t xml:space="preserve">NIT 27422305 reporta inconvenientes con el número de folio registrado en LET. </t>
  </si>
  <si>
    <t>El NIT 12048194 solicita inactivación de característica especial de asalariado</t>
  </si>
  <si>
    <t>MEM/SAT/IAC/DGS/UST/092/2025</t>
  </si>
  <si>
    <t>Solicitud apoyo sincronización verificador integrado.</t>
  </si>
  <si>
    <t>idel_lpz@hotmail.com</t>
  </si>
  <si>
    <t>1954460K</t>
  </si>
  <si>
    <t>NIT 1954460K al llenar formulario en agencia virtual indica que está inactivo como perito contador</t>
  </si>
  <si>
    <t>NIT 5005191 tiene suspendida la afiliación del IVA</t>
  </si>
  <si>
    <t>El contribuyente NIT 22632573 indica rechazo de su solicitud de actualización No.  20256ACT41543C0E dentro de los comentarios de rechazo se encuentra "Adjuntar constancia de colegiado donde conste numero de colegiado.", el contribuyente manifiesta que su constancia indica que el numero de colegiado.</t>
  </si>
  <si>
    <t>El contribuyente NIT 111851114 indica rechazo de su solicitud de actualización No.  20256ACT61EBF4B6 dentro de los comentarios de rechazo se encuentra "Estimado Contribuyente, Adjuntar el documento de respaldo del cambio de denominación social.", el contribuyente manifiesta que esta corriendo la Razón Social tal y como esta en la Escritura de Constitución por lo que no existe un documento de cambio de denominación social.</t>
  </si>
  <si>
    <t>Gilberto Perez Macario</t>
  </si>
  <si>
    <t>el contribuyente NIT 106147323 se comunicó al Contact Center de SAT indicando que su solicitud de Cancelación Definitiva de Establecimientos No. 20256CESE4B20B804 la envió su solicitud desde el 04/06/2025 y la misma se encuentra en estado En Revisión desde esa misma fecha.</t>
  </si>
  <si>
    <t>Indican del area correspondiente lo siguiente: a la colaboradora no le aparece ningún cese en bandeja  pendiente, se le solicito al tecnico que le avisara al contribuyente si desea cancelar la gestión para iniciar una nueva debido a que es un inconveniente informatico.</t>
  </si>
  <si>
    <t>El contribuyente NIT 78809258, manifiesta que realizó su pago de solvencia fiscal el 19/06/2025, se consulto en el sistema y no ha generado expediente.</t>
  </si>
  <si>
    <t>Inconveniente con traspaso Notario NIT 16627024</t>
  </si>
  <si>
    <t xml:space="preserve">NIT 87167018 realizó cese de actividades y aún aparece la afiliación del IVA con la anotación de Suspensión. </t>
  </si>
  <si>
    <t>20256ACT66124EC7 NIT 52049272, indica que si está adjuntando el nombramiento del representante legal.</t>
  </si>
  <si>
    <t>NIT 7094043 aparece la afiliación suspendida del IVA y no tiene omisos</t>
  </si>
  <si>
    <t xml:space="preserve">gestión de actualización de datos 20256ACT40CE7127 NIT 120576368, indica que está consignando las fechas correctamente, podrían indicarnos para apoyar al contribuyente. </t>
  </si>
  <si>
    <t>Solicitud apoyo gestión Actualización del RTU.</t>
  </si>
  <si>
    <t>Solicitud consulta NIT suspendido artículo 120 CT.</t>
  </si>
  <si>
    <t>Solicitud apoyo gestión Cese de Actividades / cimpacto2015@gmail.com</t>
  </si>
  <si>
    <t>Iveth Hernández</t>
  </si>
  <si>
    <t>CIVA  anulada, el sistema no reconoce que  esta anulada al emitirla de nuevo</t>
  </si>
  <si>
    <t xml:space="preserve">NIT 120431963 tiene inconvenientes para presentar el reporte semestral de inventarios.   </t>
  </si>
  <si>
    <t>Solicitud apoyo gestión Actualización de Datos RTU.</t>
  </si>
  <si>
    <t xml:space="preserve">NIT 91860105 está afiliado como pequeño contribuyente a partir del 01/04/2025 sin embargo el tanto el verificador integrado como la consulta de incumplimientos muestra omiso del mes de mayo correspondiente al régimen electrónico de pequeño contribuyente. </t>
  </si>
  <si>
    <t>Maria Fernanda</t>
  </si>
  <si>
    <t>cambio de correo electrónico le indica que el DPI  está vencido</t>
  </si>
  <si>
    <t>Solicitud apoyo gestión Activación Agencia Virtual.</t>
  </si>
  <si>
    <t>P040HZB multas de tránsito</t>
  </si>
  <si>
    <t>Solicitud apoyo sincronización de vehículo en Agencia Virtual.</t>
  </si>
  <si>
    <t xml:space="preserve">NIT 77992636 realizó cese de actividades y aún aparece suspendida la afiliación del IVA, están tratando de actualizar datos. </t>
  </si>
  <si>
    <t>realizó el cese y aún aparece supendido</t>
  </si>
  <si>
    <t>NIT 30747147 realizó cese prescrito  y aparece suspendido por el Arto. 120, no le permite actualizar los datos.</t>
  </si>
  <si>
    <t xml:space="preserve">tiene autorización del 1997 y no le permite enviar el informe </t>
  </si>
  <si>
    <t xml:space="preserve">NIT 101014848 no puede recuperar contraseña le indica que no tiene usuario de agencia virtual. </t>
  </si>
  <si>
    <t xml:space="preserve">NIT 97837547 realizó cese prescrito y la afiliación del IVA aparece suspendida. </t>
  </si>
  <si>
    <t>Solicitud apoyo gestión de inscripción de NIT de Asociación / Gestión 20256INS6CC9BD2D</t>
  </si>
  <si>
    <t xml:space="preserve">gestión 20257ACTFDE2A186 </t>
  </si>
  <si>
    <t>Al emitir la CIVA  no reconoce UUID del DTE emitido por el NIT 14946211</t>
  </si>
  <si>
    <t xml:space="preserve">Constancia de envío inventarios NIT 107186349
</t>
  </si>
  <si>
    <t xml:space="preserve">realizó cambio de uso y no le permite imprimir los distintivos P483LCZ </t>
  </si>
  <si>
    <t>no se ha podido comunicar con el profesional por un aviso de incosistencia</t>
  </si>
  <si>
    <t>GRS/Escuintla</t>
  </si>
  <si>
    <t>Al emitir la CIVA el sistema en FEL  indica que ya existe una CIVA  para ese DTE, pero no se ha generado aun para ese UUID (Factura)</t>
  </si>
  <si>
    <t xml:space="preserve">NIT 90966724 realizó cese de actividades y aún le aparece la afiliación del IVA suspendida. </t>
  </si>
  <si>
    <t>NIT 25661159 envío el informe semestral de inventarios del semestre enero junio 2025, sin embargo al consultar la constancia no le muestra información y no le llegó al correo electrónico</t>
  </si>
  <si>
    <t>no tiene establecimientos activos, está suspendido por el Arto. 120 CT y no le permite actualizar datos.</t>
  </si>
  <si>
    <t>NIT 109088204 solicita inactivación de característica especial de asalariado e inactivación de afiliación ISR Rentas del Trabajo</t>
  </si>
  <si>
    <t>MEM/SAT/IAC/DGS/UST/095/2025</t>
  </si>
  <si>
    <t>que se le prioridad a su solicitud</t>
  </si>
  <si>
    <t>Solicitud apoyo verificación de Tipo impositivo en Declaración IPRIMA.</t>
  </si>
  <si>
    <t>cese prescrito y solvencia</t>
  </si>
  <si>
    <t>suspendidos y no tiene establecimientos activos</t>
  </si>
  <si>
    <t>no aparece replicada la información en RTU Oracle.</t>
  </si>
  <si>
    <t>suspendido y no tiene establecimientos activos</t>
  </si>
  <si>
    <t>Solicitud apoyo gestión inscripción definitiva de S.A.</t>
  </si>
  <si>
    <t>Solicitud apoyo gestión actualización de datos del RTU.</t>
  </si>
  <si>
    <t>GRN/Esquipulas</t>
  </si>
  <si>
    <t xml:space="preserve">gestión  20257ACT36AB5F0E </t>
  </si>
  <si>
    <t>Julia Mazariegos</t>
  </si>
  <si>
    <t>El NIT 93036124 reporta inconveniente para presentar el reporte semestral de inventarios</t>
  </si>
  <si>
    <t>eliminación de ISR</t>
  </si>
  <si>
    <t>MEM/SAT/IAC/DGS/UST/096/2025</t>
  </si>
  <si>
    <t xml:space="preserve">No permite rectificar informe trimestral, por error presento oct/dic 2025 y el correcto es  oct/dic 2024 mensaje"No puede seleccionar periodos anteriores al primer informe ingresado" </t>
  </si>
  <si>
    <t>NIT 97363006 tiene la afiliación suspendida, presentó la declaraciones omitidas  el 24/06/2025.</t>
  </si>
  <si>
    <t>NIT 59265647 no tiene establecimiento activo ni afiliaciones, sin embargo le aparece el incumplimiento de renuente a incorporarse a FEL, no puede actualizar datos para inscribirse en el Registro de Contadores.</t>
  </si>
  <si>
    <t>sincronización de las afiliaciones NIT 120490870</t>
  </si>
  <si>
    <t>sincronización de las afiliaciones NIT 120250519</t>
  </si>
  <si>
    <t>Reporte semestral de inventarios Primer Semestre 2025.</t>
  </si>
  <si>
    <t>Gerber Estuardo Nicolas</t>
  </si>
  <si>
    <t xml:space="preserve">gestión  20257ACTB7116828  </t>
  </si>
  <si>
    <t>NIT 72103930 realizó cese prescrito y no puede actualizar datos por suspensión de IVA</t>
  </si>
  <si>
    <t>NIT 85482005 realizó cese prescrito y no puede actualizar datos por suspensión de IVA</t>
  </si>
  <si>
    <t xml:space="preserve"> gestión de agencia virtual 20257AV2024C2CD del NIT 30369509 , aparece reasignada traducción centralizador de fecha 03/07/2025</t>
  </si>
  <si>
    <t>Departamento de Cultura Tributaria IAC</t>
  </si>
  <si>
    <t>Solicitud apoyo gestión de Solvencia Fiscal no generó expediente.</t>
  </si>
  <si>
    <t>Aura Marysol Pérez</t>
  </si>
  <si>
    <t xml:space="preserve">gestión 20257ACT2A49DE76 </t>
  </si>
  <si>
    <t>no generó expediente</t>
  </si>
  <si>
    <t>NIT 120542927 gestión 20257AV80467342, indica que en los requisitos se puede indicar el nombre del representante o nombre de la entidad a la que representa,  por lo que solicita que es verifique nuevamente su gestión</t>
  </si>
  <si>
    <t>IT 42481090  se comunicó al Contact Center, indicando que le están rechazando la gestión de actualización de datos 20257ACTB2D038A0 y que no está colocando abreviaturas en la dirección,</t>
  </si>
  <si>
    <t>NIT 100773346 no puede actualizar datos por tener suspendida la afiliación del IVA</t>
  </si>
  <si>
    <t>NIT 87167018 no puede actualizar datos por tener suspendida la afiliación del IVA</t>
  </si>
  <si>
    <t>Consulta gestión de vehículos a través de gestor tributario.</t>
  </si>
  <si>
    <t>le indica que está vencido su DPI</t>
  </si>
  <si>
    <t xml:space="preserve">Reporte semestral de inventarios 2025 / NIT </t>
  </si>
  <si>
    <t>afialición de oficio y aparece PC  e ISR</t>
  </si>
  <si>
    <t>El NIT 7485883 no aparece el pago en bancario</t>
  </si>
  <si>
    <t>NIT 63722909 realizó cambio de régimen y le aparece la afiliación del ISR</t>
  </si>
  <si>
    <t xml:space="preserve">Solicitud apoyo verificación de formulario SAT/9041 ISCV / NIT: </t>
  </si>
  <si>
    <t>Consulta de número de gestión con Pasaporte de USA.</t>
  </si>
  <si>
    <t xml:space="preserve">NIT 100610129 pagó solvencia el 02/07/2025 no aparece en la consulta. </t>
  </si>
  <si>
    <t xml:space="preserve">sincronizar las afiliaciones del NIT 120570645
</t>
  </si>
  <si>
    <t>sincronizar las afiliaciones del NIT 120254468</t>
  </si>
  <si>
    <t>NIT 45359385 realizó cese prescrito y no puede actualizar datos</t>
  </si>
  <si>
    <t>Solicitud apoyo corrección de folios en LET Pequeño Contribuyente.</t>
  </si>
  <si>
    <t xml:space="preserve">NIT 79157041 está realizando la actualización de datos con la gestión 20257ACTB0C66C9B, indica que está ingresando los datos de domicilio como aparecen en la factura y solicita que se le amplíe el requerimiento de información. </t>
  </si>
  <si>
    <t>LLenado de formularios SAT 8611 Y 2311 para traspaso de un  vehículo híbrido</t>
  </si>
  <si>
    <t>Solicitud apoyo impresión Constancia de inventario.</t>
  </si>
  <si>
    <t>Gerber Nicolas Morales</t>
  </si>
  <si>
    <t xml:space="preserve">gestión 20256ACT9109357D  </t>
  </si>
  <si>
    <t>GRC/SAN RAFAEL</t>
  </si>
  <si>
    <t>Evelin Sam</t>
  </si>
  <si>
    <t>le genera el error que debe estar inscrito en el régimen de utilidades y está activo desde el  18/02/2025</t>
  </si>
  <si>
    <t>MEM/SAT/IAC/DGS/UST/099/2025</t>
  </si>
  <si>
    <t>Inactivación del Régimen del Impuesto Sobre la Renta en el RTU Digital.</t>
  </si>
  <si>
    <t>MEM/SAT/IAC/DGS/UST/100/2025</t>
  </si>
  <si>
    <t>Solicitud apoyo inactivación característica especial Decreto 29/89.</t>
  </si>
  <si>
    <t>NIT 41034457 realizó cese prescrito y no puede actualizar datos</t>
  </si>
  <si>
    <t>afiliaciones</t>
  </si>
  <si>
    <t>Consulta omisos RITA.</t>
  </si>
  <si>
    <t>inactivar la afiliación ISR</t>
  </si>
  <si>
    <t>MEM/SAT/IAC/DGS/UST/101/2025</t>
  </si>
  <si>
    <t>realizó cese y está suspendido Arto. 120</t>
  </si>
  <si>
    <t xml:space="preserve">gestión 20257ACTE3476709 </t>
  </si>
  <si>
    <t>NIT 84034 presentó declaración el 13/05/2025 el verificador aún muestra el incumplimiento</t>
  </si>
  <si>
    <t>Joshua</t>
  </si>
  <si>
    <t>renuente a FEL y no tiene establecimiento activo</t>
  </si>
  <si>
    <t>NIT 73697036 no generó expediente la solicitud de solvencia fiscal</t>
  </si>
  <si>
    <t>Solicitud apoyo gestión Solvencia Fiscal, no genero expediente.</t>
  </si>
  <si>
    <t>NIT 76098737 no puede realizar traspaso electrónico indica documento inválido</t>
  </si>
  <si>
    <t>NIT 91410363 reporta que el sistema se queda pensando no puede generar traspaso electrónico</t>
  </si>
  <si>
    <t>NIT 100477526 no generó expediente para solvencia</t>
  </si>
  <si>
    <t>Solicitud verificación formulario SAT/2046 IVA Pequeño Contribuyente.</t>
  </si>
  <si>
    <t>Solicitud apoyo gestión Activación de agencia virtual.</t>
  </si>
  <si>
    <t xml:space="preserve">Esherlyn </t>
  </si>
  <si>
    <t>Cel. 58576122</t>
  </si>
  <si>
    <t>no le permite solicitar AV le indica que el DPI  está vencido</t>
  </si>
  <si>
    <t>Solicitud apoyo gestión Actualización de Datos NIT Jurídico.</t>
  </si>
  <si>
    <t xml:space="preserve">gestión 20256ACT0D3BEA83 </t>
  </si>
  <si>
    <t>Solicitud apoyo gestión Cese Definitivo de establecimiento.</t>
  </si>
  <si>
    <t>Solicitud apoyo Solvencia Fiscal no generó expediente.</t>
  </si>
  <si>
    <t>Error en número con número de folio de LET regímenes especiales.</t>
  </si>
  <si>
    <t>NIT 87002582 no puede actualizar datos aparece suspendida la afiliación del IVA</t>
  </si>
  <si>
    <t>actualización de datos y no le permite inactivar el ISR</t>
  </si>
  <si>
    <t>constancia inventarios semestral</t>
  </si>
  <si>
    <t>Solicitud apoyo corrección de folios de meses duplicados.</t>
  </si>
  <si>
    <t xml:space="preserve">gestión 20257ACT686E761D </t>
  </si>
  <si>
    <t>Solicitud apoyo gestión de solvencia fiscal no generó expediente.</t>
  </si>
  <si>
    <t>período de formulario SAT 2046 generado desde LET</t>
  </si>
  <si>
    <t>NIT 27219054 no puede actualizar datos por tener la afiliación del IVA suspendida</t>
  </si>
  <si>
    <t xml:space="preserve">gestión  20256ACT0D1C939C </t>
  </si>
  <si>
    <t>GRC/PACIFIC</t>
  </si>
  <si>
    <t>sigue dando el mimos problema que no reconoce que se presento el 4to.  trimestre 2024 pagaron multas, presentaron  el 1er del 2025 con multa,  y no deja presentar abril/junio 2025</t>
  </si>
  <si>
    <t>No despliega los demás meses en LET para pequeño contribuyente.</t>
  </si>
  <si>
    <t>812650K</t>
  </si>
  <si>
    <t>NIT 812650K no puede realizar el pago de ISCV indica que la placa está registrada a otro NIT</t>
  </si>
  <si>
    <t xml:space="preserve">NIT 6373933 que inició operaciones del establecimiento en el 2025 y consulta porque le solicitan libros del 2024.  </t>
  </si>
  <si>
    <t>NIT 33703302 gestión 20257CESE04C5F11E, solicita que se le amplie el requerimiento, consulta a que se refiere con la observación realizada en el comentario adicional.</t>
  </si>
  <si>
    <t>calendario tributario desde AV</t>
  </si>
  <si>
    <t xml:space="preserve">certificación alza </t>
  </si>
  <si>
    <t>NIT 82631794 la gestión se encuentra en Revisión desde el 08/07/2025</t>
  </si>
  <si>
    <t xml:space="preserve">Actualización de datos 20257ACT9512BACD del NIT 736554, indica el contribuyente que no está modificando la información del representante legal, el nombramiento es por plazo indefinido,, por lo que no le corresponde pagar multa. </t>
  </si>
  <si>
    <t>se inscribió y no aparece habilitada la AV</t>
  </si>
  <si>
    <t xml:space="preserve">gestión 20257CESE5B27244F  </t>
  </si>
  <si>
    <t>GRN/ Izabal</t>
  </si>
  <si>
    <t>Luis Daniel</t>
  </si>
  <si>
    <t>no tiene el rol para crear proveedores</t>
  </si>
  <si>
    <t>Solicitud apoyo suspensión de afiliación del IVA.</t>
  </si>
  <si>
    <t>gestión 20256ACT2D524802</t>
  </si>
  <si>
    <t xml:space="preserve">gestión 20257CEAN9D6E4BB6 </t>
  </si>
  <si>
    <t xml:space="preserve">gestión 20257CEAN77C39416 </t>
  </si>
  <si>
    <t xml:space="preserve">1280889K </t>
  </si>
  <si>
    <t>Ervin</t>
  </si>
  <si>
    <t>Solicitud apoyo gestión de activación de Agencia Virtual.</t>
  </si>
  <si>
    <t>NIT 8282315 está realizando actualización de datos con la gestión 20257ACTDB3A576D, indica que está adjuntando el formulario SAT 0811 con el cual realizó el pago</t>
  </si>
  <si>
    <t>NIT 104831286 indica que está realizando un traspaso electrónico y le indica que el formulario SAT 8028 47552201478 ya fue utilizado en otra transacción.</t>
  </si>
  <si>
    <t>NIT 3483940 está realizando cese definitivo de actividades, y le están solicitando la presentación de declaraciones, indica el contribuyente que no corresponde la presentación porque en ese período realizó un cese temporal de actividades. </t>
  </si>
  <si>
    <t>constancia</t>
  </si>
  <si>
    <t xml:space="preserve">gestión 20256ACT10EE4E5F   </t>
  </si>
  <si>
    <t>expediente 30104722</t>
  </si>
  <si>
    <t>NIT 66551412 está realizando cese de actividades con la gestión 20257CESE0D5BC891, sin embargo, indica que en el mes de julio 2025 no facturó, por lo que solicita le indiquen porque le requieren la presentación de dicha declaración</t>
  </si>
  <si>
    <t>Cese de actividades</t>
  </si>
  <si>
    <t>Solicitud de apoyo gestión de Actualización RTU.</t>
  </si>
  <si>
    <t>María Fernanda Herrera</t>
  </si>
  <si>
    <t>gestión 20255INSF5CC4A3F</t>
  </si>
  <si>
    <t xml:space="preserve">permiso validar DUCA  menaje de casa   3505704137 </t>
  </si>
  <si>
    <t>gestión 20257ACTC33BB8A1</t>
  </si>
  <si>
    <t>8421 47414131476 819842191</t>
  </si>
  <si>
    <t>El NIT 68838476 realizó cese prescrito y aún aparecen los omisos</t>
  </si>
  <si>
    <t xml:space="preserve">gestión 20255ACTA2C589E7 </t>
  </si>
  <si>
    <t>NIT 59686928 realizó cese prescrito, la gestión fue finalizada el 16/07/2025 pero aún aparece la suspensión de la afiliación del IVA. </t>
  </si>
  <si>
    <t>NIT 39591395 realizó cese prescrito el 16/07/2025 pero aun aparece la suspensión de la afiliación del IVA</t>
  </si>
  <si>
    <t>CUI</t>
  </si>
  <si>
    <t xml:space="preserve">gestión 20257ACT13165E64 </t>
  </si>
  <si>
    <t>No puede adjuntar su constancia de colegiado</t>
  </si>
  <si>
    <t>Gerber Estuardo Morales</t>
  </si>
  <si>
    <t>NIT 37883526 stá realizando su solicitud de Activación de Agencia Virtual, pero al momento de generarla le brinda el siguiente mensaje: Su documento de Identificación Personal /DPI/ se encuentra vencido, para continuar con la gestión debe solicitar la reposición</t>
  </si>
  <si>
    <t>G165884 extendido en Honduras</t>
  </si>
  <si>
    <t>apartado de colegiado no permite editarlo</t>
  </si>
  <si>
    <t>traspaso electrónico le indica que el archivo no es válido</t>
  </si>
  <si>
    <t>Solicitud apoyo corrección apellido de casada en Calcomanía</t>
  </si>
  <si>
    <t>Juan Jose</t>
  </si>
  <si>
    <t>No deja de emitir FEL, no despliega tipo de DTE</t>
  </si>
  <si>
    <t>Iris Vanesa Martínez</t>
  </si>
  <si>
    <t xml:space="preserve">NIT 37736051 tiene la afiliación del IVA suspendida, no tiene omisos. </t>
  </si>
  <si>
    <t>Solicitud de apoyo gestión Cambio de Correo Electrónico de AV.</t>
  </si>
  <si>
    <t>sincronizar el dato del CUI del contribuyente, debido a que, no ha replicado en RTU Oracle.</t>
  </si>
  <si>
    <t>inventario</t>
  </si>
  <si>
    <t>1725703976 transmisión solicita dos permisos siendo lo correcto uno</t>
  </si>
  <si>
    <t>transmisión AA 313, 279 y 355</t>
  </si>
  <si>
    <t xml:space="preserve">608205K  </t>
  </si>
  <si>
    <t xml:space="preserve">sat 8421 47485791945 412433608  47318746023 444625690 </t>
  </si>
  <si>
    <t>Carlos Emilio</t>
  </si>
  <si>
    <t>Solicitud apoyo verificación en gestión de activación de AV.</t>
  </si>
  <si>
    <t>Brena Iracena Matías</t>
  </si>
  <si>
    <t>Queja por la no emisión de constancia de retención del IVA.</t>
  </si>
  <si>
    <t>Departamento de Calidad del Servicio IAC</t>
  </si>
  <si>
    <t>cita para 6 reposiciones de distintivos</t>
  </si>
  <si>
    <t>NIT 29246113 solicitó activación de agencia virtual, la cual fue aprobada el 17/07/2025 sin embargo, no puede ingresar a la agencia virtual.</t>
  </si>
  <si>
    <t xml:space="preserve">gestión 20257ACTB0A432E7 </t>
  </si>
  <si>
    <t>NIT 97903337 no puede recuperar contraseña le indica que no tiene usuario activo, en el RTU Oracle y Nube aparece la marca de Agencia Virtual.</t>
  </si>
  <si>
    <t>Están ingresando una gestión de primer NIT  20257INSE819DDB3 y le está generando una fecha distinta de vencimiento del DPI al que aparece en el documento.</t>
  </si>
  <si>
    <t>NIT 54521904, el sistema no le reconoce que tiene nuevo DPI. </t>
  </si>
  <si>
    <t xml:space="preserve">gestión de primer NIT generado para el pasaporte C3921418, este es de nacionalidad nicaragüense. 
</t>
  </si>
  <si>
    <t>Solicitud apoyo gestión Cese Definitivo de Actividades.</t>
  </si>
  <si>
    <t>1612359K</t>
  </si>
  <si>
    <t>NIT 26374994 está realizando la gestión de cese de actividades 20257CESE80B2ED9A, le indican que tiene recargos pendientes de pequeño contribuyente, en la consulta de incumplimientos ni verificador integrado aparece información</t>
  </si>
  <si>
    <t>NIT 51698390 tiene expediente activo necesita realizar un cese de actividades</t>
  </si>
  <si>
    <t xml:space="preserve">gestión 20257CEAN0ED7C29C </t>
  </si>
  <si>
    <t>NIT 302124470 finalizó gestión de inscripción de NIT el 15/07/2025 sin embargo en el RTU no tiene la marca de agencia virtual.  No puede recuperar contraseña</t>
  </si>
  <si>
    <t>corre</t>
  </si>
  <si>
    <t>68216750  </t>
  </si>
  <si>
    <t xml:space="preserve">se anulo la CAIS, el sistema aun no reconoce que se anulo,  </t>
  </si>
  <si>
    <t>Solventado, ya pudo emitir CAIS</t>
  </si>
  <si>
    <t>NIT 32230249 está realizando cambio de correo electrónico y le rechazan la gestión indicando que está mencionando una fecha futura</t>
  </si>
  <si>
    <t>No puede presentar informe trimestral abril/junio 2025, porque el de enero/marzo 2025 lo presento con el formulario SAT 2118 y correspode con el SAT 2360 (correo con Att. a Maynor H)</t>
  </si>
  <si>
    <t>Se dio respuesta: debe de presentar el informe por medio de FEL por ser la opcion vigente y pagar la multa por presentación extemporanea. Sin embargo presentó solicitud de nuevo para que sea validado el formualrio SAT 2118 presnetando en la herramienta de exeniva</t>
  </si>
  <si>
    <t xml:space="preserve">constancia </t>
  </si>
  <si>
    <t>Declaraguate  no muestra la opción de imprimir la certificación jurídica  47 641 065 202 acceso 599665500
47 640 865 946 acceso 704731411
47 640 980 831 acceso 74101954</t>
  </si>
  <si>
    <t xml:space="preserve"> 337/5700528  Formulario 8008 Error.</t>
  </si>
  <si>
    <t>cambio de contraseña le indica que el DPI está vencido</t>
  </si>
  <si>
    <t>José Daniel</t>
  </si>
  <si>
    <t>MEM/SAT/IAC/DGS/UST/107/2025</t>
  </si>
  <si>
    <t>947269K </t>
  </si>
  <si>
    <t>sinc número telefónico</t>
  </si>
  <si>
    <t>MEM/SAT/IAC/DGS/UST/108/2025</t>
  </si>
  <si>
    <t>NIT 6654355 realizó el pago de solvencia fiscal el 09/07/2025 y no aparece que tenga expediente generado</t>
  </si>
  <si>
    <t>Julio</t>
  </si>
  <si>
    <t>Solicitud apoyo actualización de datos con requerimiento.</t>
  </si>
  <si>
    <t>SAT 8401  47680617455  960927656  y no aparece el icono para realizar la impresión de la certificación jurídica.</t>
  </si>
  <si>
    <t>error en la página del registro mercantil</t>
  </si>
  <si>
    <t>No le genera el reporte del libro de compras y ventas régimenes especiales del mes de junio.</t>
  </si>
  <si>
    <t>Consulta verificación estado de inactivo del vehículo / Placa M/865CYP</t>
  </si>
  <si>
    <t>Solicitud apoyo corrección correlativo de folios LET para Pequeño Contribuyente.</t>
  </si>
  <si>
    <t>2515738111 no le da firma le indica que no está inscrito como importador</t>
  </si>
  <si>
    <t>Solicitud apoyo Actualización de datos y modificación de colegiado.</t>
  </si>
  <si>
    <t>Gerber Estuardo Nicolás Morales</t>
  </si>
  <si>
    <t>NIT 3037924 está actualizando datos con gestión 20257ACTD83C8299, indica que ya realizó el pago de la multa y le están requiriendo nuevamente el pago de la multa</t>
  </si>
  <si>
    <t>NIT 23540982 indica que el video está claro y que muestra su documento de identificación.  </t>
  </si>
  <si>
    <t>Solicitud apoyo gestión Actualización datos RTU.</t>
  </si>
  <si>
    <t>Claudia Marlene Solis</t>
  </si>
  <si>
    <t>gestión 20257ACT763D9E1E  bodega indica en la descripción de la factura</t>
  </si>
  <si>
    <t>24/07/20125</t>
  </si>
  <si>
    <t>NIT 72103930 realizó el pago del ISCV de la motocicleta M/271LDS sin embargo al querer imprimir la calcomanía indica que está pendiente de pago. </t>
  </si>
  <si>
    <t xml:space="preserve">LET </t>
  </si>
  <si>
    <t>Solicitud apoyo gestión Activación Usuario AV.</t>
  </si>
  <si>
    <t>ama de casa inactivar ISR</t>
  </si>
  <si>
    <t>MEM/SAT/IAC/DGS/UST/109/2025</t>
  </si>
  <si>
    <t>Solicitud apoyo inconveniente cambio de contraseña AV.</t>
  </si>
  <si>
    <t>Normativo creó el Ticket 10000308696</t>
  </si>
  <si>
    <t>NIT 112455581 que está actualizando datos y le requieren el acuerdo ministerial publicado en el Diario Oficial donde se aprueben los estatus.  Indica que los estatutos están incluidos en el documento de constitución en la clausula segunda.  </t>
  </si>
  <si>
    <t xml:space="preserve">NIT 119644541 indica que no recibe el correo con el resultado de la carga del reporte de inventarios. 
</t>
  </si>
  <si>
    <t>Solicitud apoyo gestión inscripción definitiva de una S.A.</t>
  </si>
  <si>
    <t>Cristian René Calderón</t>
  </si>
  <si>
    <t>Apoyo consulta formulario SAT/8401 Certificación Jurídica.</t>
  </si>
  <si>
    <t>contador no le aparece el detalle de los contribuyente a los que le presta el servicio</t>
  </si>
  <si>
    <t>NIT 99736136 reporte semestral de inventarios</t>
  </si>
  <si>
    <t>Reporte Semestral de Inventarios</t>
  </si>
  <si>
    <t>cita para 15 vehículos inactivaren DUBAI</t>
  </si>
  <si>
    <t>Gestiones registradas con el Pasaporte L303996
de la República de Cuba.</t>
  </si>
  <si>
    <t>No les llega el correo de confirmación de inventarios.</t>
  </si>
  <si>
    <t>Solicitud apoyo gestión Inscripción NIT gestión 20257INSE661A8B5 CUI 3644774070101</t>
  </si>
  <si>
    <t>gestión 20257ACT8DF83B68</t>
  </si>
  <si>
    <t>Inconvenientes con emisión DTE desde la Agencia Virtual</t>
  </si>
  <si>
    <t>SAT 2046  abril 2025</t>
  </si>
  <si>
    <t>Inconveniente LET IVA General no reconoce folios autorizados en 2024.</t>
  </si>
  <si>
    <t>NIT 79860265, está realizando un cese prescrito pero le indica que debe registrar correo y si tiene registrado tanto correo principal como correo para recibir notificaciones. </t>
  </si>
  <si>
    <t>NIT 39256677 realizó una actualización de datos el 26/08/2025, pero en vista que consignaron datos incorrectos en el domicilio están intentando realizar nuevamente una actualización de datos pero el RTU le muestra mensaje que la versión del DPI no es la vigente.  Al consultar el Visor de Documentos el DPI cargado es la versión 003. </t>
  </si>
  <si>
    <t>3565700964 error de transmisión</t>
  </si>
  <si>
    <t xml:space="preserve">gestión 20257CESEDE07CCF0    </t>
  </si>
  <si>
    <t>GRO/Quiché</t>
  </si>
  <si>
    <t>P663HRL</t>
  </si>
  <si>
    <t>NIT 53983424 realizó cese prescrito de actividades y la afiliación del IVA aparece suspendida.  </t>
  </si>
  <si>
    <t>Solicitud apoyo verificación formulario SAT/2241 Régimen Electrónico PC.</t>
  </si>
  <si>
    <t>Aramis Anahí De León</t>
  </si>
  <si>
    <t>NIT 50513605 se encuentra afiliado en el régimen de pequeño contribuyente, sin embargo no puede llenar el formulario SAT 2046 del mes de junio 2025</t>
  </si>
  <si>
    <t>Enero 2025 SAT 2046</t>
  </si>
  <si>
    <t xml:space="preserve">gestión 20257ACT95FD4AB9 </t>
  </si>
  <si>
    <t xml:space="preserve">gestión 20257ACT16F59B40 </t>
  </si>
  <si>
    <t>Sincronización de la dirección comercial del establecimiento No. 4 del NIT 5924820</t>
  </si>
  <si>
    <t>NIT 70239061 realizó el pago de 2 solvencias en julio pero el sistema no generó expediente. </t>
  </si>
  <si>
    <t>Carolina</t>
  </si>
  <si>
    <t>elimación ISR</t>
  </si>
  <si>
    <t>MEM/SAT/IAC/DGS/UST/114/2025</t>
  </si>
  <si>
    <t>SAT 2237</t>
  </si>
  <si>
    <t>gestión 20257ACT40C413BD</t>
  </si>
  <si>
    <t>ISCV 2025  M183JSC</t>
  </si>
  <si>
    <t>agregar profesión</t>
  </si>
  <si>
    <t>MEM/SAT/IAC/DGS/UST/115/2025</t>
  </si>
  <si>
    <t xml:space="preserve">673586K </t>
  </si>
  <si>
    <t xml:space="preserve">gestión 20257ACT82B5DF6F </t>
  </si>
  <si>
    <t xml:space="preserve">gestión 20257ACTD4080EE1 </t>
  </si>
  <si>
    <t>CUI 2758301281606 indica que está vencido</t>
  </si>
  <si>
    <t>ISCV 2025 P217FCB</t>
  </si>
  <si>
    <t xml:space="preserve">gestión 20257CESE82AAA534 </t>
  </si>
  <si>
    <t>NIT 1101358 indica que si se ve el documento de identificación, solicita si pueden revisar nuevamente el video. </t>
  </si>
  <si>
    <t>NIT 105556831 indica que la gestión de AV no le permite subir archivo, el tamaño es de 1MB.</t>
  </si>
  <si>
    <t>Solicitud apoyo gestión de Activación Agencia Virtual 3606481/ 20257AV14C3C1F1</t>
  </si>
  <si>
    <t>gestión 20257ACTCD24D744</t>
  </si>
  <si>
    <t>gestión 20257ACT6FA46393</t>
  </si>
  <si>
    <t>Informe Semestral de Inventarios.</t>
  </si>
  <si>
    <t>1198452K</t>
  </si>
  <si>
    <t>NIT 120466961 es una nueva sociedad anónima y le están requiriendo el pago de multa por inscripción extemporánea, sin embargo, no se puede emitir el recibo SAT 0811 porque el NIT no está activo en SAT </t>
  </si>
  <si>
    <t>1876083K</t>
  </si>
  <si>
    <t>mayo 2025 sat 2046</t>
  </si>
  <si>
    <t>NIT 69520933 Reporte semestral de Inventarios</t>
  </si>
  <si>
    <t>NIT 16660951 Reporte semestral de Inventarios</t>
  </si>
  <si>
    <t>NIT 120046938 Reporte semestral de Inventarios</t>
  </si>
  <si>
    <t>No aparece pago en bancario</t>
  </si>
  <si>
    <t>NIT 107237520 reporte semestral de inventarios</t>
  </si>
  <si>
    <t xml:space="preserve">Ervin </t>
  </si>
  <si>
    <t>Solicitud apoyo verificación LET para IVA General.</t>
  </si>
  <si>
    <t>Karen Zully Michelle Alvarez</t>
  </si>
  <si>
    <t>consultar las gestiones registradas con el Pasaporte C00772643, de la República de El Salvador.</t>
  </si>
  <si>
    <t xml:space="preserve">gestión 20257ACT15985F1B </t>
  </si>
  <si>
    <t>GRO/Totonicapán</t>
  </si>
  <si>
    <t>ya realizó el pago</t>
  </si>
  <si>
    <t>NIT 105796379 el día de ayer realizó el pago de impuestos y aún le aparece el incumplimiento. </t>
  </si>
  <si>
    <t>Constancia de envío inventarios NIT 62806238</t>
  </si>
  <si>
    <t>Constancia de envío inventarios NIT 118465600</t>
  </si>
  <si>
    <t>Constancia de envío inventarios NIT 78238978</t>
  </si>
  <si>
    <t>Solicitud de apoyo sincronizar formulario SAT/2046 período marzo/2025.</t>
  </si>
  <si>
    <t>NIT 6909981 realizó el pago del formulario SAT 1361 el 31/07/2025 sin embargo, el verificador aún muestra el incumplimiento</t>
  </si>
  <si>
    <t>NIT 8963142 reporta que aún le aparecen incumplimientos y el pago fue realizado. </t>
  </si>
  <si>
    <t>inactivar el ISR</t>
  </si>
  <si>
    <t>MEM/SAT/IAC/DGS/UST/119/2025</t>
  </si>
  <si>
    <t>inactivar característica</t>
  </si>
  <si>
    <t>MEM/SAT/IAC/DGS/UST/120/2025</t>
  </si>
  <si>
    <t>sat 2046 de junio 2025</t>
  </si>
  <si>
    <t>NIT 79207227 realizó el pago el día de ayer y el verificador aún muestra incumplimientos. </t>
  </si>
  <si>
    <t>NIT 16553926 realizó el pago de impuestos, sin embargo el verificador aún muestra incumplimientos  y no puede imprimir su calcomanía. </t>
  </si>
  <si>
    <t>NIT 2291 realizó el pago de impuestos y no puede imprimir su calcomanía.  El verificador muestra incumplimientos. </t>
  </si>
  <si>
    <t>El verificador muestra incumplimiento del ISCV y no tiene omisos pendiente</t>
  </si>
  <si>
    <t>Inconveniente consulta calcomanía de vehículo O0 448BBY.</t>
  </si>
  <si>
    <t>pago M982JGZ  ISCV 2025</t>
  </si>
  <si>
    <t>Solicitud apoyo gestión de Actualización RTU /  20257ACT8F79F376</t>
  </si>
  <si>
    <t>Solicitud de apoyo gestión de actualización de datos del RTU GESTIÓN  20258ACT68780118</t>
  </si>
  <si>
    <t xml:space="preserve">gestión 20258ACTCFC61604 </t>
  </si>
  <si>
    <t>no le permite imprimir los libros del régimen general</t>
  </si>
  <si>
    <t>10000309036 </t>
  </si>
  <si>
    <t>ticket generado por normativo</t>
  </si>
  <si>
    <t>actualización gestión 20258ACT56DC2671</t>
  </si>
  <si>
    <t>GRC/Villa Hermosa</t>
  </si>
  <si>
    <t>agregar Licenciatura en Administración Educativa</t>
  </si>
  <si>
    <t>MEM/SAT/IAC/DGS/UST/122/2025</t>
  </si>
  <si>
    <t>solvencia no generó expediente</t>
  </si>
  <si>
    <t>NIT 37856537 indica que no puede concluir la gestión de inscripción de exportador, acepta los términos, le da finalizar pero no se envía la gestión.  Al verificar el estado de la gestión aparece solo como iniciada. </t>
  </si>
  <si>
    <t>Informe semestral de inventarios.</t>
  </si>
  <si>
    <t>Claudia Marlene Solís</t>
  </si>
  <si>
    <t>Registro de marca de embarcación HEYDAY</t>
  </si>
  <si>
    <t>el contribuyente cuenta con establecimiento comercial activo, pero, no le activó la afiliación.</t>
  </si>
  <si>
    <t>firma avanzada 5B</t>
  </si>
  <si>
    <t>P369KDW ISCV</t>
  </si>
  <si>
    <t>ya pagó las omisiones</t>
  </si>
  <si>
    <t>Solicitud apoyo formulario SAT/2046 IVA Pequeño Contribuyente período junio/2025.</t>
  </si>
  <si>
    <t>consulta de DTE</t>
  </si>
  <si>
    <t>Solicitud apoyo formulario SAT/2046 IVA Pequeño Contribuyente período mayo/2025.</t>
  </si>
  <si>
    <t>Presentación de la declaración de SAT/1608 3/4 congelado / Marca de Caja 0392025073000108012</t>
  </si>
  <si>
    <t>Formulario 48 072 337 003  Acceso 919 200 977</t>
  </si>
  <si>
    <t>Solicitud apoyo gestión inscripción definitiva de Sociedad Anónima.</t>
  </si>
  <si>
    <t xml:space="preserve">inactiva ISR  Agosto 2025, cambio de régimen PC  sep. </t>
  </si>
  <si>
    <t>asalariado</t>
  </si>
  <si>
    <t>MEM/SAT/IAC/DGS/UST/123/2025</t>
  </si>
  <si>
    <t xml:space="preserve">gestión 20258ACTE4CD9BFE </t>
  </si>
  <si>
    <t>cierres pendientes</t>
  </si>
  <si>
    <t xml:space="preserve">SAT2046 el sistema no permite  </t>
  </si>
  <si>
    <t>gestión 20258ACT8DC8B83E</t>
  </si>
  <si>
    <t>Solicitud de apoyo gestión actualización de datos del RTU.</t>
  </si>
  <si>
    <t>marca HUDSON</t>
  </si>
  <si>
    <t xml:space="preserve">no quiere recibir notificaciones </t>
  </si>
  <si>
    <t>Solicitud apoyo LET profesional Liberal.</t>
  </si>
  <si>
    <t xml:space="preserve">gestión 20257ACT1158C2C7 </t>
  </si>
  <si>
    <t xml:space="preserve">GRC/Chimaltenango </t>
  </si>
  <si>
    <t>MEM/SAT/IAC/DGS/UST/125/2025</t>
  </si>
  <si>
    <t>inactivar afiliación ISR</t>
  </si>
  <si>
    <t>ingresar como proveedor</t>
  </si>
  <si>
    <t>activar ISR  para emitir DTE</t>
  </si>
  <si>
    <t>no genera accesorios</t>
  </si>
  <si>
    <t>P594CYZ PRIMMA</t>
  </si>
  <si>
    <t xml:space="preserve">gestión 20258ACTD0422217 </t>
  </si>
  <si>
    <t xml:space="preserve">Solicitud apoyo verificador integrad, aparece omiso en impuesto de circulación de vehículo / NIT  </t>
  </si>
  <si>
    <t xml:space="preserve">gestión 20256ACTF18810FE </t>
  </si>
  <si>
    <t xml:space="preserve">realizó el cambio de régimen en el IVA  le despliega Septiembre 2025 y en ISR  Agosto 2025.
</t>
  </si>
  <si>
    <t>NIT 88809587 está realizando un cese de actividades, indica que procede la solicitud de presentar declaraciones pendientes de diciembre 2021 a marzo 2022, el establecimiento que tenía fue cancelado y en ese momento no tenía habilitado el segundo establecimiento.  </t>
  </si>
  <si>
    <t>transmisión 3245709325</t>
  </si>
  <si>
    <t>Vanesa</t>
  </si>
  <si>
    <t>Solicitud apoyo inscripción definitiva de NIT Jurídico S.A.</t>
  </si>
  <si>
    <t xml:space="preserve">gestión 20256ACTD3A09CF0  </t>
  </si>
  <si>
    <t>diferencia declaraguate y libros LET</t>
  </si>
  <si>
    <t xml:space="preserve">gestión 20257ACTAEDB9664 </t>
  </si>
  <si>
    <t>Solicitud apoyo Presentación informe Inventario primer semestre/2025.</t>
  </si>
  <si>
    <t>solicitud de cambio de correo en AV</t>
  </si>
  <si>
    <t>Solicitud apoyo gestión de solicitud de NIT Cooperativa / Gestión 20258INS9FE36143</t>
  </si>
  <si>
    <t>NIT 106479474 se encuentra con la afiliación del IVA suspendida no tiene omisos pendientes. </t>
  </si>
  <si>
    <t>Solicitud apoyo en verificación de gestión en la que se encuentra el pasaporte E1921024 emitido en Honduras.</t>
  </si>
  <si>
    <t>El contribuyente NIT 100596045 reporta que tiene inconveniente con la Impresión de la Calcomanía Electrónica de Circulación del Vehículo Placa P 269LDX debido a que no le permite ingresar cuando presiona el botón consultar, no genera ninguna acción.</t>
  </si>
  <si>
    <t>régimen de ISR  se encuentra inactivo</t>
  </si>
  <si>
    <t xml:space="preserve">Número de gestión con pasaporte E1081900 emitido en Honduras. </t>
  </si>
  <si>
    <t>correlativos</t>
  </si>
  <si>
    <t xml:space="preserve">gestión 20258ACTC5808178 </t>
  </si>
  <si>
    <t xml:space="preserve">gestión 20257CESE56486AD8   </t>
  </si>
  <si>
    <t>actualizar datos e ingresar el nuevo número de pasaporte y dirección de correo electrónico</t>
  </si>
  <si>
    <t xml:space="preserve">NIT 12190950 quiere realizar un cese de actividades, sin embargo le aparece que tiene expediente activos. </t>
  </si>
  <si>
    <t xml:space="preserve">gestión 20258ACT5F090F00 </t>
  </si>
  <si>
    <t>placa O425BBB SAT 8933</t>
  </si>
  <si>
    <t>EXP. 30233620</t>
  </si>
  <si>
    <t>Consulta suspensión artículo 120 del Código Tributario.</t>
  </si>
  <si>
    <t xml:space="preserve">inactivar ISR  </t>
  </si>
  <si>
    <t>NIT 84672927 no puede imprimir la calcomanía del vehículo P/165LDY</t>
  </si>
  <si>
    <t>NIT 12443239 correlativo de folios LET</t>
  </si>
  <si>
    <t>activar pequeño contribuyente agosto 2025</t>
  </si>
  <si>
    <t>Solicitud apoyo gestión inscripción de NIT de Copropiedad / Gestión: 20258INS22F12B8A</t>
  </si>
  <si>
    <t>GRN/Petén</t>
  </si>
  <si>
    <t>MEM/SAT/IAC/DGS/UST/131/2025</t>
  </si>
  <si>
    <t>activar régimen general</t>
  </si>
  <si>
    <t>cambio de correo electrónico le indica que ya está vencido el DPI</t>
  </si>
  <si>
    <t>cita en Dubai para inactivar 15 vehículos</t>
  </si>
  <si>
    <t xml:space="preserve">No permite llenar LET ya que indica que no esta en el régimen y si se encuentra desde el 2001
</t>
  </si>
  <si>
    <t>error de servidor</t>
  </si>
  <si>
    <t>C03921418 NICARAGUA</t>
  </si>
  <si>
    <t xml:space="preserve">gestión 20258ACTCC753575  </t>
  </si>
  <si>
    <t>C03419161  extendido en el SALVADOR</t>
  </si>
  <si>
    <t>gestión 20258ACT19F476EB  no tiene habilitados los campos para enviar la información</t>
  </si>
  <si>
    <t>NIT 1979183 no puede imprimir tarjeta de circulación P/248LDX</t>
  </si>
  <si>
    <t>NIT 30830877 no puede descargar la tarjeta de circulación y certificado de propiedad</t>
  </si>
  <si>
    <t>SINC afiliación</t>
  </si>
  <si>
    <t xml:space="preserve">gestión 20258ACTE1E4697C </t>
  </si>
  <si>
    <t>GRC/Progreso</t>
  </si>
  <si>
    <t>omiso junio 2025</t>
  </si>
  <si>
    <t>inactivar la característica de asalariado</t>
  </si>
  <si>
    <t>MEM/SAT/IAC/DGS/UST/132/2025</t>
  </si>
  <si>
    <t>gestión 20256ACTF77F8F90  no tiene habilitados los campos para subir los documents</t>
  </si>
  <si>
    <t>gestión 20258ACT8627B1B1  no tiene habilitados los campos para ingresar la información</t>
  </si>
  <si>
    <t>gestión 20258ACT5AAF7E0C  no tiene habilitados los campos</t>
  </si>
  <si>
    <t>NIT 58288457 indica que está realizando un cese de actividades y le están requiriendo la presentación de declaraciones pendentes, sin embargo, indica que esas declaraciones fueron presentadas por medio de convenio de pago. </t>
  </si>
  <si>
    <t>Solicitud de apoyo llenado formulario SAT/2046 Pequeño Contribuyente.</t>
  </si>
  <si>
    <t>Iris Vanisa Marínez</t>
  </si>
  <si>
    <t>gestión de inscripción de cooperativa 20258INSC408B7FB, le están rechazando el documento de constitución como comprobante de nombramiento de representante legal. </t>
  </si>
  <si>
    <t>Solicitud apoyo formulario SAT/2311, no acepta el número de DTE.</t>
  </si>
  <si>
    <t>El contribuyente NIT 91069637 indica rechazo de su solicitud de actualización No.  20258ACT0C9CB076 dentro de los comentarios de rechazo se encuentra "Estimado contribuyente atender únicamente lo solicitado en comentario adicional: Se le ha requerido en varias oportunidades adjuntar acta de nombramiento viguente, debidamente inscrita ante registro correspondiente, es necesario que complete lo requerido para poder continuar con proceso de actualizacion.", el contribuyente manifiesta que le han rechazado en varias ocasiones la gestión, indica que esta subiendo el documento adjunto.</t>
  </si>
  <si>
    <t>Sinconización establecimiento No. 2</t>
  </si>
  <si>
    <t>Solicitud apoyo corrección en correlativo de folios LET Pequeño Contribuyente.</t>
  </si>
  <si>
    <t>gestión 20258ACTEDF8CD51  no tiene habilitado el campo para subir el documento</t>
  </si>
  <si>
    <t>retenISR  envió correo y que no le han respondido</t>
  </si>
  <si>
    <t>gestión 20256ACTFD9C4C53  está enviando el archivo legible</t>
  </si>
  <si>
    <t>Solicitud apoyo con formulario SAT/2046, no permite realizar el llenado.</t>
  </si>
  <si>
    <t>no tiene habilitado la afiliación de ISR  y no le permite facturar</t>
  </si>
  <si>
    <t>no le permite modificar la información de colegiado y sólo existe un registro</t>
  </si>
  <si>
    <t>Sincronización en los datos de impresión de calcomanía, aparece con apellido de casada y desea que se lo quiten.</t>
  </si>
  <si>
    <t>Libni Filiberto Hernández</t>
  </si>
  <si>
    <t>no le permite enviar LET  régimen general de agosto 2025</t>
  </si>
  <si>
    <t xml:space="preserve">gestión 20258ACT3429A30D </t>
  </si>
  <si>
    <t>Solicitud apoyo gestión Cese de Actividades.</t>
  </si>
  <si>
    <t>inactivar asalariado</t>
  </si>
  <si>
    <t>MEM/SAT/IAC/DGS/UST/133/2025</t>
  </si>
  <si>
    <t xml:space="preserve">El contribuyente JOSE ROLANDO ALVARADO LEMUS, con CUI 2581944800101 y NIT 16865391, realizó la cita No. 20257CC263518BF para concluir la inscripción 20257INS17531FEE. La cita aparece con el estado: atendida, pero no completaron el proceso porque no llevaba todos los documentos. Por lo tanto, solicita apoyo para ser atendida el día lunes 18 de agosto de 2025 a las 11:00 horas, en la Agencia Tributaria Dubai Center, debido a que en el sistema no puede generar una nueva cita.
</t>
  </si>
  <si>
    <t>Inconveniente generación Declaración Jurada Retenciones WEB ISR.</t>
  </si>
  <si>
    <t>MEM/SAT/IAC/DGS/UST/135/2025</t>
  </si>
  <si>
    <t xml:space="preserve">gestión 20258AV93D38589  </t>
  </si>
  <si>
    <t>Solicitud apoyo con inconveniente en aviso de legalización de firmas.</t>
  </si>
  <si>
    <t>SAT 1311 48177763875 676991624</t>
  </si>
  <si>
    <t>NIT 110599543 está realizando actualización de datos con la gestión 20258ACT94143726, indica que la multa fue pagada con el formulario que le fue enviado, sin embargo no puede subir el documento nuevamente la casilla está bloqueada</t>
  </si>
  <si>
    <t>El contribuyente NIT 112862284 indica rechazo de su solicitud de actualización No.  20258ACT9CCF5847 dentro de los comentarios de rechazo se encuentra "adjuntar escáner de inscripción ante el registro Mercantil, del representante legal.", el contribuyente manifiesta que esta adjuntando lo solicitado.</t>
  </si>
  <si>
    <t>El contribuyente NIT 7967446 indica rechazo de su solicitud de actualización No.  20258ACT20BC6E9D dentro de los comentarios de rechazo se encuentra "Estimado contribuyente atender únicamente lo solicitado en comentario adicional: Adjuntar DPI legible que se visualicen marcas de seguridad. Que se visualice la información de las mismas. Arriba de la versión tiene marca de seguridad en la que se debe visualizar día, mes y año de nacimiento.", el contribuyente manifiesta que ha escaneado el documento en varias ocasiones y con distintos dispositivos pero no logra que se visualice lo solicitado.</t>
  </si>
  <si>
    <t>P751KHH  no aparece correcto el nombre</t>
  </si>
  <si>
    <t>Oscar/ Dairy</t>
  </si>
  <si>
    <t>Lo reaperturé nuevamente</t>
  </si>
  <si>
    <t>error se queda procesando</t>
  </si>
  <si>
    <t>correlativo LET</t>
  </si>
  <si>
    <t>inactivar ISR  asalariado</t>
  </si>
  <si>
    <t>sincronizar el NIT 120635720 generado el 15/08/2025 no aparece en el RTU Oracle.</t>
  </si>
  <si>
    <t>sincronizar el NIT 318371979 generado el 15/08/2025 no aparece en el RTU Oracle.</t>
  </si>
  <si>
    <t>sincronizar apellido de casada del NIT 25955683</t>
  </si>
  <si>
    <t>sincronizar el NIT 302815279 generado el 15/08/2025 no aparece en el RTU Oracle</t>
  </si>
  <si>
    <t>sincronizar el NIT 120632152 no aparece en el RTU Oracle</t>
  </si>
  <si>
    <t>sincronizar el NIT 305192825 generado el 15/08/2025 no aparece en el RTU Oracle</t>
  </si>
  <si>
    <t>Solicito apoyo para sincronizar el nombre del contribuyente, debido a que, falta el tercer nombre.</t>
  </si>
  <si>
    <t>NIT 1974904 está realizando actualización de datos, solicita apoyo indica que los documentos solicitados en el rechazo cumplen con lo solicitado.</t>
  </si>
  <si>
    <t>Solicitud apoyo gestión Solvencia Fiscal.</t>
  </si>
  <si>
    <t>gestión  20257ACTCAFC449F</t>
  </si>
  <si>
    <t xml:space="preserve">GRC/Pacific  </t>
  </si>
  <si>
    <t>apoyar porque el contribuyente no está suspendido y no le permite continuar con su trámite en el registro mercantil.</t>
  </si>
  <si>
    <t>no le permite llenar el SAT 2241</t>
  </si>
  <si>
    <t>gestión 20258CESE8AE39006 aún no ha sido asignada</t>
  </si>
  <si>
    <t>Solicitud apoyo Inconveniente en generar Declaración SAT/2046 IVA Pequeño Contribuyente.</t>
  </si>
  <si>
    <t>consulta HCTA/836/2025</t>
  </si>
  <si>
    <t>NIT 113451520 indica que al consultar el formulario SAT 1352 le muestra un mensaje de que una o más casillas tiene error, la consulta es si no tendrá algún inconveniente en el futuro.   </t>
  </si>
  <si>
    <t>NIT 108440664 no puede llenar el formulario SAT 2046 del mes de febrero 2025 no reconoce el cambio de régimen. </t>
  </si>
  <si>
    <t>CUI 2585548430101 cita 20258CC0F9F8DA8 no puede descargar el PDF de la cita</t>
  </si>
  <si>
    <t>están inscribiendo una nueva sociedad anónima NIT 120566095 gestión 20257ACT91E38C2F y le requieren multa por presentación extemporánea del representante legal y no se puede llenar el formulario porque indica que el NIT no existe. </t>
  </si>
  <si>
    <t>Sincronización de información en RTU Oracle del NIT 385510195</t>
  </si>
  <si>
    <t xml:space="preserve">Sincronización de información en RTU Oracle del NIT 265954126 </t>
  </si>
  <si>
    <t>Sincronización de información en RTU Oracle del NIT 210502428</t>
  </si>
  <si>
    <t>Sincronización de apellido de casada en RTU Oracle del NIT 25955683</t>
  </si>
  <si>
    <t xml:space="preserve">Sincronización de la actividad economica en RTU Oracle del NIT 98263765 </t>
  </si>
  <si>
    <t>el contribuyente NIT 107963167 indica rechazo de su solicitud de actualización No.  20258ACT2F1B4B2Ddentro de los comentarios de rechazo se encuentra "Estimado contribuyente atender únicamente lo solicitado en comentario adicional: Consignar domicilio completo de acuerdo a su factura sin abreviaturas, sin símbolos, sin duplicar datos. En campos correspondientes para cada dato. Dirección alterna debe ser diferente a domicilio fiscal.", el contribuyente manifiesta que ingreso la información que indica el documento.</t>
  </si>
  <si>
    <t>Solicitud apoyo gestión inscripción definitiva ONG / Gestión: 20258INSB3B7F8D9</t>
  </si>
  <si>
    <t>Solicitud de apoyo para la atención de contribuyente en OT Cobán / Gestión: 20258INSE58B6896</t>
  </si>
  <si>
    <t>GRN/Alta Verapaz</t>
  </si>
  <si>
    <t>Solicitud apoyo gestión cambio de correo electrónico de AV.</t>
  </si>
  <si>
    <t>Constancia de envío inventarios NIT 108848442</t>
  </si>
  <si>
    <t>Solicitud apoyo gestión de cese definitivo de establecimiento.</t>
  </si>
  <si>
    <t>le indica que no está en el régimen general</t>
  </si>
  <si>
    <t>inconveniente reportado por el contribuyente NIT 321052 al consultar el formulario en Declaraguate. </t>
  </si>
  <si>
    <t>8880921 </t>
  </si>
  <si>
    <t>SINC DPI</t>
  </si>
  <si>
    <t>Solicitud apoyo inconveniente en generar Declaración Regimen Electrónico IVA SAT/2241.</t>
  </si>
  <si>
    <t xml:space="preserve">gestión 20257ACTB68992A3 </t>
  </si>
  <si>
    <t>sat 7121 no le permite los libros de pequeño contribuyente</t>
  </si>
  <si>
    <t>diferencias en facturación</t>
  </si>
  <si>
    <t>GRC/División de Recaudación</t>
  </si>
  <si>
    <t>1872065K</t>
  </si>
  <si>
    <t>NIT 1872065K está realizando la gestión de cese de actividades 20258CESE49C589D2 indica que en el 2024 estaba inscrito en el régimen de pequeño contribuyente por lo que no aplica la solicitud de presentar el ISR anual 2024.</t>
  </si>
  <si>
    <t>SAT 8401 48236726337  528448432</t>
  </si>
  <si>
    <t>Solicitud consulta apartado "Otra entidad de culto" / Gestión: 20258INSC1B1ED0A</t>
  </si>
  <si>
    <t>notario NIT  9597042,  le indica que no está activo y se quiere registar como perito contador</t>
  </si>
  <si>
    <t>No tiene activa la afiliación al IVA Pequeño contribuyente y tiene establecimientos activo.</t>
  </si>
  <si>
    <t>Consulta sobre caso de rechazo en Traspaso de Donación con Documento Privado.</t>
  </si>
  <si>
    <t>NIT 118491725 indica que le están rechazando la gestión de agencia virtual porque la voz está editada, sin embargo indica que no es así, por lo que solicita indicar el motivo del rechazo. </t>
  </si>
  <si>
    <t>NIT 94188874 no puede solicitar usuario de agencia virtual, indica que el DPI está vencido. </t>
  </si>
  <si>
    <t>2458990K</t>
  </si>
  <si>
    <t>El contribuyente NIT 2458990K indica rechazo de su solicitud de actualización No.  20258ACT5EA86623 dentro de los comentarios de rechazo se encuentra "Estimado contribuyente: se solicita eliminar el departamento y municipio de nacimiento por que no se visualiza en el dpi.", el contribuyente manifiesta que en el documento si se visualiza la información que le solicita eliminar.</t>
  </si>
  <si>
    <t>El contribuyente 6420478 manifiesta que intento realizar la inactivación de imprenta a través del formulario SAT/0551 pero no le permite, le genera el error el contribuyente no tiene actividad economica relacionada a imprenta, en RTU Oracle tiene el Status Activo.</t>
  </si>
  <si>
    <t>Solicitud apoyo gestión pago de ISCV de vehículo O0/2.</t>
  </si>
  <si>
    <t>gestión 20258CESEDFBFDCC8</t>
  </si>
  <si>
    <t>Constancia de informe semestral de inventarios.</t>
  </si>
  <si>
    <t xml:space="preserve">gestión 20258ACT660DD8BD </t>
  </si>
  <si>
    <t>sat 2046</t>
  </si>
  <si>
    <t xml:space="preserve">gestión 20258ACTCD926E60  </t>
  </si>
  <si>
    <t>Inconveniente en cambio de NIT de patrono en la opción Planilla IVA/FEL. cobros@carnessanmartinsa.com</t>
  </si>
  <si>
    <t>Planilla IVA/FEL</t>
  </si>
  <si>
    <t>actualizó su apellido y en las calcomanías aparece el apellido anterior</t>
  </si>
  <si>
    <t>El contribuyente NIT 120519712 está realizando una actualización de datos, pero le genera el error 500 al momento de finalizar solicitud, ya borro historial y también intento de manera incógnita, agregó los datos de la factura en todas las direcciones que tiene agregadas y también en todos los domicilios, pero el error persiste</t>
  </si>
  <si>
    <t>Depuración NIT creado incorrectamente en la Oficina Tributaria San Marcos NIT existente: 29197112 NIT nuevo: 198663897 a depurar</t>
  </si>
  <si>
    <t>necesita que sean eliminados los permisos delegables que le fueron otorgados</t>
  </si>
  <si>
    <t>NIT 40312917 está realizando la actualización de datos con la gestión 20258ACT6E8199B6, indica que ya realizó el pago de la multa, sin embargo, le siguen requiriendo realizar el pago de la misma. </t>
  </si>
  <si>
    <t>Solicitud apoyo gestión de Actualización de Datos del  RTU.</t>
  </si>
  <si>
    <t>diferencias y no le permite realizar la rectificación de formulario</t>
  </si>
  <si>
    <t xml:space="preserve">gestión 20258ACT1236E74E </t>
  </si>
  <si>
    <t>NIT 7875355 efectuó cese prescrito el 21/08/2025, el verificar aún refleja declaraciones omitidas. </t>
  </si>
  <si>
    <t xml:space="preserve">gestión 20258ACT382EB45E </t>
  </si>
  <si>
    <t>Solicitud consulta habilitación de libros Régimen General del IVA.</t>
  </si>
  <si>
    <t xml:space="preserve">Pago de multa extemporaneo de representante legal para NIT jurídico inactivo </t>
  </si>
  <si>
    <t xml:space="preserve">466227K </t>
  </si>
  <si>
    <t xml:space="preserve">gestión 20258ACTB3821000 </t>
  </si>
  <si>
    <t xml:space="preserve">gestión 20258ACTB29E2052 </t>
  </si>
  <si>
    <t xml:space="preserve">1793057K </t>
  </si>
  <si>
    <t>El contribuyente NIT 1793057K indica que envió el 18/08/2025 las correcciones del rechazo de su solicitud de Cese No.  20258CESEA9647E63, pero esta sigue con el estado para revisión y el manifiesta que ya lleva mucho tiempo esperando.</t>
  </si>
  <si>
    <t>Sincronizar la afiliación del NIT 54485614 en RTU Oracle.</t>
  </si>
  <si>
    <t>cese de actividades y le indica que debe pagar ISCV  y no tiene vehículos asignados</t>
  </si>
  <si>
    <t>error que siempre debe autorizar el vendedor</t>
  </si>
  <si>
    <t>gestión 20258ACT1E275DF8</t>
  </si>
  <si>
    <t>agregar profesión Licenciatura en Proyectos y Tecnología Educativa</t>
  </si>
  <si>
    <t>MEM/SAT/IAC/DGS/UST/138/2025</t>
  </si>
  <si>
    <t>Solicitud apoyo presentación formulario SAT/2046 Pequeño Contribuyente.</t>
  </si>
  <si>
    <t xml:space="preserve">gestión 20258ACTD68213F4 </t>
  </si>
  <si>
    <t xml:space="preserve">gestión 20258ACT83DBD511 </t>
  </si>
  <si>
    <t>Inconveniente en la generación de DTE.</t>
  </si>
  <si>
    <t xml:space="preserve">gestión 20258ACTCE856BBC </t>
  </si>
  <si>
    <t>Solicitud apoyo gestión de solicitud de activación de AV.</t>
  </si>
  <si>
    <t xml:space="preserve">gestión 20258ACT8C329F11 </t>
  </si>
  <si>
    <t>inactivar FEL porque no ha tenido establecimiento</t>
  </si>
  <si>
    <t>Inconveniente en presentación de declaración SAT/2046 Pequeño Contribuyente / Correo: chinroberto20@gmail.com</t>
  </si>
  <si>
    <t xml:space="preserve">gestión 20257ACT7DEAB756 </t>
  </si>
  <si>
    <t>NIT 19315503 necesita recuperar contraseña de agencia virtual, sin embargo no lo puede realizar.  Al verificar RTU Nube tiene la marca de agencia virtual mientras que en el RTU Oracle no tiene la marca. </t>
  </si>
  <si>
    <t xml:space="preserve">758850K </t>
  </si>
  <si>
    <t>gestión 20258ACTF30ECC3D</t>
  </si>
  <si>
    <t>Solicitud apoyo verificación de gestión de actualización de datos / Gestión 20258ACTDE3B03A6</t>
  </si>
  <si>
    <t>Solicitud apoyo no dejaron habilitados los campos de corrección / GESTIÓN 20258ACTC87588BC</t>
  </si>
  <si>
    <t>SAT 2237 generado desde la AV</t>
  </si>
  <si>
    <t>correlativos en LET</t>
  </si>
  <si>
    <t>O706BBF  activación del vehículo</t>
  </si>
  <si>
    <t>SINC  afilición realizó cese prescrito y tiene la afiliación activa</t>
  </si>
  <si>
    <t>no tiene el icono en la AV para activarlo P329FXW</t>
  </si>
  <si>
    <t>Solicitud apoyo análisis de omisos que no corresponden según sistema SAIT Bancario.</t>
  </si>
  <si>
    <t xml:space="preserve">gestión 20258ACTEC4F9556 </t>
  </si>
  <si>
    <t>Consulta rechazo requerimiento cambio de correo electrónico AV.</t>
  </si>
  <si>
    <t>Consulta desvanecimiento de omiso.</t>
  </si>
  <si>
    <t xml:space="preserve">gestión 20258ACT98737C80 </t>
  </si>
  <si>
    <t>GRC/Minex</t>
  </si>
  <si>
    <t>al consultar el verificador integrado el contribuyente NIT 81109512 le aparece la afiliación del IVA suspendida, sin embargo, en el RTU Oracle y Nube aparece activa. </t>
  </si>
  <si>
    <t xml:space="preserve">NIT 50976907 realizó cese definitivo y la afiliación del ISR Rentas del trabajo aparece activa.  </t>
  </si>
  <si>
    <t xml:space="preserve">gestión 20258ACTCB0C84E8 </t>
  </si>
  <si>
    <t>Campos inhabilitados / RTU</t>
  </si>
  <si>
    <t xml:space="preserve">se anulo la CIVA, el sistema aun no reconoce que se anulo,  </t>
  </si>
  <si>
    <t xml:space="preserve">se anulo la CIVA, el sistema aun no reconoce que se anuló, necesitan emitir de nuevo la CIVA  </t>
  </si>
  <si>
    <t>coreo</t>
  </si>
  <si>
    <t>Solicitan que se valide la presentación del informe trimestral SAT 2118 como presentado,  ya que la obligacion corresponde con el for SAT 2360  desde FEL</t>
  </si>
  <si>
    <t xml:space="preserve">explique  los pro y contra de cada opción que tiene para cumplir con el informe,   y que si corresponde el pago de la multa  para regularizar la obligación y que lo presente el informe con o sin movimiento, porque el sistema esta diseñado para que se cumpla cada trimestre. </t>
  </si>
  <si>
    <t>El contribuyente NIT 8165165 reporta que tiene inconveniente con la activación del vehículo PLACA P/035CQC, debido a que no le aparece en la lista de vehículos propios en la Agencia Virtual para poder autorizar la activación.</t>
  </si>
  <si>
    <t>El contribuyente NIT 64633071 indica rechazo de su solicitud de actualización No.  20258ACT251BE622 dentro de los comentarios de rechazo se encuentra "Favor de adjuntar la razón del Registro de donde corresponde al nombramiento para poder aprobar su gestión. Favor de adjuntar la RAZóN DEL REGISTRO MERCANTIL / / / Datos del Representante legal:", el contribuyente indica que está adjuntando el documento que contiene la razón</t>
  </si>
  <si>
    <t xml:space="preserve">2400958K </t>
  </si>
  <si>
    <t>QR P631KMY  error en la petición al leer el QR  de la tarjeta</t>
  </si>
  <si>
    <t>Solicitud apoyo sincronización Verificador Integrado Portal SAT.</t>
  </si>
  <si>
    <t>Solicitud apoyo sincronización de omiso de SAT/1361 Verificador Integrado.</t>
  </si>
  <si>
    <t xml:space="preserve">NIT 7046928 P/136BBN el contribuyente realizó cambio de nombre, al imprimir la tarjeta aparece el nombre correcto, sin embargo, en la calcomanía aparece el nombre anterior. </t>
  </si>
  <si>
    <t>2667615K</t>
  </si>
  <si>
    <t>omisos que no le corresponden al régimen</t>
  </si>
  <si>
    <t>Solicitud apoyo gestión de Actualización de datos que no habilitaron campos.</t>
  </si>
  <si>
    <t>no tiene omisiones y en el verificador indica que tiene de IVA</t>
  </si>
  <si>
    <t>Solicitud apoyo gestión de cambio de correo electrónico de AV.</t>
  </si>
  <si>
    <t xml:space="preserve">gestión 20257INS62E36251 </t>
  </si>
  <si>
    <t xml:space="preserve">gestión 20257ACT726F68FF </t>
  </si>
  <si>
    <t>solicitud de AV  le indica que el DPI  está vencido</t>
  </si>
  <si>
    <t>no le permite indica que ya superó los 125 salarios</t>
  </si>
  <si>
    <t>Solicitud apoyo inscripción de contadores.</t>
  </si>
  <si>
    <t>NIT 81093187 no puede realizar el cese definitivo, tiene una factura emitida con fecha 31/08/2025 la cual se encuentra en estado anulado, el cese  lo está realizando con fecha 26/08/2025.  </t>
  </si>
  <si>
    <t>NIT 33935289 no puede realizar el cambio de correo electrónico, indica que tiene DPI vencido,  cuenta con constancia emitida por el RENAP para realizar la gestión.  </t>
  </si>
  <si>
    <t>le despliega omiso que no le corresponde y está molesto</t>
  </si>
  <si>
    <t xml:space="preserve">gestión 20258ACT4C39C02B </t>
  </si>
  <si>
    <t>Solicitud apoyo gestión actualización de datos del RL.</t>
  </si>
  <si>
    <t>NIT 90802675 indica que la gestión de cese de actividades se encuentra en revisión desde el 21/08/2025</t>
  </si>
  <si>
    <t>Solicitud apoyo gestión de inscripción definitiva de S.A.</t>
  </si>
  <si>
    <t>NIT 107376202 está realizando inscripción de propiedad horizontal con la gestión 20258ACTCB7C625E, indica que el requerimiento de inscripción del nombramiento en el registro correspondiente no procede de acuerdo a lo establecido en los requisitos.  </t>
  </si>
  <si>
    <t>GRC/El  Progreso</t>
  </si>
  <si>
    <t>El contribuyente indica que esta de forma erronea los folios, que no coincide con el registro y el número utilizado</t>
  </si>
  <si>
    <t>no le despliega el año 2025</t>
  </si>
  <si>
    <t>Solicitud apoyo gestión Cancelación definitiva de establecimiento.</t>
  </si>
  <si>
    <t xml:space="preserve">gestión 20258ACT5C2967F4 </t>
  </si>
  <si>
    <t xml:space="preserve">gestión 20258ACT8DC8F3DD </t>
  </si>
  <si>
    <t xml:space="preserve">gestión 20258AV7AEF8D25 </t>
  </si>
  <si>
    <t xml:space="preserve">gestión 20258ACT728D426B </t>
  </si>
  <si>
    <t xml:space="preserve">gestión 20258INS06EF7EA1 </t>
  </si>
  <si>
    <t xml:space="preserve">gestión 20258ACT1CE2ABFB </t>
  </si>
  <si>
    <t>Solicitud apoyo gestión Actualización de datos casillas bloqueadas.</t>
  </si>
  <si>
    <t>El contribuyente NIT 120596326 indica rechazo de su solicitud de actualización No.  20257ACTFBFA39E4 dentro de los comentarios de rechazo se encuentra "Estimado contribuyente atender únicamente lo solicitado en comentario adicional: Cancelar la gestión Según la Ley Timbre Fiscal y Papel Sellado para Protocolo. Se solicita timbre fiscal en primer testimonio.", el contribuyente solicita que se le indique cual es la base legal que utilizan para pedir el timbre fiscal ya que ella indica que no procede, porque la Escritura de Constitución esta afecta a Q250.00 y solicita que se le llame para indicarle por favor.</t>
  </si>
  <si>
    <t>EL contribuyente NIT 120637642 se comunicó al Contact Center de SAT indicando que su gestión de Actualización No. 20258ACTA0E0E329 fue rechazada con requerimiento y muestra el siguiente comentario "Estimado contribuyente adjuntar el acta del nombramiento del representante legal de forma completa, el razonamiento de acta del registro mercantil hace falta el timbre fiscal de 50 centavos por lo que hay que colocarlo.", le están haciendo un requerimiento para que corrija ciertos puntos pero no le están dejando habilitados los campos.</t>
  </si>
  <si>
    <t>NIT 111161681 no tiene la marca de agencia virtual  y no puede realizar cambiar correo electrónico.  </t>
  </si>
  <si>
    <t>Solicitud apoyo inactivación característica especial  asalariado.</t>
  </si>
  <si>
    <t>MEM/SAT/IAC/DGS/UST/169/2025</t>
  </si>
  <si>
    <t>Solicitud apoyo LET IVA General, no permite llenado desde AV.</t>
  </si>
  <si>
    <t>DUPLICADO</t>
  </si>
  <si>
    <t>se anulo la CIVA,  y el sistema no reconoce que esta anulada para emitir una de nuevo</t>
  </si>
  <si>
    <t>Respuesta/Buenos dias, caso reportado, estaremos en comunicación</t>
  </si>
  <si>
    <t>no le permite inscribirse como productor le indica que tiene gestión pendiente</t>
  </si>
  <si>
    <t>NIT 120488337 quedó activo en el RTU sin embargo no tiene la marca de agencia virtual, no puede ingresar con la contraseña generada.</t>
  </si>
  <si>
    <t>100000314313</t>
  </si>
  <si>
    <t>10258897K</t>
  </si>
  <si>
    <t>Solicitud apoyo gestión cese de actividades.</t>
  </si>
  <si>
    <t>no le permite registrarse como perito contador</t>
  </si>
  <si>
    <t>Solicitud apoyo Sincronización de AV para cambio de contraseña.</t>
  </si>
  <si>
    <t>100000314322</t>
  </si>
  <si>
    <t>Ticket creado por el departamento normativo IAC</t>
  </si>
  <si>
    <t>Solicitud apoyo incorporación de proveedor de servicio de internet al validador.</t>
  </si>
  <si>
    <t>traspaso P106GKG</t>
  </si>
  <si>
    <t xml:space="preserve">gestión 20257ACT59A6B63A </t>
  </si>
  <si>
    <t xml:space="preserve">gestión 20258AV4378EF22 </t>
  </si>
  <si>
    <t>correlativo en LET</t>
  </si>
  <si>
    <t>NIT 55415415 no puede realizar el cierre de agosto 2025, el sistema se queda pensando</t>
  </si>
  <si>
    <t>no genera el libro de compras</t>
  </si>
  <si>
    <t>El contribuyente NIT 120646587 se comunicó al Contact Center de SAT indicando que su gestión de Actualización No. 20258ACTB1EF17D2 fue rechazada con requerimiento y muestra el siguiente comentario "corregir fechas de nombramiento y vencimiento", el contribuyente manifiesta que le están haciendo un requerimiento para que corrija ciertos puntos, pero no tiene habilitados los campos para realizar la corrección.</t>
  </si>
  <si>
    <t>El contribuyente NIT 47825197 manifiesta que actualizó datos y colocó como Actividad económica el código 0009.40 Otros, pero le sigue apareciendo la afiliación como asalariado y característica especial en estado activo</t>
  </si>
  <si>
    <t>Sincronizar la afiliación del NIT 56028180 en RTU Oracle.</t>
  </si>
  <si>
    <t>NIT 120645696 gestión 20258ACT7719A1A5 indica que está colocando la fechas de acuerdo con el nombramiento además que no permite ingresar los datos.  </t>
  </si>
  <si>
    <t>gestión 20258AVA2DB5F55</t>
  </si>
  <si>
    <t xml:space="preserve">gestión 20258ACT4FAD0C40 </t>
  </si>
  <si>
    <t xml:space="preserve">111145732
</t>
  </si>
  <si>
    <t xml:space="preserve">Constancia de envío inventarios NIT 111145732
</t>
  </si>
  <si>
    <t>NIT 33935289 Menciona que está solicitando el cambio de correo electrónico de agencia virtual a distancia con documento emitido por RENAP, pero al momento de solicitarla le muestra el siguiente mensaje: SU DOCUMENTO DE IDENTIFICACIÓN PERSONAL /DPI/ SE ENCUENTRA VENCIDO, PARA CONTINUAR CON LA GESTIÓN DEBE SOLICITAR LA REPOSICIÓN. </t>
  </si>
  <si>
    <t>Reporte duplicado</t>
  </si>
  <si>
    <t>El contribuyente NIT 106546104 indica rechazo de su solicitud de actualización No.  20258ACT4CF90CF3 dentro de los comentarios de rechazo se encuentra "Estimado contribuyente atender únicamente lo solicitado en comentario adicional: Cancelar la gestión Según la Ley Timbre Fiscal y Papel Sellado para Protocolo. Se solicita timbre fiscal en primer testimonio.", el contribuyente indica que el timbre esta adherido a la Escritura de Constitución.</t>
  </si>
  <si>
    <t>El contribuyente NIT 109757653 se comunicó al Contact Center de SAT indicando que su gestión de Cese No. 20257CESE3022F216 fue rechazada con requerimiento y dentro los comentarios muestra lo siguiente "favor verificar los folios de cada libro y debe operar cada libro por separado de acuerdo a los folios autorizados de cada libro deberá de utilizar el mismo formato en cada folio escanear con registros al día, folio en donde registro ultimo movimiento, ultimo folio operado y siguiente en blanco debidamente anulado y deberá operar su libro mes por folio", el contribuyente manifiesta que el comentario de rechazo solicita documentos los cuales no están contemplados en la información publicada en la página web.</t>
  </si>
  <si>
    <t xml:space="preserve">gestión 20258CESE8A9031F8 </t>
  </si>
  <si>
    <t>gestión 20258CESEC1BA3211</t>
  </si>
  <si>
    <t>no le permite realizar traspaso electrónico, le indica que no tiene confirmación de huella</t>
  </si>
  <si>
    <t>NIT 25365223 está realizando actualización de datos con gestión 20258ACTFE6A8154, sin embargo tiene bloqueado la casilla para adjuntar la multa por presentación extemporánea de representante legal. </t>
  </si>
  <si>
    <t>pequeño contribuyente , no le permite generar el libro</t>
  </si>
  <si>
    <t>Solicitud apoyo gestión Cambio de Correo Electrónico AV.</t>
  </si>
  <si>
    <t>NIT 120632128 está realizando actualización de datos con la gestión 20258ACTBF201EEB, sin embargo no puede realizar los cambios solicitados en el requerimiento. </t>
  </si>
  <si>
    <t xml:space="preserve">no tiene los campos habilitados de la gestión  20258ACT80A3E962 </t>
  </si>
  <si>
    <t xml:space="preserve">gestión 20258ACT3032CD6C </t>
  </si>
  <si>
    <t>NIT 120646196 está realizando actualización de datos con la gestión 20258ACT4FF1BFB7 sin embargo, no las casillas están bloqueadas y no puede realizar los cambios solicitados. </t>
  </si>
  <si>
    <t>NIT 91252806 reporta inconveniente con FEL por cambio de régimen</t>
  </si>
  <si>
    <t>tarjeta de circulación usuario APP/MOVIL</t>
  </si>
  <si>
    <t xml:space="preserve">gestión 20258ACT61A4FDAD </t>
  </si>
  <si>
    <t>gestión de actualización de datos 20258ACT2CA4AE78 del NIT 6764312, indica que no puede ingresar el nombre del representante legal al ingresar el NIT el nombre aparece automáticamente y tampoco les permite adjuntar cancelación de Nancy Navas ya que aparece en estado Cancelado y solo deja visualizar Documento de Cancelación en la actualización en la agencia virtual. </t>
  </si>
  <si>
    <t>Solicitud apoyo inconveniente con el registro de inscripción de importador.</t>
  </si>
  <si>
    <t>Solicitud apoyo Revisión de cese de actividades.</t>
  </si>
  <si>
    <t>Solicitud apoyo Inconvenientes con retenciones web.</t>
  </si>
  <si>
    <t>Inconveniente con el registro de folios  LET/GENERAL.</t>
  </si>
  <si>
    <t>Inconveniente con el correlativo de folios en la herramienta LET.</t>
  </si>
  <si>
    <t>SAT 2241 por fecha de presentación</t>
  </si>
  <si>
    <t>Solicitud apoyo gestión de inscripción de Copropiedad / Gestión: 20258INSB4C42F33</t>
  </si>
  <si>
    <t xml:space="preserve">gestión 20258ACT398F7731 </t>
  </si>
  <si>
    <t>necesita que sea eliminada la dirección de correo  imprentaruizmj@gmail.com, porque le despliega cuando envía formularios con valor cero</t>
  </si>
  <si>
    <t xml:space="preserve">Le comento que IRE indica que para la segunda semana del mes de octubre atenderá el requerimiento del cambio de cambio de correo en RTU,  por nuestro lado no podes indicar a GI tocar tablas de un sistema que no administramos.
</t>
  </si>
  <si>
    <t>NIT 86579185 no puede presentar el formulario SAT 2241 le muestra error con la fecha.</t>
  </si>
  <si>
    <t xml:space="preserve">gestión 20259ACT7CAB284C </t>
  </si>
  <si>
    <t>Jose</t>
  </si>
  <si>
    <t>El contribuyente NIT 76105377 manifiesta que realizó su pago de solvencia fiscal el 28/08/2025, se consulto en el sistema y no ha generado expediente. Formulario: 48317440845 Acceso: 471228693</t>
  </si>
  <si>
    <t>El contribuyente NIT 110170350 indica rechazo de su solicitud de actualización No.  20259ACT4546756B dentro de los comentarios de rechazo se encuentra "Estimado contribuyente atender únicamente lo solicitado en comentario adicional: Cancelar esta solicitud e ingresar una nueva completando lo requerido: Falta timbre correspondiente en primer testimonio de escritura No. 12.", el contribuyente manifiesta que el testimonio de la Escritura No.12 si posee los timbres.</t>
  </si>
  <si>
    <t xml:space="preserve">gestión 20258ACTA4417EAD </t>
  </si>
  <si>
    <t>NIT 114978506 se encuentra suspendido del IVA pero no tiene omisos ni planes operativos. </t>
  </si>
  <si>
    <t xml:space="preserve">gestión 20258AV96AC0A9C   </t>
  </si>
  <si>
    <t>NIT 22940863 solicita que se amplíe cual es el requerimiento que debe cumplir para concluir el cese de actividades. </t>
  </si>
  <si>
    <t>impresion</t>
  </si>
  <si>
    <t>NIT 1533037 está realizando una gestión de cese de actividades 20258CESE2E834C59, indica que el requerimiento no aplica, debido a que el establecimiento con el que prestará el servicio seguirá vigente.</t>
  </si>
  <si>
    <t>gestión 20259ACTD270337B</t>
  </si>
  <si>
    <t>NIT 89121155 indica que la factura de servicios que adjunta para la actualización de datos de la gestión 20259ACT0811B43C es de línea fija por lo que solicita el apoyo para verificar nuevamente la gestión.  </t>
  </si>
  <si>
    <t xml:space="preserve">gestión 20258INS66E4F4AD </t>
  </si>
  <si>
    <t xml:space="preserve">cese 20258CESEEAD72C8A </t>
  </si>
  <si>
    <t>gestión 20259ACTDC9A7630</t>
  </si>
  <si>
    <t>gestión 20259ACT0DD9F553</t>
  </si>
  <si>
    <t>NIT 2199416 está realizando una gestión de cese de actividades 20258CESE69E4A175  la cual se encuentra en revisión desde el 20/08/2025</t>
  </si>
  <si>
    <t>no tiene establecimiento activo y aparece  suspendido por el Arto. 120</t>
  </si>
  <si>
    <t>Solicitud apoyo con sincronización de herramienta Guatecompras / NIT 101390327 empresa ya no es representante legal</t>
  </si>
  <si>
    <t>el contribuyente desde marzo 2025 se encuentra en el régimen general y le aparecen omisos de pequeño contribuyente.</t>
  </si>
  <si>
    <t> NIT 337991022 indica que el DPI que está subiendo si cumple con las medidas de seguridad. Gestión 20259AV381E48BF</t>
  </si>
  <si>
    <t>Solicitud apoyo Inconveniente con el uso LET/GENERAL.</t>
  </si>
  <si>
    <t>Ticket elaborado por Normativo IAC</t>
  </si>
  <si>
    <t>Solicitud apoyo inconvenientes con la asignación de folios para el NIT.</t>
  </si>
  <si>
    <t>Inconvenientes con el uso de LET para pequeño contribuyente.</t>
  </si>
  <si>
    <t>El contribuyente NIT 7146280 está realizando cese de actividades desde la Agencia Virtual pero el sistema le indica que tiene un expediente activo, pero es un expediente del año 2010 y el contribuyente quiere saber a dónde debe ir para solventar dicho expediente o que debe hacer, debido a que este fue creado en la Agencia Galerías del Sur. </t>
  </si>
  <si>
    <t>El contribuyente NIT 109757653 se comunicó al Contact Center de SAT indicando que su gestión de Cese No. 20257CESE3022F216 fue rechazada con requerimiento y dentro los comentarios muestra lo siguiente "favor verificar los folios de cada libro y debe operar cada libro por separado de acuerdo a los folios autorizados de cada libro deberá de utilizar el mismo formato en cada folio escanear con registros al día, folio en donde registro ultimo movimiento, ultimo folio operado y siguiente en blanco debidamente anulado y deberá operar su libro mes por folio.", el contribuyente manifiesta que el comentario de rechazo solicita documentos los cuales no están contemplados en la información publicada en la página web.</t>
  </si>
  <si>
    <t>El contribuyente NIT 107266245 reporta inconveniente que la consulta NIT/CUI indica que no cuenta con usuario de Agencia virtual, también que no posee la marca de Agencia Virtual, sin embargo el si posee Agencia Virtual y el inconveniente también le da cuanto trata de hacer la apertura ante el registro mercantil, le aparece que no tiene agencia virtual y el día 2 de septiembre realizó actualizaciones dentro de la Agencia Virtual.</t>
  </si>
  <si>
    <t>Ticket creado por el Departamento de Normatividad IAC</t>
  </si>
  <si>
    <t>le aparece omisiones que no están de acuerdo de su régimen</t>
  </si>
  <si>
    <t>contribuyente que está realizando una gestión de inscripción  20259INS038BEB9F indica que no tiene habilita la casilla para realizar la modificación solicitada, indica que no quiere cancelar la gestión. </t>
  </si>
  <si>
    <t>gestión 20259ACTAE41C913</t>
  </si>
  <si>
    <t xml:space="preserve">gestión 20259ACTDC93882A </t>
  </si>
  <si>
    <t>673720K</t>
  </si>
  <si>
    <t>NIT 673720K, no le reconoce la habilitación de libros del régimen electrónico de pequeño contribuyente del mes de julio 2025. </t>
  </si>
  <si>
    <t>Está solicitando NIT con la gestión 20259INS6040B81D , la cual tiene un rechazo en el cual le solicitan el DPI, sin embargo se trata de un extranjero y están adjuntado su pasaporte como documento de identificación. </t>
  </si>
  <si>
    <t>Solicito apoyo para sincronizar las afiliaciones del contribuyente, debido a que, no ha replicado en RTU Oracle.</t>
  </si>
  <si>
    <t>Solicitud apoyo gestión actualización de datos RTU.</t>
  </si>
  <si>
    <t>Solicitud apoyo gestión inscripción de copropiedad de empresa / Gestión: 20258INSF0C11DC3</t>
  </si>
  <si>
    <t>anulo la CIVA, y al generar una de nuevo el sistema indica que ya cuenta con una generada</t>
  </si>
  <si>
    <t>El contribuyente envió correo a FEL  desde el 13/08, sin embargo no le han dado respuesta, al escribir al buzón de ayuda, se procedió a reportar. /de FEL  indican que se encuenta en análisis aún.</t>
  </si>
  <si>
    <t>gestión de actualización de datos 20259ACT73463B9D del NIT 46838805, indica que la multa la realizó en actualización anterior y las fechas de nombramiento no han cambiado. </t>
  </si>
  <si>
    <t>El contribuyente NIT  109963148 indica rechazo de su solicitud de actualización No.  20259ACT20F8BC01 dentro de los comentarios de rechazo se encuentra "ESTIMADO CONTRIBUYENTE FAVOR CANCELA MULTA POR PRESENTACION EXTEMPORANEA DE NOMBRAMIENTO DE REPRESENTANTE LEGAL. CANCELAR EN EL FORMULARIO 811, CORREGIR FECHA DE NOMBRAMIENTO.", el contribuyente manifiesta que lo siguiente " ME piden cambios en direccion y en nombramiento de representante legal una y otra vez a la vez siento que no es la forma de responder ya que a pesar de hacer las cosas tal y como nos piden vuelven a rebotar la actualización y ahora resulta que debemos pagar una multa, como  va ser posible. Solicitamos de la forma mas atenta nos puedan actualizar nuestro RTU ya que nosotros estamos cumpliendo con las correcciones que nos solicitan. "</t>
  </si>
  <si>
    <t>NIT 24426881 está realizando gestión de cese de actividades 20258CESEF0485D66, la cual se encuentra en estado "En Revisión" desde el 22/08/2025.</t>
  </si>
  <si>
    <t>SINC actividad económica</t>
  </si>
  <si>
    <t>Mónica/Michelle</t>
  </si>
  <si>
    <t xml:space="preserve">gestión 20257ACT5DAC2A0C </t>
  </si>
  <si>
    <t>Solicitud apoyo inconveniente con generar LET/GENERAL/Profesional liberal.</t>
  </si>
  <si>
    <t>Solicitud sincronización para la activación/marca de AV para el NIT jurídico.</t>
  </si>
  <si>
    <t>Solicitud apoyo sincronización sobre registro de vehículo inactivo.</t>
  </si>
  <si>
    <t>P576BPX  al querer llenar el formulario SAT 8933 aparece un expertaje realizado en el año 2018</t>
  </si>
  <si>
    <t>NIT 101556527 está actualizando datos con la gestión 20259ACT8DA845D1, indica que está adjuntando la extensión del pasaporte cuya fecha de vencimiento es 10/07/2027 sin embargo, le solicitan presentar el documento vigente. </t>
  </si>
  <si>
    <t>eliminación de característica de asalariado</t>
  </si>
  <si>
    <t>MEM/SAT/IAC/DGS/UST/154/2025</t>
  </si>
  <si>
    <t>NIT 5872472 está realizando actualización de datos con la gestión 20258ACTB9D44271, indica que le rechazaron la gestión por el documento que cargó como nombramiento sin embargo, al verificar el documento no se encuentra algún dato ilegible y al contribuyente no le permite modificar ese campo por lo que el expresa su molestia ya que le urge la aprobación de esta gestión.</t>
  </si>
  <si>
    <t>NIT 83202358 indica que el verificador integrado le muestra omiso la declaración de IVA de enero 2024, sin embargo, al verificar el número de formulario proporcionado por el contribuyente en Declaraguate aparece en estado 4 de 4 Presentado y también aparece en SAIT Bancario. </t>
  </si>
  <si>
    <t>Anularon la constancias CIVA, sin embargo  al emitir de nuevo les indica que exite una CIVA  activa(IGSS Retalhuleu)</t>
  </si>
  <si>
    <t>Buenas tardes, porfavor validar  con el contribuyente que puedan emitir de nuevo la constancia a la factura reportada</t>
  </si>
  <si>
    <t>Solicitud apoyo LET pequeño contribuyente no aparece reporte de Julio 2025.</t>
  </si>
  <si>
    <t>Solicitud apoyo gestión actualización de datos RTU / GESTIÓN: 20259ACTF238D779</t>
  </si>
  <si>
    <t>Solicitud de agregar al siguiente NIT proveedor de internet.</t>
  </si>
  <si>
    <t>Están solicitando NIT con gestión 20258INSB258682D,  le indican que tiene NIT sin embargo, al consultar no existe NIT asociado para el CUI 4102481690101</t>
  </si>
  <si>
    <t>652818K</t>
  </si>
  <si>
    <t>no permite congelar el SAT 3109</t>
  </si>
  <si>
    <t>NIT 54455154 indica que no le aparece que haya autorizado el traspaso</t>
  </si>
  <si>
    <t>Solicitud apoyo inconveniente con LET/GENERAL.</t>
  </si>
  <si>
    <t>Solicitud apoyo Declaración Tributaria SAT/3109 Bebidas Alcohólicas y No Alcohólicas.</t>
  </si>
  <si>
    <t>No permite la rectificación del formulario.  El año no aparece e indica que hay error con el formulario.</t>
  </si>
  <si>
    <t>NIT 69563535 tiene suspendida la afiliación del IVA, sin embargo no tiene omisos pendientes ni plan operativo.  </t>
  </si>
  <si>
    <t>Solicitud apoyo actualización de datos RTU / Gestión: 20258ACT4C61DF95</t>
  </si>
  <si>
    <t>NIT 104434996 solicita la inactivación de la característica especial de asalariado, la actividad que realiza es por servicios.  </t>
  </si>
  <si>
    <t>NIT 119810662 está realizando actualización de datos con la gestión 20259ACTCA310772, le están solicitando el pago de multa por aviso de cancelación extemporánea de nombramiento de representante legal, indica el contribuyente que había realizado el pago</t>
  </si>
  <si>
    <t>Consulta información LET y factura FEL Anulada.</t>
  </si>
  <si>
    <t>Solicitud apoyo gestión cese de actividades definitivo / NIT: 78696089 Tel: 52051410</t>
  </si>
  <si>
    <t>El contribuyente NIT 51036843 manifiesta que en el Verificador Integrado le aparece el siguiente mensaje: Afiliación al Impuesto al Valor Agregado inactiva por suspensión, pero dentro del RTU no posee suspensión.</t>
  </si>
  <si>
    <t>inactivar la afiliación ASALARIADO</t>
  </si>
  <si>
    <t>NIT 97342203 realizó el pago de omisiones el 09/09/2025 sin embargo, aún aparece el incumplimiento de afiliación del IVA suspendida. </t>
  </si>
  <si>
    <t>NIT 31036171 realizó el pago de omisiones los días 8 y 09/09/2025 sin embargo, aún aparece el incumplimiento de afiliación del IVA suspendida. </t>
  </si>
  <si>
    <t xml:space="preserve">NIT 42435633 realizó el pago de omisiones del IVA el día 9/09/2025 sin embargo, aún aparece el incumplimiento de afiliación del IVA suspendida. 
</t>
  </si>
  <si>
    <t xml:space="preserve">164357K </t>
  </si>
  <si>
    <t>gestión 20259ACTC27E7304</t>
  </si>
  <si>
    <t>verificador integrado</t>
  </si>
  <si>
    <t>CIVA fue anulada por el IGSS,  y no permite anular la factura asociada a ella</t>
  </si>
  <si>
    <t>En el sistema muesta que la CIVA  esta activa no esta anulada a la fecha, por  lo que se sugiere confirmar si el IGSS Solicito reversión de la anualción, para anular la factura.</t>
  </si>
  <si>
    <t>NIT 5734258 está realizando traspaso electrónico pero no le permite porque le aparece "error que no cuenta  con Agencia Virtual" en RTU nube no aparece la marca pero el Integrado si aparece el registro de la AV</t>
  </si>
  <si>
    <t>NIT 117641871 realizó el pago de omisiones del IVA el día 9/09/2025 sin embargo, aún aparece el incumplimiento de afiliación del IVA suspendida. </t>
  </si>
  <si>
    <t>El contribuyente NIT 34290370 reporta el inconveniente que la consulta NIT/CUI indica que no cuenta con usuario de Agencia virtual, también que no posee la marca de Agencia Virtual en RTU Nube; sin embargo, el indica que si posee Agencia Virtual y si tiene la marca en RTU Oracle.</t>
  </si>
  <si>
    <t xml:space="preserve">gestión 20259ACTD94C5842 </t>
  </si>
  <si>
    <t>GRO/Tecún Umán</t>
  </si>
  <si>
    <t>Solicitud apoyo generación de expediente de Solvencia Fiscal.</t>
  </si>
  <si>
    <t>gestión 20259CESECFC45A47</t>
  </si>
  <si>
    <t>NIT 95127283 está realizando la solicitud de usuario de agencia virtual a distancia, con documento emitido por RENAP, pero al momento de solicitarlo le muestra el siguiente mensaje: SU DOCUMENTO DE IDENTIFICACIÓN PERSONAL /DPI/ SE ENCUENTRA VENCIDO, PARA CONTINUAR CON LA GESTIÓN DEBE SOLICITAR LA REPOSICIÓN.  </t>
  </si>
  <si>
    <t>Solicitud apoyo gestión actualización de datos no acepta versión DPI.</t>
  </si>
  <si>
    <t>Solicitud apoyo gestión de actualización de datos.</t>
  </si>
  <si>
    <t>Iris Vanesa Mertínez</t>
  </si>
  <si>
    <t>Inconveniente solicitud de usuario de AV.</t>
  </si>
  <si>
    <t>gestión 20259AVE46AD4EE</t>
  </si>
  <si>
    <t>El contribuyente NIT 83175407 Bico Internacional, Sociedad Anónima se comunicó al Contact Center de SAT consultado si es correcto que el Verificador Integrado muestre que no presenta incumplimientos aún cuando el NIT ya esta Inactivo porque realizó cese de actividades, el indica que otros NIT cuando están cancelados ya no muestran información en el Verificador Integrado</t>
  </si>
  <si>
    <t>Se verificaron otros NITs cancelados y aparece igual la información del verificador integrado</t>
  </si>
  <si>
    <t>El contribuyente NIT 95995846 se comunicó al Contact Center de SAT manifestando que en el Verificador Integrado le aparece omiso la Declaración del Régimen de Pequeño Contribuyente del mes de septiembre de 2022, pero que dicha declaración fue presentada el 01 de diciembre de 2022.</t>
  </si>
  <si>
    <t>El contribuyente NIT 44768699 indica que su solicitud de Cancelación Definitiva de Establecimientos No. 20259CESE94E29C7D, dentro de los comentarios de rechazo indica lo siguiente "Favor adjunte siempre la resolución aunque no tiene la firma electrónica, pero en guatecompras ya está actualizado", el contribuyente requiere apoyo porque no comprende que documento esta solicitando el revisor para poder cumplir.</t>
  </si>
  <si>
    <t>El contribuyente NIT 26357941 indica que su gestión de Actualización No. 20259ACTB29AEA2E fue rechazada con requerimiento y dentro los comentarios muestra lo siguiente "Debe de pagar la multa por actualización extemporánea del representante legal, puede entrar a la pagina de declaraguate , escoger el formulario 811 llenarlo, imprimir la boleta y pagarla, luego adjuntar la boleta pagada al nombramiento del representante legal.", el contribuyente manifiesta que no está cambiando representante y la representación registrada aún está vigente.</t>
  </si>
  <si>
    <t>El contribuyente NIT 5324025 reporta inconveniente con la Agencia Virtual ya realizó el cambio de contraseña en 2 ocasiones y cuando intenta ingresar le indica credenciales invalidas.</t>
  </si>
  <si>
    <t>Se anuluo la CIVA  por parte del IGSS,  sin embargo no deja anular la factura.</t>
  </si>
  <si>
    <t>numero de CIVA A521A7A8/9D1B/4E1F/BAB9/DCB09DFAECB3</t>
  </si>
  <si>
    <t xml:space="preserve">gestión 20259AVB1B5E36E </t>
  </si>
  <si>
    <t>GRO/Panajachel</t>
  </si>
  <si>
    <t>realizó cese y aún le aparecen omisiones</t>
  </si>
  <si>
    <t>Sincronizacion de Linea de Vehiculo P 501LGN.</t>
  </si>
  <si>
    <t xml:space="preserve">gestión 20259AV9F8EBE82 </t>
  </si>
  <si>
    <t>reversión de DTE</t>
  </si>
  <si>
    <t>no le permite solicitar su AV</t>
  </si>
  <si>
    <t>activar la afiliación de ISR</t>
  </si>
  <si>
    <t xml:space="preserve">gestión 20259INS7D50B51C   </t>
  </si>
  <si>
    <t>GRO/Malacatán</t>
  </si>
  <si>
    <t>El contribuyente NIT 120672243 manifiesta que realizó la gestión de inscripción de la Sociedad la cual fue inscrita en el RTU Digital el 11/09/2025, pero no llego el link al buzón de SAT del Representante Legal para activar el NIT</t>
  </si>
  <si>
    <t>El contribuyente NIT 120601842 indica rechazo de su solicitud de actualización No.  20259ACTA5FA065E dentro de los comentarios de rechazo se encuentra "se solicita corregir fechas de nombramiento como lo indica el documento adjunto generar multa de 225 por aviso extemporaneo de nombramiento.", el contribuyente manifiesta que no tiene activo el NIT por lo que no puede generar el formulario, por lo que se solicita verificar si procede la sanción.</t>
  </si>
  <si>
    <t>El contribuyente NIT 94523207 reporta error al rectificar el formulario SAT/2311 al querer validar saca del sistema a la página principal de Declaraguate por lo que no puede realizar la rectificación.</t>
  </si>
  <si>
    <t>CORREO</t>
  </si>
  <si>
    <t>Se traslado el acaso al a IRE,   anulo una CIVA y el sistema no reconoce la anulación.</t>
  </si>
  <si>
    <t>Se intruyó al contribuyetne que intente de nuevo</t>
  </si>
  <si>
    <t>error en el inciso arancelario SAT 3120</t>
  </si>
  <si>
    <t>sincronizar el número de teléfono del contribuyente, debido a que, no ha replicado en RTU Oracle.</t>
  </si>
  <si>
    <t>Solicitud apoyo gestión activación usuario AV.</t>
  </si>
  <si>
    <t>Karen Zully Alvarez Iboy</t>
  </si>
  <si>
    <t>Solicitud apoyo análisis de Solvencia Fiscal. Expediente: 30419707</t>
  </si>
  <si>
    <t>gestión 20259INS1013FE0E le indica automáticamente otra fecha de vencimiento del DPI</t>
  </si>
  <si>
    <t>Solicitud apoyo gestión de actualización de datos del RTU.</t>
  </si>
  <si>
    <t xml:space="preserve">gestión 20259ACT7AE7A7C8 </t>
  </si>
  <si>
    <t>Evelin Lourdes Sam García</t>
  </si>
  <si>
    <t xml:space="preserve">gestión 20259AV6F0274A4     </t>
  </si>
  <si>
    <t>NIT 32286236 Gestión 20258CEPRA0C9C85A  la gestión se encuentra en proceso de asignación desde el 04/09/2025</t>
  </si>
  <si>
    <t>Solicitud apoyo gestión de cambio de correo electrónico AV.</t>
  </si>
  <si>
    <t>NIT 30477832 está realizando actualizando de datos con la gestión 20259ACTC2B56397, solicita que se le indique la razón por la que no puede utilizar "Multi" en el nombre de su establecimiento comercial. </t>
  </si>
  <si>
    <t>Solicitud apoyo sincronización sobre el correlativo de folios en reporte de LET.</t>
  </si>
  <si>
    <t>SINC  número telefónico</t>
  </si>
  <si>
    <t>MEM/SAT/IAC/DGS/UST/148/2025</t>
  </si>
  <si>
    <t>NIT 55964508 gestión 20259ACTB73CDC23 indica que el DPI que adjunta es legible y solicita apoyo para verificar nuevamente su gestión.  </t>
  </si>
  <si>
    <t xml:space="preserve">gestión 20259ACT251576F7 </t>
  </si>
  <si>
    <t>no tiene establecimiento activo y le despliega renuente a incorparse a FEL</t>
  </si>
  <si>
    <t>NIT 162865856 necesita rectificar el formulario SAT 2311 pero al validar lo saca de Declaraguate. </t>
  </si>
  <si>
    <t>Solicitud apoyo gestión inscripción copropiedad / Gestión: 20259INS6522EF9C</t>
  </si>
  <si>
    <t xml:space="preserve">Constancia de envío inventarios NIT 54126347
</t>
  </si>
  <si>
    <t>No pueden rectificar el formulario SAT 2311.  SAT/8611 rectificado
Número de formulario 48534591109
Número de acceso 972 802 597
SAT/2311 que rectifica
Número de formulario 48531248346
Número de acceso 232902723</t>
  </si>
  <si>
    <t>agregar la característica de asalariado</t>
  </si>
  <si>
    <t>Espero que se encuentre bien, le comento que se reunirá una cantidad considerable de contribuyentes para activar la característica especial asalariado y en ese listado se incluirá al contribuyente que nos envía</t>
  </si>
  <si>
    <t>le indica que su DPI  está vencido</t>
  </si>
  <si>
    <t xml:space="preserve">gestión 20259ACTA2892919 </t>
  </si>
  <si>
    <t xml:space="preserve">gestión 20259ACT474CCE6E </t>
  </si>
  <si>
    <t xml:space="preserve">gestión 20259ACT5978B5C4 </t>
  </si>
  <si>
    <t xml:space="preserve">gestión 20259ACTCAF161C4 </t>
  </si>
  <si>
    <t>Solicitud apoyo Inconvenientes con la información que muestra sobre la fecha de vencimiento del DPI 3288625681608</t>
  </si>
  <si>
    <t>Inactivación de establecimiento comercial que concluyó la gestión desde Cancelación de Negocios en Agencia Virtual</t>
  </si>
  <si>
    <t>MEM/SAT/IAC/DGS/UST/150/2025</t>
  </si>
  <si>
    <t xml:space="preserve">gestión 20259ACT89B1B748	 </t>
  </si>
  <si>
    <t>Michelle/Dairy</t>
  </si>
  <si>
    <t>Se anulo CIVA  pero el sistema no reconoce que esta anulada para emitir una de nuevo.</t>
  </si>
  <si>
    <t>MAYRA</t>
  </si>
  <si>
    <t>Inconveniente en cambio de NIT de patrono en la opción Planilla IVA/FEL.</t>
  </si>
  <si>
    <t>Solicitud apoyo gestión Actualización RTU. Gestión: 20259ACT793593EA</t>
  </si>
  <si>
    <t>estatus del padrón de importadores</t>
  </si>
  <si>
    <t>Solicitud apoyo gestión de actualización de datos del RTU al intentar ingresar a gestión.</t>
  </si>
  <si>
    <t xml:space="preserve"> NIT 84744278 gestión 20259ACT1788F8E5 solicitan razón del Registro Mercantil al inscribir a liquidador. </t>
  </si>
  <si>
    <t>NIT 74179403 gestión 20259ACT40F9CD01, rechazan el recibo y el mismo cumple con los requisitos requeridos para registrar un domicilio fiscal</t>
  </si>
  <si>
    <t>Confirmo elcontribuyente que si emitio la CAIS</t>
  </si>
  <si>
    <t xml:space="preserve">NIT 15780872 realizó cese prescrito sin embargo en el RTU Nube y Oracle aún aparece activa la afiliación del IVA.  </t>
  </si>
  <si>
    <t>NIT 27010546 necesita realizar un cese de actividades sin embargo, le aparecen expedientes activos lo que no le permite concluir la gestión,  el necesita saber donde se puede presentar para que le apoyen y puedan finalizar su gestión</t>
  </si>
  <si>
    <t>NIT 50376047 gestión 20259ACT5F7C2749 rechazon del DPI</t>
  </si>
  <si>
    <t>Contribuyente quiere rectificar formulario SAT2311 porque se colocó mal la fecha del traspaso y no permite te saca del formulario cuando se valida
Nuevo formulario 8611
Formulario  48573724545
Acceso: 260232891
Formulario 2311 que se va a rectificar 48547331552</t>
  </si>
  <si>
    <t>NIT 104289333 está realizando actualización de datos, le están requiriendo el pago de la multa, indica que ya fue pagada la misma con formulario SAT/0811 formulario 48 566 940 508 y acceso 617 048 345</t>
  </si>
  <si>
    <t>Sincronizar el nombre de la contribuyente, debido a que, necesita que No aparezca el apellido de casada, ya lo quitó en RTU Nube, pero, no ha replicado en RTU Oracle</t>
  </si>
  <si>
    <t>NIT 65748123 está actualizando datos con la gestión 20259ACT8B53984D, le rechazan la misma porque el DPI no se visualizan las medidas de seguridad</t>
  </si>
  <si>
    <t>Cese Definitivo que desde el 12/09/2025 no cambia de estado: En Revisión.</t>
  </si>
  <si>
    <t>gestión 20259CESE056D42A9  está en revisión desde el 22/09/2025</t>
  </si>
  <si>
    <t>gestión 20259AVC1805FBC le indica que debe subir la constancia de reposición de DPI  y ya cuenta con el DPI</t>
  </si>
  <si>
    <t>gestión 20259ACTC5C6130E</t>
  </si>
  <si>
    <t xml:space="preserve">gestión E1250205 </t>
  </si>
  <si>
    <t>sincronizar AV  en RTU nube</t>
  </si>
  <si>
    <t>NIT 1085148 no le aparecen las facturas en la planilla IVA FEL</t>
  </si>
  <si>
    <t>NIT 36928356 no le aparecen las facturas en la planilla IVA FEL</t>
  </si>
  <si>
    <t xml:space="preserve">NIT 82330417 necesita saber que opción seleccionar para realizar traspaso con orden judicial o adjudicación de pago. </t>
  </si>
  <si>
    <t>Se realizó un traspaso del vehículo Placa M/143GRL, pero este tenía pendiente el pago de los accesorios por ISCV, debido a que el impuesto fue pagado el 01/08/2025, recientemente se realizó el traspaso y ahora no permite generar distintivos y tampoco deja generar formulario para el pago de los accesorios.</t>
  </si>
  <si>
    <t>El contribuyente NIT 37221787 indica que realizó la gestión de Cese No. 20259CESEDBC09B88 dentro del comentario del rechazo indica: "Favor de presentar la declaración de septiembre 2025 como último mes sin movimiento" el contribuyente indica que posee otro establecimiento en el que realiza actividades por lo que aún no puede presentar la declaración solicitada.</t>
  </si>
  <si>
    <t xml:space="preserve">gestión 20259AV873C2D57 </t>
  </si>
  <si>
    <t>sincronización del NIT 120638029 las afiliaciones no se reflejan en el RTU Oracle</t>
  </si>
  <si>
    <t xml:space="preserve">gestión 20259CESEBCF6CC65 </t>
  </si>
  <si>
    <t>NIT 63315475 está solicitando usuario de agencia virtual, sin embargo, la gestión se encuentra en estado "Asignada Traducida Traductor" de fecha 09/09/2025</t>
  </si>
  <si>
    <t>Solicitud apoyo gestión inscripción de Copropiedad para la gestión / 20259INSD49A3E66</t>
  </si>
  <si>
    <t xml:space="preserve">gestión 20259ACTB2460A6C  </t>
  </si>
  <si>
    <t>NIT 94485267 gestión 20259ACT0BBEB4A5, el contribuyente indica que realizó el pago de la multa, se adjunta formulario, sin embargo le siguen solicitando el pago de la misma</t>
  </si>
  <si>
    <t>El contribuyente NIT 120667797 indica rechazo de su solicitud de actualización No.  20259ACT07EC8BEC dentro de los comentarios de rechazo se encuentra "Señor contribuyente he verificado 3 veces su gestión adjunte la escritura matriz No 18 con su respectivo 1er Testimonio y su razón del Registro. Debe escanear mas legible.", el contribuyente indica que el documento que adjunta es el correcto y esta legible</t>
  </si>
  <si>
    <t>solicito apoyo para sincronizar la Actividad Económica del contribuyente, debido a que, no ha replicado en RTU Oracle.</t>
  </si>
  <si>
    <t>Solicitud apoyo Inconveniente con el uso de LET Profesional.</t>
  </si>
  <si>
    <t>sincronizar AV en oracle</t>
  </si>
  <si>
    <t>formularios valor cero</t>
  </si>
  <si>
    <t xml:space="preserve">gestión 20259ACTEFA43D01 </t>
  </si>
  <si>
    <t>Inconvenientes con el inicio del proceso de Activación de Agencia Virtual.</t>
  </si>
  <si>
    <t>NIT 74881817 está realizando actualización de datos con la gestión 20259ACT89B1B748, en el rechazo le indican adjuntar constancia de colegiado con vigencia de 3 meses.  La constancia de adjunta está vigente hasta el mes de diciembre 2025.</t>
  </si>
  <si>
    <t>NIT 51999552 realizó cese prescrito de actividades, sin embargo, en el RTU Oracle el establecimiento y la afiliación del IVA siguen activas</t>
  </si>
  <si>
    <t>NIT 67439640 al ingresar el NIT del patrono en su planilla le muestra mensaje de error. </t>
  </si>
  <si>
    <t xml:space="preserve">Constancia de envío inventarios NIT 15067440
</t>
  </si>
  <si>
    <t xml:space="preserve">Consulta respecto al registro de Mandatos en Actualización de Datos / NIT </t>
  </si>
  <si>
    <t>NIT 112406688 está actualizando datos con la gestión 20259ACT17F3E39B, en el rechazo indica que se comunique con personal de SAT, el contribuyente se comunicó a las extensiones pero solo le indicaron que era el área de fiscalización y no le dieron mayor información.  </t>
  </si>
  <si>
    <t>El contribuyente NIT  55550592 indica rechazo de su solicitud de actualización No.  20259ACTEB1B64C1 dentro de los comentarios de rechazo se encuentra "Corregir fecha nombramiento según acta 24/02/2025 vence 23/02/2028.Pagar multa aviso extemporáneo inscripción representante legal, ingresar a DECLARAGUATE buscar Formulario 48598829963 y Número de Acceso 843261977", el contribuyente manifiesta que está colocando las fechas del acta de asamblea de accionistas en donde lo nombraron la cual se indica en el Acta de Nombramiento y que coinciden con el documento del Registro Mercantil</t>
  </si>
  <si>
    <t>El contribuyente NIT 102877173 se comunicó al Contact Center de SAT indicando que su solicitud de Cancelación Definitiva de Establecimientos No. 20259CESEE9AE966B, dentro de los comentarios de rechazo indica lo siguiente "En libros falta el folio del mes que dio la última factura. Según declaraciones fue diciembre 2021", el contribuyente indica que realizó rectificación de la declaración de diciembre 2021 porque no tuvo movimiento.</t>
  </si>
  <si>
    <t>Solicitud seguimiento a denuncia por No Facturación.</t>
  </si>
  <si>
    <t>NIT 115319859 gestión 20259ACTDFB3BC8D le requieren pago de multa indica que el nombramiento ya está cargado en el RTU</t>
  </si>
  <si>
    <t xml:space="preserve">sincronización del CUI del NIT 22264868  Gracias  </t>
  </si>
  <si>
    <t>El contribuyente NIT 59207248 indica rechazo de su solicitud de actualización No. 20259ACT06363598 dentro de los comentarios de rechazo se encuentra "Favor de corregir fecha de nacimiento como esta en su DPI y de corregir domicilio fiscal como esta en factura adjunta", el contribuyente manifiesta que no tiene habilitados los campos para realizar lo solicitado.</t>
  </si>
  <si>
    <t>El contribuyente indica rechazo de su gestión de inscripción No. 20259INSF0BBA11A dentro de los comentarios de rechazo se encuentra "Estimado contribuyente debe corregir su documento de constitución y la casilla de razón social, lo correcto es colocar en la razón el nombre de los copropietarios, ya que no puede colocar nombre comercial.", el contribuyente solicita que se le amplie el poque no puede utilizar la razón social indicada en el documento.</t>
  </si>
  <si>
    <t>Estimado contribuyente estamos analizando su solicitud, nos pondremos en contancto con usted los más pronto posible para indicarle el procedimiento.</t>
  </si>
  <si>
    <t xml:space="preserve">NIT 119819716  gestión 20259CESEE085C9C6 indica que no procede presentar las declaraciones indicados en el comentario adicional, en dicho período se encontraba con cese temporal. 
</t>
  </si>
  <si>
    <t>NIT 99794241 realizó cese definitivo de actividades, sin embargo, el verificador integrado muestra incumplimiento de renuente a incorporarse a FEL</t>
  </si>
  <si>
    <t>NIT 46083790 está realizando actualización de datos 20259ACTE3BBB1E6, en el rechazo le indican que la dirección alterna importador no puede ser igual al domicilio fiscal.</t>
  </si>
  <si>
    <t>contribuyente está realizando inscripción de copropiedad con la gestión 
20259INS99C2BEE5 en el rechazo le indica que adjunte documento de inscripción en el registro de la copropiedad el contribuyente está adjuntando documento privado con firma legalizada de notario. </t>
  </si>
  <si>
    <t xml:space="preserve">indica que no cuenta con acceso a la AV </t>
  </si>
  <si>
    <t>NIT 120685973 está realizando actualizción de datos con gestión 20259ACTAF7746A9, en el requerimiento le solicitan el testimonio de la escritura de constitución, indica el contribuyente que si lo está adjuntando</t>
  </si>
  <si>
    <t>error al subir los documentos</t>
  </si>
  <si>
    <t>NIT 30203546 está actualizando datos con la gestión 20259ACT42475151, indica que la multa por el nombramiento de los representantes legales no aplica que se verifique nuevamente. </t>
  </si>
  <si>
    <t>El contribuyente NIT 73365882 se comunicó al Contact Center de SAT indicando que su solicitud de Cancelación Definitiva de Establecimientos No. 20259CESEE67B239B, dentro de los comentarios de rechazo indica lo siguiente "Presentar la declaración de pequeño contribuyente de Noviembre 2023", el contribuyente indica que inicio operaciones en diciembre de 2023 y le están solicitando una declaración previa al inicio de operaciones.</t>
  </si>
  <si>
    <t>El contribuyente indica rechazo de su gestión de inscripción de contribuyentes No. 20259INS3B562269 dentro de los comentarios de rechazo se encuentra "Señor contribuyente he verificado 3 veces su gestión adjunte la escritura matriz No 519 con su respectivo 1er Testimonio y su razón del Registro. Debe escanear mas legible. La copia esta borrosa. El archivo que presenta esta incompleto.", el contribuyente manifiesta que le indican que el archivo de la matriz va incompleto, pero dicho archivo tiene más de 1,600 páginas y el sistema no le deja adjuntarlas.</t>
  </si>
  <si>
    <t>El contribuyente NIT 93140231 se comunicó al Contact Center de SAT indicando que su gestión de Actualización No. 20259ACTF0C1DE56 fue rechazada con requerimiento y muestra el siguiente comentario "debe de cancelar una multa por inscripción extemporánea de representante legal. Ingrese a DECLARAGUATE en buscar formulario con el siguiente número 48645834648 acceso 144098296.", el contribuyente manifiesta que ya cancelo la multa con el formulario SAT/0811 No. 48602586792 acceso 772510986 el día 26/09/2025</t>
  </si>
  <si>
    <t>El contribuyente NIT 4774302 indica rechazo de su solicitud de actualización No.  20259ACTBC7AC3F1 dentro de los comentarios de rechazo se encuentra "El timbre fiscal de Q.0.50 en los testimonios se rige por la Ley del Impuesto de Timbres Fiscales y de Papel Sellado Especial para Protocolos (Decreto Número 37/92), en su Artículo 16, el cual establece la obligatoriedad de pagar el impuesto al compulsar el testimonio de las escrituras públicas. El Reglamento de dicha ley, específicamente en su Artículo 3, detalla que los timbres de Q.0.50 por cada hoja se pueden adherir en la hoja de la razón final o en cada hoja del testimonio.", el contribuyente indica que la escritura es del año 1986 y que el timbre que se adjuntaba era de Q0.25 el cual esta adjunto.</t>
  </si>
  <si>
    <t>El contribuyente NIT 112309704 se comunicó al Contact Center de SAT indicando que su gestión de Actualización No. 20259ACT3B895825 fue rechazada con requerimiento y muestra el siguiente comentario "Cancelar multa por aviso extemporáneo de inscripción de nombramiento de representante legal. Número de Formulario 48650556124 y Número de Acceso 588623421.", el contribuyente manifiesta que ya cancelo la multa con el formulario SAT/0811 No. 48648863573 el día 30/09/2025</t>
  </si>
  <si>
    <t>Resumen en etapa de Resolucion</t>
  </si>
  <si>
    <t>Gestión y/o Inconveniente</t>
  </si>
  <si>
    <t>Supervisor</t>
  </si>
  <si>
    <t>Jefe de Unidad</t>
  </si>
  <si>
    <t xml:space="preserve">Jefe de Departamento </t>
  </si>
  <si>
    <t>Gerente</t>
  </si>
  <si>
    <t>Intendente</t>
  </si>
  <si>
    <t>Pediente</t>
  </si>
  <si>
    <t>Resuelto</t>
  </si>
  <si>
    <t>Sincronizacion</t>
  </si>
  <si>
    <t>Actualización de datos (Rechazos-estado revisón, caracteristica notario)</t>
  </si>
  <si>
    <t>Cese de Actividades (Rechazos)</t>
  </si>
  <si>
    <t>Agencia Virtual ( registro de marca)</t>
  </si>
  <si>
    <t>Solicitud de agregar profesión al RTU</t>
  </si>
  <si>
    <t>Citas (Abandono, no permite agendar cita, atención presencial, cita para copropiedad</t>
  </si>
  <si>
    <t>Declaraguate (Incoveniente con valores, no genera multa, no aparece certificación juridica)</t>
  </si>
  <si>
    <t>Declaraciones APP</t>
  </si>
  <si>
    <t>Delegar permisos ( no le muestra la opcion)</t>
  </si>
  <si>
    <t xml:space="preserve">FEL </t>
  </si>
  <si>
    <t>Informe de Impresion</t>
  </si>
  <si>
    <t>Solicitud de primer NIT</t>
  </si>
  <si>
    <t>Mientras se resuelve el inconveniente, se le indicó al contribuyente que puede generar y validar su formulario por medio de Declaraguate</t>
  </si>
  <si>
    <t>Omiso (informe de inventarios</t>
  </si>
  <si>
    <t>Vehiculos (requisitos, traspaso por donación</t>
  </si>
  <si>
    <t>Verificacion de números telefonicos</t>
  </si>
  <si>
    <t>Código de Exportador</t>
  </si>
  <si>
    <t>Cancelaciones AV</t>
  </si>
  <si>
    <t>Cancelaciones RTU</t>
  </si>
  <si>
    <t>Cancelaciones primer NIT</t>
  </si>
  <si>
    <t>Actualización de datos (Rechazos-estado revisón)</t>
  </si>
  <si>
    <t>Agencia Virtual (razón de pago y registro de marca)</t>
  </si>
  <si>
    <t>Exportador</t>
  </si>
  <si>
    <t xml:space="preserve"> Primer NIT Marzo 2024 </t>
  </si>
  <si>
    <t xml:space="preserve"> Primer NIT Marzo 2024 SIN RITA </t>
  </si>
  <si>
    <t xml:space="preserve"> GRC </t>
  </si>
  <si>
    <t xml:space="preserve"> GRN </t>
  </si>
  <si>
    <t xml:space="preserve"> GRO </t>
  </si>
  <si>
    <t xml:space="preserve"> GRS </t>
  </si>
  <si>
    <t>Total</t>
  </si>
  <si>
    <t>No.</t>
  </si>
  <si>
    <t>Listado</t>
  </si>
  <si>
    <t>Brenda</t>
  </si>
  <si>
    <t>José Alfredo</t>
  </si>
  <si>
    <t>Inconveniente en la validación del formulario SAT 2046 mes de octubre 2025.</t>
  </si>
  <si>
    <t xml:space="preserve">gestión  202510AVB7111549 </t>
  </si>
  <si>
    <t xml:space="preserve">gestión 202510INS613B262E </t>
  </si>
  <si>
    <t>Evellin</t>
  </si>
  <si>
    <t>sincronización de afiliaciones del NIT 39651835.</t>
  </si>
  <si>
    <t>Solicitud apoyo gestión de Cese definitivo en Revisión desde el 19/09/2025.</t>
  </si>
  <si>
    <t>El contribuyente NIT 120600943 reporta problemas con generación de LET Régimen General, no le permite generarlos</t>
  </si>
  <si>
    <t>El contribuyente NIT 39900142 se comunicó al Contact Center indicando que está realizando la gestión de Cese No. 20259CESE6DDBF183 dentro del comentario del rechazo indica: "Se esta analizando su gestión porque tiene un expediente en transito. Se le llamara en 10 días hábiles al numero que tiene registrado en el sistema el Representante legal." el contribuyente manifiesta lo siguiente "estoy intentando hacer un cese prescrito de la sociedad identificada con el nit 39900142; me la han rechazado varias veces, aunque la empresa hace más de 10 años que no tiene movimiento y ya está cancelada en el registro mercantil; la última persona que atendió mi solicitud, quedó de llamar en un plazo de 10 días hábiles y ya pasaron y no hemos recibido llamada alguna".</t>
  </si>
  <si>
    <t>El contribuyente NIT 25324039 se comunicó al Contact Center de SAT indicando rechazo de su gestión No.  20259CEAN1CD8B0E0 dentro del comentario de rechazo se encuentra "Por favor envíe Certificación/Constancia emitida por Organismo Judicial reciente", el contribuyente indica que la constancia fue emitida el 20 de agosto de 2025</t>
  </si>
  <si>
    <t>El contribuyente NIT 306446014 reporta inconveniente en la Agencia Virtual, debido a que no le aparece el Vehiculo placas M/508MBX en la Agencia Virtual para poder autorizar el traspaso.</t>
  </si>
  <si>
    <t>Ticket creado en el Contact Center</t>
  </si>
  <si>
    <t xml:space="preserve">gestión 20259INSF7F00E34 </t>
  </si>
  <si>
    <t>solicito apoyo para sincronizar los datos del contribuyente, debido a que, no ha replicado en RTU Oracle.</t>
  </si>
  <si>
    <t xml:space="preserve"> SAT 2237  FORMULARIO 48168208466 ACCESO 609 884 727  (</t>
  </si>
  <si>
    <t>NIT 14868709 está actualizando datos con la gestión 20259ACT5366F7C2, en el rechazo le indican que debe adjuntar el DPI donde se visualicen las marcas de seguridad.  </t>
  </si>
  <si>
    <t xml:space="preserve">gestión 20259ACTD73D3BA3  </t>
  </si>
  <si>
    <t>Solicitud apoyo inconveniente planilla IVA/FEL registro de patrono.</t>
  </si>
  <si>
    <t xml:space="preserve">gestión 20259CESE130EE9F2 </t>
  </si>
  <si>
    <t>Cancelada para reinicio</t>
  </si>
  <si>
    <t>tiene 2 omisiones y no está suspendida</t>
  </si>
  <si>
    <t>El contribuyente NIT 7321848 se comunicó al Contact Center de SAT indicando que su gestión de Actualización No. 20259ACT467CA24F fue rechazada con requerimiento y muestra el siguiente comentario " Cancelar multa por aviso extemporáneo de inscripción de nombramiento de representante legal. (con la boleta que se adjunta ya se realizo una gestión). Representante legal debe solventar omisión de impuestos. (Tiene pendiente el pago del Impuesto Sobre Circulación Vehicular (ISCV).", el contribuyente solicita que se amplie la información del rechazo porque indica que en esta actualización de datos está haciendo cambio de contador entonces quisiera saber la multa porque motivo es ya que indica que es por representante legal y esa multa ya fue cancelada y ellos envían la representación con el baucher de pago.</t>
  </si>
  <si>
    <t>El contribuyente NIT 118396323 indica que su gestión de actualización de datos No.  20259ACT3C09DF73 tiene estado Para revisión desde el 30/09/2025.</t>
  </si>
  <si>
    <t>El contribuyente NIT 1393448 se comunicó al Contact Center de SAT indicando que su gestión de Actualización No. 20258ACTD3996103 fue rechazada con requerimiento y muestra el siguiente comentario "En datos de identificación adjunta con escritura las razón de inscripción de cada escritura adjunta , debe cancelar multa por aviso extemporáneo de renovación de representante legal, con base al Artículo 94 del Decreto 6/91, Código Tributario. Debe generar multa en página Declaraguate formulario No. Acceso No., buen día", el contribuyente manifiesta que el analista le pide que pague multa, pero ya lo adjunto al documento y le vuelve a rechazar.</t>
  </si>
  <si>
    <t>contribuyente CUI 3031739390108, el sistema le muestra inconveniente con la fecha de vencimiento del DPI.   Referencia gestión 202510INS6EDBC549</t>
  </si>
  <si>
    <t>NIT 9614826 está actualizando datos con la gestión 202510ACT64A488F4, le están solicitando colegiado activo que indique la fecha de colegiación, indica el contribuyente que su certificación si indica la fecha y solicita verificar nuevamente. </t>
  </si>
  <si>
    <t>NIT 62847899 con el formulario SAT 2237 generado desde la AV  no muestra habilitada la casilla para las constancias de exenIVA.</t>
  </si>
  <si>
    <t xml:space="preserve">gestión 202510AVB7D9CADE </t>
  </si>
  <si>
    <t>Solicitud verificación gestión Activación de AV.</t>
  </si>
  <si>
    <t>anulo la CIVA  sin embargo no le permite emitir una de nuevo</t>
  </si>
  <si>
    <t>El contribuyente NIT 120477068 reporta problemas con generación de LET Régimen General, no le permite generarlos</t>
  </si>
  <si>
    <t>El contribuyente NIT 97218774 reporta inconveniente en el correlativo de folios en la herramienta LET.</t>
  </si>
  <si>
    <t>El contribuyente NIT 111315581 reporta inconveniente con la generación del Libro del mes de septiembre 2025 porque no le aparece ya reviso y tiene todos los anteriores meses cerrados</t>
  </si>
  <si>
    <t>El contribuyente NIT 80243533 se comunicó al Contact Center de SAT manifestando que en el Verificador Integrado le aparecen omisos y el ya no posee establecimientos activos porque realizó cese de prescrito.</t>
  </si>
  <si>
    <t>El contribuyente NIT 12540579 se comunicó al Contact Center indicando rechazo en la gestión de traspaso de vehículo, podría apoyarnos en verificar el rechazo sobre el cambio de uso del vehículo tipo panel, debido a que según información del Departamento de Registro Fiscal de Vehículos si procede el cambio de uso.</t>
  </si>
  <si>
    <t>El contribuyente NIT 107799944 reporta inconveniente en la Agencia Virtual, debido a que no le aparece el Vehiculo placas C/217BZC en la Agencia Virtual.</t>
  </si>
  <si>
    <t>NIT 72174749 indica que su gestión de cese de actividades 20259CESE4863C80D es encuentra en estado "En Revisión" desde el 1 de octubre 2025.</t>
  </si>
  <si>
    <t xml:space="preserve">gestión 202510AV60B26DD7 </t>
  </si>
  <si>
    <t>NIT 303970057 gestión 20259ACTA2B2A3EF. Adjunto DPI enviado por el contribuyente. </t>
  </si>
  <si>
    <t>Ervin Francisco Rosales</t>
  </si>
  <si>
    <t>NIT 99905256  para concluir la gestión de cese de actividades le solicitan la presentación de las declaraciones de los períodos en los cuales la afiliación del IVA se encontraba suspendida de acuerdo a lo establecido en el artículo 120 del Código Tributario</t>
  </si>
  <si>
    <t xml:space="preserve">gestión 202510ACT51B5FE9A </t>
  </si>
  <si>
    <t xml:space="preserve">gestión 202510ACTB09AED6B  </t>
  </si>
  <si>
    <t>renuente a incorporarse a FEL y no tiene establecimiento activo</t>
  </si>
  <si>
    <t xml:space="preserve">El contribuyente NIT 120682028 manifiesta que realizó la gestión de actualización de datos para la apertura de la agencia Virtual SAT de esta sociedad la cual ya fue aprobada, pero tiene el inconveniente que en el punto 4 Establecimientos, únicamente se modificó el Establecimiento 1, en el cual se agregó la Dirección, Actividad económica, Actividad comercial y el Tipo de establecimiento y se envió la solicitud de actualización únicamente con 1 establecimiento, pero al momento de general la constancia del RTU le aparecen 2 establecimientos, el manifiesta que al actualizar la información del establecimiento 1 el sistema le generó el establecimiento 2 
</t>
  </si>
  <si>
    <t>Indica DRT que se reportó a GIN</t>
  </si>
  <si>
    <t>Solicitud apoyo verificación en solicitud de Inscripción de NIT / DPI 1584549950103</t>
  </si>
  <si>
    <t>Karen Zully Alvarez</t>
  </si>
  <si>
    <t>Indica DRT que se reportó a RENAP</t>
  </si>
  <si>
    <t>gestión 20259ACT0A6251FF NIT 120688298, solicita el contribuyente indicar cuales son las fechas correctas de nombramiento y vencimiento del representante legal..</t>
  </si>
  <si>
    <t>2750896K</t>
  </si>
  <si>
    <t>NIT 2750896K está reportando inconvenientes con el formulario SAT 3109 al darle clic sobre el acceso no abre el anexo  y redirecciona a la página principal de AV.</t>
  </si>
  <si>
    <t xml:space="preserve">placas P974LDF </t>
  </si>
  <si>
    <t>Solicitud apoyo sincronización del Verificador Integrado.</t>
  </si>
  <si>
    <t>Julio César Polanco</t>
  </si>
  <si>
    <t>Ticket crado por la IFI</t>
  </si>
  <si>
    <t>desea reiniciar la contraseña y el sistema le indica que no cuenta con la AV</t>
  </si>
  <si>
    <t>El contribuyente NIT 5436877 reporta problemas con generación de LET de Pequeño Contribuyente, no le permite generar su libro electrónico, no le deja seleccionar mes y año y si tiene libros habilitados</t>
  </si>
  <si>
    <t>El contribuyente NIT 88007936 reporta problemas con generación de LET para Regímenes Especiales del IVA, está actualmente como pequeño contribuyente, pero estuvo como pequeño contribuyente electrónico; sin embargo, al consultar sus libros de pequeño contribuyente electrónico no le muestra información.</t>
  </si>
  <si>
    <t xml:space="preserve">El contribuyente NIT 120510006 indica rechazo de su solicitud de actualización No.  20259ACT47A4D4B1 dentro de los comentarios de rechazo se encuentra "Estimado contribuyente atender únicamente lo solicitado en comentario adicional: Por favor, falta el sello ultima hoja del documento de contitución. inactivar los timbres fiscales de todo el documento.", el contribuyente indica que sellada de lado izquierdo y firmada que no se puede sellar de nuevo. </t>
  </si>
  <si>
    <t>2357609K</t>
  </si>
  <si>
    <t>Error en el sistema para confirmar la huella dactilar de un notario NIT 2357609K</t>
  </si>
  <si>
    <t>El contribuyente NIT 75895528 manifiesta que en el Verificador Integrado le aparece omiso el mes de diciembre de 2024 y el inicio operaciones en enero de 2025</t>
  </si>
  <si>
    <t>NIT 110665104  para concluir la gestión de cese de actividades le solicitan la presentación de las declaraciones de los períodos en los cuales la afiliación del IVA se encontraba suspendida de acuerdo a lo establecido en el artículo 120 del Código Tributario</t>
  </si>
  <si>
    <t>gestión 202510ACT8340C282</t>
  </si>
  <si>
    <t>NIT 8479224 Indica que no le reconoce algunos meses en LET</t>
  </si>
  <si>
    <t xml:space="preserve">Constancia de envío inventarios NIT 120222973
</t>
  </si>
  <si>
    <t>indicar el número de gestión E2012393</t>
  </si>
  <si>
    <t>gestión 202510ACT5A53B018</t>
  </si>
  <si>
    <t>indica el número de la gestión C05182956</t>
  </si>
  <si>
    <t>Solicitud apoyo gestión de Actualización de Datos del RTU.</t>
  </si>
  <si>
    <t>Solicitud apoyo gestión de Actualización de Datos del RTU Digital.</t>
  </si>
  <si>
    <t>El contribuyente NIT 83359931 envió correo solicitando la inactivación de la característica especial de asalariado, debido a que se inscribió como pequeño contribuyente</t>
  </si>
  <si>
    <t xml:space="preserve">2015058K </t>
  </si>
  <si>
    <t>El contribuyente NIT 2015058K se comunicó al Contact Center de SAT indicando que su gestión de Actualización No. 202510ACT2CF8293F fue rechazada con requerimiento y muestra el siguiente comentario "Apreciable contribuyente se solicita en colegiado adjuntar constancia de colegiado activo la certificación donde conste la fecha de inicio de colegiación", el contribuyente manifiesta que no tiene habilitado el campo para realizar la modificación solicitada.</t>
  </si>
  <si>
    <t xml:space="preserve">gestión 202510ACT3362D53F </t>
  </si>
  <si>
    <t>Sincronización cese de actividades NIT 15898091</t>
  </si>
  <si>
    <t>gestión 202510INS3DFC897E  necesita que se regalice el documento</t>
  </si>
  <si>
    <t>Se anuló la CIVA,  y nopermite emitir de nuevo la CIVA,  solicita el apoyo porque la factua esta sugeta a retención y no pueden generar pago ni retenciones si no se genera la CIVA</t>
  </si>
  <si>
    <t>anuló la CIVA   EAEC6E78/6F40/4D56/8818/C503CC192327,</t>
  </si>
  <si>
    <t>Se anuló la CIVA,  y nopermite emitir de nuevo la CIVA,  solicita el apoyo</t>
  </si>
  <si>
    <t xml:space="preserve"> EXENCION 0B603FE5/33EB/4294/B2AC/C5E8B8C2CF11  / se informó que se solvento al contribuyente. </t>
  </si>
  <si>
    <t>Inactivación de afiliación de impuestos a contribuyente OPF.</t>
  </si>
  <si>
    <t>MEM/SAT/IAC/DGS/UST/161/2025</t>
  </si>
  <si>
    <t>Solicitud agregar complemento ".com" a correo electronico de contribuyente</t>
  </si>
  <si>
    <t>Número de gestión con pasaporte 0799220  emitido en Honduras</t>
  </si>
  <si>
    <t>Solicitud apoyo cese de actividades documentos prescritos.</t>
  </si>
  <si>
    <t>NIT 93409796 está realizando una gestión de cese de actividades 202510CESEC6EA8198, le requieren la presentación de declaraciones omitidas, indica el contribuyente que la misma ya fue presentada</t>
  </si>
  <si>
    <t>El contribuyente NIT 26352222 se comunicó al Contact Center de SAT indicando que su solicitud de Cancelación Definitiva de Establecimientos No. 202510CESE10309796, dentro de los comentarios de rechazo indica lo siguiente "Tiene recargos pendientes de solventar. Presentar las declaraciones pendientes de IVA, ISR e ISO hasta Octubre 2025. Presentar las declaraciones pendientes de pequeño contribuyente hasta Agosto a diciembre 2022 y Enero a Agosto 2023.", el contribuyente indica que no le corresponde presentar ISO por ejemplo porque esta inscrito en régimen opcional simplificado y los otros meses ya los tiene presentados.</t>
  </si>
  <si>
    <t xml:space="preserve">El contribuyente NIT 120400596 indica rechazo de su solicitud de actualización No.  202510ACT21E991EF dentro de los comentarios de rechazo se encuentra "Estimado contribuyente, por favor atender únicamente a lo requerido en este comentario adicional, favor de verificar los datos de la entidad derivado que según documento de constitución No. 27 cuenta con otro nombre y existe escritura de modificación de razón social.", el contribuyente indica que está ingresando el nombre tal como está en la escritura de modificación. </t>
  </si>
  <si>
    <t>El contribuyente NIT 7085605 reporta problemas con generación de LET Profesional Liberal, indica lo siguiente: ya ingresamos nuestras ventas y compras pero al descargar el reporte de Libro de Compras y el de Ventas no carga la página, me saca y luego me aparece este mensaje que tiene problemas con el sitio, estamos intentando desde la semana pasada pero no nos deja, me puede apoyar a que se debe y si se podrá utilizar el LET.</t>
  </si>
  <si>
    <t>El contribuyente NIT 18361382 reporta inconveniente en la numeración de folios del LET Profesional Liberal, cometió el error a ingresar la numeración:</t>
  </si>
  <si>
    <t>NIT 15898091, realizó cese de actividades, sin embargo, el verificador integrado aún muestra incumplimiento de declaraciones omisas. </t>
  </si>
  <si>
    <t>NIT 101735235 reporta inconvenientes con los números de folio en LET, en el mes de noviembre 2020 consigna folio 8 y corresponde el 3 de acuerdo a las imágenes enviadas por el contribuyente..</t>
  </si>
  <si>
    <t xml:space="preserve">gestión 20259ACT8556CE67 </t>
  </si>
  <si>
    <t>Solicitud apoyo gestión de activación de Agencia Virtual. TEL: 58207635 (Eduardo Rivero)</t>
  </si>
  <si>
    <t>Mynor Hernández Montenegro</t>
  </si>
  <si>
    <t xml:space="preserve">gestión 202510CESED7FC3F40  </t>
  </si>
  <si>
    <t>NIT 6569080 está realizando actualización de datos en el RTU Digital a través de su Agencia Virtual, pero el sistema no le detecta la versión del DPI, da el siguiente error: El correlativo recibido no es el último en RENAP, verifique el número de versión y serie del DPI.</t>
  </si>
  <si>
    <t>El contribuyente NIT 67034683 está realizando una cancelación definitiva de establecimiento persona/negocio, pero el sistema le indica que el siguiente mensaje: Existe registro de plan operativo, debe dirigirse a una Oficina o Agencia Tributaria para regularizar su situación, se verifico y no existe plan operativo</t>
  </si>
  <si>
    <t xml:space="preserve">Sincronizar la información del contribuyente nombre, actividad económica en RTU Oracle del contribuyente NIT 58231625.  </t>
  </si>
  <si>
    <t>NIT  26478447 que solicita la activación de usuario de agencia virtual.  muestra error 403</t>
  </si>
  <si>
    <t>gestión 202510AVF5B8A0F4</t>
  </si>
  <si>
    <t>Número de gestión iniciada con pasaporte G798543 emitido en Honduras</t>
  </si>
  <si>
    <t>NIT 119862646 gestión 202510ACT4CF33E7A, indica que está adjuntado la documentación completa y solicita apoyo para verificar nuevamente.  </t>
  </si>
  <si>
    <t>NIT 68906048 aparece suspendida la afiliación del IVA no tiene omisos ni plan operativo pendiente</t>
  </si>
  <si>
    <t>NIT 99556375 está realizando el cese de actividades con la gestión 202510CESE71AA42FA, le están solicitando la presentación de las declaraciones de septiembre y octubre 2025, las cuales fueron presentadas antes de iniciar la gestión.</t>
  </si>
  <si>
    <t>Solicitud apoyo Expediente no le permite realizar Cese / Expediente 2015/03/01/01/0020987</t>
  </si>
  <si>
    <t>Carolina Victoria Fuentes</t>
  </si>
  <si>
    <t xml:space="preserve">gestión 202510ACT436ADA50 </t>
  </si>
  <si>
    <t>Inactivación de característica especial de asalariado NIT 44800460</t>
  </si>
  <si>
    <t>Solicitud apoyo gestión de Cese de Actividades / Gestión: 202510CESE10309796 USUARIO: MJMARTIR</t>
  </si>
  <si>
    <t>NIT 15472329 está actualizando datos con la gestión 202510ACT1EF53EB4 indica que en el documento adjunto aparece el primer testimonio con el registro correspondiente.  </t>
  </si>
  <si>
    <t>NIT 100085148 indica que no le aparecen sus facturas en la planilla IVA/FEL. </t>
  </si>
  <si>
    <t>NIT  83184864  vendedor NIT 120518511 comprador usuario de la zona de desarrollo</t>
  </si>
  <si>
    <t>1280732K</t>
  </si>
  <si>
    <t>NIT 1280732K adquirió la motocicletas placas M/182LYB sin embargo, no puede imprimir sus distintivos en agencia virtual. </t>
  </si>
  <si>
    <t>agregar característica asalariado</t>
  </si>
  <si>
    <t>gestión 202510CESE8AC873DA , generó otra gestión</t>
  </si>
  <si>
    <t>Solicitud apoyo gestión de reinicio de contraseña AV.</t>
  </si>
  <si>
    <t>Ticket creado  Normativo IAC</t>
  </si>
  <si>
    <t xml:space="preserve">gestión 202510AV81D08A0A </t>
  </si>
  <si>
    <t>Inconveniente fecha de presentación declaraciones Quetzaltenango.</t>
  </si>
  <si>
    <t>Gestión primer NIT no permite generar cita 202510INS8510F53B  cita:  202510CCF4C085F7</t>
  </si>
  <si>
    <t>Diplomatica obtuvo NIT  en julio 2025, el sistema indica que no ha prsentado el trimestre abril/junio 2025  cuando solo corresponde julio/septiembre 2025,  vence la presentación el 22/10/2025</t>
  </si>
  <si>
    <t>el día, 22/10/2025 vence la presentación del informe y no han resuelto a la fecha/ no se resolvión por generar exeniones en las dos opciones,  por lo que deberá pagar multa por presentación extemporanea.</t>
  </si>
  <si>
    <t>Consulta por rechazo en gestión de Activación de Vehículos.</t>
  </si>
  <si>
    <t>número de gestión iniciada con el pasaporte A70420668 emitido en El Salvador</t>
  </si>
  <si>
    <t>Solicitud reversión de suspensión de inactivación del IVA art. 120 del CT.</t>
  </si>
  <si>
    <t>NIT 120445468 gestión 202510ACTF5D6C161,  la notaria  del contribuyente manifiesta que se firma y sella cada hoja del protocolo, la hoja que solicita, cuenta con firma y sello en el anverso, por lo que solicita se verifique o brinde el fundamento  legal de dicho requerimiento.</t>
  </si>
  <si>
    <t>NIT 97276642 no puede actualizar datos indica que el número de serie está ingresado en otro CUI</t>
  </si>
  <si>
    <t>MEM/SAT/IAC/DGS/UST/165/2025</t>
  </si>
  <si>
    <t>NIT 120696932 gestión 202510ACTE997BBE3, lo rechazan por las fechas de nombramiento. </t>
  </si>
  <si>
    <t>NIT 62647199 indica que no puede facturar, le muestra el mensaje ¡Alerta! no tiene la frase obligatoria para el DTE.  Indica que lleva varios días sin poder facturar</t>
  </si>
  <si>
    <t>Sincronizacion de estatus de establecimiento comercial y afiliacion.</t>
  </si>
  <si>
    <t>10296176K</t>
  </si>
  <si>
    <t>Inconveniente con menú de ingreso de Agencia Virtual.</t>
  </si>
  <si>
    <t>gestión 20259ACT3EDCD051</t>
  </si>
  <si>
    <t xml:space="preserve">gestión 20259ACT9A2DFA11 </t>
  </si>
  <si>
    <t>sincronizando la dirección del NIT 97675911</t>
  </si>
  <si>
    <t>NIT 107995735, está realizando cese definitivo de actividades, indica que por ser servicios profesionales en los requisitos no indican negativa de patente. </t>
  </si>
  <si>
    <t>le indica que el DPI  está vencido</t>
  </si>
  <si>
    <t>cambio de correo electrónico le indica que no se tiene comunicación con RENAP</t>
  </si>
  <si>
    <t>NIT´s triplicados en la creación de una Sociedad Anónima</t>
  </si>
  <si>
    <t>Dayrin Esther Robles</t>
  </si>
  <si>
    <t>Solicitud apoyo gestión inscripción de NIT / Gestión: 202510INS2D8592EC DPI: 4035923720101</t>
  </si>
  <si>
    <t>Solicitud apoyo rectificación de formulario SAT/2311</t>
  </si>
  <si>
    <t>NIT 113258666 el contribuyente reporta que el sistema le solicita habilitar libros y tiene autorización vigente</t>
  </si>
  <si>
    <t>eliminar la característica de vehículos</t>
  </si>
  <si>
    <t>MEM/SAT/IAC/DGS/UST/168/2025</t>
  </si>
  <si>
    <t xml:space="preserve">NIT 109371712.  El contribuyente está realizando actualización de datos con la gestión 202510ACTB2A34A83, el revisor le indica que debe cargar nuevamente el primer testimonio, pero no le dejaron habilitada la opción para sustituir el documento. </t>
  </si>
  <si>
    <t>Solicitud apoyo gestión de Inscripción de copropiedad / Gestión: 202510INS02488BB2</t>
  </si>
  <si>
    <t>GRN/Livingston</t>
  </si>
  <si>
    <t xml:space="preserve">gestión 202510ACT61165E0E </t>
  </si>
  <si>
    <t>Solicitud de registro de establecimiento en resolución de Habilitación de Libros.</t>
  </si>
  <si>
    <t>Consulta gestión de inscripción Sucursal Empresa Extranjera / Gestión: 202510INSC65749E5</t>
  </si>
  <si>
    <t>Solicitud apoyo gestión de Activación de Agencia Virtual /  GESTIÓN 202510AV8944D989</t>
  </si>
  <si>
    <t>Solicitud apoyo gestión de Activación de AV / GESTIÓN: 202510AVD541C6A0</t>
  </si>
  <si>
    <t>error en los folios</t>
  </si>
  <si>
    <t xml:space="preserve">gestión 20259ACT780EE02E </t>
  </si>
  <si>
    <t>grc/Dubai</t>
  </si>
  <si>
    <t xml:space="preserve">gestión 202510CESE1E24A3CD </t>
  </si>
  <si>
    <t>realizó cese y aún tiene la afiliación activa</t>
  </si>
  <si>
    <t>incluirlo como proveedor de energía eléctrica</t>
  </si>
  <si>
    <t>NIT 66757193, está solicitando recuperación de contraseña y le indica que no tiene usuario de agencia virtual.  En el RTU Oracle no le aparece marca de Agencia Virtual. </t>
  </si>
  <si>
    <t>no fue posible obtener comunicación con el registro de RENAP</t>
  </si>
  <si>
    <t xml:space="preserve">gestión 202510ACTA2A9A0E9 </t>
  </si>
  <si>
    <t>cambio de contraseña</t>
  </si>
  <si>
    <t xml:space="preserve">gestión 202510INS2502C310 </t>
  </si>
  <si>
    <t>Evelyn</t>
  </si>
  <si>
    <t>placa P571DQS</t>
  </si>
  <si>
    <t>placa P170BNF</t>
  </si>
  <si>
    <t>El contribuyente NIT 97334405 reporta inconveniente al realizar Activación de la Agencia Virtual, la solicitud le despliega Error 403 No tiene permisos necesarios para acceder a la información.</t>
  </si>
  <si>
    <t>Ticket generado por Normativo IAC</t>
  </si>
  <si>
    <t>El contribuyente NIT 100005365 está intentando realizar la rectificación del formulario SAT/2311 No. 46386330186; sin embargo, al presionar validar este lo regresa a la página principal de Declaraguate.</t>
  </si>
  <si>
    <t>El contribuyente NIT 4795792 reporta que la herramienta RITA le indica que tiene omisos de los años 2023 y 2024 y el Verificador Integrado del año 2025.</t>
  </si>
  <si>
    <t>solicitud de NIT   CUI 3014156410101</t>
  </si>
  <si>
    <t xml:space="preserve">solicitud de inscripción de NIT con CUI 2366 40984 0101 el sistema le muestra fecha de vencimiento distinta a la consignada en el documento físico.
</t>
  </si>
  <si>
    <t>gestión 202510AVAAFC93B1</t>
  </si>
  <si>
    <t>NIT 104859083 gestión 202510ACT2113E127 tiene un requerimiento de información "Apreciable contribuyente en representante a cancelar adjuntar con escritura de cancelación y de poderes de archivo general de protocolos, adjuntar la estatificación de cancelación en registro correspondiente " solicita el contribuyente apoyo en verificar si el documento o bien aclarar que es lo que necesita el revisor. </t>
  </si>
  <si>
    <t>Menciona que desde el día de ayer tiene inconvenientes al momento de realizar TEV, le muestra alertivo: Botón derecho deshabilitado, también le da Error. El número de transacción es inválido y luego Error 401: No tiene Autorización. </t>
  </si>
  <si>
    <t>CDAG  El formulario  SAT 2360 informe trimestral de CIVA  error Ha alcanzado la fecha máxima de presentación. Debe generar un nuevo informe trimestral de exención del IVA "  y vence el dia de hoy 22/10/2025</t>
  </si>
  <si>
    <t>Solicitud número de gestión iniciada con pasaporte AY974473 emitido en Colombia</t>
  </si>
  <si>
    <t>NIT  22923047 se encuentra afiliado en el Régimen Opcional Simplificado sobre ingresos de Actividades Lucrativas además de ser asalariado, por lo que solicita la activación de la característica especial de Asalariado. </t>
  </si>
  <si>
    <t>NIT 104901713 indica que realizó el cierre del mes de abril 2025 sin embargo al consultar el reporte le indica que tiene cierres pendientes. </t>
  </si>
  <si>
    <t>El contribuyente se comunicó al Contact Center de SAT indicando que su solicitud de Inscripción de Contribuyentes No. 202510INS065F7B6E, dentro de los comentarios de rechazo indica lo siguiente "Documento de constitución debe de contener firmas legalizadas.", el contribuyente indica las firmas legalizadas por el notario</t>
  </si>
  <si>
    <t>El contribuyente NIT 89752732 se comunicó al Contact Center de SAT indicando que su gestión de Actualización No. 202510ACT24CF3017 fue rechazada con requerimiento y muestra el siguiente comentario "Apreciable contribuyente se solicita cancelar multa por aviso extemporáneo de inscripción de representante legal, con base al Artículo 94 del Decreto 6/91, Código Tributario. Debe generar multa en página Declaraguate Formulario 48852047251 y Número de Acceso 615166639, la multa adjunta fue cancelada el 3/2/2025, no pertenece a esta gestión, buen día", el contribuyente manifiesta que anteriormente realizó el pago de Q112.50 pero ya no continuo con la gestión y quiere que se le reconozca el pago que realizó y que se le cobre únicamente la diferencia.</t>
  </si>
  <si>
    <t>El contribuyente NIT 61465631 se comunicó al Contact Center de SAT manifestando que en el Verificador Integrado le aparece omiso el mes de agosto de 2025 el formulario SAT/1311 y el ya realizó la presentación del formulario desde septiembre de 2025.</t>
  </si>
  <si>
    <t>El contribuyente NIT 26947412 indica rechazo de su solicitud de actualización No. 202510ACT87FE2E77 dentro de los comentarios de rechazo se encuentra "Estimado contribuyente, favor de adjuntar documentos de representante legal "Estimado contribuyente favor adjuntar factura electronica en linea (FEL) por los servicios de energía eléctrica, agua potable, teléfono de línea fija o internet residencial, recibo de agua potable o recibo de IUSI, no mayor a tres meses de su emisión.", el contribuyente manifiesta que la información del Representante Legal que le están solicitando corresponde a un NIT depurado que tenía el Representante Legal.</t>
  </si>
  <si>
    <t>El contribuyente manifiesta que está realizando la gestión de inscripción de contribuyentes No. 202510INS3BD9F7D9 pero dentro de la misma en el estado civil le aparece que es soltera cuando lo correcto es que le aparezca casada tal como lo indica el DPI</t>
  </si>
  <si>
    <t>pago</t>
  </si>
  <si>
    <t xml:space="preserve">1210275K </t>
  </si>
  <si>
    <t>El contribuyente NIT 1210275K está intentando realizar la validación del formulario SAT/8611 No. 48869127436 acceso 711956531; sin embargo, al presionar validar no le permite.</t>
  </si>
  <si>
    <t>no le permite actualizar datos afiliándose a pequeño contribuyente le indica que ya superó los 125 salarios mínimos</t>
  </si>
  <si>
    <t>traspaso al M121JZF NIT 48835501 traspaso al NIT 116971320</t>
  </si>
  <si>
    <t>GRC/El Progreso</t>
  </si>
  <si>
    <t>Cita primer NIT no se presentó por motivos personales  Cita 202510CC806DB87D pasaporte C03561354</t>
  </si>
  <si>
    <t>NIT 70175985 tiene inconvenientes al momento de realizar TEV, le muestra alertivo: Error 401: No tiene Autorización. Ya realizo la actualización del Instalador, pero el inconveniente persiste. </t>
  </si>
  <si>
    <t xml:space="preserve">gestión 202510ACTD189C52F  </t>
  </si>
  <si>
    <t xml:space="preserve">gestión 202510CESEDA18C939 </t>
  </si>
  <si>
    <t>confirmación de traspaso</t>
  </si>
  <si>
    <t xml:space="preserve">gestión 20259INS8FE5D633 </t>
  </si>
  <si>
    <t>José Bravo</t>
  </si>
  <si>
    <t>NIT 99436051 reporta inconvenientes con LET, no le reconoce habilitación de libros</t>
  </si>
  <si>
    <t>Por favor apoyar con el pago del formulario SAT/8611 No. 48873434135 acceso 616346838, debido a que el contribuyente realizó el pago y el formulario aún muestra en la etapa 3 de 4 Congelado. NIT 83077588</t>
  </si>
  <si>
    <t>El contribuyente manifiesta que está realizando la gestión de inscripción de contribuyentes No. 202510INSBFD2432C, pero tiene el inconveniente que el nombre es muy extenso y al ingresarlo este sobrepasa la cantidad de caracteres permitidos por lo que no puede colocarlos tal como están en los documentos de constitución.</t>
  </si>
  <si>
    <t xml:space="preserve">gestión 202510ACT995DD523 </t>
  </si>
  <si>
    <t xml:space="preserve">gestión 202510ACT63B1E8C8 </t>
  </si>
  <si>
    <t xml:space="preserve">gestión 202510ACTFECEB065 </t>
  </si>
  <si>
    <t>no le aparece para asignar permiso delegable asiste hospitales</t>
  </si>
  <si>
    <t xml:space="preserve">gestión 202510INS00D26BD7 </t>
  </si>
  <si>
    <t>El contribuyente NIT 64903583 está intentando realizar la rectificación del formulario SAT/2311 No. 48877989495; sin embargo, al presionar validar este lo regresa a la página principal de Declaraguate.</t>
  </si>
  <si>
    <t>El contribuyente NIT 120701642 indica rechazo de su solicitud de actualización No.  20259ACT07EC8BEC dentro de los comentarios de rechazo se encuentra "Señor contribuyente he verificado 3 veces su gestión debe cumplir con los requisitos plasmados en el PORTAL SAT con relacion a Inscripción Sociedad de Emprendimiento.", indica el contribuyente que si está adjuntando lo correcto.</t>
  </si>
  <si>
    <t>agregar asalariado</t>
  </si>
  <si>
    <t xml:space="preserve">gestión 20259INSF3B624D3 </t>
  </si>
  <si>
    <t>NIT 111148316, no puede realizar el cierre del mes de septiembre 2025.</t>
  </si>
  <si>
    <t>M-432LBZ</t>
  </si>
  <si>
    <t>sincronizar el CUI del NIT 14985446.</t>
  </si>
  <si>
    <t>aparece en el verificador que tiene pendiente ISCV</t>
  </si>
  <si>
    <t>El contribuyente NIT 110932552 reporta inconveniente en el correlativo de folios en la herramienta LET, manifiesta que, al momento de generar el libro de compras y ventas de pequeño contribuyente, el sistema alteró los números de folios a utilizar, alterando la continuidad y secuencia de los mismos. El problema se originó desde el folio número 3, afectando así los demás, adjunto encontraran parte de los folios que fueron alterados, para que por favor puedan ayudarme a solucionar este inconveniente.</t>
  </si>
  <si>
    <t>El contribuyente NIT 5972906 se comunicó al Contact Center de SAT indicando que su gestión de Actualización No. 202510ACT5EBFF8A4 fue rechazada con requerimiento y muestra el siguiente comentario "Estimado contribuyente se solicita adjuntar certificado de colegiado activo para continuar con la gestion", el contribuyente manifiesta que está adjuntando el documento.</t>
  </si>
  <si>
    <t>El contribuyente NIT 4580486 se comunicó al Contact Center de SAT indicando que su gestión de Actualización No. 202510ACTF79D1817 fue rechazada con requerimiento y muestra el siguiente comentario "Apreciable contribuyente se solicita en colegiado adjuntar constancia de colegiado activo donde conste la fecha de inicio de colegiación, en esta solicitud no contiene documento para su validación", el contribuyente manifiesta que el documento adjunto si posee la fecha de colegiación.</t>
  </si>
  <si>
    <t>El contribuyente NIT 305525972 se comunicó al Contact Center de SAT indicando que su gestión de Actualización No. 202510ACTD25539DC fue rechazada con requerimiento y muestra el siguiente comentario "Verificar sus direcciones indica 4 veces la misma, atender lo indicado en comentario adicional gracias", el contribuyente manifiesta que en la actualización el esta eliminando en esta actualización esas direcciones duplicadas.</t>
  </si>
  <si>
    <t>El contribuyente NIT 6667570 PLACA: TC85CCG está intentando llenar el formulario SAT-8611 por reposición de distintivos; sin embargo, al ingresar el NIT del representante legal muestra el Error: El nombramiento del Representante Legal ya se encuentra vencido en los registros de SAT, deberá actualizar el nuevo nombramiento en el RTU. Pero el contribuyente si tiene vigente el nombramiento según el RTU digital.</t>
  </si>
  <si>
    <t>placa P158HYS  inactivo por hurto y desea venderlo</t>
  </si>
  <si>
    <t>se comunicaron al Contact Center por el caso de un cese de actividades del NIT 682162-6, quien llama es la hija del contribuyente, indica que desde hace 2 meses ingresó documentación para un cese de actividades, sin embargo, aún no ha recibido información al respecto. </t>
  </si>
  <si>
    <t>gestión 20259CESE1D5B384A</t>
  </si>
  <si>
    <t>sincronizar el número de teléfono del NIT  13761846</t>
  </si>
  <si>
    <t>MEM-SAT-IAC-DGS-UST-175-2025</t>
  </si>
  <si>
    <t>NIT 115153721 indica que le están rechazando la gestión por el pago de la multa, indica que realizó el pago con otro formulario por el vencimiento del enviado anteriormente. </t>
  </si>
  <si>
    <t>Inactivación de característica especial de Emisor Constancia Exención de IVA NIT 55916791</t>
  </si>
  <si>
    <t>MEM-SAT-IAC-DGS-UST-174-2025</t>
  </si>
  <si>
    <t xml:space="preserve">Sincronizar la información del DPI del contribuyente en RTU Oracle del contribuyente NIT 4213300.  </t>
  </si>
  <si>
    <t xml:space="preserve"> El contribuyente se comunicó al Contact Center de SAT indicando que su gestión de Inscripción de Contribuyentes No. 202510INS67F38D23 fue rechazada con requerimiento y muestra el siguiente comentario "Para continuar debe adjuntar inscripción de nombramiento de representante legal en el registro correspondiente, con base a la reciente acta notarial. Para más información presentarse a una oficina o agencia tributaria.", el contribuyente manifiesta que está adjuntando el documento está registrado correctamente en la Federación Nacional de Motociclismo de Guatemala</t>
  </si>
  <si>
    <t>omisos y ya fue presentado</t>
  </si>
  <si>
    <t xml:space="preserve">gestión 202510ACTE761E1ED </t>
  </si>
  <si>
    <t>GRC/Primma</t>
  </si>
  <si>
    <t>reversión de 2 FEL de mayo 2025</t>
  </si>
  <si>
    <t>permiso delegable ha.dewarcorp@gmail.com</t>
  </si>
  <si>
    <t>Normativo IAC</t>
  </si>
  <si>
    <t>NIT 102210373 en la gestión de actualización de datos 202510ACTD96B32B2 indica que está adjuntando el documento con el timbre. </t>
  </si>
  <si>
    <t xml:space="preserve">GRC/Pacific </t>
  </si>
  <si>
    <t xml:space="preserve">gestión 202510CESE4AAB1136 </t>
  </si>
  <si>
    <t>NIT 1292986 indica que cuando está llenando las declaraciones y coloca su NIT le indican que el contador está inactivo. </t>
  </si>
  <si>
    <t>NIT 120695774 gestión 202510ACT8068A9C8 </t>
  </si>
  <si>
    <t>NIT 20008074 inconvenientes con la información de los formularios presentados en AV y Declaragiuate</t>
  </si>
  <si>
    <t>inscripción casa rodante</t>
  </si>
  <si>
    <t>esta realizando la emisión de una CAIS  de forma masiva, da error  XML,ENVIADO NO CUMPLE CON EL ESQUEMA DEL XSD</t>
  </si>
  <si>
    <t xml:space="preserve">recomienda que se emita desde consulta DTE  en la opcion de los ... puntos/ so se solvento la carga masiva, ni ci¿omenta si aun funsiona. </t>
  </si>
  <si>
    <t>reporta que necesita anular la factura, y le da el mensaje que tienen asociada alguna constancias (..), sin embargo la CAIS emitida si esta anulada</t>
  </si>
  <si>
    <t>el NIT   73337811  emitió la factura  al IGSS  y  sin embargo el sistema no reconoce que ya se anulo,</t>
  </si>
  <si>
    <t>El contribuyente NIT 120644568 indica rechazo de su solicitud de actualización No. 20258ACT551F76AF dentro de los comentarios de rechazo se encuentra "Estimado (a) contribuyente: - Debe escanear el DPI de ambos lados de manera legible. A color", indica el contribuyente que le están solicitando el DPI en una gestión de activación de NIT de una sociedad anónima, por lo que necesita saber que está mal en la gestión que está realizando.</t>
  </si>
  <si>
    <t>NIT 86676180 reporta inconvenientes con traspaso electrónico.  "Lector Desconectado"</t>
  </si>
  <si>
    <t>Reporta el inconveniente por whatsapp</t>
  </si>
  <si>
    <t>suspendido</t>
  </si>
  <si>
    <t xml:space="preserve">gestión 202510CESEADC28BFF </t>
  </si>
  <si>
    <t>contribuyente con CUI 3351421331613 está solicitando su NIT con la gestión 202510INS60E6099C sin embargo, indica que desde el 27 de octubre se encuentra en estado "Para Revisión"</t>
  </si>
  <si>
    <t>Jéssica</t>
  </si>
  <si>
    <t>NIT 95915419, necesita cambiar correo electrónico, el sistema le muestra que debe adjuntar la constancia emitida por el RENAP y ya cuenta con su DPI. </t>
  </si>
  <si>
    <t>No permite anular la factua, porque reconoce que aun esta activa la CIVA</t>
  </si>
  <si>
    <t xml:space="preserve">gestión 202510CESE8306BEC4 </t>
  </si>
  <si>
    <t>2457192K</t>
  </si>
  <si>
    <t>NIT 2457192K está actualizando datos con la gestión 202510ACTF52239D1 indica que están colocando las fecha correctas, solicita que le verifiquen nuevamente. </t>
  </si>
  <si>
    <t>sincronización de afiliaciones del NIT 289535735</t>
  </si>
  <si>
    <t>gestión de actualización de datos 20259ACT8CB5BBD5  del NIT 101550286  se encuentra en estado "Para Revisión" desde el 29/10/2025</t>
  </si>
  <si>
    <t>GRC/Zona 9</t>
  </si>
  <si>
    <t>sincronización de las afiliaciones del NIT 365477540.</t>
  </si>
  <si>
    <t xml:space="preserve">gestión 202510CEAND412A0ED </t>
  </si>
  <si>
    <t>indican que están adjuntando la documentación correcta y colocando las fecha que corresponde.  Gestión 202510INS19563B74   </t>
  </si>
  <si>
    <t>NIT 82771294, quiere recuperar contraseña y le indica que no tiene usuario de agencia virtual.  En el RTU Oracle no tiene marca de AV. </t>
  </si>
  <si>
    <t>Se anuló CAIS , sin embargo  no le permite emitir una de nuevo</t>
  </si>
  <si>
    <t xml:space="preserve">IRE/Departamento de Sistemas de Recaudación
</t>
  </si>
  <si>
    <t>CAIS: 449229D7-DA66-4EC0-8E5B-33E77DE31459</t>
  </si>
  <si>
    <t>Se anuló dos CAIS , sin embargo  no le permite emitir de nuevo</t>
  </si>
  <si>
    <t>Respuesta 12/11/2025  Se estará notificando cuando se encuentre solventado</t>
  </si>
  <si>
    <t>Sincronizar de afiliaciones del contribuyente en RTU Oracle del contribuyente NIT 88750795</t>
  </si>
  <si>
    <t>Sincronizar de afiliaciones del contribuyente en RTU Oracle del contribuyente NIT 99099926</t>
  </si>
  <si>
    <t>Sincronizar de afiliaciones del contribuyente en RTU Oracle del contribuyente NIT 341261289</t>
  </si>
  <si>
    <t>Sincronizar de afiliaciones del contribuyente en RTU Oracle del contribuyente NIT 44052642</t>
  </si>
  <si>
    <t>Sincronizar de afiliaciones del contribuyente en RTU Oracle del contribuyente NIT 17748496</t>
  </si>
  <si>
    <t>Sincronizar de afiliaciones del contribuyente en RTU Oracle del contribuyente NIT 120687380</t>
  </si>
  <si>
    <t>Sincronizar de afiliaciones del contribuyente en RTU Oracle del contribuyente NIT 120136619</t>
  </si>
  <si>
    <t>Sincronizar de afiliaciones del contribuyente en RTU Oracle del contribuyente NIT 114498482</t>
  </si>
  <si>
    <t xml:space="preserve">Sincronizar de afiliaciones del contribuyente en RTU Oracle del contribuyente NIT 42363977 </t>
  </si>
  <si>
    <t>Libni Filiberto Hernandez Orozco</t>
  </si>
  <si>
    <t xml:space="preserve">Sincronizar de afiliaciones del contribuyente en RTU Oracle del contribuyente NIT 117704180 </t>
  </si>
  <si>
    <t>Sincronizar de afiliaciones del contribuyente en RTU Oracle del contribuyente NIT 97821780</t>
  </si>
  <si>
    <t>Sincronizar de afiliaciones del contribuyente en RTU Oracle del contribuyente NIT 23958634</t>
  </si>
  <si>
    <t>Sincronizar de afiliaciones del contribuyente en RTU Oracle del contribuyente NIT 289535735</t>
  </si>
  <si>
    <t>El contribuyente se comunicó al Contact Center de SAT indicando que su gestión de Inscripción de Contribuyentes No. 202510INS6869600E fue rechazada con requerimiento y muestra el siguiente comentario "Adjuntar ambos lados de su dpi de forma legible sin flash, con los colores originales y sin hacer recortes a las imágenes, en un mismo archivo en PDF. Gracias.", el contribuyente manifiesta que es extranjero y está adjuntando el documento correcto.</t>
  </si>
  <si>
    <t>El contribuyente NIT 47888040 indica rechazo de su solicitud de actualización No.  20259ACT07EC8BEC dentro de los comentarios de rechazo se encuentra "Señor contribuyente he verificado 2 veces su gestión el primero apellido en el DPI no coincide en la parte de arriba y abajo. Debe corregir su DPI en el RENAP.", el contribuyente indica lo siguiente: me aboqué a Renap me manifestaron que SAT ya tiene conocimiento de ese problema del sistema de Renap ya que es a nivel nacional, en cuestión de la barra del dpi cuando es la U con diéresis, siempre salen impresas de esa manera, como ya es del conocimiento de SAT ellos no me pueden emitir ninguna constancia.</t>
  </si>
  <si>
    <t>Se le envio correo al contribuyente solicitandole telefono pero no responde</t>
  </si>
  <si>
    <t>NIT 120439883, indica que LET no le refleja una DUCA. </t>
  </si>
  <si>
    <t>sincronización de las afiliaciones del NIT 63812436</t>
  </si>
  <si>
    <t xml:space="preserve">gestión 202510CESE544A9760 </t>
  </si>
  <si>
    <t>MIchelle</t>
  </si>
  <si>
    <t>SAT 1608 le genera multa</t>
  </si>
  <si>
    <t xml:space="preserve">gestión 202510ACT23B202C3 </t>
  </si>
  <si>
    <t>quiere que aparezca activa</t>
  </si>
  <si>
    <t>está recibiendo correos masivos  de permisos delegables</t>
  </si>
  <si>
    <t>APP SAT GT  error de comunicación</t>
  </si>
  <si>
    <t>Tecnología</t>
  </si>
  <si>
    <t>El contribuyente NIT 33502757 está intentando realizar la rectificación del formulario SAT-2311 No. 48906459201; sin embargo, al presionar validar este lo regresa a la página principal de Declaraguate.</t>
  </si>
  <si>
    <t xml:space="preserve">gestión 202510ACT8068A9C8 </t>
  </si>
  <si>
    <t>Solicitud apoyo activación Agencia Virtual.</t>
  </si>
  <si>
    <t>SAT 8611</t>
  </si>
  <si>
    <t>no le aparece para permiso de exportadores</t>
  </si>
  <si>
    <t>solicitud de remanente de IVA</t>
  </si>
  <si>
    <t>DAC/GRN</t>
  </si>
  <si>
    <t xml:space="preserve"> MEM-SAT-IAC-DGS-UST-179-2025</t>
  </si>
  <si>
    <t>NIT 120454327  está actualizando datos con la gestión 202510ACT41F878E5, indica que la multa por actualización extemporánea de representante legal la realizó y le siguen rechazando la gestión. </t>
  </si>
  <si>
    <t xml:space="preserve">gestión 202510AV43572F2A </t>
  </si>
  <si>
    <t>gestión 202510INS82373912</t>
  </si>
  <si>
    <t>NIT 109758900 reporta rechazo por diferencia en firmas en traspaso de vehículos</t>
  </si>
  <si>
    <t>364202500037203 asignación de placas tiene forma de pago 9</t>
  </si>
  <si>
    <t>cita de inactivación de 60 motocicletas</t>
  </si>
  <si>
    <t>NIT 118616552  está realizando actualización de datos con la gestión 202510ACTC4D38E27, indica que la multa no procede por que no han transcurrido los 30 días hábiles de la inscripción. </t>
  </si>
  <si>
    <t>gestión 202510INSBE86A931  solicita ayuda en corroborar el requerimiento  de la gestión adjunta pues no se logra determinar lo indicado en la boleta de rechazo. </t>
  </si>
  <si>
    <t xml:space="preserve"> NIT 120241412 inconveniente al llenar el formulario SAT 3120 </t>
  </si>
  <si>
    <t>solicitó permiso temporal exportador y no tiene la característica</t>
  </si>
  <si>
    <t>generar el SAT 8611 P0281CWY TRASPASO SUCESORIO</t>
  </si>
  <si>
    <t>Solicitud de apoyo en gestión de actualización de datos del RTU.</t>
  </si>
  <si>
    <t>teléfono 24637413 si es de SAT</t>
  </si>
  <si>
    <t xml:space="preserve">gestión 202510ACT5797835E </t>
  </si>
  <si>
    <t>DAC/GRC</t>
  </si>
  <si>
    <t>Solicitud de consulta NIT en riesgo en Actualización de Datos del RTU.</t>
  </si>
  <si>
    <t>Solicitud apoyo gestión de actualización de datos del RTU. Correo: m.alejandra.avilaruiz@gmail.com</t>
  </si>
  <si>
    <t xml:space="preserve">NIT 360255256   indica que al llenar el formulario SAT 4091 desde agencia virtual no genera el número de contingencia.  
</t>
  </si>
  <si>
    <t xml:space="preserve">Forma de pago incorrecto Inscripción de Vehículo eléctrico 3523702101 3523702109 </t>
  </si>
  <si>
    <t>NIT 3355209 no puede consultar DTE ni emitir facturas.  Error 403 Forbiden</t>
  </si>
  <si>
    <t>897067K</t>
  </si>
  <si>
    <t>Linea de vehiculo aparece diferente en documentos y en formulario 8611.</t>
  </si>
  <si>
    <t>gestión 202511ACT74530BEF</t>
  </si>
  <si>
    <t>No reconoce el pago del formulario 8611 - Marca de caja 01520251106223349511230</t>
  </si>
  <si>
    <t>Apoyo Verificación de la consulta desde la agencia virtual, impresión del Certificado de Propiedad.</t>
  </si>
  <si>
    <t>1706001K</t>
  </si>
  <si>
    <t>En el cuál reporta que ya anularon la CIVA, sin embargo el proveedor no le permite anular la factura.</t>
  </si>
  <si>
    <t>Respuesta 12/11/2025 El caso ya fue reportado, se estará notificando cuando esté solventado</t>
  </si>
  <si>
    <t>NIT 72710616 indica que la gestión de actualización de datos se encuentra en estado "En Revisión" desde el 05/11/2025.</t>
  </si>
  <si>
    <t>NIT 77959450 indica que el verificador le muestra omiso el mes de mayo 2025, sin embargo el formulario fue presentado. </t>
  </si>
  <si>
    <t>El contribuyente NIT 5588782 indica rechazo de su solicitud de actualización No.  202511ACT3A55BE72 dentro de los comentarios de rechazo se encuentra "Estimado contribuyente atender únicamente lo solicitado en comentario adicional: Adjuntar DPI legible que se visualicen marcas de seguridad y la información que contiene legible. En la parte superior de la versión debe visualizarse día, mes y año de nacimiento.", el contribuyente manifiesta que necesita que le verifiquemos con el revisor el motivo del rechazo ya que indica que el archivo envidado es correcto.</t>
  </si>
  <si>
    <t>GRC/Pacific Villa Hermosa</t>
  </si>
  <si>
    <t>Número de gestión iniciada con el pasaporte E 1559489 emitido en Honduras</t>
  </si>
  <si>
    <t>NIT 32378130 está realizando la gestión de cese de actividades 202510CESE0B5607DE indica que el último movimiento fue en enero 2024  por esa razón está adjuntando dicho folio.  </t>
  </si>
  <si>
    <t>NIT 96130741 Error en anexo a formulario SAT-6080</t>
  </si>
  <si>
    <t xml:space="preserve">NIT 4605896, el formulario SAT 6080 muestra error "El NIT no corresponde al ingresado en el formulario"
</t>
  </si>
  <si>
    <t>GCEG/División de Impuestos Específicos</t>
  </si>
  <si>
    <t xml:space="preserve">Solicitud apoyo gestión de actualización de datos del RTU. </t>
  </si>
  <si>
    <t>El contribuyente NIT 80193919 se comunicó al Contact Center de SAT manifestando que en el Verificador Integrado le aparece omiso el mes de septiembre de 2025 y el inicio operaciones en octubre de 2025.</t>
  </si>
  <si>
    <t>El contribuyente NIT 120158566 está intentando presentar el formulario 6080 sin embargo el formulario le muestra el error: El archivo cargado no cumple con el formato establecido (se adjunta el archivo cargado por el contribuyente.</t>
  </si>
  <si>
    <t>El contribuyente NIT 83863656 presentó el formulario SAT-1311 No. 49080209641 Acceso 693098340, pero al consultarlo desde Declaraguate dicho formulario no muestra valores y el sistema de bancario si posee los valores</t>
  </si>
  <si>
    <t>El contribuyente NIT 7143907 presentó el formulario SAT-1311 No. 49065682172 Acceso 27230328, pero al consultarlo desde Declaraguate dicho formulario no muestra valores y el sistema de bancario si posee los valores.</t>
  </si>
  <si>
    <t>El notario 94433305 reporta inconveniente con la realizacion de Traspasos P-277GMM
Electronico.</t>
  </si>
  <si>
    <t>Memorándum MEM-SAT-IAC-DGS-UST-183-2025</t>
  </si>
  <si>
    <t>NIT 1211056 necesita realizar un cese de actividades, sin embargo, cuenta con expediente activo 2003-02-20-03-0000285</t>
  </si>
  <si>
    <t>GRN/Fiscalización</t>
  </si>
  <si>
    <t>gestión 202511INS9B0EDE41 , la revisora le solicita que el DPI cuente con las medidas de seguridad y sea más legible.  Adjunto los PDF del DPI que ha enviado el contribuyente en 3 ocasiones diferentes. </t>
  </si>
  <si>
    <t>NIT 8428492 está realizando actualización de datos con gestión 202511ACT581C73B8, le están rechazando por las medidas de seguridad y que sea legible el DPI. </t>
  </si>
  <si>
    <t>El contribuyente NIT 82771294 reporta el inconveniente al realizar el cambio de correo de AV y el sistema indica que no cuenta con agencia virtual .</t>
  </si>
  <si>
    <t>El contribuyente NIT 53218361 indica rechazo de su gestión de cambio de correo de Agencia Virtual No.  202511AV3D9DF534 dentro de los comentarios de rechazo se encuentra "FAVOR ENFOCAR ROSTRO COMPLETO , SOSTENER DPI ORIGINAL LEGIBLE AMBOS LADOS DURANTE TODO SU VIDEO , DECIR NOMBRE COMPLETO , FECHA COMPLETA EN QUE GRABA SU VIDEO DIA, MES Y AÑO Y LA PALABRA SAT", el contribuyente manifiesta que el video cumple con los requisitos.</t>
  </si>
  <si>
    <t>GRS/Santa Lucia Cotzumalguapa</t>
  </si>
  <si>
    <t xml:space="preserve"> Inscripción de una Copropiedad pero el sistema no les permite debido a que los copropietarios no poseían afiliaciones por ser agricultores y ama de casa, por lo que se afiliaron al Impuesto Sobre la Renta en el Régimen de Asalariados; sin embargo, nuevamente no le permite avanzar con su solicitud, ellos manifiestan que no pueden presentarse de forma física a la Delegación de SAT ubicada en el Registro Mercantil debido a que son del Municipio de Esquipulas departamento de Chiquimula por lo que su solicitud necesitan realizarla en línea pero no les permite aún teniendo la afiliación del Impuesto Sobre la Renta en el Régimen de Asalariados.</t>
  </si>
  <si>
    <t>El contribuyente NIT 49473816 está intentando realizar la rectificación del formulario SAT-2311 No. 49071381833; sin embargo, al presionar validar este lo regresa a la página principal de Declaraguate</t>
  </si>
  <si>
    <t>El contribuyente NIT 3012393 indica rechazo de su solicitud de actualización No.  202511ACTB54D9253 dentro de los comentarios de rechazo se encuentra "Por favor adjuntar Constancia de Colegiado activo", el contribuyente manifiesta que necesita que le habiliten la casilla para hacer la corrección que corresponde ya que no quiere cancelar la solicitud, indica que no comprende el rechazo ya que la constancia que fue enviada sí es correcta y si la pueden contactar para indicarle.</t>
  </si>
  <si>
    <t>El contribuyente NIT 103455345 correo grupomsiconta@gmail.com reporta error al momento de certificar, según indica ya cambió contraseña, borró historial e ingreso de modo incógnito.</t>
  </si>
  <si>
    <t>Solicitud apoyo gestión de actualización de datos  - Revisor: ILMILIAN</t>
  </si>
  <si>
    <t>Se solicitó un Cambio de Contraseña de AV el día de hoy 13/11/2025 pero, no ha llegado el correo electrónico, solamente se tienen correos del día de ayer.</t>
  </si>
  <si>
    <t>Correo Electrónico</t>
  </si>
  <si>
    <t xml:space="preserve">Solicitud apoyo  Variación en el cálculo en el reporte de LET. </t>
  </si>
  <si>
    <t>Solicito apoyo para la sincronización del DPI del contribuyente, debido a que, no ha replicado en RTU Oracle - DPI: 3872238000803</t>
  </si>
  <si>
    <t>NIT 1702920 gestión 202511ACT066C565A, indica que realizó el pago de la multa, y está adjuntando el formulario con el cual realizó el pago. </t>
  </si>
  <si>
    <t>El contribuyente indica rechazo de su solicitud de inscripción de contribuyentes No. 202511INS71F09A0D dentro de los comentarios de rechazo se encuentra "Estimado contribuyente, favor de adjuntar nuevamente la razón de registro del nombramiento ya que no se visualiza el QR y la demás información.", el contribuyente manifiesta que esta realizando una inscripción de una ONG tiene el motivo de rechazo pero el intenta cargar un nuevo documento el campo no esta habilitado.</t>
  </si>
  <si>
    <t>2930945K</t>
  </si>
  <si>
    <t xml:space="preserve">El contribuyente NIT 2930945K reporta el inconveniente al realizar el cambio de correo de AV el contribuyente manifiesta lo siguiente: No recibe correo electrónico para continuar con la gestión.
</t>
  </si>
  <si>
    <t>El contribuyente NIT 6153291 se comunicó al Contact Center de SAT manifestando que en el Verificador Integrado le aparece el siguiente mensaje: Afiliación al Impuesto al Valor Agregado inactiva por suspensión, pero dentro del RTU no posee suspensión.</t>
  </si>
  <si>
    <t xml:space="preserve">El contribuyente NIT 53421892 se comunicó al Contact Center de SAT manifestando que en el Verificador Integrado le aparece el siguiente mensaje: Afiliación al Impuesto al Valor Agregado inactiva por suspensión, el contribuyente no posee establecimientos activos por lo cual la afiliación esta inactiva.
 </t>
  </si>
  <si>
    <t>NIT 120640694 gestión 202510ACT27360EE5, le solicitan inactivar el timbre, sin embargo, el contribuyente indica que el timbre si está perforado.  </t>
  </si>
  <si>
    <t xml:space="preserve">Reportan varios formularios que en Declaraguate muestran valor cero y si realizaron pago. </t>
  </si>
  <si>
    <t>IRE/Departamento de Recaudación Tribuaria</t>
  </si>
  <si>
    <t>NIT 35697946   está realizando actualización de datos con la gestión 202510ACTAC799191, indica que está colocando el tipo de representante legal de acuerdo a su nombramiento, solicitar revisar nuevamente su gestión. </t>
  </si>
  <si>
    <t>832509K</t>
  </si>
  <si>
    <t>NIT 832509K reporta inconveniente para la emisión de factura.  No le muestra el tipo de DTE, no tiene incumplimientos pendientes</t>
  </si>
  <si>
    <t>NIT 5205875, está actualizando datos con la gestión 202511ACT6479187E en la cual le indican que debe solventar su situación y comunicarse con los contactos indicados para reenviar nuevamente su solicitud, sin embargo no le indican los contactos con los cuales debe comunicarse. </t>
  </si>
  <si>
    <t>NIT 8398585 de la Región de Occidente está tratando de comunicarse al PBX 23297070 extensión 6606 pero nadie le contesta.</t>
  </si>
  <si>
    <t>GRO/División de Recaudación</t>
  </si>
  <si>
    <t>Se traslada para que apoyen al contribuyente</t>
  </si>
  <si>
    <t>NIT 50521772 Melvin Recinos solicita apoyo para solventar la diferencia que tiene en relación a Retenciones de IVA.</t>
  </si>
  <si>
    <t xml:space="preserve">correo </t>
  </si>
  <si>
    <t>CAIS  emitida no esta en el reporte para anular</t>
  </si>
  <si>
    <t xml:space="preserve">anularon una constancias y no les permite emitir de nuevo otra constancia.  </t>
  </si>
  <si>
    <t>13/11El incidente fue reportado, al estar solventado se notificará por esta vía
Saludos</t>
  </si>
  <si>
    <t>El contribuyente NIT 117049328 está intentando realizar la rectificación del formulario SAT-2311 No. 49 097 170 800 ; sin embargo, al presionar validar este lo regresa a la página principal de Declaraguate</t>
  </si>
  <si>
    <t>El contribuyente NIT 10351861 indica rechazo de su solicitud de actualización No.  202511ACT3B4A1E83 dentro de los comentarios de rechazo se encuentra "Favor pagar la multa por aviso extemporáneo del Nombramientos del Representante Legal, Número de Formulario. 49115282013 y Número de Acceso 750166814 , FAVOR DE PAGAR LA MULTA PARA APROBAR SU GESTIÓN GRACIAS.", el contribuyente manifiesta que ya cancelo la multa con el formulario SAT-0811 número 49098818685</t>
  </si>
  <si>
    <t>Solicitud apoyo habilitación de meses de llenado en LET, no aparece Octubre.</t>
  </si>
  <si>
    <t>Solicitud apoyo verificación Status de expedientes para cese de actividades.</t>
  </si>
  <si>
    <t>gestión de actualización de datos 202510ACTA7CA269 del NIT 120695340 solicita nuevamente la revisión de la documentació enviada.</t>
  </si>
  <si>
    <t> gestión 202510ACTEA7381AA del NIT 120715600, el contribuyente adjunta testimonio compulsado, por lo tanto no se observará en papel especial sellado para protocolos. Base legal: artículo 67 del Decreto 314</t>
  </si>
  <si>
    <t>El contribuyente NIT 19706154 solicita la inactivación de la característica especial de asalariado</t>
  </si>
  <si>
    <t>MEM-SAT-IAC-DGS-UST-185-2025</t>
  </si>
  <si>
    <t>NIT 86303201 está realizando un cese de actividades con la gestión 202510CESE7DBF3ED8, quiere cancelar el establecimiento No. 2 , le están requiriendo la cancelación de la patente o negativa de patente, se presentó al Registro Mercantil y le indicaron que por ser una entidad no lucrativa no se inscriben en dicho registro y no le proporcionaron ningún documento. </t>
  </si>
  <si>
    <t>Solicitud apoyo gestión Inscripción definitiva de contribuyente.</t>
  </si>
  <si>
    <t>DAC/GRN Zacapa</t>
  </si>
  <si>
    <t>Solicitud apoyo Corrección en el correlativo de folios en LET, se saltó del folio 10 al folio 12.</t>
  </si>
  <si>
    <t>Departamento de Normatividad IAC</t>
  </si>
  <si>
    <t>NIT 37509659 realizó gestión de primeras placas en Agencia Galerías Prima, sin embargo, no le aparecen sus distintivos en la agencia virtual. </t>
  </si>
  <si>
    <t>Solicitud apoyo gestión Actualización de Datos del RTU, ampliar motivo de rechazo.</t>
  </si>
  <si>
    <t>DAC/GRC San Rafael</t>
  </si>
  <si>
    <t>NIT 120723794 está realizando actualización de datos con gestión 202511ACT97010740, indica que el documento que está adjuntando está legible y solicita nuevamente la revisión. </t>
  </si>
  <si>
    <t>GRC/Galerías Prima</t>
  </si>
  <si>
    <t xml:space="preserve">El contribuyente NIT 76281884 indica rechazo de su solicitud de actualización No.  202511ACT87EFB14E dentro de los comentarios de rechazo se encuentra "Estimado contribuyente atender únicamente lo solicitado en comentario adicional: Testimonio de la escritura de constitución original, con la razón de inscripción en el registro correspondiente.", el contribuyente indica que apoyo en poder solicitar información del rechazo ya que el contribuyente indica que no está modificando nada en el documento de constitución y si tiene su razón de inscripción. 
</t>
  </si>
  <si>
    <t>Rechazo de documentos del REPEJU NIT 50551515</t>
  </si>
  <si>
    <t>NIT 105191841 poyo para consultar si el formulario 811 debe mostrar número de acceso por favor ya que en la consulta no lo refleja</t>
  </si>
  <si>
    <t>NIT 111605288 reporta inconvenientes con presentar la declaracion valor cero or medio de Declaraguate</t>
  </si>
  <si>
    <t>Se reportó a la GIN e indicaron generar ticket</t>
  </si>
  <si>
    <t>NIT 88974014 reporta inconvenientes con el formulario SAT 4091 en agencia virtual</t>
  </si>
  <si>
    <t>Solicitud apoyo gestión inscripción definitiva de S.A. - gestión: 202510ACT7E08504E</t>
  </si>
  <si>
    <t>DAC/GRC Pacific Villa Hermosa</t>
  </si>
  <si>
    <t>NIT 71440038  está solicitando la sincronización de las facturas correspondientes a los meses de mayo, junio y julio indica que solo aparecen en la consulta de DTE mas no en la planilla IVA.</t>
  </si>
  <si>
    <t>Solicitud apoyo gestión Actualización de Datos del RTU - GESTIÓN: 202511ACTFFB52AE0</t>
  </si>
  <si>
    <t>DAC/GRC Sacatepéquez</t>
  </si>
  <si>
    <t>Solicitud apoyo gestión de Inscripción de Primer NIT - Gestión: 202510INSA5CEE813</t>
  </si>
  <si>
    <t>DAC/GRN Malacatán</t>
  </si>
  <si>
    <t>NIT 37002295 indica que está llenando el formulario SAT 2799 y al momento de colocar su NIT le indica que no existe número de colegiado para la profesión de Abogado y Notario. </t>
  </si>
  <si>
    <t>31100988
13252887
98765264</t>
  </si>
  <si>
    <t>Inconveniente en formulario SAT-2799 No existe número de colegiado para la profesión de Abogado y Notario</t>
  </si>
  <si>
    <t>Inconvenientes con generar la constancia de resolución de habilitación de libros.</t>
  </si>
  <si>
    <t>Solicitud apoyo verificación con el sistema de AV - Error el DPI se encuentra vencido, pero ya cuenta con nuevo DPI</t>
  </si>
  <si>
    <t>IAC/Departamento de Normatividad</t>
  </si>
  <si>
    <t>Ticket generado por el Departamento de Normatividad</t>
  </si>
  <si>
    <t>NIT 63333015  está realizando el cese de actividades con la gestión 202511CESEC7BE6777 , indica que el requerimiento de las declaraciones del ISR no corresponden debido a que se cambió al régimen de pequeño contribuyente a partir de julio 2025. </t>
  </si>
  <si>
    <t>NIT 98765264 indica que está llenando el formulario SAT 2799 y al momento de colocar su NIT le indica que no existe número de colegiado para la profesión de Abogado y Notario. </t>
  </si>
  <si>
    <t>Solicitud apoyo Sincronización de formulario SAT-1311.</t>
  </si>
  <si>
    <t>Brando Geobany Avila</t>
  </si>
  <si>
    <t>Solicitud apoyo sincronización con LET para la impresión de folios.</t>
  </si>
  <si>
    <t>Verificación para la solicitud de primer NIT para el CUI extranjero domiciliado 4215024520101</t>
  </si>
  <si>
    <t>Activación en la sección de Características Especiales el Asalariado para el NIT. 17882036</t>
  </si>
  <si>
    <t>NIT 9831851 aparece que la característica especial de Gestor Tributario está Activo y vigente hasta el 01/12/2024, pero su gafete electrónico menciona que su fecha de vencimiento es el 01/12/2025, se realiza la lectura del QR que está en el gafete y en efecto dice fecha 01/12/2025.</t>
  </si>
  <si>
    <t>Consulta sobre la continuidad de folios al interrumpir el mismo por un cambio de régimen.</t>
  </si>
  <si>
    <t>Solicitud apoyo Corrección de folios con el uso de LET.</t>
  </si>
  <si>
    <t xml:space="preserve">Constancia de envío inventarios NIT 111905958
</t>
  </si>
  <si>
    <t>NIT 116055111 indica que está actualizando datos con la gestión 202511ACT25C89B9A, informa que la multa la realizó con otro formulario, sin embargo, le siguen solicitando el pago de la misma. </t>
  </si>
  <si>
    <t>NIT 93489560 está realizando el cese de actividades con la gestión 202511CESE821C6912, de acuerdo con el Dictamen DIC-SAT-IAJ-I-340-2024 de fecha 13/08/2024 el contribuyente no está obligado a presentar las declaraciones durante el período que se encontraba suspendido. </t>
  </si>
  <si>
    <t>Sincronización de afiliación IVA pequeño contribuyente NIT 92529828</t>
  </si>
  <si>
    <t>El contribuyente quiere realizar un tramite de cambio de placas numéricas a numeración actual y activación, pero en la Agencia de Carretera a El Salvador le han indicado que no hay sistema de expertaje.</t>
  </si>
  <si>
    <t>El contribuyente indica que no le apoyan con gestión de actualización  en Agencia Escuintla Mary Center, al realizar la llamada se le indica que vuelva a la agencia y le asignaron cita para que ingrese</t>
  </si>
  <si>
    <t>El contribuyente 81747241 indica rechazo de su gestión de reposición de placas por deterioro, la boleta de requerimiento indica lo siguiente: adjuntar placa legible para poder realizar Reposición de placas o adjuntar denuncia de extravío de placas</t>
  </si>
  <si>
    <t>Consulta respecto a omisos de IVA e ISR que no generó el sistema.</t>
  </si>
  <si>
    <t>21051348
116079347</t>
  </si>
  <si>
    <t>Solicitud apoyo sincronización de datos correctos en formularios SAT 1311.</t>
  </si>
  <si>
    <t>Verificación de copia en correos sobre gestión de confirmación de traspaso.</t>
  </si>
  <si>
    <t>Necesito que se me verifique e INACTIVE la afiliación al ISR, ya que me encuentro en el régimen general de tributación.</t>
  </si>
  <si>
    <t>Activación de la característica de Asalariado, para contribuyente que se encuentra en el ISR Opcional Mensual</t>
  </si>
  <si>
    <t>NIT 50493655 tiene la gestión de activación 202511AV397CC8EB la cual se encuentra en estado "Reasignada por rechazo" y en virtud que no tiene un usuario asignado para reportar el inconveniente, solicitamos el apoyo para que la gestión sea atendida por un revisor. </t>
  </si>
  <si>
    <t>NIT 94281106 está actualizando datos con la gestión 202511ACT246FC788, indica que el pago de la multa lo realizó con otro formulario, solicita apoyo para verificar. </t>
  </si>
  <si>
    <t>Tribunal octavo de sentencia Penal, desean realizar una cancelación de un traspaso, esto debido a que se emitió una sentencia absolutoria y por esta razón desean cancelarlo, el contribuyente desea saber el procedimiento para realizar esa cancelación del trámite. </t>
  </si>
  <si>
    <t xml:space="preserve">NIT 11976179 solicita apoyo para la gestión de actualización de datos 202511ACT0B3E6294 </t>
  </si>
  <si>
    <t>Inconveniente en ingreso a app SAT GT.</t>
  </si>
  <si>
    <t>IAC - UTS</t>
  </si>
  <si>
    <t>NIT 6836321 está realizando actualización de datos con la gestión 202511ACT19935810, le solicitaron adjuntar documentos más legible, indica que ya lo realizó pero le vuelven a rechazar la gestión. </t>
  </si>
  <si>
    <t>Sincronización de información de la afiliación NIT 59546573</t>
  </si>
  <si>
    <t>El contribuyente NIT 17215773 solicita apoyo para visualizar las facturas en la Planilla IVA debido a que solo le aparecen de unos meses.</t>
  </si>
  <si>
    <t>Solicitud apoyo Verificación con el sistema de AV para solicitud de usuario.</t>
  </si>
  <si>
    <t>IAC - Departamento de Normatividad</t>
  </si>
  <si>
    <t>Ticket generado por el Depto. de Normatividad</t>
  </si>
  <si>
    <t>Consultar las gestiones que se encuentren en el sistema, con el pasaporte N03913361 de los Estados Unidos Mexicanos.</t>
  </si>
  <si>
    <t>IRE - Departamento de Registros Tributarios</t>
  </si>
  <si>
    <t>NIT 9182055 solicita la eliminación del incumplimiento "Renuente a incorporarse al régimen FEL", realizó cese prescrito y cuenta con la característica especial de emisor factura electrónica en estado "inactivo"</t>
  </si>
  <si>
    <t>Nit 43244998 no puede emitir facturas</t>
  </si>
  <si>
    <t>El contribuyente NIT indica rechazo de su gestión de activación de vehículo, la boleta de requerimiento indica lo siguiente: Estimado contribuyente favor de rectificar el formulario 8933 colocando por extravió de Tarjeta, Certificado de propiedad, y placa, llevarlo con un abogado para que lo autentique.</t>
  </si>
  <si>
    <t>El contribuyente NIT 30024560 se comunicó al Contact Center indicando que está realizando la gestión de Cese No. 202511CESE54A19DCE dentro del comentario del rechazo indica: "Presentarse al nivel 12 oficina 1210 edificio Dubái center zona 10 a resolver los recargos que tiene pendiente.presentar las siguientes declaraciones pendiente de pequeño contribuyente de los meses de enero, febrero, marzo y abril 2025." el contribuyente manifiesta lo siguiente "para cancelar el establecimiento a nombre de  Manolo Everildo Chuga Calderón con nit 30024560 con fecha de inicio de operaciones 22/05/2025, la misma fue rechazada porque según el comentario recibido, existen recargos pendientes de los meses de enero 2025 a abril 2025, por lo que se hace mención que en dichas fechas no existía establecimiento activo, pues el establecimiento anterior fue cancelado con fecha 01/01/2025, por lo cual se solicita poder corregir en el sistema el error, para poder hacer la gestión correctamente."</t>
  </si>
  <si>
    <t xml:space="preserve">El contribuyente NIT 23583568 indica rechazo de su solicitud de actualización No.  202511ACTCA7832CC dentro de los comentarios de rechazo se encuentra "Por favor adjuntar el documento completo que le certifico el archivo general de protocolo mas la constancia de gobernacion.(para ambas cancelaciones) (usted adjunta un autentica la cual no se puede aceptar)", el contribuyente solicita que la persona que le está revisando su solicitud se puede comunicar con ella ya que ella no entiende que documentos tiene que cargar además de los que ella está adjuntando, según ella adjunta todo correctamente. </t>
  </si>
  <si>
    <t>GRC/Sacatepequez</t>
  </si>
  <si>
    <t>NIT 99412144 está realizando actualización de datos con la gestión 202511ACTDEA5097B, indica que la factura de servicios que está subiendo es reciente y solicita que se verifique nuevamente</t>
  </si>
  <si>
    <t>NIT 60494468 está realizando una gestión de característica especial de productor 202511CEPR8C2F4AE6, la misma se encuentra en proceso de asignación desde el 18/11/2025.</t>
  </si>
  <si>
    <t>SAT 2237 desde la AV</t>
  </si>
  <si>
    <t>NIT 120577666 no puede utilizar el LET Régimen General, le indica que no tiene autorización de libros, sin embargo, el contribuyente solicitó habilitación de libros el 30/06/2025 con formulario 47299801115 y acceso 670545230, al consultar la resolución no muestra el establecimiento al cual corresponde la habilitación. </t>
  </si>
  <si>
    <t>Consulta expertaje 2019 en formulario SAT-8933 - NIT 6027334  placa O-962BBV</t>
  </si>
  <si>
    <t>NIT 75727706 está solicitando usuario de agencia virtual, al ingresar en la gestión le indica que su DPI está vencido. </t>
  </si>
  <si>
    <t>NIT 8286345 está realizando la gestión de cese de actividades, en donde le indican que tiene inconsistencias, sin embargo, el indica que en la consulta de incumplimientos no le aparece ninguna inconsistencia.  </t>
  </si>
  <si>
    <t> gestión de activación de agencia virtual del NIT 29295807 le indica que el DPI está vencido, tiene la constancia de reposición del DPI. </t>
  </si>
  <si>
    <t>Solicitud apoyo verificación con el sistema de AV no reconoce el DPI nuevo - NIT 103258094</t>
  </si>
  <si>
    <t>Solicitud apoyo gestión Actualización de datos de RTU - NIT: 1981706</t>
  </si>
  <si>
    <t>DAC/GRC Chimaltenango</t>
  </si>
  <si>
    <t>10358370K</t>
  </si>
  <si>
    <t>Solicitud apoyo en verificación LET Pequeño Contribuyente apartado de compras - NIT 10358370K</t>
  </si>
  <si>
    <t xml:space="preserve">cambio de correo electrónico gestión 202511AV0ED2E6B4 </t>
  </si>
  <si>
    <t xml:space="preserve">gestión 202510ACT5DF1A0B2 </t>
  </si>
  <si>
    <t>El contribuyente NIT 120100371 indica rechazo de su solicitud de actualización No.  202511ACTAE02E9A5 dentro de los comentarios de rechazo se encuentra "Registrar correctamente los datos completos de la dirección según factura adjunta, no utilizar abreviaturas.", el contribuyente indica que la está ingresando como esta en la factura.</t>
  </si>
  <si>
    <t>Inactivar o retirar la marca características especiales de “Asalariado – Activo” del RTU NIT 46092277</t>
  </si>
  <si>
    <t>MEM-SAT-IAC-DGS-UST-187-2025</t>
  </si>
  <si>
    <t>El contribuyente NIT 68715633 manifesta que está realizando la gestión de solicitudes de Devolución de Pagos Indebidos sobre el formulario SAT-7130 No. 49192487343; sin embargo, el sistema le muestra el siguiente mensaje:  Error: Pago en proceso de registrado, favor intentar nuevamente dentro de los próximos 5 días</t>
  </si>
  <si>
    <t xml:space="preserve">IRE / Departamento de Cumplimiento Tributario
</t>
  </si>
  <si>
    <t>El contribuyente NIT 8028397 manifiesta que solicito facilidades de pago por omisos del Regimen de Pequeño Contribuyente Electrónico y el Regimen de Pequeño Contribuyente, realizó la solicitud de convenio por medio del correo; sin embargo, le indicaron que no aplica convenio a Pequeño Contribuyente Electrónico que cualquier duda se comunicara al teléfono 23297070 extensión 4211 o 4222 y en la extensión 4211 le indicó un caballero que no aplica porque es Pequeño Contribuyente Electrónico y que si quería se comunicara al a extensión 4235.</t>
  </si>
  <si>
    <t>Consulta sobre gestión de inscripción de NIT con documento de Prórroga de Pasaporte - Gestión: 202511INSE9A69908</t>
  </si>
  <si>
    <t>DAC/GRC Monserrat</t>
  </si>
  <si>
    <t>No le aparecen omisos desde que se inscribió marzo a julio 2025 y no tiene presentación de declaraciones en esa fecha/ NIT 376502592</t>
  </si>
  <si>
    <t>Consultar las gestiones que se encuentran en el sistema, con el pasaporte G41166798, de los Estados Unidos Mexicanos 
Correo: sergio.garcia@darosagt.com</t>
  </si>
  <si>
    <t>NIT 89119088 realizó cese prescrito, sin embargo, el verificar le muestra el incumplimiento de "Renuente a incorporarse al Régimen FEL". </t>
  </si>
  <si>
    <t>Solicitud apoyo asignación de gestión 20/11/2025 - Gestión: 202511INS7A8DE6AC
Correo: amilcartox@gmail.com</t>
  </si>
  <si>
    <t>NIT 8223300 necesita realizar una gestión de activación de la característica de abogado y notario, indica que ya borró historial de navegación y cookies sin embargo, el sistema se queda pensando y no puede continuar con la gestión. </t>
  </si>
  <si>
    <t>gestión 202511ACT84BEECE9 en revisión</t>
  </si>
  <si>
    <t>GRC/Carretera</t>
  </si>
  <si>
    <t>gestiones Gestiones 202511INSA2A8E3AC,  202511INSEE686611 y 202511INSEB898D5D</t>
  </si>
  <si>
    <t>El contribuyente NIT 112153259 menciona que no le aparece la Característica especial de Emisor de Factura Electrónica en Línea y en su consulta integrada le da el siguiente alertivo: CONTRIBUYENTE RENUENTE A INCORPORARSE A RÉGIMEN FEL, comenta que desde enero 2022 se encuentra inscrito como pequeño contribuyente y que ha utilizado la factura FEL</t>
  </si>
  <si>
    <t>cese de inscripción en el padron de importadores</t>
  </si>
  <si>
    <t>Normativo IA</t>
  </si>
  <si>
    <t>consulta de la mesa de trazabilidad CECOMS</t>
  </si>
  <si>
    <t>Solicitud apoyo gestión de actualización de datos del contribuyente - NIT: 100971105</t>
  </si>
  <si>
    <t xml:space="preserve">gestión 202511ACTF1B61708 </t>
  </si>
  <si>
    <t>Contribuyente escribió al buzón de efactura desde el correo electrónico ileanapinto22202@gmail.com  y no le han dado respuesta y no ha podido facturar desde el 04/11/2025.</t>
  </si>
  <si>
    <t>El contribuyente NIT 84750405 se comunicó al Contact Center indicando que está realizando la gestión de Cese No. 202510CESE4CEDA225 dentro del comentario del rechazo indica: "Señor Contribuyente debe de tener las declaraciones de ambos régimen que ha estado inscrito, mientras espera que le resuelvan el recargo, debe de arreglar por fechas sus declaraciones y los folios de los libros. Se envía la solicitud donde corresponde, debe de enviar su gestión en 10 días hábiles a partir de mañana. Tiene que adjuntar las facturas de la ultima resolución o ver requisitos de la denuncia (escanear claramente la denuncia)." el contribuyente manifiesta que el día 5 de noviembre le indicaron que esperara 10 días hábiles para que le reconocieran o resolvieron un recargo que tenia que para mientras tratara de ordenar las declaraciones y libros sin embargo el día 19 de noviembre cumpliéndose los 10 días, volvió a enviar la solicitud y le contestaron exactamente lo mismo, ahora consulta que si lo manda el día 5 de diciembre, para que no le contesten lo mismo.</t>
  </si>
  <si>
    <t>El contribuyente NIT 115261761 indica rechazo de su solicitud de actualización No.  202511ACTA9CD0FB5 dentro de los comentarios de rechazo se encuentra "Favor pagar la multa por aviso extemporáneo del Nombramientos del Representante Legal, Número de Formulario.49141569316 y Número de Acceso 791880894, FAVOR DE PAGAR LA MULTA PARA APROBAR SU GESTIÓN GRACIAS.", el contribuyente manifiesta que ya canceló la multa con el formulario SAT-0811 No. 49141569316 y Acceso 791880894 pagada el 17-11-2025.</t>
  </si>
  <si>
    <t>El contribuyente NIT 69240469 indica rechazo de su solicitud de actualización No.  202511ACTDBA3AC9D dentro de los comentarios de rechazo se encuentra "Estimado contribuyente se le solicita que adjunte la boteta de pago por la multa por aviso extemporaneo del representante legal, de no haber pagado la boleta se ajunta los datos para su respectivo pago Formulario 49199529846 acceso 127153539.", el contribuyente manifiesta que ya canceló la multa con el formulario SAT-0811 No. 49193105921.</t>
  </si>
  <si>
    <t xml:space="preserve">El contribuyente indica rechazo de su solicitud de inscripción de contribuyentes No.  20259INS2A588F57 dentro de los comentarios de rechazo se encuentra "Corrregir casilla tipo de documento de constitucion por testimonio de escritura. *Consignar razon social con forme a la escritura. *Representante legal debe de tener actualizados sus datos de RTU.", el contribuyente manifiesta que la razón social original sufrió un cambio, pero se adjunta la ampliación de la escritura. </t>
  </si>
  <si>
    <t>El contribuyente NIT 120707152 indica rechazo de su solicitud de actualización No.  202510ACT97C4815D dentro de los comentarios de rechazo se encuentra "Estimado contribuyente se le solicita que debe de corregir las casillas: Número de documento de constitución, Fecha de constitución, en base a los documentos adjuntos.", el contribuyente manifiesta indica que el esta colocando el numero de constitución correcto que es el 42 y la fecha de constitución correcta</t>
  </si>
  <si>
    <t>Solicitud apoyo gestión de Actualización de Datos - NIT: 12550914</t>
  </si>
  <si>
    <t>DAC/GRC Carretera a El Salvador</t>
  </si>
  <si>
    <t xml:space="preserve">gestión 202511ACT533EF114 </t>
  </si>
  <si>
    <t xml:space="preserve">gestión 202511CESEA016BD69 </t>
  </si>
  <si>
    <t>NIT 12041262, está tratando de actualizar su registro de colegiado pero no le permite adjuntar la constancia, le indica que ya aparece Registro de colegiado para la profesión seleccionada, verificando los datos tiene 2 registros uno inactivo y el activo es el que no le permite actualizar. </t>
  </si>
  <si>
    <t> NIT 5210291 necesita activar el vehículo  P0-873FDS,  pero al momento de realizar la autorización de activación desde la Agencia Virtual, no le aparece el check para autorizar la gestión. El vehículo lo inactivaron en el año 2019 por retiro definitivo.</t>
  </si>
  <si>
    <t>Importador ALZA E IMPORTACIÓN DE VEHÍCULOS</t>
  </si>
  <si>
    <t>833594K</t>
  </si>
  <si>
    <t>NIT 833594K está reportando error de servidor al llenar el formulario Devolución de pagos indebidos, se le apoyo para borrar historial de navegación y cookies e intentar en otro navegador, pero le muestra el mismo mensaje. </t>
  </si>
  <si>
    <t xml:space="preserve">IRE/Departamento de Cumplimiento Tributario
</t>
  </si>
  <si>
    <t>NIT 31590756 indica que escribió al buzón de efactura del correo electrónico bpichiya@mineduc.gob.gt   Tel . 48517305 Ever Tepeque indica que no puede facturar y que ya borro historial y cookies y no le permite</t>
  </si>
  <si>
    <t>NIT 2600552 solicita inactivación de característica especial de asalariado</t>
  </si>
  <si>
    <t>MEM-SAT-IAC-DGS-UST-189-2025</t>
  </si>
  <si>
    <t>Solicito su apoyo para sincronizar las afiliaciones del contribuyente, debido a que, no ha replicado en RTU Oracle - NIT: 120701170</t>
  </si>
  <si>
    <t xml:space="preserve">gestión 202511ACT77FD9000 </t>
  </si>
  <si>
    <t>NIT 13732277 realizó cese prescrito, sin embargo, el verificador le muestra el incumplimiento de "Renuente a incorporarse al Régimen FEL". </t>
  </si>
  <si>
    <t>NIT 89577000 está reportando que no le permite realizar la gestión de pagos indebidos, el sistema le muestra el mensaje de "Error de Servidor"</t>
  </si>
  <si>
    <t>M839FNX</t>
  </si>
  <si>
    <t>Solicitud apoyo verificación de gestión Solicitud de Inscripción NIT - Gestión: 202511INS7F4B563E CUI 3201764360501</t>
  </si>
  <si>
    <t>El contribuyente se comunicó al Contact Center de SAT indicando que su gestión de Inscripción de Contribuyentes No. 202511INS0753574E fue rechazada con requerimiento y muestra el siguiente comentario "fecha de nacimiento corregirla", el contribuyente manifiesta que esta colocando la fecha correcta.</t>
  </si>
  <si>
    <t>El contribuyente NIT 119995107 se comunicó al Contact Center de SAT indicando que su gestión de Actualización de datos No. 202511ACT9F629249 fue rechazada con requerimiento y muestra el siguiente comentario "se le solicita pago de multa por aviso de inscripcion extemporaneo", el contribuyente manifiesta que esta corrigiendo sobre el nombramiento ya cargado en el RTU Digital y que fue aprobado con fechas incorrectas en su oportunidad.</t>
  </si>
  <si>
    <t xml:space="preserve">el contribuyente indica rechazo de su solicitud de inscripción de contribuyentes No.  202511INSE5BAEC02 dentro de los comentarios de rechazo se encuentra "Favor presentarse a una agencia u oficina tributaria para finalizar su gestión.", el contribuyente indica que selecciono la actividad económica de estudiante y el rechazo indica presentarse a una agencia a finalizar su gestión por lo que necesita que se le indique él motivo. </t>
  </si>
  <si>
    <t>sinc AV</t>
  </si>
  <si>
    <t>Solicitud apoyo gestión de actualización de datos del RTU - NIT: 120438399</t>
  </si>
  <si>
    <t>El contribuyente NIT 115545948 indica rechazo de su solicitud de actualización No.  202511ACTDF128D4D dentro de los comentarios de rechazo se encuentra "Estimado contribuyente atender únicamente lo solicitado en comentario adicional: Cancelar la gestión, Según Decreto 37-92 Artículo 5, se solicita el timbre fiscal en el razonamiento del R.M. Falta timbre fiscal en documento del registro mercantil.", el contribuyente manifiesta que el documento indicado tiene adjunto el timbre solicitado</t>
  </si>
  <si>
    <t>Solicitud apoyo gestión de característica especial abogado y notario - NIT: 5421772</t>
  </si>
  <si>
    <t>sincronización del establecimiento No. 198 del contribuyente NIT 111890357</t>
  </si>
  <si>
    <t>Se reportó, está clasificado como Grande Especial</t>
  </si>
  <si>
    <t>Consulta suspensión de afiliación al  IVA según artículo 120 del Código Tributario - NIT: 81733887</t>
  </si>
  <si>
    <t>Solicitud apoyo gestión de actualización de datos del RTU Digital - NIT: 107924250</t>
  </si>
  <si>
    <t>NIT 24666440 realizó cese prescrito, sin embargo el verificador integrado le muestra el incumplimiento "Renuente a incorporarse al Régimen FEL".</t>
  </si>
  <si>
    <t>El contribuyente NIT 45308624 se comunicó al Contact Center de SAT indicando que su gestión de Cese definitivo No. 202511CESEB7EE4F0E fue rechazada con requerimiento y muestra el siguiente comentario "Debe adjuntar el folio donde se registro el ultimo movimiento, debe adjuntar recisión de contrato em Guatecompras existe contrato vigente.", el contribuyente manifiesta que tiene un contrato vigente en Guatecompras pero es por otro establecimiento de servicios que tiene activo.</t>
  </si>
  <si>
    <t>El contribuyente NIT 23129271 se comunicó al Contact Center de SAT indicando que su gestión de Característica Especial de Productor No. 202511CEPR17AD535A está con el estado para revisión desde el 25-11-2025.</t>
  </si>
  <si>
    <t>2714738K</t>
  </si>
  <si>
    <t>Solicitud de registro de número de expertaje en  formulario SAT-8933 - NIT: 2714738K</t>
  </si>
  <si>
    <t>IAC/RFV</t>
  </si>
  <si>
    <t>informe de inventarios</t>
  </si>
  <si>
    <t xml:space="preserve"> Consultar el objeto de la publicación en prensa libre hoy 28 de noviembre</t>
  </si>
  <si>
    <t>Comunicación Interna</t>
  </si>
  <si>
    <t xml:space="preserve">El contribuyente NIT 112186890 se comunicó al Contact Center de SAT manifestando que está realizando la gestión de solicitudes de Devolución de Pagos Indebidos sobre el formulario SAT-2237 No. 47274542113; sin embargo, el sistema le muestra el siguiente mensaje:  Error del servidor, comuníquese con SAT
</t>
  </si>
  <si>
    <t>Se contactó al contribuyente y el indica que fue solventado el inconveniente,</t>
  </si>
  <si>
    <t>Solicitud apoyo verificación suspensión de afiliación al IVA Pequeño Contribuyente - NIT: 54716489
Tel: 59709425</t>
  </si>
  <si>
    <t>indica si se cuenta con drones para el contrabando y defraudación aduanera</t>
  </si>
  <si>
    <t>IAC</t>
  </si>
  <si>
    <t xml:space="preserve">gestión  202511ACT409514F0 </t>
  </si>
  <si>
    <t>asignación de folios</t>
  </si>
  <si>
    <t>no le permite actualizar datos ni con la versión 003 ni 004 y está enviando la certificación del DPI</t>
  </si>
  <si>
    <t>Normativo IRE</t>
  </si>
  <si>
    <t>planilla no le muestra todas las facturas, le faltan los meses  de mayo a julio 2025</t>
  </si>
  <si>
    <t>NIT 120607867 reporta que el formulario SAT 2237 generado desde la agencia virtual le está dando un monto mayor de impuesto, según las facturas emitidas por el contribuyente. </t>
  </si>
  <si>
    <t>Sincronizar el establecimiento comercial del contribuyente, debido a que, no ha replicado en RTU Oracle - NIT: 68694490</t>
  </si>
  <si>
    <t>NIT 118539779 reporta que el formulario SAT 2237 generado desde AV no está reflejando las facturas cambiarias y facturas que aplica en otras compras. </t>
  </si>
  <si>
    <t>característica asalariado régimen general</t>
  </si>
  <si>
    <t>libro electrónico, facturas de combustible</t>
  </si>
  <si>
    <t>Solicitud apoyo gestión Actualización de Datos del RTU, rechazo pago de multa  - NIT: 57623554</t>
  </si>
  <si>
    <t>DAC/GRC Galerías Prima</t>
  </si>
  <si>
    <t>En consulta DTE  al emitit la CIVA  da error Elmonto exento de IVA  es diferente al total de IVA  del documento origen</t>
  </si>
  <si>
    <t xml:space="preserve"> El caso es que el Diplomático quiere ingresar la factura y le da el error  "X  esta factura ya fue ingresada al sistema, revisar datos"</t>
  </si>
  <si>
    <t>IRE/Departamento Herramientas</t>
  </si>
  <si>
    <t>El proveedor consulta si puede presentar las constancias emitidas en sistema exeniva y en FEL reportarlas en el for 2237</t>
  </si>
  <si>
    <t>El contribuyente NIT 35822589 indica rechazo de su solicitud de actualización No.  202511ACT96308C18 dentro de los comentarios de rechazo se encuentra "DEBE ADJUNTAR CONSTANCIA DE COLEGIADO ACTIVO DE FECHA RECIENTE.", el contribuyente manifiesta que el documento que está adjuntando esta vigente</t>
  </si>
  <si>
    <t>0789595 y 7206070</t>
  </si>
  <si>
    <t>Los contribuyentes NIT 80789595 y 7206070 indican que tienen problema al generar el formulario de pequeño contribuyente desde la APP. FEL }</t>
  </si>
  <si>
    <t>Nit 71184902 activar C E Asalariado</t>
  </si>
  <si>
    <t>inactivo padrón de importadores</t>
  </si>
  <si>
    <t>inactivar la característica asalariado</t>
  </si>
  <si>
    <t>MEM-SAT-IAC-DGS-UST-196-2025</t>
  </si>
  <si>
    <t>Inactivar o retirar la marca características especiales de “Asalariado – Activo” del RTU NIT 19823762</t>
  </si>
  <si>
    <t>MEM-SAT-IAC-DGS-UST-194-2025</t>
  </si>
  <si>
    <t>Inactivar o retirar la marca características especiales de “Asalariado – Activo” del RTU NIT 5287049</t>
  </si>
  <si>
    <t>MEM-SAT-IAC-DGS-UST-195-2025</t>
  </si>
  <si>
    <t xml:space="preserve">gestión 202511ACT5F1DB07E </t>
  </si>
  <si>
    <t>NIT 89833023 no le muestra la opción para seleccionar tipo de factura.  Se borró historial, se verificó en otro navegador y en pestaña incógnito</t>
  </si>
  <si>
    <t>NIT 60382791 tiene suspendida la afiliación del IVA y no tiene omisos pendientes. </t>
  </si>
  <si>
    <t xml:space="preserve">cese de actividades </t>
  </si>
  <si>
    <t>NIT 12472654 quiere realizar cese de actividades, sin embargo, le muestra que tiene expedientes activos</t>
  </si>
  <si>
    <t>IAD</t>
  </si>
  <si>
    <t xml:space="preserve">gestión 202511ACTC2E6AE81  </t>
  </si>
  <si>
    <t xml:space="preserve">cese gestión 202511CESE0BB6A515 </t>
  </si>
  <si>
    <t xml:space="preserve">NIT 89833023 indica que no puede facturar, presentó sus declaraciones omisas el día 02/12/2025, indica que escribió al buzón de efactura del correo electrónico adepaz@muniguate.com y que le urge facturar. </t>
  </si>
  <si>
    <t>dirección de correo angel.itzep@nexia.gt</t>
  </si>
  <si>
    <t>Solicitud apoyo gestión Actualización de Datos del RTU pago de multa - NIT: 107777851</t>
  </si>
  <si>
    <t>Solicitud apoyo gestión de cambio de correo de Agencia virtual "Reasignada por rechazo" - NIT 64887308</t>
  </si>
  <si>
    <t>IAC/Normatividad</t>
  </si>
  <si>
    <t xml:space="preserve">Solicitud apoyo gestión en la Actualización de datos, error en la afiliación - NIT: 80950027 </t>
  </si>
  <si>
    <t>error en folios</t>
  </si>
  <si>
    <t>481567K</t>
  </si>
  <si>
    <t>Solicitud de Pagos Indebidos Usuario de Zona Franca NIT 102310122</t>
  </si>
  <si>
    <t>Solicitud de Pagos Indebidos Remanente de Retenciones de IVA</t>
  </si>
  <si>
    <t xml:space="preserve">Informar que recibimos una correspondencia de ustedes dirigida a JIN &amp; DU, S.A. NIT 94388121, quienes tienen consignado como dirección fiscal BLVR los Próceres 24-69 Zona 10, oficina 410 Nivel 4. Sin embargo no indica Torre. Informo que la notificación fue dada en el mismo edificio Torre 2 of. 410, dirección que no corresponde a dicha empresa.
</t>
  </si>
  <si>
    <t>NIT 93899823 necesita realizar una gestión de cese de actividades sin embargo, le indica que tiene expedientes activos.</t>
  </si>
  <si>
    <t>NIT 41600371 indica que está realizando una actualización de datos, le están solicitando el pago de multa por el aviso extemporáneo, sin embargo argumenta que no está realizando ninguna modificación de Representación Legal ya que cuentan con un representante activo.</t>
  </si>
  <si>
    <t>NIT 120739151 está realizando actualización de datos con la gestión 202511ACT144CF374, indica que le están solicitando la resolución del Ministerio de Educación, indica que el establecimiento que está inscribiendo será afecto y emitirá factura por los servicios prestados pues se trata de una librería. </t>
  </si>
  <si>
    <t>gestión 202512ACTFDF2FEC6</t>
  </si>
  <si>
    <t>gestión 202511ACT94F6EF28</t>
  </si>
  <si>
    <t>NIT 120740168 gestión 202511ACT7C0788CE quieren terminar la actualización de datos, pero tiene un rechazo la gestión no permite finalizarla, porque en el paso 3 de ubicaciones no permite avanzar, solicita que le puedan apoyar en habilitar la gestión y se pueda completar porque no quiere cancelar dicha gestión, para iniciar una nueva.</t>
  </si>
  <si>
    <t>GRC/Sacatapéquez</t>
  </si>
  <si>
    <t>El contribuyente NIT 95439587 manifiesta que realizó la gestión de cese de actividades en el año 2019 del único establecimiento que poseía pero el NIT no se inactivo aún siendo el contribuyente una Sociedad Anónima.</t>
  </si>
  <si>
    <t>El contribuyente NIT 10469925 se comunicó al Contact Center de SAT manifestando que está realizando la gestión de solicitudes de Devolución de Pagos Indebidos sobre el formulario SAT-2311; sin embargo, el sistema le muestra el siguiente mensaje al darle Validar:  Error del servidor, comuníquese con SAT</t>
  </si>
  <si>
    <t>La Universidad Rural de Guatemala nos indican el siguiente inconveniente: actualmente se está llevando a cabo el proceso de traspaso de un vehículo comercial, siendo este el Camión Marca HINO con Placa C0-521BWM y Tonelaje de 3.4., el cual la Universidad comprará. Por indicaciones de SAT, se indicó que debíamos cambiar las placas del vehículo a particular, dado que nuestra entidad no puede contar con un vehículo comercial dentro de los activos, por ello se comenzó el trámite para realizar dicho cambio. Sin embargo, cuando el Expertaje revisó el vehículo mencionaron que éste, por el tamaño de acuerdo a su tonelaje, no era posible que la placa fuera particular, impidiendo el avance del trámite correspondiente.</t>
  </si>
  <si>
    <t>Solicitud apoyo gestión de actualización de datos del RTU - NIT: 108485919</t>
  </si>
  <si>
    <t>Solicitud apoyo gestión de cese actividades de copropiedad de empresa - NIT: 118720899</t>
  </si>
  <si>
    <t>DAC/GRN Chiquimula</t>
  </si>
  <si>
    <t>Solicitud apoyo gestión de solicitud de pagos indebidos - NIT 71882375</t>
  </si>
  <si>
    <t>Angel Sebastián Díaz</t>
  </si>
  <si>
    <t>Solicitud apoyo gestión de Solicitud de Usuario AV - NIT: 29295807 carlossantos3126@gmail.com  TEL 59760682</t>
  </si>
  <si>
    <t>Sincronizar el establecimiento comercial número 2 del contribuyente, debido a que, no ha replicado en RTU Oracle - NIT: 27684245</t>
  </si>
  <si>
    <t>Solicitud apoyo verificación del ISCV de vehículo inactivo por retiro definitivo - NIT: 6471269</t>
  </si>
  <si>
    <t>Consulta habilitación de Libros de forma extemporánea - NIT: 120451093</t>
  </si>
  <si>
    <t>Solicitud apoyo en consulta de vehículos con placa comercial - NIT: 4799542</t>
  </si>
  <si>
    <t>Solicitud apoyo sincronización de incumplimiento de renuente a incorporarse FEL - NIT: 26070219</t>
  </si>
  <si>
    <t>Solicitud apoyo seguimiento a gestión de solicitud de usuario de AV - NIT: 41615565</t>
  </si>
  <si>
    <t>DAC/GRO Quetzaltenango</t>
  </si>
  <si>
    <t>gestión  202512ACTEF52F603</t>
  </si>
  <si>
    <t xml:space="preserve">gestión 202511CESE9800E0F1  </t>
  </si>
  <si>
    <t xml:space="preserve">gestión 202512ACTA2AD3DBF  </t>
  </si>
  <si>
    <t>gestión 202512ACT3CF3A2A2</t>
  </si>
  <si>
    <t>gestión 202511ACT0811C5DB</t>
  </si>
  <si>
    <t>El contribuyente NIT 66246482 se comunicó al Contact Center de SAT manifestando que está realizando la gestión de solicitudes de Devolución de Pagos Indebidos sobre el formulario SAT-1311; sin embargo, el sistema le muestra el siguiente mensaje:  Error del servidor, comuníquese con SAT</t>
  </si>
  <si>
    <t>Se contactó al contribuyente el 20-01-2026 y el indicó que ya no presenta el inconveniente.</t>
  </si>
  <si>
    <t>El contribuyente NIT 70564191 reporta inconveniente que realizó el pago del Libro de Pequeño Contribuyente pero LET no le reconoce los folios.</t>
  </si>
  <si>
    <t>IAC Normatividad</t>
  </si>
  <si>
    <t>El contribuyente NIT 79356419 se comunicó al Contact Center de SAT manifestando que en el Verificador Integrado le aparece el siguiente mensaje: Afiliación al Impuesto al Valor Agregado inactiva por suspensión, pero dentro del RTU no posee suspensión.</t>
  </si>
  <si>
    <t>El contribuyente NIT 83587012 se comunicó al Contact Center de SAT manifestando que en el Verificador Integrado le aparece el siguiente mensaje: Afiliación al Impuesto al Valor Agregado inactiva por suspensión, pero dentro del RTU no posee suspensión.</t>
  </si>
  <si>
    <t>El contribuyente NIT se comunicó al Contact Center indicando que está realizando la gestión Inscripción de contribuyentes No. 202510INSEFE36B12 la cual tiene el estado de Revisado, pero al llegar a la Oficina Tributaria de Chiquimula le emitieron una Boleta de Requerimiento en la que le indican lo siguiente: Nombramiento del Representante Legal debe ser a nombre de la Copropiedad, no del establecimiento comercial.</t>
  </si>
  <si>
    <t xml:space="preserve">gestión 202512ACTF96C659A </t>
  </si>
  <si>
    <t>característica asalariado para enviar planilla</t>
  </si>
  <si>
    <t>activación de AV y le solicita constancia de  DPI  y ya cuenta con el mismo</t>
  </si>
  <si>
    <t>luisfmonterroso@gmail.com</t>
  </si>
  <si>
    <t xml:space="preserve">1494037K </t>
  </si>
  <si>
    <t xml:space="preserve">estión 202511ACT907516D8 </t>
  </si>
  <si>
    <t>GRO/Petén</t>
  </si>
  <si>
    <t xml:space="preserve">LET General   error no corresponde, nos puede indicar de qué manera proceder </t>
  </si>
  <si>
    <t>El motivo de la presente es solicitar su apoyo ya que desde hace varios años me están llegando notificaciones de omisos relacionados con el nit 38192659, a nombre de COLEGIO PRIVADO RURAL MIXTO "HOGAR CAMPESTRE ADVENTISTA LOS PINOS" por ejemplo el aviso AVISO No. SAT-IRE-DCT-7867438192659-2025.</t>
  </si>
  <si>
    <t>El contribuyente NIT 32334869 indica que al intentar presentar el formulario SAT-2237 desde la Agencia Virtual este le indica que son Q26,915.00 y según facturas FEL el tiene Q25,469.00, manifiesta que ya revisó en varias ocasiones y ese es el monto facturado.</t>
  </si>
  <si>
    <t>El contribuyente NIT 92877265 indica que al congelar el formulario SAT-1352 No. 49301304064 le colocó el período imposición diciembre 2025 pero al momento de presentarlo le cambio a noviembre 2025.</t>
  </si>
  <si>
    <t>nit 25360469 activar C E Asalariado</t>
  </si>
  <si>
    <t>no le permite realizar su solicitud de AV, le indica que su DPI  está vencido</t>
  </si>
  <si>
    <t>Consulta respecto a Sincronización en inactivación de agencia virtual - NIT: 41915151</t>
  </si>
  <si>
    <t>SINC afiliaciones</t>
  </si>
  <si>
    <t>GESTIÓN 202512INSCCFE0B7D  DPI 3233469440509</t>
  </si>
  <si>
    <t>94928762
58120262
97300152</t>
  </si>
  <si>
    <t>MEM-SAT-IAC-DGS-UST-198-2025</t>
  </si>
  <si>
    <t xml:space="preserve">El contribuyente NIT 50650947 solicita apoyo para visualizar las facturas en la Planilla IVA debido a que no le aparecen.
</t>
  </si>
  <si>
    <t>El contribuyente NIT 7197128 solicita apoyo para visualizar las facturas en la Planilla IVA debido a que no le aparecen.</t>
  </si>
  <si>
    <t>El contribuyente NIT 119347806 esta inscrito con Tipo de Contribuyente Persona Jurídica Industria, pero manifiesta que esta realizando cambio del Régimen Sobre las Utilidades al Régimen Opcional Simplificado; sin embargo, al seleccionar la forma de calculo no le da la opción para seleccionar pago directo únicamente la opción de % definitivo sobre la base de la renta bruta obtenida.</t>
  </si>
  <si>
    <t xml:space="preserve"> El  señor Henry David Ramos López con DPI 3255462071012, realiza su gestión de solicitud de NIT, pero, el sistema le reconoce como fecha de vencimiento 21/10/2034, pero, al verificar el documento enviado por el contribuyente, dicho documento tiene como fecha de vencimiento 02/12/2035.</t>
  </si>
  <si>
    <t xml:space="preserve">El contribuyente NIT 76677133 se comunicó al Contact Center de SAT manifestando que en el Verificador Integrado le aparece el siguiente mensaje: Afiliación al Impuesto al Valor Agregado inactiva por suspensión, pero dentro del RTU no posee suspensión.
 </t>
  </si>
  <si>
    <t>El contribuyente NIT 79790267 se comunicó al Contact Center de SAT manifestando que en el Verificador Integrado le aparece el siguiente mensaje: Afiliación al Impuesto al Valor Agregado inactiva por suspensión, pero dentro del RTU no posee suspensión.</t>
  </si>
  <si>
    <t xml:space="preserve">gestión 202511CESE80907F2A </t>
  </si>
  <si>
    <t>gestión 202512ACT8F72D31B</t>
  </si>
  <si>
    <t xml:space="preserve">gestión 202511ACT18DD87A8 </t>
  </si>
  <si>
    <t xml:space="preserve">gestión 202512ACT2D772F15 </t>
  </si>
  <si>
    <t xml:space="preserve">gestión 202511CESE10454C63 </t>
  </si>
  <si>
    <t>sat 2237</t>
  </si>
  <si>
    <t xml:space="preserve">gestión 202512ACT3357F9DE   </t>
  </si>
  <si>
    <t xml:space="preserve">pagos indebidos no permite descargar el documento en la casilla de opciones en el icono de impresora.
</t>
  </si>
  <si>
    <t>gestión 202512ACTA88A8752</t>
  </si>
  <si>
    <t>solicitud de pagos indebidos de pequeño contribuyente</t>
  </si>
  <si>
    <t>El contribuyente NIT 12403407 indica rechazo de su solicitud de actualización No.  202512ACT538BB195 dentro de los comentarios de rechazo se encuentra "Estimado contribuyente atender únicamente el comentario adicional. *Adjuntar constancia de colegiado activo (Si su constancia no cuenta con la fecha de colegiado debe adjuntar también certificación de la fecha de colegiado)", el contribuyente solicita verificar la solicitud, ya que el documento cumple con los requisitos.</t>
  </si>
  <si>
    <t>El contribuyente NIT 114205116 solicita apoyo para la revisión de la gestión de Actualización 202512ACTFEE071CE, debido a que manifiesta que le han realizado requerimiento cada vez diferente e indica que le urge la gestión.</t>
  </si>
  <si>
    <t>El contribuyente NIT 306126346 reporta el inconveniente al ingresar a la Agencia Virtual este no le muestra el menú.</t>
  </si>
  <si>
    <t>Ticket generado por IAC/Normatividad</t>
  </si>
  <si>
    <t>El contribuyente se comunicó al Contact Center de SAT indicando que su gestión de Inscripción de Contribuyentes No. 202512INSA1B967A1 fue rechazada con requerimiento y muestra el siguiente comentario "La solicitud de Sociedades deberá iniciar a través de la plataforma de e-servicios del Registro Mercantil o bien en la ventanilla habilitada para el efecto en las instalaciones del Registro Mercantil y si ya esta inscrito revisar el link desde la agencia virtual del Representante para terminar el proceso de inscripcion.", el contribuyente manifiesta que se esta solicitado información de una sociedad anónima, cuando lo que se esta solicitando es la inscripción de una Asociación Civil.</t>
  </si>
  <si>
    <t>GRC/Galerias Prima</t>
  </si>
  <si>
    <t>El contribuyente NIT 6778410 indica rechazo de su Solicitud de Actualización No.  202511ACT41E0A674 dentro de los comentarios de rechazo se encuentra "verifique su abreviatura según su constitución.", el contribuyente solicita el apoyo en indicarle como debe ingresar el dato para que no se lo rechacen.</t>
  </si>
  <si>
    <t>El contribuyente 22078169 indica rechazo de su gestión de reposición de placas, la boleta de requerimiento indica lo siguiente: Para completar su tramite es necesario presentar denuncia de extravió de placas debidamente firmada y sellada por DEIC, rectificar formulario 8933 debe de realizar pago de reposición de tarjeta de circulación</t>
  </si>
  <si>
    <t>Se contactó al contribuyente 20-01-2026 y el indico que ya se habia solventado el inconveniente el día siguiente del reporte</t>
  </si>
  <si>
    <t>Sincronizar las direcciones comerciales de los establecimientos en RTU Oracle del contribuyente NIT 98441000</t>
  </si>
  <si>
    <t>necesita enviar la planilla</t>
  </si>
  <si>
    <t>no le permite restablecer contraseña</t>
  </si>
  <si>
    <t>SINC  establecimiento</t>
  </si>
  <si>
    <t>Solicitud apoyo cierre de libros LET para pequeño contribuyente - NIT: 6041914   +50257380728      hugojuarezpaiz@gmail.com</t>
  </si>
  <si>
    <t>Solicitud apoyo sincronización del verificador integrado por registro de incumplimientos - NIT: 77168860
Tel: 39067958</t>
  </si>
  <si>
    <t xml:space="preserve">550287K </t>
  </si>
  <si>
    <t>no le permite enviar semestre 2025 a través de la AV</t>
  </si>
  <si>
    <t>Consultar las gestiones que se encuentran con el pasaporte E1925624</t>
  </si>
  <si>
    <t>Iveth Nohemí Hernández</t>
  </si>
  <si>
    <t>Solicitud apoyo gestión de Actualización de datos - NIT: 63968827 /  miguelitonto25@gmail.com</t>
  </si>
  <si>
    <t>Consultar las gestiones que se encuentran con el pasaporte A61845888 emitido en Estados Unidos</t>
  </si>
  <si>
    <t>Solicitud apoyo gestión de Actualización de RTU - NIT: 119290324 (Estado PARA REVISIÓN DESDE EL 9/12/25)</t>
  </si>
  <si>
    <t>DAC/GRC San Rafael II</t>
  </si>
  <si>
    <t xml:space="preserve">Inactivar o retirar la marca características especiales de “Asalariado – Activo” del RTU NIT 57440832 </t>
  </si>
  <si>
    <t>MEM-SAT-IAC-DGS-UST-199-2025</t>
  </si>
  <si>
    <t>El contribuyente NIT 94146543 indica que le genera diferencia en el valor que da declaraguete desde AV y el valor que genera LET régimen general del IVA</t>
  </si>
  <si>
    <t>El contribuyente NIT 119290324 se comunicó al Contact Center de SAT indicando que su gestión de actualización No. 202511ACTBC373A05 está con el estado para revisión desde el 09-12-2025.</t>
  </si>
  <si>
    <t>GRC/San Rafael II</t>
  </si>
  <si>
    <t>el contribuyente NIT 120424967 se comunicó al Contact Center de SAT indicando que su gestión de actualización No. 202512ACT1E56BB9A está con el estado En revisión desde el 06-12-2025, al verificar no le aparece agente asignado.</t>
  </si>
  <si>
    <t>El contribuyente NIT 4602625 se comunicó al Contact Center de SAT indicando que su gestión de actualización No. 202512ACT8E295598 está con el estado para revisión desde el 09-12-2025.</t>
  </si>
  <si>
    <t>nit 72286318 activar C E Asalariado</t>
  </si>
  <si>
    <t>Jessica Marroquin</t>
  </si>
  <si>
    <t>El contribuyente NIT 31689752 solicita apoyo debido a que realizó actualización de datos ya aparece con afiliación de asalariado, pero indica que no le aparecen las facturas del año completo.</t>
  </si>
  <si>
    <t>el contribuyente NIT 28063767 manifiesta que ya solventó los omisos sustantivos desde el mes de septiembre de 2025 y el colaborador de Recaudación de la Regional de Occidente le indicó que ya envió el memorándum para levantar la suspensión, pero dicha suspensión aún continua.</t>
  </si>
  <si>
    <t>consultar las gestiones que se encuentran con el pasaporte C03797224 emitido en El Salvador - Correo: sofi-12vp@hotmail.com</t>
  </si>
  <si>
    <t>P999CCL inactivó y el propietario no lo realizó</t>
  </si>
  <si>
    <t>suspendido omisos sustantivos</t>
  </si>
  <si>
    <t>Solicitud apoyo generación LET desde computadora Mac - NIT: 16398122</t>
  </si>
  <si>
    <t>Julia Amanda Mazariegos</t>
  </si>
  <si>
    <t>solvencia expediente 30896152</t>
  </si>
  <si>
    <t>gestión 202512ACT10D275B1</t>
  </si>
  <si>
    <t xml:space="preserve">gestión 202512ACT7AD79FF6 </t>
  </si>
  <si>
    <t xml:space="preserve">gestión 202512ACT62CBFA2E </t>
  </si>
  <si>
    <t>El contribuyente NIT 27008894 indica rechazo de su solicitud de actualización No.  202512ACTBF2BC2D5 dentro de los comentarios de rechazo se encuentra "Estimado contribuyente atender únicamente el comentario adicional. Por favor cancelar multa por cambio extemporáneo representante legal. Ingrese a Declaraguate y llene el formulario  SAT 0811 INGRESOS COBRANZA, POR AVISO EXTEPORANEO DE MODIFICACIONES DE DATOS, VALOR A CALCULAR Q,1500. 00  TOTAL A PAGAR Q. 225.00 y adjuntar comprobante con el documento del representante legal.", el contribuyente indica que ya hizo el pago de la multa con el formulario 49 393 671 104 y acceso 540 724 695 por Q225.00.</t>
  </si>
  <si>
    <t>El contribuyente NIT 34129901 indica que al intentar presentar el formulario SAT-2237 desde la Agencia Virtual este le indica una alerta y la información ingresada coincide con los registros de los LET, se adjunta PDF que muestra que la información coincide con los LET.</t>
  </si>
  <si>
    <t>El contribuyente 77323009 indica que están realizando traspaso con Declaración Jurada vía formulario de Declaraguate. Placas: P0-689BNF NIT vendedor: 16275217 pero al momento de llenar el formulario con la información correspondiente no le permite validar, nos enviaron el número de Formulario 49437575324 y acceso 426095767, pero al momento de consultarlo nos aparece la casilla Fecha de enajenación EN BLANCO - Apartado 5.1 mencionan que colocaron fecha 14/12/2023 pero que no sale reflejado en el formulario al quererlo consultar. </t>
  </si>
  <si>
    <t>recibió la notificación el 24/11/2025 y hoy 15/12/2025 ya no le permite facturar</t>
  </si>
  <si>
    <t>efactura</t>
  </si>
  <si>
    <t>B00895349 extendido en el Salvador</t>
  </si>
  <si>
    <t>Solicitud apoyo gestión de actualización de datos del RTU - NIT: 22673687</t>
  </si>
  <si>
    <t xml:space="preserve">gestión  202512ACTF1F0D416  </t>
  </si>
  <si>
    <t>DUCA 338202500035618 indica que el VIN  ya fue reportado  MD6N14PL8S4AA0289</t>
  </si>
  <si>
    <t xml:space="preserve">gestión 202512ACTAF4F7B80 </t>
  </si>
  <si>
    <t xml:space="preserve">gestión 202512CESEC59E5C5D </t>
  </si>
  <si>
    <t>Solicitud apoyo gestión de inscripción definitiva de Sociedad Anónima - NIT: 120735245</t>
  </si>
  <si>
    <t>DAC/GRO Sololá</t>
  </si>
  <si>
    <t>Solicitud apoyo gestión de inscripción definitiva de Sociedad Anónima - NIT:  120740540</t>
  </si>
  <si>
    <t>Gilberto Macario</t>
  </si>
  <si>
    <t>Solicitud apoyo generación de resolución de habilitación de libros - NIT: 115132287</t>
  </si>
  <si>
    <t>Inventario Semestral de Inventarios - NIT: 108197875</t>
  </si>
  <si>
    <t>Consulta suspensión de afiliación al IVA - NIT: 49020110</t>
  </si>
  <si>
    <t>El contribuyente NIT 45189277 reporta inconveniente en el correlativo de folios en la herramienta LET, debido a que el contribuyente reporta lo siguiente: En el mes de diciembre 2024 terminamos con el folio 38 y se inició enero del 2025 con en el folio 39 y febrero del 2025 se repite el folio 39, ya en el mes de febrero debe iniciar en el folio 40 pero vuelve a iniciar con el folio 39</t>
  </si>
  <si>
    <t>El contribuyente NIT 98820818 reporta el inconveniente al realizar solicitud de Agencia Virtual, pero le aparecer que no hay datos con RENAP, indica también que desde el día de ayer 15/12/2025 le ha venido generando el error</t>
  </si>
  <si>
    <t>no tiene omisos ustantivos y continúa inactivo</t>
  </si>
  <si>
    <t>Sincronizar el apellido de casada de la contribuyente, debido a que, no ha replicado en RTU Oracle - NIT: 89356365</t>
  </si>
  <si>
    <t xml:space="preserve">gestión 202512ACTF78EB629 </t>
  </si>
  <si>
    <t>Solicitud apoyo emisión de FEL no le permite seleccionar tipo de DTE - NIT: 91794838</t>
  </si>
  <si>
    <t>IRE/efactura</t>
  </si>
  <si>
    <t>Inactivar o retirar la marca características especiales de “Asalariado – Activo” del RTU NIT 95449035</t>
  </si>
  <si>
    <t xml:space="preserve"> MEM-SAT-IAC-DGS-UST-201-2025</t>
  </si>
  <si>
    <t>El contribuyente NIT 68469578 indica rechazo de su solicitud de actualización No.  202512ACT414EAC69 dentro de los comentarios de rechazo se encuentra "Estimado contribuyente, por favor atender únicamente a lo requerido en este comentario adicional, adjuntar certificación y acta de cancelación de nombramiento gracias.", el contribuyente indica que la certificación de la cancelación ya la adjuntó pero no tiene el acta de la cancelación porque la Abogada le informa que no hay acta porque el REPEJU lo trabaja directamente con formulario de cancelación aplicando el concepto vencimiento de plazo.</t>
  </si>
  <si>
    <t>El contribuyente NIT 78777917 que tiene problemas para poder visualizar el formulario de DEVOLUCION DE CREDITO FISCAL, del período del 01/01/2023 al 30/06/2023; del 01/01/2024 al 30/06/2024; y del 01/07/2023 al 31/12/2023.</t>
  </si>
  <si>
    <t>IFI / Credito Fiscal</t>
  </si>
  <si>
    <t>Error para presentar informe trimestral de julio-sep 2023 a la fecha/ no reconoce las constancias en POS</t>
  </si>
  <si>
    <t>IRE/Herramientas tributarias</t>
  </si>
  <si>
    <t>Se envió el 17/12 correo para que intente de nuevo, debe borrar historial de navegación/ con fehca 18/12 lo reportan de nuevo con nuevo error./22/12 aun no se cuenta con respuesta</t>
  </si>
  <si>
    <t xml:space="preserve">gestión 202512ACT3F186396  </t>
  </si>
  <si>
    <t>no le permite actualizar datos</t>
  </si>
  <si>
    <t>El contribuyente NIT 119594862 reporta indica que tiene ya generado el libro, pero al imprimir reporte le dice que habilite libros y el realizó habilitación de más folios el día 15-12-2025</t>
  </si>
  <si>
    <t xml:space="preserve">gestión 20259CESEED2FABEA   </t>
  </si>
  <si>
    <t>consultar las gestiones que se encuentran registradas con el número de pasaporte A05295213 de El Salvador. - cristianjsr1996@gmail.com</t>
  </si>
  <si>
    <t>Solicitud apoyo gestión de característica especial productor, estado "No definido" -NIT: 114968969</t>
  </si>
  <si>
    <t>Solicitud apoyo gestión Cese de Actividades de establecimiento comercial - NIT: 95470042</t>
  </si>
  <si>
    <t>Solicito apoyo para el solventar el siguiente error 404 en solicitud de usuario de AV - NIT: 88016137</t>
  </si>
  <si>
    <t xml:space="preserve">gestión 202512ACTC82D9061 </t>
  </si>
  <si>
    <t>Solicitud apoyo gestión Cese temporal de establecimiento - NIT: 100601979</t>
  </si>
  <si>
    <t>DAC/GRC Dubai nivel 12</t>
  </si>
  <si>
    <t>Solicitud apoyo suspensión de afiliación al IVA Pequeño Contribuyente - NIT: 115505806</t>
  </si>
  <si>
    <t>Departamento de Registros Tributarios</t>
  </si>
  <si>
    <t xml:space="preserve">gestión 202512ACT44261ED9 </t>
  </si>
  <si>
    <t>Solicitud apoyo gestión de Actualización de datos del RTU con DPI Indefinido - NIT 94184410 GESTIÓN 202512ACT7729FD62</t>
  </si>
  <si>
    <t xml:space="preserve">El contribuyente NIT 120759306 indica rechazo de su solicitud de actualización No.  202512ACTE24D5024 dentro de los comentarios de rechazo se encuentra "estimado contribuyente por favor atender lo solicitado anteriormente. corregir la actividad comercial del negocio o servicios quitar la palabra otros anotar una que valla de acorde al negocio o servicios", el contribuyente indica que, en la venta de vehículos, siempre colocan otros porque no existe venta de vehículos. </t>
  </si>
  <si>
    <t>GRO/Malacatan</t>
  </si>
  <si>
    <t>El contribuyente NIT 91164311 se comunicó al Contact Center de SAT manifestando que no puede cargar el requisito tres al formulario 2410, y borro historial del navegador e intento en ventana de incognito y aun así no le permite intento en otra computadora y otros navegadores</t>
  </si>
  <si>
    <t>nit 12172995 activar C E Asalariado</t>
  </si>
  <si>
    <t>nit 88355012 activar C E Asalariado</t>
  </si>
  <si>
    <t>nit 51069652 activar C E Asalariado</t>
  </si>
  <si>
    <t>Gestiones activas del pasaporte E0746026 HONDURAS</t>
  </si>
  <si>
    <t>El contribuyente NIT 322787254 reporta que tiene inconveniente en el traspaso electrónico el Sistema genera lo siguiente: Alerta. El Comprador no tiene actualizados sus datos, para continuar debe de actualizar sus datos desde la Agencia Virtual.</t>
  </si>
  <si>
    <t>error en la solicitud de devolución de crédito fiscal</t>
  </si>
  <si>
    <t>Solicitud apoyo sincronización de Verificador Integrado -  NIT: 37543741 SUSPENSIÓN AFILIACIÓN</t>
  </si>
  <si>
    <t>DPI 2409472741219</t>
  </si>
  <si>
    <t>103579885
60371978
106849026
37214640
60496886</t>
  </si>
  <si>
    <t>Solicitud apoyo sincronización de Verificador Integrado de varios NITs</t>
  </si>
  <si>
    <t>Mynor Hernández Mongenegro</t>
  </si>
  <si>
    <t xml:space="preserve">expediente 30945734 </t>
  </si>
  <si>
    <t xml:space="preserve">gestión 202512AV5CDAF7FF </t>
  </si>
  <si>
    <t xml:space="preserve">GRS/Santa Lucía </t>
  </si>
  <si>
    <t xml:space="preserve">gestión 202512ACT084EAB7A </t>
  </si>
  <si>
    <t>cese prescrito y aún aparece inactivo IVA</t>
  </si>
  <si>
    <t>Aramis</t>
  </si>
  <si>
    <t xml:space="preserve">gestión 202512CESE1227E78F  </t>
  </si>
  <si>
    <t>gestiones B04004402  malvaradofacturacion@gmail.com</t>
  </si>
  <si>
    <t>El contribuyente NIT 300723938 reporta que tiene inconveniente en el traspaso electrónico el Sistema genera lo siguiente: Alerta. El Comprador no tiene actualizados sus datos, para continuar debe de actualizar sus datos desde la Agencia Virtual.</t>
  </si>
  <si>
    <t>El contribuyente NIT 6536336 se comunicó al Contact Center de SAT manifestando que realizó cese de actividades el 16/12/2025 y el sistema aun refleja el incumplimiento de renuente a incorporarse al Régimen FEL y la Afiliación al Impuesto al Valor Agregado Inactiva por Suspensión.</t>
  </si>
  <si>
    <t>El contribuyente NIT 120673746 se comunicó al Contact Center de SAT indicando que su gestión de Actualización de datos No. 202511ACT9A37A00B fue rechazada con requerimiento y muestra el siguiente comentario "Adjuntar escritura de constitución de sociedad, no escritura por mandataria, favor de corregir .", el contribuyente manifiesta que esta adjuntando el archivo correcto en la gestión.</t>
  </si>
  <si>
    <t>La gestión esta cancelada para reinicio</t>
  </si>
  <si>
    <t>realizó cese y le indica que está pendiente de habilitarse como emisor de FEL</t>
  </si>
  <si>
    <t>Inactivar o retirar la marca características especiales de “Asalariado – Activo” del RTU NIT 89399013</t>
  </si>
  <si>
    <t>MEM-SAT-IAC-DGS-UST-202-2025</t>
  </si>
  <si>
    <t>Solicitud apoyo gestión de Cese de Actividades, rechazada por falta de documento - NIT: 119702789</t>
  </si>
  <si>
    <t>DAC/GRC Dubai Center Nivel 12</t>
  </si>
  <si>
    <t>Mildred Mrisol Ramos</t>
  </si>
  <si>
    <t xml:space="preserve">gestión 202512ACTC6855C22 </t>
  </si>
  <si>
    <t>Solicitud apoyo  Sincronización Verificador Integrado sobre la inactivación de la afiliación del IVA NIT 55206115</t>
  </si>
  <si>
    <t xml:space="preserve">gestión 202512INSFC3E67BF  </t>
  </si>
  <si>
    <t>solicitud de Agencia virtual</t>
  </si>
  <si>
    <t>Solicitud de sincronización de información por inconsistencias en el Verificador Integrado - NIT: 44279132</t>
  </si>
  <si>
    <t>El contribuyente NIT 30195993 se comunicó al Contact Center de SAT manifestando que realizó cese de actividades el 18/12/2025 y el sistema aun refleja el incumplimiento de Afiliación al Impuesto al Valor Agregado Inactiva por Suspensión.</t>
  </si>
  <si>
    <t>El contribuyente NIT 91797322 solicita apoyo debido a que realizó actualización de datos ya aparece con afiliación de asalariado, pero indica que no le aparecen las facturas del año 2025.</t>
  </si>
  <si>
    <t>Tiene planilla presentada el 09-01-2026</t>
  </si>
  <si>
    <t>El contribuyente NIT 11880953 se comunicó al Contact Center de SAT manifestando que realizó cese de actividades el 18/12/2025 y el sistema aun refleja el incumplimiento de Afiliación al Impuesto al Valor Agregado Inactiva por Suspensión.</t>
  </si>
  <si>
    <t>El contribuyente NIT 74536931 se comunicó al Contact Center de SAT manifestando que realizó cese de actividades el 16/12/2025 y el sistema aun refleja el incumplimiento de Afiliación al Impuesto al Valor Agregado Inactiva por Suspensión.</t>
  </si>
  <si>
    <t>El contribuyente NIT 34310975 reporta que al ingresar a LET no le aparece la factura emitida en el mes de mayo 2025</t>
  </si>
  <si>
    <t>El contribuyente NIT 17533821 indica rechazo de su solicitud de actualización No.  202512ACT9531EFC4 dentro de los comentarios de rechazo se encuentra "EL RECIBO DE IUSI DEBE SER DEL ULTIMO TRIMESTRE PAGADO, SI ES ANUAL DEBE DE INDICAR EL MISMO RECIBO", el contribuyente indica que, en el documento que adjunta corresponde a todo el año 2025, el cual indica De Trimestre 1 Año 2025 al Trimestre 4 Año 2025.</t>
  </si>
  <si>
    <t>El contribuyente NIT 105061115 se comunicó al Contact Center de SAT manifestando que realizó cese de actividades el 18/12/2025 y el sistema aun refleja el incumplimiento de Afiliación al Impuesto al Valor Agregado Inactiva por Suspensión.</t>
  </si>
  <si>
    <t>El contribuyente NIT 37214640 se comunicó al Contact Center de SAT manifestando que realizó cese de actividades el 17/12/2025 y el sistema aun refleja el incumplimiento de Afiliación al Impuesto al Valor Agregado Inactiva por Suspensión.</t>
  </si>
  <si>
    <t>El contribuyente NIT 9614540 se comunicó al Contact Center de SAT manifestando que realizó cese de actividades el 18/12/2025 y el sistema aun refleja el incumplimiento de Afiliación al Impuesto al Valor Agregado Inactiva por Suspensión.</t>
  </si>
  <si>
    <t>El contribuyente NIT 110836308 se comunicó al Contact Center de SAT manifestando que realizó cese de actividades el 18/12/2025 y el sistema aun refleja el incumplimiento de Afiliación al Impuesto al Valor Agregado Inactiva por Suspensión.</t>
  </si>
  <si>
    <t>El contribuyente NIT 90291212 se comunicó al Contact Center de SAT manifestando que realizó cese de actividades el 16/12/2025 y el sistema aun refleja el incumplimiento de Afiliación al Impuesto al Valor Agregado Inactiva por Suspensión.</t>
  </si>
  <si>
    <t>El contribuyente NIT 37175602 se comunicó al Contact Center indicando que está realizando la gestión de Cese No.  202512CESE257A41CF según comentario adicional del rechazo "Debe enviar los libros de compras y ventas, los meses que debe enviar operados en los libros son: abril 2023 operado sin movimiento y diciembre 2025 con el texto anulado, presentar las declaraciones mensuales de IVA enero a diciembre 2024, enero a noviembre 2025", el contribuyente manifiesta que el establecimiento tenia cese temporal por eso no corresponde la presentación de declaraciones.</t>
  </si>
  <si>
    <t xml:space="preserve">gestión 202512ACT2272BEE2 </t>
  </si>
  <si>
    <t>542495K</t>
  </si>
  <si>
    <t>realizó cese y aparece suspendido IVA</t>
  </si>
  <si>
    <t>IGSS, CUYOTENANGO-23-12-2025,  solicitan el apoyo, derivado que anularon una CIVA sin embargo el sistema no permite emitir una de nuevo</t>
  </si>
  <si>
    <t xml:space="preserve">Respuesta: en el caso de que sea anulación extemporánea, si tiene que comunicarse directamente a las extensiones 4008, 4002,4012 para que solicite información de como va su proceso  de anulación </t>
  </si>
  <si>
    <t xml:space="preserve">Solicitud apoyo Sincronización de omisos en el verificador integrado - NIT: 45584192 </t>
  </si>
  <si>
    <t xml:space="preserve">inactiva la afiliación IVA  y realizó cese </t>
  </si>
  <si>
    <t>gestión 202512INS37064448</t>
  </si>
  <si>
    <t>característica asalariado</t>
  </si>
  <si>
    <t>gestión 202512ACT165FF985</t>
  </si>
  <si>
    <t>120736632 </t>
  </si>
  <si>
    <t>SINC  afiliaciones</t>
  </si>
  <si>
    <t>GI</t>
  </si>
  <si>
    <t>Solicito apoyo en gestión de Actualización de Datos. No le permite realizar cambio de régimen NIT: 24768294</t>
  </si>
  <si>
    <t>Solicito apoyo para sincronizar la información en el Verificador Integrado - NIT:  53266668</t>
  </si>
  <si>
    <t>Gilberto Pérez/Dayrin</t>
  </si>
  <si>
    <t xml:space="preserve">Inactivar o retirar la marca características especiales de “Asalariado – Activo” del RTU NIT 72212683 </t>
  </si>
  <si>
    <t>IRE Departamento de Registros Tributarios</t>
  </si>
  <si>
    <t>MEM-SAT-IAC-DGS-UST-203-2025</t>
  </si>
  <si>
    <t>El contribuyente NIT 51145111 se comunicó al Contact Center indicando que está realizando la gestión de Cese No.  202512CESEFCA487C1 según comentario adicional del rechazo "Estimada contribuyente, tiene una importación registrada reciente, de un vehículo el cual debe venderlo y hacer el traspaso del mismo, registrar el valor de la venta en su libro de compras y ventas. Al hacer la venta declarar la misma con su formulario de pequeño contribuyente.", el contribuyente manifiesta que recibió un vehículo proveniente de Estados Unidos, y por error me inscribieron como Importador pero en realidad el vehículo solo es para uso personal y ahora que quiere cerrar la inscripción no le permiten.</t>
  </si>
  <si>
    <t>El contribuyente NIT 66714672 se comunicó al Contact Center de SAT manifestando que realizó cese de actividades el 17/12/2025 y el sistema aun refleja el incumplimiento de Afiliación al Impuesto al Valor Agregado Inactiva por Suspensión.</t>
  </si>
  <si>
    <t>El contribuyente NIT 94909423 se comunicó al Contact Center de SAT manifestando que realizó cese de actividades el 19/12/2025 y el sistema aun refleja el incumplimiento de Afiliación al Impuesto al Valor Agregado Inactiva por Suspensión.</t>
  </si>
  <si>
    <t>nit 375893210 activar C E Asalariado</t>
  </si>
  <si>
    <t>nit 80621546 activar C E Asalariado</t>
  </si>
  <si>
    <t>impresión de distintivos</t>
  </si>
  <si>
    <t>Marysol y Michelle</t>
  </si>
  <si>
    <t>no permite cargar los archivos</t>
  </si>
  <si>
    <t>no aparece el nombre completo de la razón social</t>
  </si>
  <si>
    <t>Sincronización de información en el Verificador Integrado, realizó cese de actividades y sigue apareciendo la suspención de impuestos.</t>
  </si>
  <si>
    <t>NIT 54295106 indica que escribió al correo de efactura desde la dirección krista.gonzalez@vitalis.com.co y se le respondió el lunes 23 que se resolvería su caso en 48 horas, sin embargo, aun no ha recibido respuesta</t>
  </si>
  <si>
    <t>no permite imprimir los distintivos</t>
  </si>
  <si>
    <t xml:space="preserve">no permite imprimir los distintivos TC66CVS </t>
  </si>
  <si>
    <t>Solicitud apoyo generación de LET Pequeño Contribuyente - NIT:  113721560</t>
  </si>
  <si>
    <t>IAC Departamento Normatividad</t>
  </si>
  <si>
    <t>no le aparecen todas las facturas de octubre a diciembre 2025</t>
  </si>
  <si>
    <t>NIT 41561910  no puede imprimir sus distitintivos del vehículo P-284LLY al verificar no le aparecen asignados número de número de tarjeta de circulación ni certificado de propiedad. </t>
  </si>
  <si>
    <t>gestión 202512ACTE34081C0</t>
  </si>
  <si>
    <t>Solicitud apoyo Rechazo de gestión por no contar con la razón de inscripción definitiva en el RM-  NIT 75413140</t>
  </si>
  <si>
    <t>Libni Filiberto Hernández/ Mónica</t>
  </si>
  <si>
    <t>Solicitud apoyo activar afiliación al IVA por omiso sustantivo - NIT: 19925913</t>
  </si>
  <si>
    <t xml:space="preserve">gestión 202511ACT0F3D1AFB </t>
  </si>
  <si>
    <t>NIT 46908404 sincronización de información en el Verificador Integrado, realizó cese de actividades y sigue apareciendo la suspención de impuestos.</t>
  </si>
  <si>
    <t>impresión de los distintivos</t>
  </si>
  <si>
    <t>NIT 105061115 sincronización de información en el Verificador Integrado, realizó cese de actividades y sigue apareciendo la suspención de impuestos.</t>
  </si>
  <si>
    <t>pasaporte 660672637</t>
  </si>
  <si>
    <t>Anuló una CAIS  sin embargo el sistema no lo reconoce, para emitir una nueva</t>
  </si>
  <si>
    <t>El contribuyente NIT 26963876 se comunicó al Contact Center de SAT manifestando que realizó cese de actividades el 27/12/2025 y el sistema aun refleja el incumplimiento de Afiliación al Impuesto al Valor Agregado Inactiva por Suspensión.</t>
  </si>
  <si>
    <t>impresión de distintivos TC-70CHX</t>
  </si>
  <si>
    <t>NIT 120596008 indica que LET de pequeño contribuyente no le muestra el mes de noviembre 2025.</t>
  </si>
  <si>
    <t xml:space="preserve">Departamento Normativo IAC
</t>
  </si>
  <si>
    <t>El contribuyente NIT 120763605 indica rechazo de su solicitud de actualización No.  202512ACTB71119AC dentro de los comentarios de rechazo se encuentra "Señor contribuyente adjunte la escritura matriz no. 45 con su respectivo 1er Testimonio y su razón del Registro. Escanee mas legible la escritura. Gracias", el contribuyente indica no tiene habilitado el campo para realizar lo solicitado en el requerimiento aún cuando la ha enviado en más de una ocasión no le habilita el campo.</t>
  </si>
  <si>
    <t>El contribuyente NIT 90883705 reporta que descarga los distintivos desde la Agencia Virtual, pero estos no contienen información.</t>
  </si>
  <si>
    <t>realizó cese y aparece suspendido IVA lo envió por teams</t>
  </si>
  <si>
    <t>sinc establecimiento</t>
  </si>
  <si>
    <t>Agregar profesión al catálogo del RTU digital, NIT 35717815, Licenciatura en Administración de Hoteles y Restaurantes</t>
  </si>
  <si>
    <t>MEM-SAT-IAC-DGS-UST-206-2025</t>
  </si>
  <si>
    <t>El contribuyente NIT 88401634 se comunicó al Contact Center indicando que está realizando la gestión de Cese No. 202512CESECE409A82 dentro del comentario del rechazo indica: "Debe de cumplir con los requerimientos solicitados para poder solventar. Enviar el día lunes por la mañana nuevamente la gestión para que envié los requisitos que tiene y así poder comunicar los requerimientos." el contribuyente envió expediente de cancelación (adjunto archivo) y contacto, porque manifiesta que lo esta realizando correctamente y solicita que verifique la información envía los datos de contacto del contador que le esta apoyando con la gestión.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</si>
</sst>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1"/>
      <color theme="1"/>
      <name val="Calibri"/>
      <family val="2"/>
      <scheme val="minor"/>
    </font>
    <font>
      <sz val="11"/>
      <color rgb="FF000000"/>
      <name val="Calibri"/>
      <family val="2"/>
    </font>
    <font>
      <sz val="11"/>
      <color rgb="FF000000"/>
      <name val="Calibri"/>
      <family val="2"/>
    </font>
    <font>
      <b/>
      <sz val="11"/>
      <color rgb="FF000000"/>
      <name val="Calibri"/>
      <family val="2"/>
    </font>
    <font>
      <sz val="11"/>
      <color theme="1"/>
      <name val="Calibri"/>
      <family val="2"/>
      <charset val="1"/>
    </font>
    <font>
      <sz val="12"/>
      <color rgb="FF000000"/>
      <name val="Aptos"/>
      <family val="2"/>
    </font>
    <font>
      <sz val="10"/>
      <color rgb="FF000000"/>
      <name val="Arial"/>
      <family val="2"/>
    </font>
    <font>
      <sz val="11"/>
      <color rgb="FF000000"/>
      <name val="Calibri"/>
      <family val="2"/>
      <scheme val="minor"/>
    </font>
    <font>
      <sz val="8"/>
      <color rgb="FF000000"/>
      <name val="Arial"/>
      <family val="2"/>
    </font>
    <font>
      <sz val="11"/>
      <color rgb="FF000000"/>
      <name val="Calibri"/>
      <family val="2"/>
      <scheme val="minor"/>
    </font>
    <font>
      <sz val="12"/>
      <color rgb="FF000000"/>
      <name val="Aptos"/>
      <family val="2"/>
      <charset val="1"/>
    </font>
    <font>
      <sz val="11"/>
      <color rgb="FF242424"/>
      <name val="Aptos Narrow"/>
      <family val="2"/>
    </font>
    <font>
      <sz val="10"/>
      <color rgb="FF174E86"/>
      <name val="Segoe UI"/>
      <family val="2"/>
      <charset val="1"/>
    </font>
    <font>
      <sz val="11"/>
      <color rgb="FF000000"/>
      <name val="Aptos Narrow"/>
      <family val="2"/>
    </font>
    <font>
      <sz val="10"/>
      <color rgb="FF333333"/>
      <name val="Segoe UI"/>
      <family val="2"/>
    </font>
    <font>
      <u/>
      <sz val="11"/>
      <color theme="10"/>
      <name val="Calibri"/>
      <family val="2"/>
      <scheme val="minor"/>
    </font>
    <font>
      <sz val="11"/>
      <color rgb="FF000000"/>
      <name val="Aptos Narrow"/>
      <family val="2"/>
    </font>
    <font>
      <sz val="10"/>
      <color rgb="FF000000"/>
      <name val="Arial"/>
      <family val="2"/>
      <charset val="1"/>
    </font>
    <font>
      <sz val="11"/>
      <color theme="1"/>
      <name val="Calibri"/>
      <family val="2"/>
    </font>
    <font>
      <sz val="11"/>
      <color rgb="FF000000"/>
      <name val="Arial"/>
      <family val="2"/>
      <charset val="1"/>
    </font>
    <font>
      <sz val="11"/>
      <color rgb="FF000000"/>
      <name val="Aptos Narrow"/>
      <family val="2"/>
    </font>
    <font>
      <sz val="12"/>
      <color rgb="FF242424"/>
      <name val="Segoe UI"/>
      <family val="2"/>
    </font>
    <font>
      <sz val="9"/>
      <color rgb="FF333333"/>
      <name val="Arial"/>
      <family val="2"/>
    </font>
    <font>
      <sz val="11"/>
      <color rgb="FF000000"/>
      <name val="Calibri"/>
      <family val="2"/>
      <charset val="1"/>
    </font>
    <font>
      <sz val="9"/>
      <color rgb="FF333333"/>
      <name val="Roboto"/>
    </font>
    <font>
      <sz val="11"/>
      <name val="Calibri"/>
      <family val="2"/>
      <scheme val="minor"/>
    </font>
    <font>
      <sz val="11"/>
      <name val="Calibri"/>
      <family val="2"/>
    </font>
    <font>
      <sz val="11"/>
      <name val="Aptos Narrow"/>
      <family val="2"/>
    </font>
    <font>
      <sz val="11"/>
      <name val="Calibri"/>
      <family val="2"/>
      <charset val="1"/>
    </font>
  </fonts>
  <fills count="13">
    <fill>
      <patternFill patternType="none"/>
    </fill>
    <fill>
      <patternFill patternType="gray125"/>
    </fill>
    <fill>
      <patternFill patternType="solid">
        <fgColor theme="8"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DE9D9"/>
        <bgColor rgb="FF000000"/>
      </patternFill>
    </fill>
    <fill>
      <patternFill patternType="solid">
        <fgColor rgb="FFEBF1DE"/>
        <bgColor rgb="FF000000"/>
      </patternFill>
    </fill>
    <fill>
      <patternFill patternType="solid">
        <fgColor rgb="FFDAEEF3"/>
        <bgColor rgb="FF000000"/>
      </patternFill>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6" tint="0.39997558519241921"/>
        <bgColor indexed="64"/>
      </patternFill>
    </fill>
  </fills>
  <borders count="11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medium">
        <color rgb="FF000000"/>
      </top>
      <bottom style="medium">
        <color indexed="64"/>
      </bottom>
      <diagonal/>
    </border>
    <border>
      <left style="medium">
        <color rgb="FF000000"/>
      </left>
      <right style="medium">
        <color rgb="FF000000"/>
      </right>
      <top/>
      <bottom style="thin">
        <color indexed="64"/>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indexed="64"/>
      </right>
      <top style="medium">
        <color rgb="FF000000"/>
      </top>
      <bottom style="medium">
        <color indexed="64"/>
      </bottom>
      <diagonal/>
    </border>
    <border>
      <left style="medium">
        <color indexed="64"/>
      </left>
      <right style="thin">
        <color indexed="64"/>
      </right>
      <top style="medium">
        <color rgb="FF000000"/>
      </top>
      <bottom style="medium">
        <color indexed="64"/>
      </bottom>
      <diagonal/>
    </border>
    <border>
      <left style="medium">
        <color indexed="64"/>
      </left>
      <right style="medium">
        <color indexed="64"/>
      </right>
      <top style="medium">
        <color rgb="FF000000"/>
      </top>
      <bottom style="thin">
        <color indexed="64"/>
      </bottom>
      <diagonal/>
    </border>
    <border>
      <left style="medium">
        <color indexed="64"/>
      </left>
      <right style="medium">
        <color rgb="FF000000"/>
      </right>
      <top style="medium">
        <color rgb="FF000000"/>
      </top>
      <bottom style="thin">
        <color indexed="64"/>
      </bottom>
      <diagonal/>
    </border>
    <border>
      <left style="medium">
        <color rgb="FF000000"/>
      </left>
      <right style="thin">
        <color indexed="64"/>
      </right>
      <top/>
      <bottom style="thin">
        <color indexed="64"/>
      </bottom>
      <diagonal/>
    </border>
    <border>
      <left style="medium">
        <color rgb="FF000000"/>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style="medium">
        <color rgb="FF000000"/>
      </top>
      <bottom style="thin">
        <color indexed="64"/>
      </bottom>
      <diagonal/>
    </border>
    <border>
      <left/>
      <right/>
      <top style="medium">
        <color rgb="FF000000"/>
      </top>
      <bottom/>
      <diagonal/>
    </border>
    <border>
      <left/>
      <right style="medium">
        <color rgb="FF000000"/>
      </right>
      <top style="thin">
        <color indexed="64"/>
      </top>
      <bottom style="thin">
        <color indexed="64"/>
      </bottom>
      <diagonal/>
    </border>
    <border>
      <left/>
      <right style="medium">
        <color rgb="FF000000"/>
      </right>
      <top/>
      <bottom style="thin">
        <color indexed="64"/>
      </bottom>
      <diagonal/>
    </border>
    <border>
      <left style="medium">
        <color indexed="64"/>
      </left>
      <right/>
      <top style="medium">
        <color rgb="FF000000"/>
      </top>
      <bottom style="thin">
        <color indexed="64"/>
      </bottom>
      <diagonal/>
    </border>
    <border>
      <left style="medium">
        <color rgb="FF000000"/>
      </left>
      <right style="medium">
        <color rgb="FF000000"/>
      </right>
      <top style="medium">
        <color rgb="FF000000"/>
      </top>
      <bottom style="thin">
        <color indexed="64"/>
      </bottom>
      <diagonal/>
    </border>
    <border>
      <left/>
      <right style="medium">
        <color rgb="FF000000"/>
      </right>
      <top style="medium">
        <color rgb="FF000000"/>
      </top>
      <bottom style="thin">
        <color indexed="64"/>
      </bottom>
      <diagonal/>
    </border>
    <border>
      <left style="medium">
        <color indexed="64"/>
      </left>
      <right/>
      <top style="medium">
        <color rgb="FF000000"/>
      </top>
      <bottom/>
      <diagonal/>
    </border>
    <border>
      <left style="thin">
        <color indexed="64"/>
      </left>
      <right style="medium">
        <color indexed="64"/>
      </right>
      <top style="thin">
        <color indexed="64"/>
      </top>
      <bottom/>
      <diagonal/>
    </border>
    <border>
      <left style="medium">
        <color rgb="FF000000"/>
      </left>
      <right style="thin">
        <color indexed="64"/>
      </right>
      <top/>
      <bottom/>
      <diagonal/>
    </border>
    <border>
      <left/>
      <right style="thin">
        <color indexed="64"/>
      </right>
      <top/>
      <bottom/>
      <diagonal/>
    </border>
    <border>
      <left style="medium">
        <color indexed="64"/>
      </left>
      <right style="medium">
        <color indexed="64"/>
      </right>
      <top/>
      <bottom/>
      <diagonal/>
    </border>
    <border>
      <left style="thin">
        <color indexed="64"/>
      </left>
      <right style="medium">
        <color indexed="64"/>
      </right>
      <top/>
      <bottom/>
      <diagonal/>
    </border>
    <border>
      <left/>
      <right style="thin">
        <color rgb="FF000000"/>
      </right>
      <top style="thin">
        <color rgb="FF000000"/>
      </top>
      <bottom style="thin">
        <color rgb="FF000000"/>
      </bottom>
      <diagonal/>
    </border>
    <border>
      <left style="medium">
        <color rgb="FF000000"/>
      </left>
      <right/>
      <top/>
      <bottom style="thin">
        <color indexed="64"/>
      </bottom>
      <diagonal/>
    </border>
    <border>
      <left style="medium">
        <color rgb="FF000000"/>
      </left>
      <right style="medium">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rgb="FF000000"/>
      </bottom>
      <diagonal/>
    </border>
    <border>
      <left style="thin">
        <color indexed="64"/>
      </left>
      <right style="medium">
        <color indexed="64"/>
      </right>
      <top/>
      <bottom style="thin">
        <color rgb="FF000000"/>
      </bottom>
      <diagonal/>
    </border>
    <border>
      <left/>
      <right/>
      <top style="thin">
        <color indexed="64"/>
      </top>
      <bottom style="thin">
        <color rgb="FF000000"/>
      </bottom>
      <diagonal/>
    </border>
    <border>
      <left style="medium">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medium">
        <color rgb="FF000000"/>
      </left>
      <right style="medium">
        <color rgb="FF000000"/>
      </right>
      <top style="medium">
        <color rgb="FF000000"/>
      </top>
      <bottom style="medium">
        <color rgb="FF000000"/>
      </bottom>
      <diagonal/>
    </border>
    <border>
      <left style="thin">
        <color indexed="64"/>
      </left>
      <right/>
      <top style="medium">
        <color rgb="FF000000"/>
      </top>
      <bottom style="thin">
        <color indexed="64"/>
      </bottom>
      <diagonal/>
    </border>
    <border>
      <left/>
      <right style="thin">
        <color indexed="64"/>
      </right>
      <top style="medium">
        <color indexed="64"/>
      </top>
      <bottom style="medium">
        <color indexed="64"/>
      </bottom>
      <diagonal/>
    </border>
    <border>
      <left style="thin">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right style="medium">
        <color rgb="FF000000"/>
      </right>
      <top style="medium">
        <color rgb="FF000000"/>
      </top>
      <bottom style="medium">
        <color rgb="FF000000"/>
      </bottom>
      <diagonal/>
    </border>
    <border>
      <left style="thin">
        <color indexed="64"/>
      </left>
      <right style="medium">
        <color indexed="64"/>
      </right>
      <top style="medium">
        <color rgb="FF000000"/>
      </top>
      <bottom/>
      <diagonal/>
    </border>
    <border>
      <left style="medium">
        <color rgb="FF000000"/>
      </left>
      <right style="medium">
        <color rgb="FF000000"/>
      </right>
      <top style="thin">
        <color rgb="FF000000"/>
      </top>
      <bottom/>
      <diagonal/>
    </border>
    <border>
      <left style="medium">
        <color indexed="64"/>
      </left>
      <right style="thin">
        <color indexed="64"/>
      </right>
      <top style="thin">
        <color indexed="64"/>
      </top>
      <bottom/>
      <diagonal/>
    </border>
    <border>
      <left style="medium">
        <color rgb="FF000000"/>
      </left>
      <right style="medium">
        <color rgb="FF000000"/>
      </right>
      <top/>
      <bottom style="thin">
        <color rgb="FF000000"/>
      </bottom>
      <diagonal/>
    </border>
    <border>
      <left/>
      <right/>
      <top style="thin">
        <color indexed="64"/>
      </top>
      <bottom/>
      <diagonal/>
    </border>
    <border>
      <left/>
      <right style="thin">
        <color rgb="FF000000"/>
      </right>
      <top style="thin">
        <color rgb="FF000000"/>
      </top>
      <bottom/>
      <diagonal/>
    </border>
    <border>
      <left style="thin">
        <color indexed="64"/>
      </left>
      <right style="thin">
        <color indexed="64"/>
      </right>
      <top/>
      <bottom/>
      <diagonal/>
    </border>
    <border>
      <left style="thin">
        <color rgb="FF000000"/>
      </left>
      <right/>
      <top style="thin">
        <color rgb="FF000000"/>
      </top>
      <bottom/>
      <diagonal/>
    </border>
    <border>
      <left style="thin">
        <color indexed="64"/>
      </left>
      <right/>
      <top/>
      <bottom/>
      <diagonal/>
    </border>
    <border>
      <left style="medium">
        <color rgb="FF000000"/>
      </left>
      <right style="thin">
        <color indexed="64"/>
      </right>
      <top style="thin">
        <color rgb="FF000000"/>
      </top>
      <bottom style="medium">
        <color rgb="FF000000"/>
      </bottom>
      <diagonal/>
    </border>
    <border>
      <left/>
      <right/>
      <top style="thin">
        <color rgb="FF000000"/>
      </top>
      <bottom style="medium">
        <color rgb="FF000000"/>
      </bottom>
      <diagonal/>
    </border>
    <border>
      <left/>
      <right style="thin">
        <color indexed="64"/>
      </right>
      <top style="thin">
        <color rgb="FF000000"/>
      </top>
      <bottom style="medium">
        <color rgb="FF000000"/>
      </bottom>
      <diagonal/>
    </border>
    <border>
      <left style="thin">
        <color indexed="64"/>
      </left>
      <right style="thin">
        <color indexed="64"/>
      </right>
      <top style="thin">
        <color rgb="FF000000"/>
      </top>
      <bottom style="medium">
        <color rgb="FF000000"/>
      </bottom>
      <diagonal/>
    </border>
    <border>
      <left style="thin">
        <color indexed="64"/>
      </left>
      <right/>
      <top style="thin">
        <color rgb="FF000000"/>
      </top>
      <bottom style="medium">
        <color rgb="FF000000"/>
      </bottom>
      <diagonal/>
    </border>
    <border>
      <left style="thin">
        <color indexed="64"/>
      </left>
      <right style="medium">
        <color indexed="64"/>
      </right>
      <top style="thin">
        <color rgb="FF000000"/>
      </top>
      <bottom style="medium">
        <color rgb="FF000000"/>
      </bottom>
      <diagonal/>
    </border>
    <border>
      <left style="medium">
        <color indexed="64"/>
      </left>
      <right style="thin">
        <color indexed="64"/>
      </right>
      <top style="thin">
        <color rgb="FF000000"/>
      </top>
      <bottom style="medium">
        <color rgb="FF000000"/>
      </bottom>
      <diagonal/>
    </border>
    <border>
      <left style="medium">
        <color indexed="64"/>
      </left>
      <right/>
      <top style="thin">
        <color rgb="FF000000"/>
      </top>
      <bottom style="medium">
        <color rgb="FF000000"/>
      </bottom>
      <diagonal/>
    </border>
    <border>
      <left style="thin">
        <color indexed="64"/>
      </left>
      <right/>
      <top style="thin">
        <color rgb="FF000000"/>
      </top>
      <bottom style="thin">
        <color indexed="64"/>
      </bottom>
      <diagonal/>
    </border>
    <border>
      <left style="thin">
        <color indexed="64"/>
      </left>
      <right style="medium">
        <color indexed="64"/>
      </right>
      <top style="thin">
        <color rgb="FF000000"/>
      </top>
      <bottom style="thin">
        <color indexed="64"/>
      </bottom>
      <diagonal/>
    </border>
    <border>
      <left style="medium">
        <color indexed="64"/>
      </left>
      <right style="thin">
        <color indexed="64"/>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medium">
        <color rgb="FF000000"/>
      </left>
      <right style="medium">
        <color rgb="FF000000"/>
      </right>
      <top style="thin">
        <color indexed="64"/>
      </top>
      <bottom style="thin">
        <color indexed="64"/>
      </bottom>
      <diagonal/>
    </border>
    <border>
      <left/>
      <right style="medium">
        <color rgb="FF000000"/>
      </right>
      <top style="thin">
        <color rgb="FF000000"/>
      </top>
      <bottom style="thin">
        <color rgb="FF000000"/>
      </bottom>
      <diagonal/>
    </border>
    <border>
      <left style="medium">
        <color rgb="FF000000"/>
      </left>
      <right/>
      <top style="thin">
        <color rgb="FF000000"/>
      </top>
      <bottom/>
      <diagonal/>
    </border>
    <border>
      <left style="medium">
        <color rgb="FF000000"/>
      </left>
      <right style="medium">
        <color rgb="FF000000"/>
      </right>
      <top style="medium">
        <color rgb="FF000000"/>
      </top>
      <bottom style="thin">
        <color rgb="FF000000"/>
      </bottom>
      <diagonal/>
    </border>
    <border>
      <left/>
      <right style="medium">
        <color rgb="FF000000"/>
      </right>
      <top/>
      <bottom style="thin">
        <color rgb="FF000000"/>
      </bottom>
      <diagonal/>
    </border>
    <border>
      <left/>
      <right style="thin">
        <color rgb="FF000000"/>
      </right>
      <top/>
      <bottom style="thin">
        <color rgb="FF000000"/>
      </bottom>
      <diagonal/>
    </border>
    <border>
      <left style="medium">
        <color rgb="FF000000"/>
      </left>
      <right style="thin">
        <color indexed="64"/>
      </right>
      <top style="thin">
        <color indexed="64"/>
      </top>
      <bottom/>
      <diagonal/>
    </border>
    <border>
      <left/>
      <right style="medium">
        <color rgb="FF000000"/>
      </right>
      <top style="thin">
        <color indexed="64"/>
      </top>
      <bottom/>
      <diagonal/>
    </border>
    <border>
      <left/>
      <right style="thin">
        <color indexed="64"/>
      </right>
      <top style="thin">
        <color indexed="64"/>
      </top>
      <bottom/>
      <diagonal/>
    </border>
    <border>
      <left/>
      <right style="medium">
        <color rgb="FF000000"/>
      </right>
      <top style="thin">
        <color rgb="FF000000"/>
      </top>
      <bottom/>
      <diagonal/>
    </border>
    <border>
      <left style="thin">
        <color rgb="FF000000"/>
      </left>
      <right style="thin">
        <color rgb="FF000000"/>
      </right>
      <top/>
      <bottom/>
      <diagonal/>
    </border>
    <border>
      <left/>
      <right style="medium">
        <color indexed="64"/>
      </right>
      <top/>
      <bottom/>
      <diagonal/>
    </border>
    <border>
      <left style="thin">
        <color rgb="FF000000"/>
      </left>
      <right/>
      <top/>
      <bottom style="thin">
        <color rgb="FF000000"/>
      </bottom>
      <diagonal/>
    </border>
    <border>
      <left style="medium">
        <color rgb="FF000000"/>
      </left>
      <right/>
      <top/>
      <bottom/>
      <diagonal/>
    </border>
    <border>
      <left style="thin">
        <color indexed="64"/>
      </left>
      <right/>
      <top/>
      <bottom style="thin">
        <color rgb="FF000000"/>
      </bottom>
      <diagonal/>
    </border>
    <border>
      <left style="thin">
        <color rgb="FF000000"/>
      </left>
      <right/>
      <top/>
      <bottom/>
      <diagonal/>
    </border>
    <border>
      <left/>
      <right style="medium">
        <color indexed="64"/>
      </right>
      <top style="thin">
        <color indexed="64"/>
      </top>
      <bottom/>
      <diagonal/>
    </border>
    <border>
      <left style="medium">
        <color rgb="FF000000"/>
      </left>
      <right/>
      <top style="thin">
        <color indexed="64"/>
      </top>
      <bottom/>
      <diagonal/>
    </border>
    <border>
      <left/>
      <right style="thin">
        <color indexed="64"/>
      </right>
      <top/>
      <bottom style="thin">
        <color rgb="FF000000"/>
      </bottom>
      <diagonal/>
    </border>
    <border>
      <left style="medium">
        <color rgb="FF000000"/>
      </left>
      <right style="thin">
        <color indexed="64"/>
      </right>
      <top style="medium">
        <color rgb="FF000000"/>
      </top>
      <bottom/>
      <diagonal/>
    </border>
    <border>
      <left style="thin">
        <color indexed="64"/>
      </left>
      <right style="thin">
        <color indexed="64"/>
      </right>
      <top style="medium">
        <color rgb="FF000000"/>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s>
  <cellStyleXfs count="2">
    <xf numFmtId="0" fontId="0" fillId="0" borderId="0"/>
    <xf numFmtId="0" fontId="16" fillId="0" borderId="0" applyNumberFormat="0" applyFill="0" applyBorder="0" applyAlignment="0" applyProtection="0"/>
  </cellStyleXfs>
  <cellXfs count="859">
    <xf numFmtId="0" fontId="0" fillId="0" borderId="0" xfId="0"/>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0" fillId="2" borderId="13" xfId="0" applyFill="1" applyBorder="1"/>
    <xf numFmtId="0" fontId="0" fillId="2" borderId="14" xfId="0" applyFill="1" applyBorder="1"/>
    <xf numFmtId="0" fontId="1" fillId="3" borderId="9"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0" fillId="3" borderId="6" xfId="0" applyFill="1" applyBorder="1"/>
    <xf numFmtId="0" fontId="0" fillId="3" borderId="7" xfId="0" applyFill="1" applyBorder="1"/>
    <xf numFmtId="0" fontId="0" fillId="3" borderId="1" xfId="0" applyFill="1" applyBorder="1"/>
    <xf numFmtId="0" fontId="0" fillId="3" borderId="4" xfId="0" applyFill="1" applyBorder="1"/>
    <xf numFmtId="0" fontId="1" fillId="4" borderId="9" xfId="0" applyFont="1" applyFill="1" applyBorder="1" applyAlignment="1">
      <alignment horizontal="center" vertical="center" wrapText="1"/>
    </xf>
    <xf numFmtId="0" fontId="1" fillId="4" borderId="10" xfId="0" applyFont="1" applyFill="1" applyBorder="1" applyAlignment="1">
      <alignment horizontal="center" vertical="center" wrapText="1"/>
    </xf>
    <xf numFmtId="0" fontId="1" fillId="4" borderId="12" xfId="0" applyFont="1" applyFill="1" applyBorder="1" applyAlignment="1">
      <alignment horizontal="center" vertical="center" wrapText="1"/>
    </xf>
    <xf numFmtId="0" fontId="0" fillId="4" borderId="6" xfId="0" applyFill="1" applyBorder="1"/>
    <xf numFmtId="0" fontId="0" fillId="4" borderId="7" xfId="0" applyFill="1" applyBorder="1"/>
    <xf numFmtId="0" fontId="0" fillId="4" borderId="1" xfId="0" applyFill="1" applyBorder="1"/>
    <xf numFmtId="0" fontId="0" fillId="4" borderId="4" xfId="0" applyFill="1" applyBorder="1"/>
    <xf numFmtId="0" fontId="0" fillId="4" borderId="5" xfId="0" applyFill="1" applyBorder="1" applyAlignment="1">
      <alignment horizontal="center" vertical="center"/>
    </xf>
    <xf numFmtId="0" fontId="0" fillId="4" borderId="3" xfId="0" applyFill="1" applyBorder="1" applyAlignment="1">
      <alignment horizontal="center" vertical="center"/>
    </xf>
    <xf numFmtId="0" fontId="0" fillId="3" borderId="5" xfId="0" applyFill="1" applyBorder="1" applyAlignment="1">
      <alignment horizontal="center" vertical="center"/>
    </xf>
    <xf numFmtId="0" fontId="0" fillId="3" borderId="3" xfId="0" applyFill="1" applyBorder="1" applyAlignment="1">
      <alignment horizontal="center" vertical="center"/>
    </xf>
    <xf numFmtId="0" fontId="0" fillId="0" borderId="0" xfId="0" applyAlignment="1">
      <alignment wrapText="1"/>
    </xf>
    <xf numFmtId="0" fontId="0" fillId="2" borderId="14" xfId="0" applyFill="1" applyBorder="1" applyAlignment="1">
      <alignment wrapText="1"/>
    </xf>
    <xf numFmtId="0" fontId="1" fillId="0" borderId="15" xfId="0" applyFont="1" applyBorder="1" applyAlignment="1">
      <alignment horizontal="center" vertical="center" wrapText="1"/>
    </xf>
    <xf numFmtId="0" fontId="0" fillId="4" borderId="8" xfId="0" applyFill="1" applyBorder="1" applyAlignment="1">
      <alignment horizontal="center" vertical="center"/>
    </xf>
    <xf numFmtId="0" fontId="0" fillId="4" borderId="8" xfId="0" applyFill="1" applyBorder="1"/>
    <xf numFmtId="0" fontId="0" fillId="3" borderId="8" xfId="0" applyFill="1" applyBorder="1" applyAlignment="1">
      <alignment horizontal="center" vertical="center"/>
    </xf>
    <xf numFmtId="0" fontId="0" fillId="3" borderId="8" xfId="0" applyFill="1" applyBorder="1"/>
    <xf numFmtId="0" fontId="0" fillId="3" borderId="8" xfId="0" applyFill="1" applyBorder="1" applyAlignment="1">
      <alignment horizontal="center" vertical="center" wrapText="1"/>
    </xf>
    <xf numFmtId="0" fontId="1" fillId="0" borderId="20" xfId="0" applyFont="1" applyBorder="1" applyAlignment="1">
      <alignment vertical="center" wrapText="1"/>
    </xf>
    <xf numFmtId="0" fontId="1" fillId="0" borderId="21" xfId="0" applyFont="1" applyBorder="1" applyAlignment="1">
      <alignment horizontal="center" vertical="center" wrapText="1"/>
    </xf>
    <xf numFmtId="0" fontId="1" fillId="0" borderId="24" xfId="0" applyFont="1" applyBorder="1" applyAlignment="1">
      <alignment horizontal="center" vertical="center" wrapText="1"/>
    </xf>
    <xf numFmtId="0" fontId="0" fillId="0" borderId="0" xfId="0" applyAlignment="1">
      <alignment horizontal="center" vertical="center" wrapText="1"/>
    </xf>
    <xf numFmtId="0" fontId="0" fillId="0" borderId="28" xfId="0" applyBorder="1"/>
    <xf numFmtId="0" fontId="0" fillId="2" borderId="4" xfId="0" applyFill="1" applyBorder="1" applyAlignment="1">
      <alignment horizontal="center" vertical="center"/>
    </xf>
    <xf numFmtId="0" fontId="0" fillId="2" borderId="7" xfId="0" applyFill="1" applyBorder="1" applyAlignment="1">
      <alignment horizontal="center" vertical="center"/>
    </xf>
    <xf numFmtId="0" fontId="1" fillId="2" borderId="12" xfId="0" applyFont="1" applyFill="1" applyBorder="1" applyAlignment="1">
      <alignment horizontal="center" vertical="center" wrapText="1"/>
    </xf>
    <xf numFmtId="0" fontId="0" fillId="0" borderId="30" xfId="0" applyBorder="1"/>
    <xf numFmtId="0" fontId="1" fillId="0" borderId="36" xfId="0" applyFont="1" applyBorder="1" applyAlignment="1">
      <alignment horizontal="center" vertical="center" wrapText="1"/>
    </xf>
    <xf numFmtId="0" fontId="1" fillId="0" borderId="21" xfId="0" applyFont="1" applyBorder="1" applyAlignment="1">
      <alignment vertical="center" wrapText="1"/>
    </xf>
    <xf numFmtId="0" fontId="1" fillId="0" borderId="35" xfId="0" applyFont="1" applyBorder="1" applyAlignment="1">
      <alignment vertical="center" wrapText="1"/>
    </xf>
    <xf numFmtId="0" fontId="1" fillId="0" borderId="20" xfId="0" applyFont="1" applyBorder="1" applyAlignment="1">
      <alignment horizontal="center" vertical="center" wrapText="1"/>
    </xf>
    <xf numFmtId="0" fontId="1" fillId="0" borderId="35" xfId="0" applyFont="1" applyBorder="1" applyAlignment="1">
      <alignment horizontal="center" vertical="center" wrapText="1"/>
    </xf>
    <xf numFmtId="0" fontId="1" fillId="0" borderId="25" xfId="0" applyFont="1" applyBorder="1" applyAlignment="1">
      <alignment horizontal="center" vertical="center"/>
    </xf>
    <xf numFmtId="0" fontId="0" fillId="0" borderId="33" xfId="0" applyBorder="1" applyAlignment="1">
      <alignment horizontal="center" vertical="center" wrapText="1"/>
    </xf>
    <xf numFmtId="0" fontId="0" fillId="0" borderId="17" xfId="0" applyBorder="1" applyAlignment="1">
      <alignment horizontal="center" vertical="center" wrapText="1"/>
    </xf>
    <xf numFmtId="0" fontId="0" fillId="2" borderId="16" xfId="0" applyFill="1" applyBorder="1"/>
    <xf numFmtId="14" fontId="0" fillId="4" borderId="8" xfId="0" applyNumberFormat="1" applyFill="1" applyBorder="1"/>
    <xf numFmtId="0" fontId="0" fillId="4" borderId="34" xfId="0" applyFill="1" applyBorder="1"/>
    <xf numFmtId="14" fontId="0" fillId="3" borderId="8" xfId="0" applyNumberFormat="1" applyFill="1" applyBorder="1"/>
    <xf numFmtId="0" fontId="0" fillId="3" borderId="8" xfId="0" applyFill="1" applyBorder="1" applyAlignment="1">
      <alignment wrapText="1"/>
    </xf>
    <xf numFmtId="0" fontId="0" fillId="3" borderId="34" xfId="0" applyFill="1" applyBorder="1"/>
    <xf numFmtId="0" fontId="0" fillId="3" borderId="34" xfId="0" applyFill="1" applyBorder="1" applyAlignment="1">
      <alignment wrapText="1"/>
    </xf>
    <xf numFmtId="0" fontId="0" fillId="0" borderId="38" xfId="0" applyBorder="1"/>
    <xf numFmtId="0" fontId="0" fillId="0" borderId="38" xfId="0" applyBorder="1" applyAlignment="1">
      <alignment wrapText="1"/>
    </xf>
    <xf numFmtId="0" fontId="2" fillId="0" borderId="0" xfId="0" applyFont="1"/>
    <xf numFmtId="0" fontId="2" fillId="0" borderId="28" xfId="0" applyFont="1" applyBorder="1"/>
    <xf numFmtId="0" fontId="2" fillId="0" borderId="28" xfId="0" applyFont="1" applyBorder="1" applyAlignment="1">
      <alignment wrapText="1"/>
    </xf>
    <xf numFmtId="0" fontId="4" fillId="0" borderId="29" xfId="0" applyFont="1" applyBorder="1"/>
    <xf numFmtId="0" fontId="0" fillId="0" borderId="28" xfId="0" applyBorder="1" applyAlignment="1">
      <alignment horizontal="center"/>
    </xf>
    <xf numFmtId="0" fontId="3" fillId="0" borderId="28" xfId="0" applyFont="1" applyBorder="1"/>
    <xf numFmtId="0" fontId="1" fillId="0" borderId="39" xfId="0" applyFont="1" applyBorder="1" applyAlignment="1">
      <alignment horizontal="center" vertical="center" wrapText="1"/>
    </xf>
    <xf numFmtId="14" fontId="0" fillId="0" borderId="17" xfId="0" applyNumberFormat="1" applyBorder="1" applyAlignment="1">
      <alignment horizontal="center" vertical="center"/>
    </xf>
    <xf numFmtId="0" fontId="0" fillId="0" borderId="37" xfId="0" applyBorder="1"/>
    <xf numFmtId="0" fontId="1" fillId="0" borderId="40" xfId="0" applyFont="1" applyBorder="1" applyAlignment="1">
      <alignment horizontal="center" vertical="center" wrapText="1"/>
    </xf>
    <xf numFmtId="0" fontId="1" fillId="0" borderId="41" xfId="0" applyFont="1" applyBorder="1" applyAlignment="1">
      <alignment horizontal="center" vertical="center"/>
    </xf>
    <xf numFmtId="0" fontId="0" fillId="0" borderId="37" xfId="0" applyBorder="1" applyAlignment="1">
      <alignment wrapText="1"/>
    </xf>
    <xf numFmtId="0" fontId="1" fillId="0" borderId="42" xfId="0" applyFont="1" applyBorder="1" applyAlignment="1">
      <alignment horizontal="center" vertical="center" wrapText="1"/>
    </xf>
    <xf numFmtId="0" fontId="1" fillId="0" borderId="28" xfId="0" applyFont="1" applyBorder="1" applyAlignment="1">
      <alignment horizontal="center" vertical="center" wrapText="1"/>
    </xf>
    <xf numFmtId="0" fontId="0" fillId="0" borderId="28" xfId="0" applyBorder="1" applyAlignment="1">
      <alignment horizontal="left" vertical="center" wrapText="1"/>
    </xf>
    <xf numFmtId="0" fontId="3" fillId="0" borderId="0" xfId="0" applyFont="1" applyAlignment="1">
      <alignment horizontal="center" vertical="center" wrapText="1"/>
    </xf>
    <xf numFmtId="0" fontId="0" fillId="0" borderId="0" xfId="0" applyAlignment="1">
      <alignment horizontal="center" wrapText="1"/>
    </xf>
    <xf numFmtId="0" fontId="3" fillId="8" borderId="28" xfId="0" applyFont="1" applyFill="1" applyBorder="1"/>
    <xf numFmtId="0" fontId="4" fillId="0" borderId="29" xfId="0" applyFont="1" applyBorder="1" applyAlignment="1">
      <alignment horizontal="center"/>
    </xf>
    <xf numFmtId="0" fontId="1" fillId="0" borderId="0" xfId="0" applyFont="1" applyAlignment="1">
      <alignment horizontal="center"/>
    </xf>
    <xf numFmtId="0" fontId="2" fillId="8" borderId="28" xfId="0" applyFont="1" applyFill="1" applyBorder="1"/>
    <xf numFmtId="0" fontId="0" fillId="2" borderId="5" xfId="0" applyFill="1" applyBorder="1" applyAlignment="1">
      <alignment horizontal="center" vertical="center" wrapText="1"/>
    </xf>
    <xf numFmtId="0" fontId="0" fillId="2" borderId="3" xfId="0" applyFill="1" applyBorder="1" applyAlignment="1">
      <alignment horizontal="center" vertical="center" wrapText="1"/>
    </xf>
    <xf numFmtId="0" fontId="0" fillId="2" borderId="8" xfId="0" applyFill="1" applyBorder="1" applyAlignment="1">
      <alignment horizontal="center" vertical="center" wrapText="1"/>
    </xf>
    <xf numFmtId="0" fontId="0" fillId="0" borderId="0" xfId="0" applyAlignment="1">
      <alignment horizontal="center" vertical="center"/>
    </xf>
    <xf numFmtId="14" fontId="0" fillId="0" borderId="16" xfId="0" applyNumberFormat="1" applyBorder="1" applyAlignment="1">
      <alignment horizontal="center" vertical="center"/>
    </xf>
    <xf numFmtId="0" fontId="3" fillId="0" borderId="4" xfId="0" applyFont="1" applyBorder="1" applyAlignment="1">
      <alignment vertical="center" wrapText="1"/>
    </xf>
    <xf numFmtId="14" fontId="3" fillId="0" borderId="17" xfId="0" applyNumberFormat="1" applyFont="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7" xfId="0" applyBorder="1" applyAlignment="1">
      <alignment horizontal="center"/>
    </xf>
    <xf numFmtId="0" fontId="0" fillId="0" borderId="19" xfId="0" applyBorder="1" applyAlignment="1">
      <alignment horizontal="center" vertical="center"/>
    </xf>
    <xf numFmtId="14" fontId="0" fillId="0" borderId="6" xfId="0" applyNumberFormat="1" applyBorder="1" applyAlignment="1">
      <alignment horizontal="center" vertical="center"/>
    </xf>
    <xf numFmtId="14" fontId="0" fillId="0" borderId="1" xfId="0" applyNumberFormat="1" applyBorder="1" applyAlignment="1">
      <alignment horizontal="center" vertical="center"/>
    </xf>
    <xf numFmtId="14" fontId="0" fillId="0" borderId="8" xfId="0" applyNumberFormat="1" applyBorder="1" applyAlignment="1">
      <alignment horizontal="center" vertical="center"/>
    </xf>
    <xf numFmtId="0" fontId="0" fillId="0" borderId="16" xfId="0" applyBorder="1" applyAlignment="1">
      <alignment horizontal="center" vertical="center" wrapText="1"/>
    </xf>
    <xf numFmtId="0" fontId="0" fillId="0" borderId="38" xfId="0" applyBorder="1" applyAlignment="1">
      <alignment horizontal="center" vertical="center"/>
    </xf>
    <xf numFmtId="0" fontId="0" fillId="0" borderId="4" xfId="0" applyBorder="1" applyAlignment="1">
      <alignment vertical="center" wrapText="1"/>
    </xf>
    <xf numFmtId="0" fontId="0" fillId="0" borderId="0" xfId="0" applyAlignment="1">
      <alignment vertical="center"/>
    </xf>
    <xf numFmtId="0" fontId="0" fillId="0" borderId="16" xfId="0" applyBorder="1" applyAlignment="1">
      <alignment vertical="center" wrapText="1"/>
    </xf>
    <xf numFmtId="0" fontId="0" fillId="0" borderId="0" xfId="0" applyAlignment="1">
      <alignment vertical="center" wrapText="1"/>
    </xf>
    <xf numFmtId="14" fontId="0" fillId="2" borderId="8" xfId="0" applyNumberFormat="1" applyFill="1" applyBorder="1" applyAlignment="1">
      <alignment vertical="center"/>
    </xf>
    <xf numFmtId="0" fontId="0" fillId="2" borderId="4" xfId="0" applyFill="1" applyBorder="1" applyAlignment="1">
      <alignment horizontal="center" vertical="center" wrapText="1"/>
    </xf>
    <xf numFmtId="0" fontId="0" fillId="0" borderId="38" xfId="0" applyBorder="1" applyAlignment="1">
      <alignment horizontal="center" vertical="center" wrapText="1"/>
    </xf>
    <xf numFmtId="0" fontId="3" fillId="7" borderId="4" xfId="0" applyFont="1" applyFill="1" applyBorder="1" applyAlignment="1">
      <alignment horizontal="center" vertical="center" wrapText="1"/>
    </xf>
    <xf numFmtId="14" fontId="0" fillId="0" borderId="14" xfId="0" applyNumberFormat="1" applyBorder="1" applyAlignment="1">
      <alignment horizontal="center" vertical="center"/>
    </xf>
    <xf numFmtId="0" fontId="0" fillId="0" borderId="43" xfId="0" applyBorder="1" applyAlignment="1">
      <alignment vertical="center" wrapText="1"/>
    </xf>
    <xf numFmtId="0" fontId="0" fillId="2" borderId="14" xfId="0" applyFill="1" applyBorder="1" applyAlignment="1">
      <alignment vertical="center"/>
    </xf>
    <xf numFmtId="14" fontId="3" fillId="7" borderId="8" xfId="0" applyNumberFormat="1" applyFont="1" applyFill="1" applyBorder="1" applyAlignment="1">
      <alignment vertical="center"/>
    </xf>
    <xf numFmtId="0" fontId="0" fillId="2" borderId="7" xfId="0" applyFill="1" applyBorder="1" applyAlignment="1">
      <alignment horizontal="center" vertical="center" wrapText="1"/>
    </xf>
    <xf numFmtId="14" fontId="0" fillId="0" borderId="2" xfId="0" applyNumberFormat="1" applyBorder="1" applyAlignment="1">
      <alignment horizontal="center" vertical="center"/>
    </xf>
    <xf numFmtId="0" fontId="0" fillId="0" borderId="28" xfId="0" applyBorder="1" applyAlignment="1">
      <alignment vertical="center" wrapText="1"/>
    </xf>
    <xf numFmtId="0" fontId="0" fillId="0" borderId="6" xfId="0" applyBorder="1" applyAlignment="1">
      <alignment vertical="center" wrapText="1"/>
    </xf>
    <xf numFmtId="0" fontId="0" fillId="0" borderId="28" xfId="0" applyBorder="1" applyAlignment="1">
      <alignment horizontal="center" vertical="center" wrapText="1"/>
    </xf>
    <xf numFmtId="0" fontId="0" fillId="2" borderId="2" xfId="0" applyFill="1" applyBorder="1" applyAlignment="1">
      <alignment horizontal="center" vertical="center" wrapText="1"/>
    </xf>
    <xf numFmtId="0" fontId="3" fillId="7" borderId="7" xfId="0" applyFont="1" applyFill="1" applyBorder="1" applyAlignment="1">
      <alignment horizontal="center" vertical="center" wrapText="1"/>
    </xf>
    <xf numFmtId="0" fontId="0" fillId="4" borderId="2" xfId="0" applyFill="1" applyBorder="1" applyAlignment="1">
      <alignment horizontal="center" vertical="center"/>
    </xf>
    <xf numFmtId="0" fontId="0" fillId="4" borderId="2" xfId="0" applyFill="1" applyBorder="1"/>
    <xf numFmtId="0" fontId="0" fillId="4" borderId="31" xfId="0" applyFill="1" applyBorder="1"/>
    <xf numFmtId="0" fontId="0" fillId="3" borderId="2" xfId="0" applyFill="1" applyBorder="1" applyAlignment="1">
      <alignment horizontal="center" vertical="center"/>
    </xf>
    <xf numFmtId="0" fontId="0" fillId="3" borderId="2" xfId="0" applyFill="1" applyBorder="1"/>
    <xf numFmtId="0" fontId="0" fillId="3" borderId="31" xfId="0" applyFill="1" applyBorder="1"/>
    <xf numFmtId="0" fontId="0" fillId="0" borderId="37" xfId="0" applyBorder="1" applyAlignment="1">
      <alignment horizontal="center" vertical="center"/>
    </xf>
    <xf numFmtId="0" fontId="0" fillId="0" borderId="37" xfId="0" applyBorder="1" applyAlignment="1">
      <alignment horizontal="center" wrapText="1"/>
    </xf>
    <xf numFmtId="0" fontId="2" fillId="0" borderId="28" xfId="0" applyFont="1" applyBorder="1" applyAlignment="1">
      <alignment vertical="center" wrapText="1"/>
    </xf>
    <xf numFmtId="0" fontId="3" fillId="0" borderId="28" xfId="0" applyFont="1" applyBorder="1" applyAlignment="1">
      <alignment horizontal="center" vertical="center"/>
    </xf>
    <xf numFmtId="14" fontId="3" fillId="0" borderId="28" xfId="0" applyNumberFormat="1" applyFont="1" applyBorder="1" applyAlignment="1">
      <alignment horizontal="center" vertical="center"/>
    </xf>
    <xf numFmtId="0" fontId="0" fillId="2" borderId="28" xfId="0" applyFill="1" applyBorder="1" applyAlignment="1">
      <alignment horizontal="center" vertical="center" wrapText="1"/>
    </xf>
    <xf numFmtId="0" fontId="3" fillId="0" borderId="28" xfId="0" applyFont="1" applyBorder="1" applyAlignment="1">
      <alignment horizontal="center" vertical="center" wrapText="1"/>
    </xf>
    <xf numFmtId="0" fontId="3" fillId="7" borderId="28" xfId="0" applyFont="1" applyFill="1" applyBorder="1" applyAlignment="1">
      <alignment horizontal="center" vertical="center" wrapText="1"/>
    </xf>
    <xf numFmtId="0" fontId="3" fillId="5" borderId="8" xfId="0" applyFont="1" applyFill="1" applyBorder="1" applyAlignment="1">
      <alignment vertical="center"/>
    </xf>
    <xf numFmtId="0" fontId="3" fillId="5" borderId="34" xfId="0" applyFont="1" applyFill="1" applyBorder="1" applyAlignment="1">
      <alignment vertical="center"/>
    </xf>
    <xf numFmtId="0" fontId="3" fillId="6" borderId="8" xfId="0" applyFont="1" applyFill="1" applyBorder="1" applyAlignment="1">
      <alignment vertical="center"/>
    </xf>
    <xf numFmtId="0" fontId="3" fillId="6" borderId="34" xfId="0" applyFont="1" applyFill="1" applyBorder="1" applyAlignment="1">
      <alignment vertical="center"/>
    </xf>
    <xf numFmtId="14" fontId="3" fillId="0" borderId="16" xfId="0" applyNumberFormat="1" applyFont="1" applyBorder="1" applyAlignment="1">
      <alignment horizontal="center" vertical="center"/>
    </xf>
    <xf numFmtId="14" fontId="3" fillId="7" borderId="28" xfId="0" applyNumberFormat="1" applyFont="1" applyFill="1" applyBorder="1" applyAlignment="1">
      <alignment vertical="center"/>
    </xf>
    <xf numFmtId="0" fontId="3" fillId="7" borderId="28" xfId="0" applyFont="1" applyFill="1" applyBorder="1" applyAlignment="1">
      <alignment vertical="center"/>
    </xf>
    <xf numFmtId="0" fontId="0" fillId="0" borderId="28" xfId="0" applyBorder="1" applyAlignment="1">
      <alignment horizontal="center" vertical="center"/>
    </xf>
    <xf numFmtId="14" fontId="0" fillId="0" borderId="28" xfId="0" applyNumberFormat="1" applyBorder="1" applyAlignment="1">
      <alignment horizontal="center" vertical="center"/>
    </xf>
    <xf numFmtId="0" fontId="0" fillId="2" borderId="28" xfId="0" applyFill="1" applyBorder="1"/>
    <xf numFmtId="14" fontId="0" fillId="2" borderId="28" xfId="0" applyNumberFormat="1" applyFill="1" applyBorder="1" applyAlignment="1">
      <alignment vertical="center"/>
    </xf>
    <xf numFmtId="0" fontId="0" fillId="2" borderId="28" xfId="0" applyFill="1" applyBorder="1" applyAlignment="1">
      <alignment horizontal="center" vertical="center"/>
    </xf>
    <xf numFmtId="0" fontId="0" fillId="2" borderId="28" xfId="0" applyFill="1" applyBorder="1" applyAlignment="1">
      <alignment vertical="center"/>
    </xf>
    <xf numFmtId="0" fontId="0" fillId="0" borderId="44" xfId="0" applyBorder="1" applyAlignment="1">
      <alignment horizontal="center" vertical="center"/>
    </xf>
    <xf numFmtId="14" fontId="0" fillId="0" borderId="45" xfId="0" applyNumberFormat="1" applyBorder="1" applyAlignment="1">
      <alignment horizontal="center" vertical="center"/>
    </xf>
    <xf numFmtId="0" fontId="0" fillId="2" borderId="0" xfId="0" applyFill="1"/>
    <xf numFmtId="0" fontId="3" fillId="0" borderId="17" xfId="0" applyFont="1" applyBorder="1" applyAlignment="1">
      <alignment horizontal="center" vertical="center" wrapText="1"/>
    </xf>
    <xf numFmtId="0" fontId="3" fillId="7" borderId="3" xfId="0" applyFont="1" applyFill="1" applyBorder="1" applyAlignment="1">
      <alignment horizontal="center" vertical="center" wrapText="1"/>
    </xf>
    <xf numFmtId="0" fontId="3" fillId="7" borderId="14" xfId="0" applyFont="1" applyFill="1" applyBorder="1" applyAlignment="1">
      <alignment vertical="center"/>
    </xf>
    <xf numFmtId="0" fontId="0" fillId="0" borderId="38" xfId="0" applyBorder="1" applyAlignment="1">
      <alignment vertical="center"/>
    </xf>
    <xf numFmtId="0" fontId="0" fillId="0" borderId="19" xfId="0" applyBorder="1" applyAlignment="1">
      <alignment horizontal="center" vertical="center" wrapText="1"/>
    </xf>
    <xf numFmtId="0" fontId="0" fillId="0" borderId="7" xfId="0" applyBorder="1" applyAlignment="1">
      <alignment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3" fillId="0" borderId="27" xfId="0" applyFont="1" applyBorder="1" applyAlignment="1">
      <alignment horizontal="center" vertical="center"/>
    </xf>
    <xf numFmtId="14" fontId="3" fillId="0" borderId="1" xfId="0" applyNumberFormat="1" applyFont="1" applyBorder="1" applyAlignment="1">
      <alignment horizontal="center" vertical="center"/>
    </xf>
    <xf numFmtId="0" fontId="3" fillId="5" borderId="3" xfId="0" applyFont="1" applyFill="1" applyBorder="1" applyAlignment="1">
      <alignment vertical="center"/>
    </xf>
    <xf numFmtId="0" fontId="3" fillId="5" borderId="1" xfId="0" applyFont="1" applyFill="1" applyBorder="1" applyAlignment="1">
      <alignment vertical="center"/>
    </xf>
    <xf numFmtId="0" fontId="3" fillId="5" borderId="4" xfId="0" applyFont="1" applyFill="1" applyBorder="1" applyAlignment="1">
      <alignment vertical="center"/>
    </xf>
    <xf numFmtId="0" fontId="3" fillId="6" borderId="3" xfId="0" applyFont="1" applyFill="1" applyBorder="1" applyAlignment="1">
      <alignment vertical="center"/>
    </xf>
    <xf numFmtId="0" fontId="3" fillId="6" borderId="1" xfId="0" applyFont="1" applyFill="1" applyBorder="1" applyAlignment="1">
      <alignment vertical="center"/>
    </xf>
    <xf numFmtId="0" fontId="3" fillId="6" borderId="4" xfId="0" applyFont="1" applyFill="1" applyBorder="1" applyAlignment="1">
      <alignment vertical="center"/>
    </xf>
    <xf numFmtId="0" fontId="3" fillId="0" borderId="37" xfId="0" applyFont="1" applyBorder="1" applyAlignment="1">
      <alignment vertical="center"/>
    </xf>
    <xf numFmtId="0" fontId="3" fillId="0" borderId="0" xfId="0" applyFont="1" applyAlignment="1">
      <alignment vertical="center" wrapText="1"/>
    </xf>
    <xf numFmtId="0" fontId="3" fillId="0" borderId="16" xfId="0" applyFont="1" applyBorder="1" applyAlignment="1">
      <alignment horizontal="center" vertical="center" wrapText="1"/>
    </xf>
    <xf numFmtId="0" fontId="3" fillId="5" borderId="3" xfId="0" applyFont="1" applyFill="1" applyBorder="1" applyAlignment="1">
      <alignment horizontal="center" vertical="center"/>
    </xf>
    <xf numFmtId="14" fontId="3" fillId="5" borderId="1" xfId="0" applyNumberFormat="1" applyFont="1" applyFill="1" applyBorder="1" applyAlignment="1">
      <alignment vertical="center"/>
    </xf>
    <xf numFmtId="0" fontId="3" fillId="5" borderId="4" xfId="0" applyFont="1" applyFill="1" applyBorder="1" applyAlignment="1">
      <alignment horizontal="center" vertical="center"/>
    </xf>
    <xf numFmtId="0" fontId="3" fillId="0" borderId="33" xfId="0" applyFont="1" applyBorder="1" applyAlignment="1">
      <alignment horizontal="center" vertical="center" wrapText="1"/>
    </xf>
    <xf numFmtId="0" fontId="3" fillId="0" borderId="37" xfId="0" applyFont="1" applyBorder="1" applyAlignment="1">
      <alignment vertical="center" wrapText="1"/>
    </xf>
    <xf numFmtId="0" fontId="3" fillId="0" borderId="38" xfId="0" applyFont="1" applyBorder="1" applyAlignment="1">
      <alignment vertical="center"/>
    </xf>
    <xf numFmtId="14" fontId="3" fillId="5" borderId="4" xfId="0" applyNumberFormat="1" applyFont="1" applyFill="1" applyBorder="1" applyAlignment="1">
      <alignment vertical="center"/>
    </xf>
    <xf numFmtId="0" fontId="3" fillId="0" borderId="26" xfId="0" applyFont="1" applyBorder="1" applyAlignment="1">
      <alignment horizontal="center" vertical="center"/>
    </xf>
    <xf numFmtId="14" fontId="3" fillId="0" borderId="8" xfId="0" applyNumberFormat="1" applyFont="1" applyBorder="1" applyAlignment="1">
      <alignment horizontal="center" vertical="center"/>
    </xf>
    <xf numFmtId="0" fontId="3" fillId="7" borderId="8" xfId="0" applyFont="1" applyFill="1" applyBorder="1" applyAlignment="1">
      <alignment horizontal="center" vertical="center" wrapText="1"/>
    </xf>
    <xf numFmtId="0" fontId="3" fillId="7" borderId="16" xfId="0" applyFont="1" applyFill="1" applyBorder="1" applyAlignment="1">
      <alignment vertical="center"/>
    </xf>
    <xf numFmtId="0" fontId="3" fillId="0" borderId="16" xfId="0" applyFont="1" applyBorder="1" applyAlignment="1">
      <alignment vertical="center" wrapText="1"/>
    </xf>
    <xf numFmtId="0" fontId="3" fillId="0" borderId="28" xfId="0" applyFont="1" applyBorder="1" applyAlignment="1">
      <alignment vertical="center" wrapText="1"/>
    </xf>
    <xf numFmtId="0" fontId="3" fillId="0" borderId="29" xfId="0" applyFont="1" applyBorder="1" applyAlignment="1">
      <alignment horizontal="center" vertical="center"/>
    </xf>
    <xf numFmtId="14" fontId="3" fillId="0" borderId="29" xfId="0" applyNumberFormat="1" applyFont="1" applyBorder="1" applyAlignment="1">
      <alignment horizontal="center" vertical="center"/>
    </xf>
    <xf numFmtId="0" fontId="3" fillId="7" borderId="45" xfId="0" applyFont="1" applyFill="1" applyBorder="1" applyAlignment="1">
      <alignment horizontal="center" vertical="center" wrapText="1"/>
    </xf>
    <xf numFmtId="0" fontId="0" fillId="0" borderId="48" xfId="0" applyBorder="1" applyAlignment="1">
      <alignment horizontal="center" vertical="center" wrapText="1"/>
    </xf>
    <xf numFmtId="0" fontId="0" fillId="0" borderId="51" xfId="0" applyBorder="1" applyAlignment="1">
      <alignment horizontal="center" vertical="center" wrapText="1"/>
    </xf>
    <xf numFmtId="0" fontId="0" fillId="0" borderId="52" xfId="0" applyBorder="1" applyAlignment="1">
      <alignment horizontal="center" vertical="center"/>
    </xf>
    <xf numFmtId="0" fontId="0" fillId="0" borderId="53" xfId="0" applyBorder="1" applyAlignment="1">
      <alignment horizontal="center" vertical="center" wrapText="1"/>
    </xf>
    <xf numFmtId="14" fontId="0" fillId="2" borderId="6" xfId="0" applyNumberFormat="1" applyFill="1" applyBorder="1" applyAlignment="1">
      <alignment vertical="center"/>
    </xf>
    <xf numFmtId="14" fontId="0" fillId="0" borderId="1" xfId="0" applyNumberFormat="1" applyBorder="1" applyAlignment="1">
      <alignment horizontal="center" vertical="center" wrapText="1"/>
    </xf>
    <xf numFmtId="0" fontId="0" fillId="2" borderId="14" xfId="0" applyFill="1" applyBorder="1" applyAlignment="1">
      <alignment horizontal="right" vertical="center"/>
    </xf>
    <xf numFmtId="0" fontId="3" fillId="0" borderId="54" xfId="0" applyFont="1" applyBorder="1" applyAlignment="1">
      <alignment horizontal="center" vertical="center"/>
    </xf>
    <xf numFmtId="14" fontId="0" fillId="0" borderId="55" xfId="0" applyNumberFormat="1" applyBorder="1" applyAlignment="1">
      <alignment horizontal="center" vertical="center"/>
    </xf>
    <xf numFmtId="0" fontId="0" fillId="0" borderId="47" xfId="0" applyBorder="1" applyAlignment="1">
      <alignment vertical="center" wrapText="1"/>
    </xf>
    <xf numFmtId="0" fontId="0" fillId="0" borderId="54" xfId="0" applyBorder="1" applyAlignment="1">
      <alignment horizontal="center" vertical="center"/>
    </xf>
    <xf numFmtId="0" fontId="3" fillId="5" borderId="2" xfId="0" applyFont="1" applyFill="1" applyBorder="1" applyAlignment="1">
      <alignment vertical="center"/>
    </xf>
    <xf numFmtId="0" fontId="3" fillId="7" borderId="57" xfId="0" applyFont="1" applyFill="1" applyBorder="1" applyAlignment="1">
      <alignment vertical="center"/>
    </xf>
    <xf numFmtId="0" fontId="0" fillId="0" borderId="58" xfId="0" applyBorder="1" applyAlignment="1">
      <alignment vertical="center" wrapText="1"/>
    </xf>
    <xf numFmtId="14" fontId="0" fillId="2" borderId="61" xfId="0" applyNumberFormat="1" applyFill="1" applyBorder="1" applyAlignment="1">
      <alignment vertical="center"/>
    </xf>
    <xf numFmtId="0" fontId="0" fillId="0" borderId="30" xfId="0" applyBorder="1" applyAlignment="1">
      <alignment vertical="center" wrapText="1"/>
    </xf>
    <xf numFmtId="0" fontId="3" fillId="0" borderId="30" xfId="0" applyFont="1" applyBorder="1" applyAlignment="1">
      <alignment horizontal="center" vertical="center" wrapText="1"/>
    </xf>
    <xf numFmtId="0" fontId="3" fillId="7" borderId="30" xfId="0" applyFont="1" applyFill="1" applyBorder="1" applyAlignment="1">
      <alignment horizontal="center" vertical="center" wrapText="1"/>
    </xf>
    <xf numFmtId="14" fontId="0" fillId="2" borderId="30" xfId="0" applyNumberFormat="1" applyFill="1" applyBorder="1" applyAlignment="1">
      <alignment vertical="center"/>
    </xf>
    <xf numFmtId="0" fontId="0" fillId="9" borderId="0" xfId="0" applyFill="1"/>
    <xf numFmtId="0" fontId="0" fillId="9" borderId="19" xfId="0" applyFill="1" applyBorder="1" applyAlignment="1">
      <alignment horizontal="center" vertical="center"/>
    </xf>
    <xf numFmtId="0" fontId="0" fillId="9" borderId="38" xfId="0" applyFill="1" applyBorder="1" applyAlignment="1">
      <alignment horizontal="center" vertical="center" wrapText="1"/>
    </xf>
    <xf numFmtId="0" fontId="3" fillId="0" borderId="38" xfId="0" applyFont="1" applyBorder="1" applyAlignment="1">
      <alignment vertical="center" wrapText="1"/>
    </xf>
    <xf numFmtId="14" fontId="3" fillId="6" borderId="34" xfId="0" applyNumberFormat="1" applyFont="1" applyFill="1" applyBorder="1" applyAlignment="1">
      <alignment vertical="center"/>
    </xf>
    <xf numFmtId="0" fontId="0" fillId="0" borderId="26" xfId="0" applyBorder="1" applyAlignment="1">
      <alignment horizontal="center"/>
    </xf>
    <xf numFmtId="0" fontId="0" fillId="0" borderId="29" xfId="0" applyBorder="1" applyAlignment="1">
      <alignment horizontal="center" vertical="center"/>
    </xf>
    <xf numFmtId="14" fontId="0" fillId="0" borderId="29" xfId="0" applyNumberFormat="1" applyBorder="1" applyAlignment="1">
      <alignment horizontal="center" vertical="center"/>
    </xf>
    <xf numFmtId="14" fontId="3" fillId="0" borderId="28" xfId="0" applyNumberFormat="1" applyFont="1" applyBorder="1" applyAlignment="1">
      <alignment horizontal="center" vertical="center" wrapText="1"/>
    </xf>
    <xf numFmtId="14" fontId="3" fillId="0" borderId="2" xfId="0" applyNumberFormat="1" applyFont="1" applyBorder="1" applyAlignment="1">
      <alignment horizontal="center" vertical="center"/>
    </xf>
    <xf numFmtId="14" fontId="3" fillId="0" borderId="1" xfId="0" applyNumberFormat="1" applyFont="1" applyBorder="1" applyAlignment="1">
      <alignment horizontal="center" vertical="center" wrapText="1"/>
    </xf>
    <xf numFmtId="0" fontId="0" fillId="0" borderId="7" xfId="0" applyBorder="1"/>
    <xf numFmtId="0" fontId="2" fillId="0" borderId="7" xfId="0" applyFont="1" applyBorder="1" applyAlignment="1">
      <alignment wrapText="1"/>
    </xf>
    <xf numFmtId="0" fontId="3" fillId="0" borderId="7" xfId="0" applyFont="1" applyBorder="1" applyAlignment="1">
      <alignment vertical="center" wrapText="1"/>
    </xf>
    <xf numFmtId="0" fontId="3" fillId="0" borderId="6" xfId="0" applyFont="1" applyBorder="1" applyAlignment="1">
      <alignment vertical="center" wrapText="1"/>
    </xf>
    <xf numFmtId="0" fontId="0" fillId="0" borderId="1" xfId="0" applyBorder="1" applyAlignment="1">
      <alignment vertical="center" wrapText="1"/>
    </xf>
    <xf numFmtId="0" fontId="0" fillId="9" borderId="28" xfId="0" applyFill="1" applyBorder="1" applyAlignment="1">
      <alignment vertical="center" wrapText="1"/>
    </xf>
    <xf numFmtId="0" fontId="3" fillId="0" borderId="7" xfId="0" applyFont="1" applyBorder="1"/>
    <xf numFmtId="0" fontId="3" fillId="0" borderId="59" xfId="0" applyFont="1" applyBorder="1" applyAlignment="1">
      <alignment horizontal="center" vertical="center" wrapText="1"/>
    </xf>
    <xf numFmtId="0" fontId="0" fillId="0" borderId="46" xfId="0" applyBorder="1" applyAlignment="1">
      <alignment horizontal="center" vertical="center" wrapText="1"/>
    </xf>
    <xf numFmtId="0" fontId="3" fillId="0" borderId="32" xfId="0" applyFont="1" applyBorder="1" applyAlignment="1">
      <alignment horizontal="center" vertical="center" wrapText="1"/>
    </xf>
    <xf numFmtId="0" fontId="0" fillId="9" borderId="28" xfId="0" applyFill="1" applyBorder="1" applyAlignment="1">
      <alignment horizontal="center" vertical="center" wrapText="1"/>
    </xf>
    <xf numFmtId="0" fontId="3" fillId="7" borderId="60" xfId="0" applyFont="1" applyFill="1" applyBorder="1" applyAlignment="1">
      <alignment horizontal="center" vertical="center" wrapText="1"/>
    </xf>
    <xf numFmtId="0" fontId="3" fillId="7" borderId="2" xfId="0" applyFont="1" applyFill="1" applyBorder="1" applyAlignment="1">
      <alignment horizontal="center" vertical="center" wrapText="1"/>
    </xf>
    <xf numFmtId="14" fontId="3" fillId="7" borderId="6" xfId="0" applyNumberFormat="1" applyFont="1" applyFill="1" applyBorder="1" applyAlignment="1">
      <alignment vertical="center"/>
    </xf>
    <xf numFmtId="0" fontId="3" fillId="7" borderId="56" xfId="0" applyFont="1" applyFill="1" applyBorder="1" applyAlignment="1">
      <alignment vertical="center"/>
    </xf>
    <xf numFmtId="0" fontId="0" fillId="2" borderId="57" xfId="0" applyFill="1" applyBorder="1"/>
    <xf numFmtId="0" fontId="3" fillId="7" borderId="17" xfId="0" applyFont="1" applyFill="1" applyBorder="1" applyAlignment="1">
      <alignment vertical="center"/>
    </xf>
    <xf numFmtId="0" fontId="3" fillId="5" borderId="3" xfId="0" applyFont="1" applyFill="1" applyBorder="1" applyAlignment="1">
      <alignment horizontal="center" vertical="center" wrapText="1"/>
    </xf>
    <xf numFmtId="14" fontId="0" fillId="4" borderId="2" xfId="0" applyNumberFormat="1" applyFill="1" applyBorder="1"/>
    <xf numFmtId="0" fontId="3" fillId="5" borderId="4" xfId="0" applyFont="1" applyFill="1" applyBorder="1" applyAlignment="1">
      <alignment horizontal="center" vertical="center" wrapText="1"/>
    </xf>
    <xf numFmtId="14" fontId="0" fillId="9" borderId="16" xfId="0" applyNumberFormat="1" applyFill="1" applyBorder="1" applyAlignment="1">
      <alignment horizontal="center" vertical="center"/>
    </xf>
    <xf numFmtId="0" fontId="0" fillId="9" borderId="38" xfId="0" applyFill="1" applyBorder="1"/>
    <xf numFmtId="14" fontId="3" fillId="5" borderId="8" xfId="0" applyNumberFormat="1" applyFont="1" applyFill="1" applyBorder="1" applyAlignment="1">
      <alignment vertical="center"/>
    </xf>
    <xf numFmtId="0" fontId="3" fillId="5" borderId="34" xfId="0" applyFont="1" applyFill="1" applyBorder="1" applyAlignment="1">
      <alignment horizontal="center" vertical="center"/>
    </xf>
    <xf numFmtId="0" fontId="3" fillId="5" borderId="8" xfId="0" applyFont="1" applyFill="1" applyBorder="1" applyAlignment="1">
      <alignment horizontal="center" vertical="center"/>
    </xf>
    <xf numFmtId="0" fontId="0" fillId="0" borderId="53" xfId="0" applyBorder="1"/>
    <xf numFmtId="0" fontId="1" fillId="0" borderId="62" xfId="0" applyFont="1" applyBorder="1" applyAlignment="1">
      <alignment horizontal="center" vertical="center" wrapText="1"/>
    </xf>
    <xf numFmtId="0" fontId="1" fillId="0" borderId="63" xfId="0" applyFont="1" applyBorder="1" applyAlignment="1">
      <alignment horizontal="center" vertical="center" wrapText="1"/>
    </xf>
    <xf numFmtId="0" fontId="1" fillId="2" borderId="64" xfId="0" applyFont="1" applyFill="1" applyBorder="1" applyAlignment="1">
      <alignment horizontal="center" vertical="center" wrapText="1"/>
    </xf>
    <xf numFmtId="0" fontId="0" fillId="2" borderId="43" xfId="0" applyFill="1" applyBorder="1" applyAlignment="1">
      <alignment horizontal="center" vertical="center" wrapText="1"/>
    </xf>
    <xf numFmtId="0" fontId="1" fillId="0" borderId="0" xfId="0" applyFont="1" applyAlignment="1">
      <alignment horizontal="center" vertical="center"/>
    </xf>
    <xf numFmtId="0" fontId="1" fillId="0" borderId="28" xfId="0" applyFont="1" applyBorder="1" applyAlignment="1">
      <alignment horizontal="center" vertical="center"/>
    </xf>
    <xf numFmtId="0" fontId="0" fillId="0" borderId="30" xfId="0" applyBorder="1" applyAlignment="1">
      <alignment horizontal="left" vertical="center" wrapText="1"/>
    </xf>
    <xf numFmtId="0" fontId="0" fillId="8" borderId="27" xfId="0" applyFill="1" applyBorder="1" applyAlignment="1">
      <alignment horizontal="center" vertical="center"/>
    </xf>
    <xf numFmtId="0" fontId="0" fillId="10" borderId="0" xfId="0" applyFill="1"/>
    <xf numFmtId="0" fontId="0" fillId="4" borderId="4" xfId="0" applyFill="1" applyBorder="1" applyAlignment="1">
      <alignment horizontal="center" vertical="center"/>
    </xf>
    <xf numFmtId="14" fontId="0" fillId="4" borderId="1" xfId="0" applyNumberFormat="1" applyFill="1" applyBorder="1" applyAlignment="1">
      <alignment horizontal="right" vertical="center"/>
    </xf>
    <xf numFmtId="0" fontId="3" fillId="11" borderId="28" xfId="0" applyFont="1" applyFill="1" applyBorder="1" applyAlignment="1">
      <alignment vertical="center" wrapText="1"/>
    </xf>
    <xf numFmtId="14" fontId="0" fillId="0" borderId="28" xfId="0" applyNumberFormat="1" applyBorder="1" applyAlignment="1">
      <alignment vertical="center"/>
    </xf>
    <xf numFmtId="0" fontId="3" fillId="8" borderId="28" xfId="0" applyFont="1" applyFill="1" applyBorder="1" applyAlignment="1">
      <alignment vertical="center" wrapText="1"/>
    </xf>
    <xf numFmtId="0" fontId="3" fillId="12" borderId="28" xfId="0" applyFont="1" applyFill="1" applyBorder="1" applyAlignment="1">
      <alignment vertical="center" wrapText="1"/>
    </xf>
    <xf numFmtId="14" fontId="0" fillId="0" borderId="56" xfId="0" applyNumberFormat="1" applyBorder="1" applyAlignment="1">
      <alignment horizontal="center" vertical="center"/>
    </xf>
    <xf numFmtId="14" fontId="0" fillId="0" borderId="65" xfId="0" applyNumberFormat="1" applyBorder="1" applyAlignment="1">
      <alignment horizontal="center" vertical="center"/>
    </xf>
    <xf numFmtId="14" fontId="3" fillId="0" borderId="65" xfId="0" applyNumberFormat="1" applyFont="1" applyBorder="1" applyAlignment="1">
      <alignment horizontal="center" vertical="center"/>
    </xf>
    <xf numFmtId="14" fontId="0" fillId="0" borderId="13" xfId="0" applyNumberFormat="1" applyBorder="1" applyAlignment="1">
      <alignment horizontal="center" vertical="center"/>
    </xf>
    <xf numFmtId="0" fontId="3" fillId="0" borderId="28" xfId="0" applyFont="1" applyBorder="1" applyAlignment="1">
      <alignment wrapText="1"/>
    </xf>
    <xf numFmtId="0" fontId="7" fillId="0" borderId="0" xfId="0" applyFont="1"/>
    <xf numFmtId="0" fontId="3" fillId="0" borderId="37" xfId="0" applyFont="1" applyBorder="1" applyAlignment="1">
      <alignment horizontal="center" vertical="center"/>
    </xf>
    <xf numFmtId="0" fontId="0" fillId="0" borderId="38" xfId="0" applyBorder="1" applyAlignment="1">
      <alignment vertical="center" wrapText="1"/>
    </xf>
    <xf numFmtId="14" fontId="0" fillId="4" borderId="8" xfId="0" applyNumberFormat="1" applyFill="1" applyBorder="1" applyAlignment="1">
      <alignment horizontal="center" vertical="center"/>
    </xf>
    <xf numFmtId="0" fontId="0" fillId="4" borderId="34" xfId="0" applyFill="1" applyBorder="1" applyAlignment="1">
      <alignment horizontal="center" vertical="center"/>
    </xf>
    <xf numFmtId="0" fontId="2" fillId="0" borderId="6" xfId="0" applyFont="1" applyBorder="1" applyAlignment="1">
      <alignment vertical="center" wrapText="1"/>
    </xf>
    <xf numFmtId="0" fontId="2" fillId="0" borderId="1" xfId="0" applyFont="1" applyBorder="1" applyAlignment="1">
      <alignment wrapText="1"/>
    </xf>
    <xf numFmtId="0" fontId="2" fillId="0" borderId="6" xfId="0" applyFont="1" applyBorder="1" applyAlignment="1">
      <alignment wrapText="1"/>
    </xf>
    <xf numFmtId="0" fontId="3" fillId="0" borderId="1" xfId="0" applyFont="1" applyBorder="1" applyAlignment="1">
      <alignment wrapText="1"/>
    </xf>
    <xf numFmtId="0" fontId="3" fillId="0" borderId="6" xfId="0" applyFont="1" applyBorder="1" applyAlignment="1">
      <alignment wrapText="1"/>
    </xf>
    <xf numFmtId="14" fontId="3" fillId="0" borderId="14" xfId="0" applyNumberFormat="1" applyFont="1" applyBorder="1" applyAlignment="1">
      <alignment horizontal="center" vertical="center"/>
    </xf>
    <xf numFmtId="0" fontId="0" fillId="0" borderId="34" xfId="0" applyBorder="1" applyAlignment="1">
      <alignment horizontal="center" vertical="center" wrapText="1"/>
    </xf>
    <xf numFmtId="0" fontId="3" fillId="0" borderId="48" xfId="0" applyFont="1" applyBorder="1" applyAlignment="1">
      <alignment horizontal="center" vertical="center" wrapText="1"/>
    </xf>
    <xf numFmtId="0" fontId="0" fillId="0" borderId="19" xfId="0" applyBorder="1" applyAlignment="1">
      <alignment vertical="center" wrapText="1"/>
    </xf>
    <xf numFmtId="0" fontId="0" fillId="0" borderId="52" xfId="0" applyBorder="1" applyAlignment="1">
      <alignment vertical="center" wrapText="1"/>
    </xf>
    <xf numFmtId="0" fontId="0" fillId="0" borderId="66" xfId="0" applyBorder="1" applyAlignment="1">
      <alignment vertical="center" wrapText="1"/>
    </xf>
    <xf numFmtId="0" fontId="3" fillId="0" borderId="66" xfId="0" applyFont="1" applyBorder="1" applyAlignment="1">
      <alignment vertical="center" wrapText="1"/>
    </xf>
    <xf numFmtId="0" fontId="1" fillId="0" borderId="68" xfId="0" applyFont="1" applyBorder="1" applyAlignment="1">
      <alignment horizontal="center" vertical="center" wrapText="1"/>
    </xf>
    <xf numFmtId="0" fontId="1" fillId="0" borderId="69" xfId="0" applyFont="1" applyBorder="1" applyAlignment="1">
      <alignment vertical="center" wrapText="1"/>
    </xf>
    <xf numFmtId="0" fontId="0" fillId="0" borderId="37" xfId="0" applyBorder="1" applyAlignment="1">
      <alignment vertical="center"/>
    </xf>
    <xf numFmtId="0" fontId="0" fillId="0" borderId="70" xfId="0" applyBorder="1" applyAlignment="1">
      <alignment vertical="center" wrapText="1"/>
    </xf>
    <xf numFmtId="0" fontId="3" fillId="7" borderId="71" xfId="0" applyFont="1" applyFill="1" applyBorder="1" applyAlignment="1">
      <alignment horizontal="center" vertical="center" wrapText="1"/>
    </xf>
    <xf numFmtId="0" fontId="0" fillId="0" borderId="72" xfId="0" applyBorder="1" applyAlignment="1">
      <alignment vertical="center" wrapText="1"/>
    </xf>
    <xf numFmtId="0" fontId="3" fillId="7" borderId="5" xfId="0" applyFont="1" applyFill="1" applyBorder="1" applyAlignment="1">
      <alignment horizontal="center" vertical="center" wrapText="1"/>
    </xf>
    <xf numFmtId="0" fontId="3" fillId="0" borderId="73" xfId="0" applyFont="1" applyBorder="1" applyAlignment="1">
      <alignment horizontal="center" vertical="center" wrapText="1"/>
    </xf>
    <xf numFmtId="0" fontId="0" fillId="0" borderId="73" xfId="0" applyBorder="1" applyAlignment="1">
      <alignment horizontal="center" vertical="center" wrapText="1"/>
    </xf>
    <xf numFmtId="0" fontId="3" fillId="0" borderId="34" xfId="0" applyFont="1" applyBorder="1" applyAlignment="1">
      <alignment horizontal="center" vertical="center" wrapText="1"/>
    </xf>
    <xf numFmtId="14" fontId="3" fillId="0" borderId="14" xfId="0" applyNumberFormat="1" applyFont="1" applyBorder="1" applyAlignment="1">
      <alignment horizontal="center" vertical="center" wrapText="1"/>
    </xf>
    <xf numFmtId="0" fontId="0" fillId="0" borderId="74" xfId="0" applyBorder="1" applyAlignment="1">
      <alignment horizontal="center" vertical="center" wrapText="1"/>
    </xf>
    <xf numFmtId="0" fontId="2" fillId="0" borderId="75" xfId="0" applyFont="1" applyBorder="1" applyAlignment="1">
      <alignment wrapText="1"/>
    </xf>
    <xf numFmtId="0" fontId="0" fillId="2" borderId="16" xfId="0" applyFill="1" applyBorder="1" applyAlignment="1">
      <alignment horizontal="right" vertical="center"/>
    </xf>
    <xf numFmtId="14" fontId="3" fillId="0" borderId="76" xfId="0" applyNumberFormat="1" applyFont="1" applyBorder="1" applyAlignment="1">
      <alignment horizontal="center" vertical="center"/>
    </xf>
    <xf numFmtId="0" fontId="3" fillId="0" borderId="65" xfId="0" applyFont="1" applyBorder="1" applyAlignment="1">
      <alignment horizontal="center" vertical="center"/>
    </xf>
    <xf numFmtId="0" fontId="0" fillId="0" borderId="29" xfId="0" applyBorder="1"/>
    <xf numFmtId="0" fontId="0" fillId="0" borderId="28" xfId="0" applyBorder="1" applyAlignment="1">
      <alignment wrapText="1"/>
    </xf>
    <xf numFmtId="0" fontId="3" fillId="0" borderId="75" xfId="0" applyFont="1" applyBorder="1" applyAlignment="1">
      <alignment wrapText="1"/>
    </xf>
    <xf numFmtId="0" fontId="0" fillId="0" borderId="29" xfId="0" applyBorder="1" applyAlignment="1">
      <alignment vertical="center" wrapText="1"/>
    </xf>
    <xf numFmtId="0" fontId="0" fillId="0" borderId="29" xfId="0" applyBorder="1" applyAlignment="1">
      <alignment vertical="center"/>
    </xf>
    <xf numFmtId="0" fontId="3" fillId="0" borderId="30" xfId="0" applyFont="1" applyBorder="1" applyAlignment="1">
      <alignment vertical="center" wrapText="1"/>
    </xf>
    <xf numFmtId="0" fontId="3" fillId="0" borderId="29" xfId="0" applyFont="1" applyBorder="1" applyAlignment="1">
      <alignment vertical="center" wrapText="1"/>
    </xf>
    <xf numFmtId="0" fontId="0" fillId="9" borderId="26" xfId="0" applyFill="1" applyBorder="1" applyAlignment="1">
      <alignment horizontal="center" vertical="center"/>
    </xf>
    <xf numFmtId="14" fontId="0" fillId="9" borderId="13" xfId="0" applyNumberFormat="1" applyFill="1" applyBorder="1" applyAlignment="1">
      <alignment horizontal="center" vertical="center"/>
    </xf>
    <xf numFmtId="14" fontId="0" fillId="9" borderId="6" xfId="0" applyNumberFormat="1" applyFill="1" applyBorder="1" applyAlignment="1">
      <alignment vertical="center"/>
    </xf>
    <xf numFmtId="0" fontId="0" fillId="9" borderId="13" xfId="0" applyFill="1" applyBorder="1"/>
    <xf numFmtId="0" fontId="0" fillId="9" borderId="4" xfId="0" applyFill="1" applyBorder="1" applyAlignment="1">
      <alignment horizontal="center" vertical="center" wrapText="1"/>
    </xf>
    <xf numFmtId="0" fontId="0" fillId="9" borderId="3" xfId="0" applyFill="1" applyBorder="1" applyAlignment="1">
      <alignment horizontal="center" vertical="center"/>
    </xf>
    <xf numFmtId="0" fontId="0" fillId="9" borderId="1" xfId="0" applyFill="1" applyBorder="1"/>
    <xf numFmtId="0" fontId="0" fillId="9" borderId="4" xfId="0" applyFill="1" applyBorder="1"/>
    <xf numFmtId="0" fontId="0" fillId="9" borderId="37" xfId="0" applyFill="1" applyBorder="1"/>
    <xf numFmtId="0" fontId="0" fillId="9" borderId="27" xfId="0" applyFill="1" applyBorder="1" applyAlignment="1">
      <alignment horizontal="center" vertical="center"/>
    </xf>
    <xf numFmtId="14" fontId="0" fillId="9" borderId="14" xfId="0" applyNumberFormat="1" applyFill="1" applyBorder="1" applyAlignment="1">
      <alignment horizontal="center" vertical="center"/>
    </xf>
    <xf numFmtId="0" fontId="0" fillId="9" borderId="14" xfId="0" applyFill="1" applyBorder="1"/>
    <xf numFmtId="14" fontId="0" fillId="9" borderId="17" xfId="0" applyNumberFormat="1" applyFill="1" applyBorder="1" applyAlignment="1">
      <alignment horizontal="center" vertical="center"/>
    </xf>
    <xf numFmtId="0" fontId="0" fillId="9" borderId="66" xfId="0" applyFill="1" applyBorder="1" applyAlignment="1">
      <alignment vertical="center" wrapText="1"/>
    </xf>
    <xf numFmtId="0" fontId="0" fillId="9" borderId="37" xfId="0" applyFill="1" applyBorder="1" applyAlignment="1">
      <alignment vertical="center"/>
    </xf>
    <xf numFmtId="0" fontId="3" fillId="9" borderId="3" xfId="0" applyFont="1" applyFill="1" applyBorder="1" applyAlignment="1">
      <alignment vertical="center"/>
    </xf>
    <xf numFmtId="0" fontId="3" fillId="9" borderId="1" xfId="0" applyFont="1" applyFill="1" applyBorder="1" applyAlignment="1">
      <alignment vertical="center"/>
    </xf>
    <xf numFmtId="0" fontId="3" fillId="9" borderId="4" xfId="0" applyFont="1" applyFill="1" applyBorder="1" applyAlignment="1">
      <alignment vertical="center"/>
    </xf>
    <xf numFmtId="0" fontId="3" fillId="9" borderId="37" xfId="0" applyFont="1" applyFill="1" applyBorder="1" applyAlignment="1">
      <alignment vertical="center"/>
    </xf>
    <xf numFmtId="0" fontId="3" fillId="9" borderId="3" xfId="0" applyFont="1" applyFill="1" applyBorder="1" applyAlignment="1">
      <alignment horizontal="center" vertical="center"/>
    </xf>
    <xf numFmtId="0" fontId="3" fillId="9" borderId="37" xfId="0" applyFont="1" applyFill="1" applyBorder="1" applyAlignment="1">
      <alignment vertical="center" wrapText="1"/>
    </xf>
    <xf numFmtId="0" fontId="3" fillId="9" borderId="37" xfId="0" applyFont="1" applyFill="1" applyBorder="1" applyAlignment="1">
      <alignment horizontal="center" vertical="center"/>
    </xf>
    <xf numFmtId="0" fontId="0" fillId="9" borderId="28" xfId="0" applyFill="1" applyBorder="1"/>
    <xf numFmtId="0" fontId="0" fillId="9" borderId="7" xfId="0" applyFill="1" applyBorder="1" applyAlignment="1">
      <alignment horizontal="center" vertical="center"/>
    </xf>
    <xf numFmtId="0" fontId="1" fillId="0" borderId="0" xfId="0" applyFont="1" applyAlignment="1">
      <alignment horizontal="center" vertical="center" wrapText="1"/>
    </xf>
    <xf numFmtId="0" fontId="1" fillId="9" borderId="78" xfId="0" applyFont="1" applyFill="1" applyBorder="1" applyAlignment="1">
      <alignment horizontal="center" vertical="center" wrapText="1"/>
    </xf>
    <xf numFmtId="0" fontId="1" fillId="9" borderId="51" xfId="0" applyFont="1" applyFill="1" applyBorder="1" applyAlignment="1">
      <alignment horizontal="center" vertical="center" wrapText="1"/>
    </xf>
    <xf numFmtId="0" fontId="1" fillId="9" borderId="79" xfId="0" applyFont="1" applyFill="1" applyBorder="1" applyAlignment="1">
      <alignment horizontal="center" vertical="center" wrapText="1"/>
    </xf>
    <xf numFmtId="0" fontId="1" fillId="9" borderId="50" xfId="0" applyFont="1" applyFill="1" applyBorder="1" applyAlignment="1">
      <alignment horizontal="center" vertical="center" wrapText="1"/>
    </xf>
    <xf numFmtId="0" fontId="1" fillId="9" borderId="80" xfId="0" applyFont="1" applyFill="1" applyBorder="1" applyAlignment="1">
      <alignment horizontal="center" vertical="center" wrapText="1"/>
    </xf>
    <xf numFmtId="0" fontId="1" fillId="9" borderId="81" xfId="0" applyFont="1" applyFill="1" applyBorder="1" applyAlignment="1">
      <alignment horizontal="center" vertical="center" wrapText="1"/>
    </xf>
    <xf numFmtId="0" fontId="1" fillId="9" borderId="82" xfId="0" applyFont="1" applyFill="1" applyBorder="1" applyAlignment="1">
      <alignment horizontal="center" vertical="center" wrapText="1"/>
    </xf>
    <xf numFmtId="0" fontId="1" fillId="9" borderId="83" xfId="0" applyFont="1" applyFill="1" applyBorder="1" applyAlignment="1">
      <alignment horizontal="center" vertical="center" wrapText="1"/>
    </xf>
    <xf numFmtId="0" fontId="1" fillId="9" borderId="84" xfId="0" applyFont="1" applyFill="1" applyBorder="1" applyAlignment="1">
      <alignment horizontal="center" vertical="center" wrapText="1"/>
    </xf>
    <xf numFmtId="0" fontId="1" fillId="9" borderId="85" xfId="0" applyFont="1" applyFill="1" applyBorder="1" applyAlignment="1">
      <alignment horizontal="center" vertical="center" wrapText="1"/>
    </xf>
    <xf numFmtId="0" fontId="1" fillId="9" borderId="51" xfId="0" applyFont="1" applyFill="1" applyBorder="1" applyAlignment="1">
      <alignment horizontal="center" vertical="center"/>
    </xf>
    <xf numFmtId="0" fontId="0" fillId="9" borderId="13" xfId="0" applyFill="1" applyBorder="1" applyAlignment="1">
      <alignment horizontal="center" vertical="center"/>
    </xf>
    <xf numFmtId="0" fontId="0" fillId="9" borderId="86" xfId="0" applyFill="1" applyBorder="1"/>
    <xf numFmtId="0" fontId="0" fillId="9" borderId="87" xfId="0" applyFill="1" applyBorder="1" applyAlignment="1">
      <alignment horizontal="center" vertical="center" wrapText="1"/>
    </xf>
    <xf numFmtId="0" fontId="0" fillId="9" borderId="88" xfId="0" applyFill="1" applyBorder="1" applyAlignment="1">
      <alignment horizontal="center" vertical="center"/>
    </xf>
    <xf numFmtId="0" fontId="0" fillId="9" borderId="89" xfId="0" applyFill="1" applyBorder="1"/>
    <xf numFmtId="0" fontId="0" fillId="9" borderId="87" xfId="0" applyFill="1" applyBorder="1"/>
    <xf numFmtId="0" fontId="2" fillId="0" borderId="0" xfId="0" applyFont="1" applyAlignment="1">
      <alignment vertical="center" wrapText="1"/>
    </xf>
    <xf numFmtId="0" fontId="5" fillId="0" borderId="28" xfId="0" applyFont="1" applyBorder="1"/>
    <xf numFmtId="0" fontId="2" fillId="0" borderId="7" xfId="0" applyFont="1" applyBorder="1" applyAlignment="1">
      <alignment vertical="center" wrapText="1"/>
    </xf>
    <xf numFmtId="0" fontId="3" fillId="7" borderId="29" xfId="0" applyFont="1" applyFill="1" applyBorder="1" applyAlignment="1">
      <alignment horizontal="center" vertical="center" wrapText="1"/>
    </xf>
    <xf numFmtId="0" fontId="0" fillId="2" borderId="28" xfId="0" applyFill="1" applyBorder="1" applyAlignment="1">
      <alignment wrapText="1"/>
    </xf>
    <xf numFmtId="0" fontId="0" fillId="0" borderId="6" xfId="0" applyBorder="1"/>
    <xf numFmtId="0" fontId="0" fillId="0" borderId="1" xfId="0" applyBorder="1"/>
    <xf numFmtId="0" fontId="0" fillId="0" borderId="37" xfId="0" applyBorder="1" applyAlignment="1">
      <alignment horizontal="center" vertical="center" wrapText="1"/>
    </xf>
    <xf numFmtId="0" fontId="0" fillId="0" borderId="38" xfId="0" applyBorder="1" applyAlignment="1">
      <alignment horizontal="center" wrapText="1"/>
    </xf>
    <xf numFmtId="14" fontId="3" fillId="0" borderId="16" xfId="0" applyNumberFormat="1" applyFont="1" applyBorder="1" applyAlignment="1">
      <alignment horizontal="center" vertical="center" wrapText="1"/>
    </xf>
    <xf numFmtId="14" fontId="3" fillId="0" borderId="65" xfId="0" applyNumberFormat="1" applyFont="1" applyBorder="1" applyAlignment="1">
      <alignment horizontal="center" vertical="center" wrapText="1"/>
    </xf>
    <xf numFmtId="14" fontId="3" fillId="0" borderId="29" xfId="0" applyNumberFormat="1" applyFont="1" applyBorder="1" applyAlignment="1">
      <alignment horizontal="center" vertical="center" wrapText="1"/>
    </xf>
    <xf numFmtId="0" fontId="0" fillId="0" borderId="7" xfId="0" applyBorder="1" applyAlignment="1">
      <alignment vertical="center"/>
    </xf>
    <xf numFmtId="0" fontId="6" fillId="0" borderId="7" xfId="0" applyFont="1" applyBorder="1" applyAlignment="1">
      <alignment horizontal="center" vertical="center" wrapText="1"/>
    </xf>
    <xf numFmtId="0" fontId="0" fillId="0" borderId="6" xfId="0" applyBorder="1" applyAlignment="1">
      <alignment vertical="center"/>
    </xf>
    <xf numFmtId="0" fontId="3" fillId="0" borderId="47" xfId="0" applyFont="1" applyBorder="1" applyAlignment="1">
      <alignment vertical="center" wrapText="1"/>
    </xf>
    <xf numFmtId="0" fontId="3" fillId="7" borderId="13" xfId="0" applyFont="1" applyFill="1" applyBorder="1" applyAlignment="1">
      <alignment vertical="center"/>
    </xf>
    <xf numFmtId="0" fontId="0" fillId="2" borderId="56" xfId="0" applyFill="1" applyBorder="1"/>
    <xf numFmtId="0" fontId="3" fillId="5" borderId="8" xfId="0" applyFont="1" applyFill="1" applyBorder="1" applyAlignment="1">
      <alignment horizontal="center" vertical="center" wrapText="1"/>
    </xf>
    <xf numFmtId="14" fontId="0" fillId="4" borderId="8" xfId="0" applyNumberFormat="1" applyFill="1" applyBorder="1" applyAlignment="1">
      <alignment horizontal="right" vertical="center"/>
    </xf>
    <xf numFmtId="14" fontId="0" fillId="4" borderId="1" xfId="0" applyNumberFormat="1" applyFill="1" applyBorder="1"/>
    <xf numFmtId="0" fontId="3" fillId="5" borderId="34" xfId="0" applyFont="1" applyFill="1" applyBorder="1" applyAlignment="1">
      <alignment horizontal="center" vertical="center" wrapText="1"/>
    </xf>
    <xf numFmtId="0" fontId="0" fillId="0" borderId="37" xfId="0" applyBorder="1" applyAlignment="1">
      <alignment vertical="center" wrapText="1"/>
    </xf>
    <xf numFmtId="0" fontId="0" fillId="0" borderId="6" xfId="0" applyBorder="1" applyAlignment="1">
      <alignment wrapText="1"/>
    </xf>
    <xf numFmtId="0" fontId="0" fillId="0" borderId="47" xfId="0" applyBorder="1"/>
    <xf numFmtId="0" fontId="2" fillId="0" borderId="47" xfId="0" applyFont="1" applyBorder="1" applyAlignment="1">
      <alignment wrapText="1"/>
    </xf>
    <xf numFmtId="0" fontId="0" fillId="2" borderId="71" xfId="0" applyFill="1" applyBorder="1" applyAlignment="1">
      <alignment horizontal="center" vertical="center" wrapText="1"/>
    </xf>
    <xf numFmtId="0" fontId="0" fillId="2" borderId="16" xfId="0" applyFill="1" applyBorder="1" applyAlignment="1">
      <alignment vertical="center"/>
    </xf>
    <xf numFmtId="0" fontId="3" fillId="5" borderId="4" xfId="0" applyFont="1" applyFill="1" applyBorder="1" applyAlignment="1">
      <alignment vertical="center" wrapText="1"/>
    </xf>
    <xf numFmtId="14" fontId="0" fillId="3" borderId="1" xfId="0" applyNumberFormat="1" applyFill="1" applyBorder="1"/>
    <xf numFmtId="0" fontId="0" fillId="9" borderId="77" xfId="0" applyFill="1" applyBorder="1" applyAlignment="1">
      <alignment horizontal="center" vertical="center"/>
    </xf>
    <xf numFmtId="0" fontId="0" fillId="9" borderId="65" xfId="0" applyFill="1" applyBorder="1" applyAlignment="1">
      <alignment horizontal="center" vertical="center"/>
    </xf>
    <xf numFmtId="0" fontId="0" fillId="9" borderId="13" xfId="0" applyFill="1" applyBorder="1" applyAlignment="1">
      <alignment horizontal="center" vertical="center" wrapText="1"/>
    </xf>
    <xf numFmtId="0" fontId="1" fillId="9" borderId="62" xfId="0" applyFont="1" applyFill="1" applyBorder="1" applyAlignment="1">
      <alignment horizontal="center" vertical="center" wrapText="1"/>
    </xf>
    <xf numFmtId="0" fontId="0" fillId="0" borderId="65" xfId="0" applyBorder="1"/>
    <xf numFmtId="0" fontId="0" fillId="9" borderId="8" xfId="0" applyFill="1" applyBorder="1" applyAlignment="1">
      <alignment horizontal="center" vertical="center" wrapText="1"/>
    </xf>
    <xf numFmtId="0" fontId="0" fillId="9" borderId="2" xfId="0" applyFill="1" applyBorder="1" applyAlignment="1">
      <alignment horizontal="center" vertical="center" wrapText="1"/>
    </xf>
    <xf numFmtId="0" fontId="0" fillId="9" borderId="48" xfId="0" applyFill="1" applyBorder="1" applyAlignment="1">
      <alignment horizontal="center" vertical="center" wrapText="1"/>
    </xf>
    <xf numFmtId="0" fontId="3" fillId="9" borderId="2" xfId="0" applyFont="1" applyFill="1" applyBorder="1" applyAlignment="1">
      <alignment horizontal="center" vertical="center" wrapText="1"/>
    </xf>
    <xf numFmtId="0" fontId="0" fillId="2" borderId="48" xfId="0" applyFill="1" applyBorder="1" applyAlignment="1">
      <alignment horizontal="center" vertical="center" wrapText="1"/>
    </xf>
    <xf numFmtId="0" fontId="3" fillId="7" borderId="48" xfId="0" applyFont="1" applyFill="1" applyBorder="1" applyAlignment="1">
      <alignment horizontal="center" vertical="center" wrapText="1"/>
    </xf>
    <xf numFmtId="0" fontId="3" fillId="0" borderId="37" xfId="0" applyFont="1" applyBorder="1" applyAlignment="1">
      <alignment horizontal="center" vertical="center" wrapText="1"/>
    </xf>
    <xf numFmtId="0" fontId="0" fillId="9" borderId="76" xfId="0" applyFill="1" applyBorder="1" applyAlignment="1">
      <alignment horizontal="center" vertical="center"/>
    </xf>
    <xf numFmtId="0" fontId="12" fillId="0" borderId="65" xfId="0" applyFont="1" applyBorder="1"/>
    <xf numFmtId="0" fontId="14" fillId="0" borderId="14" xfId="0" applyFont="1" applyBorder="1"/>
    <xf numFmtId="0" fontId="14" fillId="0" borderId="13" xfId="0" applyFont="1" applyBorder="1"/>
    <xf numFmtId="0" fontId="0" fillId="9" borderId="37" xfId="0" applyFill="1" applyBorder="1" applyAlignment="1">
      <alignment horizontal="center" vertical="center" wrapText="1"/>
    </xf>
    <xf numFmtId="0" fontId="0" fillId="9" borderId="91" xfId="0" applyFill="1" applyBorder="1" applyAlignment="1">
      <alignment vertical="center" wrapText="1"/>
    </xf>
    <xf numFmtId="0" fontId="0" fillId="9" borderId="91" xfId="0" applyFill="1" applyBorder="1" applyAlignment="1">
      <alignment horizontal="center" vertical="center" wrapText="1"/>
    </xf>
    <xf numFmtId="0" fontId="0" fillId="0" borderId="91" xfId="0" applyBorder="1" applyAlignment="1">
      <alignment horizontal="center" vertical="center" wrapText="1"/>
    </xf>
    <xf numFmtId="0" fontId="3" fillId="0" borderId="38" xfId="0" applyFont="1" applyBorder="1" applyAlignment="1">
      <alignment horizontal="center" vertical="center" wrapText="1"/>
    </xf>
    <xf numFmtId="0" fontId="3" fillId="0" borderId="91" xfId="0" applyFont="1" applyBorder="1" applyAlignment="1">
      <alignment horizontal="center" vertical="center" wrapText="1"/>
    </xf>
    <xf numFmtId="0" fontId="1" fillId="9" borderId="92" xfId="0" applyFont="1" applyFill="1" applyBorder="1" applyAlignment="1">
      <alignment horizontal="center" vertical="center" wrapText="1"/>
    </xf>
    <xf numFmtId="0" fontId="0" fillId="9" borderId="93" xfId="0" applyFill="1" applyBorder="1" applyAlignment="1">
      <alignment vertical="center" wrapText="1"/>
    </xf>
    <xf numFmtId="0" fontId="0" fillId="0" borderId="66" xfId="0" applyBorder="1"/>
    <xf numFmtId="0" fontId="13" fillId="0" borderId="66" xfId="0" applyFont="1" applyBorder="1"/>
    <xf numFmtId="0" fontId="3" fillId="0" borderId="66" xfId="0" applyFont="1" applyBorder="1" applyAlignment="1">
      <alignment wrapText="1"/>
    </xf>
    <xf numFmtId="0" fontId="0" fillId="0" borderId="66" xfId="0" applyBorder="1" applyAlignment="1">
      <alignment wrapText="1"/>
    </xf>
    <xf numFmtId="0" fontId="2" fillId="0" borderId="66" xfId="0" applyFont="1" applyBorder="1" applyAlignment="1">
      <alignment wrapText="1"/>
    </xf>
    <xf numFmtId="0" fontId="0" fillId="0" borderId="66" xfId="0" applyBorder="1" applyAlignment="1">
      <alignment horizontal="center" wrapText="1"/>
    </xf>
    <xf numFmtId="0" fontId="3" fillId="0" borderId="90" xfId="0" applyFont="1" applyBorder="1" applyAlignment="1">
      <alignment wrapText="1"/>
    </xf>
    <xf numFmtId="0" fontId="3" fillId="0" borderId="19" xfId="0" applyFont="1" applyBorder="1" applyAlignment="1">
      <alignment wrapText="1"/>
    </xf>
    <xf numFmtId="0" fontId="3" fillId="0" borderId="19" xfId="0" applyFont="1" applyBorder="1" applyAlignment="1">
      <alignment vertical="center" wrapText="1"/>
    </xf>
    <xf numFmtId="0" fontId="3" fillId="0" borderId="94" xfId="0" applyFont="1" applyBorder="1" applyAlignment="1">
      <alignment horizontal="center" vertical="center" wrapText="1"/>
    </xf>
    <xf numFmtId="0" fontId="0" fillId="0" borderId="94" xfId="0" applyBorder="1" applyAlignment="1">
      <alignment horizontal="center" vertical="center" wrapText="1"/>
    </xf>
    <xf numFmtId="0" fontId="0" fillId="0" borderId="70" xfId="0" applyBorder="1" applyAlignment="1">
      <alignment wrapText="1"/>
    </xf>
    <xf numFmtId="0" fontId="3" fillId="8" borderId="6" xfId="0" applyFont="1" applyFill="1" applyBorder="1" applyAlignment="1">
      <alignment wrapText="1"/>
    </xf>
    <xf numFmtId="14" fontId="0" fillId="8" borderId="28" xfId="0" applyNumberFormat="1" applyFill="1" applyBorder="1" applyAlignment="1">
      <alignment horizontal="center" vertical="center"/>
    </xf>
    <xf numFmtId="0" fontId="0" fillId="8" borderId="28" xfId="0" applyFill="1" applyBorder="1" applyAlignment="1">
      <alignment horizontal="center" vertical="center" wrapText="1"/>
    </xf>
    <xf numFmtId="0" fontId="0" fillId="8" borderId="28" xfId="0" applyFill="1" applyBorder="1" applyAlignment="1">
      <alignment horizontal="center" vertical="center"/>
    </xf>
    <xf numFmtId="0" fontId="2" fillId="8" borderId="6" xfId="0" applyFont="1" applyFill="1" applyBorder="1" applyAlignment="1">
      <alignment wrapText="1"/>
    </xf>
    <xf numFmtId="14" fontId="0" fillId="8" borderId="6" xfId="0" applyNumberFormat="1" applyFill="1" applyBorder="1" applyAlignment="1">
      <alignment vertical="center"/>
    </xf>
    <xf numFmtId="14" fontId="0" fillId="0" borderId="0" xfId="0" applyNumberFormat="1" applyAlignment="1">
      <alignment horizontal="center" vertical="center"/>
    </xf>
    <xf numFmtId="0" fontId="0" fillId="2" borderId="29" xfId="0" applyFill="1" applyBorder="1"/>
    <xf numFmtId="0" fontId="0" fillId="9" borderId="28" xfId="0" applyFill="1" applyBorder="1" applyAlignment="1">
      <alignment horizontal="center" vertical="center"/>
    </xf>
    <xf numFmtId="0" fontId="15" fillId="0" borderId="28" xfId="0" applyFont="1" applyBorder="1" applyAlignment="1">
      <alignment wrapText="1"/>
    </xf>
    <xf numFmtId="0" fontId="0" fillId="2" borderId="31" xfId="0" applyFill="1" applyBorder="1" applyAlignment="1">
      <alignment horizontal="center" vertical="center" wrapText="1"/>
    </xf>
    <xf numFmtId="0" fontId="0" fillId="0" borderId="96" xfId="0" applyBorder="1" applyAlignment="1">
      <alignment horizontal="center" vertical="center"/>
    </xf>
    <xf numFmtId="0" fontId="2" fillId="0" borderId="70" xfId="0" applyFont="1" applyBorder="1" applyAlignment="1">
      <alignment wrapText="1"/>
    </xf>
    <xf numFmtId="0" fontId="0" fillId="0" borderId="97" xfId="0" applyBorder="1" applyAlignment="1">
      <alignment horizontal="center" vertical="center" wrapText="1"/>
    </xf>
    <xf numFmtId="0" fontId="0" fillId="2" borderId="98" xfId="0" applyFill="1" applyBorder="1" applyAlignment="1">
      <alignment horizontal="center" vertical="center" wrapText="1"/>
    </xf>
    <xf numFmtId="14" fontId="0" fillId="2" borderId="75" xfId="0" applyNumberFormat="1" applyFill="1" applyBorder="1" applyAlignment="1">
      <alignment vertical="center"/>
    </xf>
    <xf numFmtId="14" fontId="3" fillId="0" borderId="45" xfId="0" applyNumberFormat="1" applyFont="1" applyBorder="1" applyAlignment="1">
      <alignment horizontal="center" vertical="center"/>
    </xf>
    <xf numFmtId="0" fontId="0" fillId="0" borderId="99" xfId="0" applyBorder="1" applyAlignment="1">
      <alignment horizontal="center" vertical="center" wrapText="1"/>
    </xf>
    <xf numFmtId="0" fontId="3" fillId="7" borderId="98" xfId="0" applyFont="1" applyFill="1" applyBorder="1" applyAlignment="1">
      <alignment horizontal="center" vertical="center" wrapText="1"/>
    </xf>
    <xf numFmtId="0" fontId="3" fillId="7" borderId="0" xfId="0" applyFont="1" applyFill="1" applyAlignment="1">
      <alignment vertical="center"/>
    </xf>
    <xf numFmtId="0" fontId="2" fillId="0" borderId="72" xfId="0" applyFont="1" applyBorder="1" applyAlignment="1">
      <alignment wrapText="1"/>
    </xf>
    <xf numFmtId="0" fontId="0" fillId="0" borderId="100" xfId="0" applyBorder="1" applyAlignment="1">
      <alignment horizontal="center" vertical="center"/>
    </xf>
    <xf numFmtId="14" fontId="0" fillId="0" borderId="100" xfId="0" applyNumberFormat="1" applyBorder="1" applyAlignment="1">
      <alignment horizontal="center" vertical="center"/>
    </xf>
    <xf numFmtId="0" fontId="3" fillId="0" borderId="99" xfId="0" applyFont="1" applyBorder="1" applyAlignment="1">
      <alignment horizontal="center" vertical="center" wrapText="1"/>
    </xf>
    <xf numFmtId="0" fontId="3" fillId="0" borderId="76" xfId="0" applyFont="1" applyBorder="1" applyAlignment="1">
      <alignment horizontal="center" vertical="center"/>
    </xf>
    <xf numFmtId="0" fontId="3" fillId="0" borderId="30" xfId="0" applyFont="1" applyBorder="1" applyAlignment="1">
      <alignment horizontal="center" vertical="center"/>
    </xf>
    <xf numFmtId="14" fontId="3" fillId="0" borderId="30" xfId="0" applyNumberFormat="1" applyFont="1" applyBorder="1" applyAlignment="1">
      <alignment horizontal="center" vertical="center"/>
    </xf>
    <xf numFmtId="14" fontId="0" fillId="3" borderId="34" xfId="0" applyNumberFormat="1" applyFill="1" applyBorder="1"/>
    <xf numFmtId="0" fontId="0" fillId="4" borderId="28" xfId="0" applyFill="1" applyBorder="1" applyAlignment="1">
      <alignment horizontal="center" vertical="center"/>
    </xf>
    <xf numFmtId="0" fontId="0" fillId="4" borderId="28" xfId="0" applyFill="1" applyBorder="1"/>
    <xf numFmtId="0" fontId="0" fillId="3" borderId="28" xfId="0" applyFill="1" applyBorder="1" applyAlignment="1">
      <alignment horizontal="center" vertical="center"/>
    </xf>
    <xf numFmtId="0" fontId="0" fillId="3" borderId="28" xfId="0" applyFill="1" applyBorder="1"/>
    <xf numFmtId="0" fontId="0" fillId="4" borderId="71" xfId="0" applyFill="1" applyBorder="1" applyAlignment="1">
      <alignment horizontal="center" vertical="center"/>
    </xf>
    <xf numFmtId="0" fontId="0" fillId="4" borderId="55" xfId="0" applyFill="1" applyBorder="1"/>
    <xf numFmtId="0" fontId="0" fillId="4" borderId="43" xfId="0" applyFill="1" applyBorder="1"/>
    <xf numFmtId="0" fontId="0" fillId="3" borderId="71" xfId="0" applyFill="1" applyBorder="1" applyAlignment="1">
      <alignment horizontal="center" vertical="center"/>
    </xf>
    <xf numFmtId="0" fontId="0" fillId="3" borderId="55" xfId="0" applyFill="1" applyBorder="1"/>
    <xf numFmtId="0" fontId="0" fillId="3" borderId="43" xfId="0" applyFill="1" applyBorder="1"/>
    <xf numFmtId="14" fontId="0" fillId="0" borderId="73" xfId="0" applyNumberFormat="1" applyBorder="1" applyAlignment="1">
      <alignment horizontal="center" vertical="center"/>
    </xf>
    <xf numFmtId="14" fontId="0" fillId="0" borderId="76" xfId="0" applyNumberFormat="1" applyBorder="1" applyAlignment="1">
      <alignment horizontal="center" vertical="center"/>
    </xf>
    <xf numFmtId="0" fontId="0" fillId="4" borderId="45" xfId="0" applyFill="1" applyBorder="1" applyAlignment="1">
      <alignment horizontal="center" vertical="center"/>
    </xf>
    <xf numFmtId="0" fontId="0" fillId="4" borderId="45" xfId="0" applyFill="1" applyBorder="1"/>
    <xf numFmtId="0" fontId="0" fillId="4" borderId="101" xfId="0" applyFill="1" applyBorder="1"/>
    <xf numFmtId="0" fontId="0" fillId="3" borderId="45" xfId="0" applyFill="1" applyBorder="1" applyAlignment="1">
      <alignment horizontal="center" vertical="center"/>
    </xf>
    <xf numFmtId="0" fontId="0" fillId="3" borderId="45" xfId="0" applyFill="1" applyBorder="1"/>
    <xf numFmtId="0" fontId="0" fillId="3" borderId="101" xfId="0" applyFill="1" applyBorder="1"/>
    <xf numFmtId="14" fontId="3" fillId="0" borderId="0" xfId="0" applyNumberFormat="1" applyFont="1" applyAlignment="1">
      <alignment horizontal="center" vertical="center"/>
    </xf>
    <xf numFmtId="0" fontId="0" fillId="0" borderId="30" xfId="0" applyBorder="1" applyAlignment="1">
      <alignment horizontal="center" vertical="center"/>
    </xf>
    <xf numFmtId="14" fontId="0" fillId="0" borderId="102" xfId="0" applyNumberFormat="1" applyBorder="1" applyAlignment="1">
      <alignment horizontal="center" vertical="center"/>
    </xf>
    <xf numFmtId="0" fontId="3" fillId="0" borderId="72" xfId="0" applyFont="1" applyBorder="1" applyAlignment="1">
      <alignment vertical="center" wrapText="1"/>
    </xf>
    <xf numFmtId="0" fontId="6" fillId="0" borderId="28" xfId="0" applyFont="1" applyBorder="1" applyAlignment="1">
      <alignment wrapText="1"/>
    </xf>
    <xf numFmtId="0" fontId="3" fillId="7" borderId="74" xfId="0" applyFont="1" applyFill="1" applyBorder="1" applyAlignment="1">
      <alignment horizontal="center" vertical="center" wrapText="1"/>
    </xf>
    <xf numFmtId="0" fontId="3" fillId="7" borderId="29" xfId="0" applyFont="1" applyFill="1" applyBorder="1" applyAlignment="1">
      <alignment vertical="center"/>
    </xf>
    <xf numFmtId="0" fontId="0" fillId="2" borderId="29" xfId="0" applyFill="1" applyBorder="1" applyAlignment="1">
      <alignment horizontal="center" vertical="center" wrapText="1"/>
    </xf>
    <xf numFmtId="0" fontId="3" fillId="7" borderId="95" xfId="0" applyFont="1" applyFill="1" applyBorder="1" applyAlignment="1">
      <alignment horizontal="center" vertical="center" wrapText="1"/>
    </xf>
    <xf numFmtId="0" fontId="3" fillId="5" borderId="28" xfId="0" applyFont="1" applyFill="1" applyBorder="1" applyAlignment="1">
      <alignment vertical="center"/>
    </xf>
    <xf numFmtId="14" fontId="0" fillId="0" borderId="30" xfId="0" applyNumberFormat="1" applyBorder="1" applyAlignment="1">
      <alignment horizontal="center" vertical="center"/>
    </xf>
    <xf numFmtId="0" fontId="0" fillId="2" borderId="30" xfId="0" applyFill="1" applyBorder="1"/>
    <xf numFmtId="0" fontId="0" fillId="2" borderId="30" xfId="0" applyFill="1" applyBorder="1" applyAlignment="1">
      <alignment horizontal="center" vertical="center" wrapText="1"/>
    </xf>
    <xf numFmtId="14" fontId="0" fillId="2" borderId="48" xfId="0" applyNumberFormat="1" applyFill="1" applyBorder="1" applyAlignment="1">
      <alignment vertical="center"/>
    </xf>
    <xf numFmtId="0" fontId="3" fillId="0" borderId="52" xfId="0" applyFont="1" applyBorder="1" applyAlignment="1">
      <alignment wrapText="1"/>
    </xf>
    <xf numFmtId="0" fontId="3" fillId="0" borderId="49" xfId="0" applyFont="1" applyBorder="1" applyAlignment="1">
      <alignment horizontal="center" vertical="center"/>
    </xf>
    <xf numFmtId="0" fontId="0" fillId="2" borderId="74" xfId="0" applyFill="1" applyBorder="1" applyAlignment="1">
      <alignment horizontal="center" vertical="center" wrapText="1"/>
    </xf>
    <xf numFmtId="0" fontId="0" fillId="0" borderId="95" xfId="0" applyBorder="1" applyAlignment="1">
      <alignment horizontal="center" vertical="center" wrapText="1"/>
    </xf>
    <xf numFmtId="0" fontId="3" fillId="0" borderId="70" xfId="0" applyFont="1" applyBorder="1" applyAlignment="1">
      <alignment vertical="center" wrapText="1"/>
    </xf>
    <xf numFmtId="0" fontId="3" fillId="0" borderId="74" xfId="0" applyFont="1" applyBorder="1" applyAlignment="1">
      <alignment horizontal="center" vertical="center" wrapText="1"/>
    </xf>
    <xf numFmtId="0" fontId="3" fillId="0" borderId="103" xfId="0" applyFont="1" applyBorder="1" applyAlignment="1">
      <alignment horizontal="center" vertical="center"/>
    </xf>
    <xf numFmtId="0" fontId="0" fillId="9" borderId="29" xfId="0" applyFill="1" applyBorder="1" applyAlignment="1">
      <alignment horizontal="center" vertical="center"/>
    </xf>
    <xf numFmtId="0" fontId="3" fillId="0" borderId="44" xfId="0" applyFont="1" applyBorder="1" applyAlignment="1">
      <alignment horizontal="center" vertical="center"/>
    </xf>
    <xf numFmtId="0" fontId="0" fillId="0" borderId="75" xfId="0" applyBorder="1" applyAlignment="1">
      <alignment vertical="center" wrapText="1"/>
    </xf>
    <xf numFmtId="0" fontId="0" fillId="2" borderId="48" xfId="0" applyFill="1" applyBorder="1"/>
    <xf numFmtId="14" fontId="3" fillId="7" borderId="45" xfId="0" applyNumberFormat="1" applyFont="1" applyFill="1" applyBorder="1" applyAlignment="1">
      <alignment vertical="center"/>
    </xf>
    <xf numFmtId="14" fontId="0" fillId="0" borderId="1" xfId="0" applyNumberFormat="1" applyBorder="1"/>
    <xf numFmtId="0" fontId="2" fillId="0" borderId="1" xfId="0" applyFont="1" applyBorder="1"/>
    <xf numFmtId="0" fontId="2" fillId="0" borderId="6" xfId="0" applyFont="1" applyBorder="1"/>
    <xf numFmtId="0" fontId="12" fillId="0" borderId="28" xfId="0" applyFont="1" applyBorder="1"/>
    <xf numFmtId="0" fontId="2" fillId="0" borderId="66" xfId="0" applyFont="1" applyBorder="1" applyAlignment="1">
      <alignment vertical="center" wrapText="1"/>
    </xf>
    <xf numFmtId="0" fontId="2" fillId="0" borderId="72" xfId="0" applyFont="1" applyBorder="1" applyAlignment="1">
      <alignment vertical="center" wrapText="1"/>
    </xf>
    <xf numFmtId="0" fontId="0" fillId="0" borderId="66" xfId="0" applyBorder="1" applyAlignment="1">
      <alignment horizontal="center"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14" fontId="0" fillId="9" borderId="28" xfId="0" applyNumberFormat="1" applyFill="1" applyBorder="1" applyAlignment="1">
      <alignment horizontal="center" vertical="center"/>
    </xf>
    <xf numFmtId="0" fontId="0" fillId="9" borderId="96" xfId="0" applyFill="1" applyBorder="1" applyAlignment="1">
      <alignment horizontal="center" vertical="center"/>
    </xf>
    <xf numFmtId="14" fontId="0" fillId="9" borderId="56" xfId="0" applyNumberFormat="1" applyFill="1" applyBorder="1" applyAlignment="1">
      <alignment horizontal="center" vertical="center"/>
    </xf>
    <xf numFmtId="0" fontId="0" fillId="0" borderId="70" xfId="0" applyBorder="1"/>
    <xf numFmtId="0" fontId="0" fillId="0" borderId="72" xfId="0" applyBorder="1"/>
    <xf numFmtId="0" fontId="0" fillId="2" borderId="47" xfId="0" applyFill="1" applyBorder="1" applyAlignment="1">
      <alignment horizontal="center" vertical="center" wrapText="1"/>
    </xf>
    <xf numFmtId="0" fontId="0" fillId="0" borderId="62" xfId="0" applyBorder="1" applyAlignment="1">
      <alignment vertical="center"/>
    </xf>
    <xf numFmtId="0" fontId="3" fillId="0" borderId="27" xfId="0" applyFont="1" applyBorder="1" applyAlignment="1">
      <alignment horizontal="center" vertical="center" wrapText="1"/>
    </xf>
    <xf numFmtId="14" fontId="0" fillId="0" borderId="14" xfId="0" applyNumberFormat="1" applyBorder="1" applyAlignment="1">
      <alignment horizontal="center" vertical="center" wrapText="1"/>
    </xf>
    <xf numFmtId="14" fontId="0" fillId="2" borderId="6" xfId="0" applyNumberFormat="1" applyFill="1" applyBorder="1" applyAlignment="1">
      <alignment vertical="center" wrapText="1"/>
    </xf>
    <xf numFmtId="0" fontId="0" fillId="4" borderId="3" xfId="0" applyFill="1" applyBorder="1" applyAlignment="1">
      <alignment horizontal="center" vertical="center" wrapText="1"/>
    </xf>
    <xf numFmtId="0" fontId="0" fillId="4" borderId="1" xfId="0" applyFill="1" applyBorder="1" applyAlignment="1">
      <alignment wrapText="1"/>
    </xf>
    <xf numFmtId="0" fontId="0" fillId="4" borderId="4" xfId="0" applyFill="1" applyBorder="1" applyAlignment="1">
      <alignment wrapText="1"/>
    </xf>
    <xf numFmtId="0" fontId="0" fillId="3" borderId="3" xfId="0" applyFill="1" applyBorder="1" applyAlignment="1">
      <alignment horizontal="center" vertical="center" wrapText="1"/>
    </xf>
    <xf numFmtId="0" fontId="0" fillId="3" borderId="1" xfId="0" applyFill="1" applyBorder="1" applyAlignment="1">
      <alignment wrapText="1"/>
    </xf>
    <xf numFmtId="0" fontId="0" fillId="3" borderId="4" xfId="0" applyFill="1" applyBorder="1" applyAlignment="1">
      <alignment wrapText="1"/>
    </xf>
    <xf numFmtId="14" fontId="0" fillId="0" borderId="17" xfId="0" applyNumberFormat="1" applyBorder="1" applyAlignment="1">
      <alignment horizontal="center" vertical="center" wrapText="1"/>
    </xf>
    <xf numFmtId="14" fontId="3" fillId="0" borderId="17" xfId="0" applyNumberFormat="1" applyFont="1" applyBorder="1" applyAlignment="1">
      <alignment horizontal="center" vertical="center" wrapText="1"/>
    </xf>
    <xf numFmtId="14" fontId="0" fillId="0" borderId="65" xfId="0" applyNumberFormat="1" applyBorder="1" applyAlignment="1">
      <alignment horizontal="center" vertical="center" wrapText="1"/>
    </xf>
    <xf numFmtId="0" fontId="3" fillId="7" borderId="14" xfId="0" applyFont="1" applyFill="1" applyBorder="1" applyAlignment="1">
      <alignment vertical="center" wrapText="1"/>
    </xf>
    <xf numFmtId="0" fontId="14" fillId="0" borderId="13" xfId="0" applyFont="1" applyBorder="1" applyAlignment="1">
      <alignment wrapText="1"/>
    </xf>
    <xf numFmtId="0" fontId="14" fillId="0" borderId="13" xfId="0" applyFont="1" applyBorder="1" applyAlignment="1">
      <alignment horizontal="center" vertical="center" wrapText="1"/>
    </xf>
    <xf numFmtId="0" fontId="0" fillId="0" borderId="27" xfId="0" applyBorder="1" applyAlignment="1">
      <alignment horizontal="center" vertical="center" wrapText="1"/>
    </xf>
    <xf numFmtId="0" fontId="3" fillId="5" borderId="3" xfId="0" applyFont="1" applyFill="1" applyBorder="1" applyAlignment="1">
      <alignment vertical="center" wrapText="1"/>
    </xf>
    <xf numFmtId="0" fontId="3" fillId="5" borderId="1" xfId="0" applyFont="1" applyFill="1" applyBorder="1" applyAlignment="1">
      <alignment vertical="center" wrapText="1"/>
    </xf>
    <xf numFmtId="0" fontId="3" fillId="6" borderId="3" xfId="0" applyFont="1" applyFill="1" applyBorder="1" applyAlignment="1">
      <alignment vertical="center" wrapText="1"/>
    </xf>
    <xf numFmtId="0" fontId="3" fillId="6" borderId="1" xfId="0" applyFont="1" applyFill="1" applyBorder="1" applyAlignment="1">
      <alignment vertical="center" wrapText="1"/>
    </xf>
    <xf numFmtId="0" fontId="3" fillId="6" borderId="4" xfId="0" applyFont="1" applyFill="1" applyBorder="1" applyAlignment="1">
      <alignment vertical="center" wrapText="1"/>
    </xf>
    <xf numFmtId="14" fontId="0" fillId="0" borderId="28" xfId="0" applyNumberFormat="1" applyBorder="1" applyAlignment="1">
      <alignment horizontal="center" vertical="center" wrapText="1"/>
    </xf>
    <xf numFmtId="0" fontId="0" fillId="4" borderId="8" xfId="0" applyFill="1" applyBorder="1" applyAlignment="1">
      <alignment horizontal="center" vertical="center" wrapText="1"/>
    </xf>
    <xf numFmtId="0" fontId="0" fillId="4" borderId="8" xfId="0" applyFill="1" applyBorder="1" applyAlignment="1">
      <alignment wrapText="1"/>
    </xf>
    <xf numFmtId="0" fontId="0" fillId="4" borderId="34" xfId="0" applyFill="1" applyBorder="1" applyAlignment="1">
      <alignment wrapText="1"/>
    </xf>
    <xf numFmtId="14" fontId="0" fillId="0" borderId="16" xfId="0" applyNumberFormat="1" applyBorder="1" applyAlignment="1">
      <alignment horizontal="center" vertical="center" wrapText="1"/>
    </xf>
    <xf numFmtId="0" fontId="0" fillId="2" borderId="28" xfId="0" applyFill="1" applyBorder="1" applyAlignment="1">
      <alignment vertical="center" wrapText="1"/>
    </xf>
    <xf numFmtId="0" fontId="3" fillId="5" borderId="8" xfId="0" applyFont="1" applyFill="1" applyBorder="1" applyAlignment="1">
      <alignment vertical="center" wrapText="1"/>
    </xf>
    <xf numFmtId="0" fontId="3" fillId="5" borderId="34" xfId="0" applyFont="1" applyFill="1" applyBorder="1" applyAlignment="1">
      <alignment vertical="center" wrapText="1"/>
    </xf>
    <xf numFmtId="0" fontId="3" fillId="6" borderId="8" xfId="0" applyFont="1" applyFill="1" applyBorder="1" applyAlignment="1">
      <alignment vertical="center" wrapText="1"/>
    </xf>
    <xf numFmtId="0" fontId="3" fillId="6" borderId="34" xfId="0" applyFont="1" applyFill="1" applyBorder="1" applyAlignment="1">
      <alignment vertical="center" wrapText="1"/>
    </xf>
    <xf numFmtId="0" fontId="0" fillId="9" borderId="26" xfId="0" applyFill="1" applyBorder="1" applyAlignment="1">
      <alignment horizontal="center" vertical="center" wrapText="1"/>
    </xf>
    <xf numFmtId="14" fontId="0" fillId="9" borderId="13" xfId="0" applyNumberFormat="1" applyFill="1" applyBorder="1" applyAlignment="1">
      <alignment horizontal="center" vertical="center" wrapText="1"/>
    </xf>
    <xf numFmtId="14" fontId="0" fillId="9" borderId="6" xfId="0" applyNumberFormat="1" applyFill="1" applyBorder="1" applyAlignment="1">
      <alignment vertical="center" wrapText="1"/>
    </xf>
    <xf numFmtId="0" fontId="0" fillId="9" borderId="86" xfId="0" applyFill="1" applyBorder="1" applyAlignment="1">
      <alignment wrapText="1"/>
    </xf>
    <xf numFmtId="0" fontId="0" fillId="9" borderId="88" xfId="0" applyFill="1" applyBorder="1" applyAlignment="1">
      <alignment horizontal="center" vertical="center" wrapText="1"/>
    </xf>
    <xf numFmtId="0" fontId="0" fillId="9" borderId="89" xfId="0" applyFill="1" applyBorder="1" applyAlignment="1">
      <alignment wrapText="1"/>
    </xf>
    <xf numFmtId="0" fontId="0" fillId="9" borderId="87" xfId="0" applyFill="1" applyBorder="1" applyAlignment="1">
      <alignment wrapText="1"/>
    </xf>
    <xf numFmtId="14" fontId="0" fillId="9" borderId="16" xfId="0" applyNumberFormat="1" applyFill="1" applyBorder="1" applyAlignment="1">
      <alignment horizontal="center" vertical="center" wrapText="1"/>
    </xf>
    <xf numFmtId="0" fontId="0" fillId="9" borderId="38" xfId="0" applyFill="1" applyBorder="1" applyAlignment="1">
      <alignment wrapText="1"/>
    </xf>
    <xf numFmtId="0" fontId="0" fillId="9" borderId="13" xfId="0" applyFill="1" applyBorder="1" applyAlignment="1">
      <alignment wrapText="1"/>
    </xf>
    <xf numFmtId="0" fontId="0" fillId="9" borderId="3" xfId="0" applyFill="1" applyBorder="1" applyAlignment="1">
      <alignment horizontal="center" vertical="center" wrapText="1"/>
    </xf>
    <xf numFmtId="0" fontId="0" fillId="9" borderId="1" xfId="0" applyFill="1" applyBorder="1" applyAlignment="1">
      <alignment wrapText="1"/>
    </xf>
    <xf numFmtId="0" fontId="0" fillId="9" borderId="4" xfId="0" applyFill="1" applyBorder="1" applyAlignment="1">
      <alignment wrapText="1"/>
    </xf>
    <xf numFmtId="0" fontId="0" fillId="9" borderId="37" xfId="0" applyFill="1" applyBorder="1" applyAlignment="1">
      <alignment wrapText="1"/>
    </xf>
    <xf numFmtId="0" fontId="0" fillId="9" borderId="27" xfId="0" applyFill="1" applyBorder="1" applyAlignment="1">
      <alignment horizontal="center" vertical="center" wrapText="1"/>
    </xf>
    <xf numFmtId="0" fontId="0" fillId="9" borderId="77" xfId="0" applyFill="1" applyBorder="1" applyAlignment="1">
      <alignment horizontal="center" vertical="center" wrapText="1"/>
    </xf>
    <xf numFmtId="0" fontId="0" fillId="9" borderId="14" xfId="0" applyFill="1" applyBorder="1" applyAlignment="1">
      <alignment wrapText="1"/>
    </xf>
    <xf numFmtId="14" fontId="0" fillId="9" borderId="17" xfId="0" applyNumberFormat="1" applyFill="1" applyBorder="1" applyAlignment="1">
      <alignment horizontal="center" vertical="center" wrapText="1"/>
    </xf>
    <xf numFmtId="0" fontId="0" fillId="9" borderId="37" xfId="0" applyFill="1" applyBorder="1" applyAlignment="1">
      <alignment vertical="center" wrapText="1"/>
    </xf>
    <xf numFmtId="0" fontId="0" fillId="9" borderId="65" xfId="0" applyFill="1" applyBorder="1" applyAlignment="1">
      <alignment horizontal="center" vertical="center" wrapText="1"/>
    </xf>
    <xf numFmtId="0" fontId="3" fillId="9" borderId="37" xfId="0" applyFont="1" applyFill="1" applyBorder="1" applyAlignment="1">
      <alignment horizontal="center" vertical="center" wrapText="1"/>
    </xf>
    <xf numFmtId="0" fontId="0" fillId="9" borderId="76" xfId="0" applyFill="1" applyBorder="1" applyAlignment="1">
      <alignment horizontal="center" vertical="center" wrapText="1"/>
    </xf>
    <xf numFmtId="0" fontId="12" fillId="0" borderId="65" xfId="0" applyFont="1" applyBorder="1" applyAlignment="1">
      <alignment wrapText="1"/>
    </xf>
    <xf numFmtId="0" fontId="0" fillId="9" borderId="28" xfId="0" applyFill="1" applyBorder="1" applyAlignment="1">
      <alignment wrapText="1"/>
    </xf>
    <xf numFmtId="14" fontId="0" fillId="9" borderId="14" xfId="0" applyNumberFormat="1" applyFill="1" applyBorder="1" applyAlignment="1">
      <alignment horizontal="center" vertical="center" wrapText="1"/>
    </xf>
    <xf numFmtId="0" fontId="3" fillId="9" borderId="3" xfId="0" applyFont="1" applyFill="1" applyBorder="1" applyAlignment="1">
      <alignment horizontal="center" vertical="center" wrapText="1"/>
    </xf>
    <xf numFmtId="0" fontId="3" fillId="9" borderId="1" xfId="0" applyFont="1" applyFill="1" applyBorder="1" applyAlignment="1">
      <alignment vertical="center" wrapText="1"/>
    </xf>
    <xf numFmtId="0" fontId="3" fillId="9" borderId="4" xfId="0" applyFont="1" applyFill="1" applyBorder="1" applyAlignment="1">
      <alignment vertical="center" wrapText="1"/>
    </xf>
    <xf numFmtId="0" fontId="3" fillId="9" borderId="3" xfId="0" applyFont="1" applyFill="1" applyBorder="1" applyAlignment="1">
      <alignment vertical="center" wrapText="1"/>
    </xf>
    <xf numFmtId="14" fontId="0" fillId="4" borderId="1" xfId="0" applyNumberFormat="1" applyFill="1" applyBorder="1" applyAlignment="1">
      <alignment horizontal="right" vertical="center" wrapText="1"/>
    </xf>
    <xf numFmtId="0" fontId="0" fillId="4" borderId="4" xfId="0" applyFill="1" applyBorder="1" applyAlignment="1">
      <alignment horizontal="center" vertical="center" wrapText="1"/>
    </xf>
    <xf numFmtId="0" fontId="0" fillId="0" borderId="96" xfId="0" applyBorder="1" applyAlignment="1">
      <alignment horizontal="center" vertical="center" wrapText="1"/>
    </xf>
    <xf numFmtId="0" fontId="0" fillId="0" borderId="26" xfId="0" applyBorder="1" applyAlignment="1">
      <alignment horizontal="center" vertical="center" wrapText="1"/>
    </xf>
    <xf numFmtId="0" fontId="0" fillId="2" borderId="13" xfId="0" applyFill="1" applyBorder="1" applyAlignment="1">
      <alignment wrapText="1"/>
    </xf>
    <xf numFmtId="14" fontId="0" fillId="0" borderId="56" xfId="0" applyNumberFormat="1" applyBorder="1" applyAlignment="1">
      <alignment horizontal="center" vertical="center" wrapText="1"/>
    </xf>
    <xf numFmtId="0" fontId="0" fillId="4" borderId="2" xfId="0" applyFill="1" applyBorder="1" applyAlignment="1">
      <alignment horizontal="center" vertical="center" wrapText="1"/>
    </xf>
    <xf numFmtId="0" fontId="3" fillId="5" borderId="2" xfId="0" applyFont="1" applyFill="1" applyBorder="1" applyAlignment="1">
      <alignment vertical="center" wrapText="1"/>
    </xf>
    <xf numFmtId="0" fontId="3" fillId="0" borderId="6" xfId="0" applyFont="1" applyBorder="1" applyAlignment="1">
      <alignment horizontal="center" wrapText="1"/>
    </xf>
    <xf numFmtId="14" fontId="0" fillId="2" borderId="75" xfId="0" applyNumberFormat="1" applyFill="1" applyBorder="1" applyAlignment="1">
      <alignment vertical="center" wrapText="1"/>
    </xf>
    <xf numFmtId="0" fontId="0" fillId="2" borderId="56" xfId="0" applyFill="1" applyBorder="1" applyAlignment="1">
      <alignment wrapText="1"/>
    </xf>
    <xf numFmtId="0" fontId="0" fillId="4" borderId="71" xfId="0" applyFill="1" applyBorder="1" applyAlignment="1">
      <alignment horizontal="center" vertical="center" wrapText="1"/>
    </xf>
    <xf numFmtId="0" fontId="0" fillId="4" borderId="55" xfId="0" applyFill="1" applyBorder="1" applyAlignment="1">
      <alignment wrapText="1"/>
    </xf>
    <xf numFmtId="0" fontId="0" fillId="4" borderId="43" xfId="0" applyFill="1" applyBorder="1" applyAlignment="1">
      <alignment wrapText="1"/>
    </xf>
    <xf numFmtId="0" fontId="0" fillId="3" borderId="71" xfId="0" applyFill="1" applyBorder="1" applyAlignment="1">
      <alignment horizontal="center" vertical="center" wrapText="1"/>
    </xf>
    <xf numFmtId="0" fontId="0" fillId="3" borderId="55" xfId="0" applyFill="1" applyBorder="1" applyAlignment="1">
      <alignment wrapText="1"/>
    </xf>
    <xf numFmtId="0" fontId="0" fillId="3" borderId="43" xfId="0" applyFill="1" applyBorder="1" applyAlignment="1">
      <alignment wrapText="1"/>
    </xf>
    <xf numFmtId="14" fontId="0" fillId="2" borderId="28" xfId="0" applyNumberFormat="1" applyFill="1" applyBorder="1" applyAlignment="1">
      <alignment vertical="center" wrapText="1"/>
    </xf>
    <xf numFmtId="0" fontId="0" fillId="4" borderId="28" xfId="0" applyFill="1" applyBorder="1" applyAlignment="1">
      <alignment horizontal="center" vertical="center" wrapText="1"/>
    </xf>
    <xf numFmtId="0" fontId="0" fillId="4" borderId="28" xfId="0" applyFill="1" applyBorder="1" applyAlignment="1">
      <alignment wrapText="1"/>
    </xf>
    <xf numFmtId="0" fontId="0" fillId="3" borderId="28" xfId="0" applyFill="1" applyBorder="1" applyAlignment="1">
      <alignment horizontal="center" vertical="center" wrapText="1"/>
    </xf>
    <xf numFmtId="0" fontId="0" fillId="3" borderId="28" xfId="0" applyFill="1" applyBorder="1" applyAlignment="1">
      <alignment wrapText="1"/>
    </xf>
    <xf numFmtId="14" fontId="0" fillId="0" borderId="13" xfId="0" applyNumberFormat="1" applyBorder="1" applyAlignment="1">
      <alignment horizontal="center" vertical="center" wrapText="1"/>
    </xf>
    <xf numFmtId="0" fontId="0" fillId="4" borderId="5" xfId="0" applyFill="1" applyBorder="1" applyAlignment="1">
      <alignment horizontal="center" vertical="center" wrapText="1"/>
    </xf>
    <xf numFmtId="0" fontId="0" fillId="4" borderId="6" xfId="0" applyFill="1" applyBorder="1" applyAlignment="1">
      <alignment wrapText="1"/>
    </xf>
    <xf numFmtId="0" fontId="0" fillId="4" borderId="7" xfId="0" applyFill="1" applyBorder="1" applyAlignment="1">
      <alignment wrapText="1"/>
    </xf>
    <xf numFmtId="0" fontId="0" fillId="3" borderId="5" xfId="0" applyFill="1" applyBorder="1" applyAlignment="1">
      <alignment horizontal="center" vertical="center" wrapText="1"/>
    </xf>
    <xf numFmtId="0" fontId="0" fillId="3" borderId="6" xfId="0" applyFill="1" applyBorder="1" applyAlignment="1">
      <alignment wrapText="1"/>
    </xf>
    <xf numFmtId="0" fontId="0" fillId="3" borderId="7" xfId="0" applyFill="1" applyBorder="1" applyAlignment="1">
      <alignment wrapText="1"/>
    </xf>
    <xf numFmtId="14" fontId="3" fillId="5" borderId="1" xfId="0" applyNumberFormat="1" applyFont="1" applyFill="1" applyBorder="1" applyAlignment="1">
      <alignment vertical="center" wrapText="1"/>
    </xf>
    <xf numFmtId="14" fontId="0" fillId="0" borderId="8" xfId="0" applyNumberFormat="1" applyBorder="1" applyAlignment="1">
      <alignment horizontal="center" vertical="center" wrapText="1"/>
    </xf>
    <xf numFmtId="14" fontId="0" fillId="4" borderId="8" xfId="0" applyNumberFormat="1" applyFill="1" applyBorder="1" applyAlignment="1">
      <alignment wrapText="1"/>
    </xf>
    <xf numFmtId="0" fontId="3" fillId="0" borderId="26" xfId="0" applyFont="1" applyBorder="1" applyAlignment="1">
      <alignment horizontal="center" vertical="center" wrapText="1"/>
    </xf>
    <xf numFmtId="14" fontId="3" fillId="0" borderId="8" xfId="0" applyNumberFormat="1" applyFont="1" applyBorder="1" applyAlignment="1">
      <alignment horizontal="center" vertical="center" wrapText="1"/>
    </xf>
    <xf numFmtId="0" fontId="0" fillId="2" borderId="16" xfId="0" applyFill="1" applyBorder="1" applyAlignment="1">
      <alignment wrapText="1"/>
    </xf>
    <xf numFmtId="0" fontId="0" fillId="2" borderId="16" xfId="0" applyFill="1" applyBorder="1" applyAlignment="1">
      <alignment horizontal="right" vertical="center" wrapText="1"/>
    </xf>
    <xf numFmtId="0" fontId="3" fillId="7" borderId="16" xfId="0" applyFont="1" applyFill="1" applyBorder="1" applyAlignment="1">
      <alignment vertical="center" wrapText="1"/>
    </xf>
    <xf numFmtId="0" fontId="0" fillId="0" borderId="65" xfId="0" applyBorder="1" applyAlignment="1">
      <alignment wrapText="1"/>
    </xf>
    <xf numFmtId="0" fontId="2" fillId="0" borderId="1" xfId="0" applyFont="1" applyBorder="1" applyAlignment="1">
      <alignment horizontal="center" wrapText="1"/>
    </xf>
    <xf numFmtId="0" fontId="2" fillId="0" borderId="6" xfId="0" applyFont="1" applyBorder="1" applyAlignment="1">
      <alignment horizontal="center" wrapText="1"/>
    </xf>
    <xf numFmtId="0" fontId="0" fillId="0" borderId="44" xfId="0" applyBorder="1" applyAlignment="1">
      <alignment horizontal="center" vertical="center" wrapText="1"/>
    </xf>
    <xf numFmtId="14" fontId="3" fillId="0" borderId="45" xfId="0" applyNumberFormat="1" applyFont="1" applyBorder="1" applyAlignment="1">
      <alignment horizontal="center" vertical="center" wrapText="1"/>
    </xf>
    <xf numFmtId="0" fontId="3" fillId="7" borderId="0" xfId="0" applyFont="1" applyFill="1" applyAlignment="1">
      <alignment vertical="center" wrapText="1"/>
    </xf>
    <xf numFmtId="0" fontId="3" fillId="7" borderId="28" xfId="0" applyFont="1" applyFill="1" applyBorder="1" applyAlignment="1">
      <alignment vertical="center" wrapText="1"/>
    </xf>
    <xf numFmtId="0" fontId="0" fillId="0" borderId="100" xfId="0" applyBorder="1" applyAlignment="1">
      <alignment horizontal="center" vertical="center" wrapText="1"/>
    </xf>
    <xf numFmtId="14" fontId="0" fillId="0" borderId="100" xfId="0" applyNumberFormat="1" applyBorder="1" applyAlignment="1">
      <alignment horizontal="center" vertical="center" wrapText="1"/>
    </xf>
    <xf numFmtId="0" fontId="0" fillId="2" borderId="57" xfId="0" applyFill="1" applyBorder="1" applyAlignment="1">
      <alignment wrapText="1"/>
    </xf>
    <xf numFmtId="0" fontId="3" fillId="0" borderId="29" xfId="0" applyFont="1" applyBorder="1" applyAlignment="1">
      <alignment horizontal="center" vertical="center" wrapText="1"/>
    </xf>
    <xf numFmtId="14" fontId="0" fillId="2" borderId="8" xfId="0" applyNumberFormat="1" applyFill="1" applyBorder="1" applyAlignment="1">
      <alignment vertical="center" wrapText="1"/>
    </xf>
    <xf numFmtId="0" fontId="3" fillId="0" borderId="65" xfId="0" applyFont="1" applyBorder="1" applyAlignment="1">
      <alignment horizontal="center" vertical="center" wrapText="1"/>
    </xf>
    <xf numFmtId="0" fontId="3" fillId="0" borderId="76" xfId="0" applyFont="1" applyBorder="1" applyAlignment="1">
      <alignment horizontal="center" vertical="center" wrapText="1"/>
    </xf>
    <xf numFmtId="14" fontId="3" fillId="0" borderId="76" xfId="0" applyNumberFormat="1" applyFont="1" applyBorder="1" applyAlignment="1">
      <alignment horizontal="center" vertical="center" wrapText="1"/>
    </xf>
    <xf numFmtId="14" fontId="3" fillId="0" borderId="30" xfId="0" applyNumberFormat="1" applyFont="1" applyBorder="1" applyAlignment="1">
      <alignment horizontal="center" vertical="center" wrapText="1"/>
    </xf>
    <xf numFmtId="14" fontId="0" fillId="3" borderId="34" xfId="0" applyNumberFormat="1" applyFill="1" applyBorder="1" applyAlignment="1">
      <alignment wrapText="1"/>
    </xf>
    <xf numFmtId="14" fontId="3" fillId="6" borderId="34" xfId="0" applyNumberFormat="1" applyFont="1" applyFill="1" applyBorder="1" applyAlignment="1">
      <alignment vertical="center" wrapText="1"/>
    </xf>
    <xf numFmtId="14" fontId="0" fillId="0" borderId="29" xfId="0" applyNumberFormat="1" applyBorder="1" applyAlignment="1">
      <alignment horizontal="center" vertical="center" wrapText="1"/>
    </xf>
    <xf numFmtId="0" fontId="3" fillId="7" borderId="29" xfId="0" applyFont="1" applyFill="1" applyBorder="1" applyAlignment="1">
      <alignment vertical="center" wrapText="1"/>
    </xf>
    <xf numFmtId="0" fontId="3" fillId="5" borderId="28" xfId="0" applyFont="1" applyFill="1" applyBorder="1" applyAlignment="1">
      <alignment vertical="center" wrapText="1"/>
    </xf>
    <xf numFmtId="14" fontId="0" fillId="0" borderId="30" xfId="0" applyNumberFormat="1" applyBorder="1" applyAlignment="1">
      <alignment horizontal="center" vertical="center" wrapText="1"/>
    </xf>
    <xf numFmtId="0" fontId="0" fillId="2" borderId="30" xfId="0" applyFill="1" applyBorder="1" applyAlignment="1">
      <alignment wrapText="1"/>
    </xf>
    <xf numFmtId="14" fontId="0" fillId="2" borderId="48" xfId="0" applyNumberFormat="1" applyFill="1" applyBorder="1" applyAlignment="1">
      <alignment vertical="center" wrapText="1"/>
    </xf>
    <xf numFmtId="14" fontId="3" fillId="7" borderId="8" xfId="0" applyNumberFormat="1" applyFont="1" applyFill="1" applyBorder="1" applyAlignment="1">
      <alignment vertical="center" wrapText="1"/>
    </xf>
    <xf numFmtId="14" fontId="3" fillId="5" borderId="8" xfId="0" applyNumberFormat="1" applyFont="1" applyFill="1" applyBorder="1" applyAlignment="1">
      <alignment vertical="center" wrapText="1"/>
    </xf>
    <xf numFmtId="14" fontId="3" fillId="0" borderId="0" xfId="0" applyNumberFormat="1" applyFont="1" applyAlignment="1">
      <alignment horizontal="center" vertical="center" wrapText="1"/>
    </xf>
    <xf numFmtId="0" fontId="3" fillId="0" borderId="49" xfId="0" applyFont="1" applyBorder="1" applyAlignment="1">
      <alignment horizontal="center" vertical="center" wrapText="1"/>
    </xf>
    <xf numFmtId="14" fontId="0" fillId="4" borderId="8" xfId="0" applyNumberFormat="1" applyFill="1" applyBorder="1" applyAlignment="1">
      <alignment horizontal="right" vertical="center" wrapText="1"/>
    </xf>
    <xf numFmtId="0" fontId="0" fillId="9" borderId="29" xfId="0" applyFill="1" applyBorder="1" applyAlignment="1">
      <alignment horizontal="center" vertical="center" wrapText="1"/>
    </xf>
    <xf numFmtId="0" fontId="3" fillId="0" borderId="44" xfId="0" applyFont="1" applyBorder="1" applyAlignment="1">
      <alignment horizontal="center" vertical="center" wrapText="1"/>
    </xf>
    <xf numFmtId="14" fontId="3" fillId="7" borderId="28" xfId="0" applyNumberFormat="1" applyFont="1" applyFill="1" applyBorder="1" applyAlignment="1">
      <alignment vertical="center" wrapText="1"/>
    </xf>
    <xf numFmtId="0" fontId="8" fillId="0" borderId="7" xfId="0" applyFont="1" applyBorder="1" applyAlignment="1">
      <alignment vertical="center" wrapText="1"/>
    </xf>
    <xf numFmtId="0" fontId="3" fillId="0" borderId="47" xfId="0" applyFont="1" applyBorder="1" applyAlignment="1">
      <alignment vertical="center"/>
    </xf>
    <xf numFmtId="0" fontId="2" fillId="0" borderId="6" xfId="0" applyFont="1" applyBorder="1" applyAlignment="1">
      <alignment vertical="center"/>
    </xf>
    <xf numFmtId="0" fontId="9" fillId="0" borderId="28" xfId="0" applyFont="1" applyBorder="1"/>
    <xf numFmtId="0" fontId="0" fillId="8" borderId="6" xfId="0" applyFill="1" applyBorder="1" applyAlignment="1">
      <alignment vertical="center" wrapText="1"/>
    </xf>
    <xf numFmtId="0" fontId="0" fillId="2" borderId="14" xfId="0" applyFill="1" applyBorder="1" applyAlignment="1">
      <alignment horizontal="center" vertical="center"/>
    </xf>
    <xf numFmtId="0" fontId="3" fillId="5" borderId="2" xfId="0" applyFont="1" applyFill="1" applyBorder="1" applyAlignment="1">
      <alignment horizontal="center" vertical="center" wrapText="1"/>
    </xf>
    <xf numFmtId="0" fontId="3" fillId="0" borderId="38" xfId="0" applyFont="1" applyBorder="1" applyAlignment="1">
      <alignment horizontal="center" vertical="center"/>
    </xf>
    <xf numFmtId="0" fontId="0" fillId="0" borderId="38" xfId="0" applyBorder="1" applyAlignment="1">
      <alignment horizontal="left" vertical="center"/>
    </xf>
    <xf numFmtId="0" fontId="16" fillId="9" borderId="37" xfId="1" applyFill="1" applyBorder="1" applyAlignment="1">
      <alignment wrapText="1"/>
    </xf>
    <xf numFmtId="0" fontId="0" fillId="9" borderId="104" xfId="0" applyFill="1" applyBorder="1" applyAlignment="1">
      <alignment horizontal="center" vertical="center" wrapText="1"/>
    </xf>
    <xf numFmtId="0" fontId="17" fillId="0" borderId="6" xfId="0" applyFont="1" applyBorder="1"/>
    <xf numFmtId="0" fontId="0" fillId="8" borderId="13" xfId="0" applyFill="1" applyBorder="1" applyAlignment="1">
      <alignment horizontal="center" vertical="center" wrapText="1"/>
    </xf>
    <xf numFmtId="0" fontId="3" fillId="0" borderId="1" xfId="0" applyFont="1" applyBorder="1" applyAlignment="1">
      <alignment horizontal="center" vertical="center" wrapText="1"/>
    </xf>
    <xf numFmtId="0" fontId="3" fillId="0" borderId="6" xfId="0" applyFont="1" applyBorder="1" applyAlignment="1">
      <alignment horizontal="center" vertical="center" wrapText="1"/>
    </xf>
    <xf numFmtId="0" fontId="0" fillId="0" borderId="91" xfId="0" applyBorder="1" applyAlignment="1">
      <alignment vertical="center" wrapText="1"/>
    </xf>
    <xf numFmtId="14" fontId="0" fillId="4" borderId="1" xfId="0" applyNumberFormat="1" applyFill="1" applyBorder="1" applyAlignment="1">
      <alignment wrapText="1"/>
    </xf>
    <xf numFmtId="0" fontId="1" fillId="4" borderId="1" xfId="0" applyFont="1" applyFill="1" applyBorder="1" applyAlignment="1">
      <alignment wrapText="1"/>
    </xf>
    <xf numFmtId="0" fontId="0" fillId="2" borderId="14" xfId="0" applyFill="1" applyBorder="1" applyAlignment="1">
      <alignment horizontal="center" wrapText="1"/>
    </xf>
    <xf numFmtId="0" fontId="5" fillId="0" borderId="0" xfId="0" applyFont="1"/>
    <xf numFmtId="0" fontId="0" fillId="0" borderId="66" xfId="0" applyBorder="1" applyAlignment="1">
      <alignment horizontal="left" vertical="center" wrapText="1"/>
    </xf>
    <xf numFmtId="0" fontId="3" fillId="0" borderId="91" xfId="0" applyFont="1" applyBorder="1" applyAlignment="1">
      <alignment vertical="center" wrapText="1"/>
    </xf>
    <xf numFmtId="0" fontId="2" fillId="0" borderId="6" xfId="0" applyFont="1" applyBorder="1" applyAlignment="1">
      <alignment horizontal="center" vertical="center" wrapText="1"/>
    </xf>
    <xf numFmtId="0" fontId="3" fillId="0" borderId="97" xfId="0" applyFont="1" applyBorder="1" applyAlignment="1">
      <alignment horizontal="center" vertical="center" wrapText="1"/>
    </xf>
    <xf numFmtId="17" fontId="0" fillId="0" borderId="72" xfId="0" applyNumberFormat="1" applyBorder="1" applyAlignment="1">
      <alignment vertical="center" wrapText="1"/>
    </xf>
    <xf numFmtId="0" fontId="0" fillId="0" borderId="57" xfId="0" applyBorder="1"/>
    <xf numFmtId="14" fontId="0" fillId="2" borderId="45" xfId="0" applyNumberFormat="1" applyFill="1" applyBorder="1" applyAlignment="1">
      <alignment vertical="center" wrapText="1"/>
    </xf>
    <xf numFmtId="0" fontId="3" fillId="0" borderId="102" xfId="0" applyFont="1" applyBorder="1" applyAlignment="1">
      <alignment horizontal="center" vertical="center" wrapText="1"/>
    </xf>
    <xf numFmtId="14" fontId="3" fillId="0" borderId="102" xfId="0" applyNumberFormat="1" applyFont="1" applyBorder="1" applyAlignment="1">
      <alignment horizontal="center" vertical="center" wrapText="1"/>
    </xf>
    <xf numFmtId="14" fontId="0" fillId="9" borderId="26" xfId="0" applyNumberFormat="1" applyFill="1" applyBorder="1" applyAlignment="1">
      <alignment horizontal="center" vertical="center" wrapText="1"/>
    </xf>
    <xf numFmtId="14" fontId="0" fillId="9" borderId="28" xfId="0" applyNumberFormat="1" applyFill="1" applyBorder="1" applyAlignment="1">
      <alignment horizontal="center" vertical="center" wrapText="1"/>
    </xf>
    <xf numFmtId="0" fontId="0" fillId="9" borderId="54" xfId="0" applyFill="1" applyBorder="1" applyAlignment="1">
      <alignment horizontal="center" vertical="center" wrapText="1"/>
    </xf>
    <xf numFmtId="14" fontId="0" fillId="9" borderId="77" xfId="0" applyNumberFormat="1" applyFill="1" applyBorder="1" applyAlignment="1">
      <alignment horizontal="center" vertical="center" wrapText="1"/>
    </xf>
    <xf numFmtId="0" fontId="0" fillId="9" borderId="53" xfId="0" applyFill="1" applyBorder="1" applyAlignment="1">
      <alignment horizontal="center" vertical="center" wrapText="1"/>
    </xf>
    <xf numFmtId="0" fontId="0" fillId="9" borderId="102" xfId="0" applyFill="1" applyBorder="1" applyAlignment="1">
      <alignment horizontal="center" vertical="center" wrapText="1"/>
    </xf>
    <xf numFmtId="0" fontId="0" fillId="2" borderId="14" xfId="0" applyFill="1" applyBorder="1" applyAlignment="1">
      <alignment horizontal="center" vertical="center" wrapText="1"/>
    </xf>
    <xf numFmtId="14" fontId="0" fillId="0" borderId="77" xfId="0" applyNumberFormat="1" applyBorder="1" applyAlignment="1">
      <alignment horizontal="center" vertical="center" wrapText="1"/>
    </xf>
    <xf numFmtId="14" fontId="0" fillId="0" borderId="0" xfId="0" applyNumberFormat="1"/>
    <xf numFmtId="0" fontId="14" fillId="0" borderId="1" xfId="0" applyFont="1" applyBorder="1"/>
    <xf numFmtId="0" fontId="14" fillId="0" borderId="28" xfId="0" applyFont="1" applyBorder="1"/>
    <xf numFmtId="0" fontId="0" fillId="0" borderId="54" xfId="0" applyBorder="1" applyAlignment="1">
      <alignment horizontal="center" vertical="center" wrapText="1"/>
    </xf>
    <xf numFmtId="0" fontId="3" fillId="0" borderId="75" xfId="0" applyFont="1" applyBorder="1" applyAlignment="1">
      <alignment vertical="center" wrapText="1"/>
    </xf>
    <xf numFmtId="0" fontId="0" fillId="9" borderId="105" xfId="0" applyFill="1" applyBorder="1" applyAlignment="1">
      <alignment horizontal="center" vertical="center" wrapText="1"/>
    </xf>
    <xf numFmtId="0" fontId="18" fillId="0" borderId="28" xfId="0" applyFont="1" applyBorder="1"/>
    <xf numFmtId="0" fontId="0" fillId="9" borderId="30" xfId="0" applyFill="1" applyBorder="1" applyAlignment="1">
      <alignment horizontal="center" vertical="center" wrapText="1"/>
    </xf>
    <xf numFmtId="0" fontId="0" fillId="4" borderId="31" xfId="0" applyFill="1" applyBorder="1" applyAlignment="1">
      <alignment wrapText="1"/>
    </xf>
    <xf numFmtId="0" fontId="0" fillId="4" borderId="106" xfId="0" applyFill="1" applyBorder="1" applyAlignment="1">
      <alignment wrapText="1"/>
    </xf>
    <xf numFmtId="0" fontId="0" fillId="4" borderId="48" xfId="0" applyFill="1" applyBorder="1" applyAlignment="1">
      <alignment wrapText="1"/>
    </xf>
    <xf numFmtId="0" fontId="19" fillId="0" borderId="0" xfId="0" applyFont="1"/>
    <xf numFmtId="14" fontId="0" fillId="4" borderId="1" xfId="0" applyNumberFormat="1" applyFill="1" applyBorder="1" applyAlignment="1">
      <alignment horizontal="center" vertical="center" wrapText="1"/>
    </xf>
    <xf numFmtId="0" fontId="0" fillId="0" borderId="13" xfId="0" applyBorder="1" applyAlignment="1">
      <alignment horizontal="center" vertical="center" wrapText="1"/>
    </xf>
    <xf numFmtId="0" fontId="0" fillId="0" borderId="37" xfId="0" applyBorder="1" applyAlignment="1">
      <alignment horizontal="left" vertical="center" wrapText="1"/>
    </xf>
    <xf numFmtId="0" fontId="0" fillId="8" borderId="38" xfId="0" applyFill="1" applyBorder="1" applyAlignment="1">
      <alignment horizontal="left" vertical="center" wrapText="1"/>
    </xf>
    <xf numFmtId="0" fontId="0" fillId="2" borderId="14" xfId="0" quotePrefix="1" applyFill="1" applyBorder="1" applyAlignment="1">
      <alignment horizontal="center" vertical="center" wrapText="1"/>
    </xf>
    <xf numFmtId="0" fontId="17" fillId="0" borderId="1" xfId="0" applyFont="1" applyBorder="1"/>
    <xf numFmtId="0" fontId="17" fillId="0" borderId="28" xfId="0" applyFont="1" applyBorder="1"/>
    <xf numFmtId="0" fontId="19" fillId="0" borderId="0" xfId="0" applyFont="1" applyAlignment="1">
      <alignment wrapText="1"/>
    </xf>
    <xf numFmtId="0" fontId="19" fillId="0" borderId="28" xfId="0" applyFont="1" applyBorder="1" applyAlignment="1">
      <alignment horizontal="center" wrapText="1"/>
    </xf>
    <xf numFmtId="0" fontId="0" fillId="9" borderId="96" xfId="0" applyFill="1" applyBorder="1" applyAlignment="1">
      <alignment horizontal="center" vertical="center" wrapText="1"/>
    </xf>
    <xf numFmtId="14" fontId="0" fillId="9" borderId="56" xfId="0" applyNumberFormat="1" applyFill="1" applyBorder="1" applyAlignment="1">
      <alignment horizontal="center" vertical="center" wrapText="1"/>
    </xf>
    <xf numFmtId="14" fontId="0" fillId="2" borderId="65" xfId="0" applyNumberFormat="1" applyFill="1" applyBorder="1" applyAlignment="1">
      <alignment vertical="center" wrapText="1"/>
    </xf>
    <xf numFmtId="0" fontId="0" fillId="2" borderId="29" xfId="0" applyFill="1" applyBorder="1" applyAlignment="1">
      <alignment wrapText="1"/>
    </xf>
    <xf numFmtId="0" fontId="21" fillId="0" borderId="0" xfId="0" applyFont="1"/>
    <xf numFmtId="0" fontId="3" fillId="0" borderId="54" xfId="0" applyFont="1" applyBorder="1" applyAlignment="1">
      <alignment horizontal="center" vertical="center" wrapText="1"/>
    </xf>
    <xf numFmtId="0" fontId="3" fillId="0" borderId="8" xfId="0" applyFont="1" applyBorder="1" applyAlignment="1">
      <alignment vertical="center" wrapText="1"/>
    </xf>
    <xf numFmtId="0" fontId="0" fillId="9" borderId="100" xfId="0" applyFill="1" applyBorder="1" applyAlignment="1">
      <alignment horizontal="center" vertical="center" wrapText="1"/>
    </xf>
    <xf numFmtId="0" fontId="19" fillId="0" borderId="29" xfId="0" applyFont="1" applyBorder="1" applyAlignment="1">
      <alignment wrapText="1"/>
    </xf>
    <xf numFmtId="0" fontId="17" fillId="0" borderId="55" xfId="0" applyFont="1" applyBorder="1"/>
    <xf numFmtId="0" fontId="19" fillId="0" borderId="28" xfId="0" applyFont="1" applyBorder="1" applyAlignment="1">
      <alignment wrapText="1"/>
    </xf>
    <xf numFmtId="0" fontId="0" fillId="2" borderId="13" xfId="0" applyFill="1" applyBorder="1" applyAlignment="1">
      <alignment horizontal="center" vertical="center" wrapText="1"/>
    </xf>
    <xf numFmtId="0" fontId="19" fillId="0" borderId="28" xfId="0" applyFont="1" applyBorder="1"/>
    <xf numFmtId="14" fontId="3" fillId="5" borderId="34" xfId="0" applyNumberFormat="1" applyFont="1" applyFill="1" applyBorder="1" applyAlignment="1">
      <alignment vertical="center" wrapText="1"/>
    </xf>
    <xf numFmtId="0" fontId="22" fillId="0" borderId="0" xfId="0" applyFont="1"/>
    <xf numFmtId="0" fontId="0" fillId="0" borderId="65" xfId="0" applyBorder="1" applyAlignment="1">
      <alignment horizontal="center" vertical="center"/>
    </xf>
    <xf numFmtId="14" fontId="3" fillId="0" borderId="6" xfId="0" applyNumberFormat="1" applyFont="1" applyBorder="1" applyAlignment="1">
      <alignment horizontal="center" vertical="center"/>
    </xf>
    <xf numFmtId="14" fontId="3" fillId="0" borderId="6" xfId="0" applyNumberFormat="1" applyFont="1" applyBorder="1" applyAlignment="1">
      <alignment horizontal="center" vertical="center" wrapText="1"/>
    </xf>
    <xf numFmtId="14" fontId="3" fillId="0" borderId="55" xfId="0" applyNumberFormat="1" applyFont="1" applyBorder="1" applyAlignment="1">
      <alignment horizontal="center" vertical="center"/>
    </xf>
    <xf numFmtId="0" fontId="3" fillId="0" borderId="0" xfId="0" applyFont="1" applyAlignment="1">
      <alignment wrapText="1"/>
    </xf>
    <xf numFmtId="0" fontId="2" fillId="0" borderId="0" xfId="0" applyFont="1" applyAlignment="1">
      <alignment wrapText="1"/>
    </xf>
    <xf numFmtId="0" fontId="10" fillId="0" borderId="6" xfId="0" applyFont="1" applyBorder="1" applyAlignment="1">
      <alignment vertical="center" wrapText="1"/>
    </xf>
    <xf numFmtId="0" fontId="3" fillId="0" borderId="47" xfId="0" applyFont="1" applyBorder="1" applyAlignment="1">
      <alignment wrapText="1"/>
    </xf>
    <xf numFmtId="0" fontId="0" fillId="0" borderId="66" xfId="0" applyBorder="1" applyAlignment="1">
      <alignment vertical="center"/>
    </xf>
    <xf numFmtId="0" fontId="0" fillId="0" borderId="67" xfId="0" applyBorder="1" applyAlignment="1">
      <alignment vertical="center" wrapText="1"/>
    </xf>
    <xf numFmtId="0" fontId="2" fillId="0" borderId="19" xfId="0" applyFont="1" applyBorder="1" applyAlignment="1">
      <alignment wrapText="1"/>
    </xf>
    <xf numFmtId="0" fontId="0" fillId="0" borderId="57" xfId="0" applyBorder="1" applyAlignment="1">
      <alignment vertical="center" wrapText="1"/>
    </xf>
    <xf numFmtId="0" fontId="3" fillId="0" borderId="29" xfId="0" applyFont="1" applyBorder="1" applyAlignment="1">
      <alignment wrapText="1"/>
    </xf>
    <xf numFmtId="0" fontId="0" fillId="0" borderId="19" xfId="0" applyBorder="1"/>
    <xf numFmtId="0" fontId="3" fillId="0" borderId="30" xfId="0" applyFont="1" applyBorder="1" applyAlignment="1">
      <alignment wrapText="1"/>
    </xf>
    <xf numFmtId="0" fontId="0" fillId="0" borderId="47" xfId="0" applyBorder="1" applyAlignment="1">
      <alignment vertical="center"/>
    </xf>
    <xf numFmtId="0" fontId="3" fillId="8" borderId="28" xfId="0" applyFont="1" applyFill="1" applyBorder="1" applyAlignment="1">
      <alignment horizontal="center" vertical="center" wrapText="1"/>
    </xf>
    <xf numFmtId="0" fontId="11" fillId="0" borderId="14" xfId="0" applyFont="1" applyBorder="1"/>
    <xf numFmtId="0" fontId="0" fillId="2" borderId="56" xfId="0" applyFill="1" applyBorder="1" applyAlignment="1">
      <alignment vertical="center"/>
    </xf>
    <xf numFmtId="0" fontId="3" fillId="5" borderId="2" xfId="0" applyFont="1" applyFill="1" applyBorder="1" applyAlignment="1">
      <alignment horizontal="center" vertical="center"/>
    </xf>
    <xf numFmtId="0" fontId="3" fillId="5" borderId="31" xfId="0" applyFont="1" applyFill="1" applyBorder="1" applyAlignment="1">
      <alignment vertical="center"/>
    </xf>
    <xf numFmtId="0" fontId="3" fillId="6" borderId="2" xfId="0" applyFont="1" applyFill="1" applyBorder="1" applyAlignment="1">
      <alignment vertical="center"/>
    </xf>
    <xf numFmtId="0" fontId="3" fillId="6" borderId="31" xfId="0" applyFont="1" applyFill="1" applyBorder="1" applyAlignment="1">
      <alignment vertical="center"/>
    </xf>
    <xf numFmtId="14" fontId="0" fillId="2" borderId="16" xfId="0" applyNumberFormat="1" applyFill="1" applyBorder="1" applyAlignment="1">
      <alignment vertical="center"/>
    </xf>
    <xf numFmtId="14" fontId="0" fillId="2" borderId="19" xfId="0" applyNumberFormat="1" applyFill="1" applyBorder="1" applyAlignment="1">
      <alignment vertical="center"/>
    </xf>
    <xf numFmtId="0" fontId="0" fillId="0" borderId="6" xfId="0" applyBorder="1" applyAlignment="1">
      <alignment horizontal="center" vertical="center"/>
    </xf>
    <xf numFmtId="0" fontId="17" fillId="0" borderId="38" xfId="0" applyFont="1" applyBorder="1" applyAlignment="1">
      <alignment wrapText="1"/>
    </xf>
    <xf numFmtId="0" fontId="0" fillId="0" borderId="53" xfId="0" applyBorder="1" applyAlignment="1">
      <alignment vertical="center" wrapText="1"/>
    </xf>
    <xf numFmtId="0" fontId="17" fillId="0" borderId="38" xfId="0" applyFont="1" applyBorder="1"/>
    <xf numFmtId="0" fontId="3" fillId="0" borderId="6" xfId="0" applyFont="1" applyBorder="1" applyAlignment="1">
      <alignment vertical="center"/>
    </xf>
    <xf numFmtId="0" fontId="0" fillId="0" borderId="97" xfId="0" applyBorder="1"/>
    <xf numFmtId="0" fontId="3" fillId="0" borderId="107" xfId="0" applyFont="1" applyBorder="1" applyAlignment="1">
      <alignment horizontal="center" vertical="center" wrapText="1"/>
    </xf>
    <xf numFmtId="0" fontId="17" fillId="0" borderId="29" xfId="0" applyFont="1" applyBorder="1"/>
    <xf numFmtId="0" fontId="23" fillId="0" borderId="0" xfId="0" applyFont="1"/>
    <xf numFmtId="0" fontId="2" fillId="7" borderId="7" xfId="0" applyFont="1" applyFill="1" applyBorder="1" applyAlignment="1">
      <alignment wrapText="1"/>
    </xf>
    <xf numFmtId="0" fontId="2" fillId="7" borderId="4" xfId="0" applyFont="1" applyFill="1" applyBorder="1" applyAlignment="1">
      <alignment wrapText="1"/>
    </xf>
    <xf numFmtId="0" fontId="3" fillId="7" borderId="4" xfId="0" applyFont="1" applyFill="1" applyBorder="1" applyAlignment="1">
      <alignment wrapText="1"/>
    </xf>
    <xf numFmtId="0" fontId="0" fillId="8" borderId="66" xfId="0" applyFill="1" applyBorder="1" applyAlignment="1">
      <alignment vertical="center" wrapText="1"/>
    </xf>
    <xf numFmtId="0" fontId="0" fillId="8" borderId="37" xfId="0" applyFill="1" applyBorder="1" applyAlignment="1">
      <alignment horizontal="center" vertical="center" wrapText="1"/>
    </xf>
    <xf numFmtId="0" fontId="2" fillId="7" borderId="1" xfId="0" applyFont="1" applyFill="1" applyBorder="1" applyAlignment="1">
      <alignment wrapText="1"/>
    </xf>
    <xf numFmtId="0" fontId="0" fillId="8" borderId="28" xfId="0" applyFill="1" applyBorder="1" applyAlignment="1">
      <alignment vertical="center" wrapText="1"/>
    </xf>
    <xf numFmtId="0" fontId="3" fillId="8" borderId="28" xfId="0" applyFont="1" applyFill="1" applyBorder="1" applyAlignment="1">
      <alignment wrapText="1"/>
    </xf>
    <xf numFmtId="0" fontId="1" fillId="0" borderId="0" xfId="0" applyFont="1" applyAlignment="1">
      <alignment vertical="center" wrapText="1"/>
    </xf>
    <xf numFmtId="0" fontId="1" fillId="9" borderId="83" xfId="0" applyFont="1" applyFill="1" applyBorder="1" applyAlignment="1">
      <alignment vertical="center" wrapText="1"/>
    </xf>
    <xf numFmtId="0" fontId="0" fillId="2" borderId="4" xfId="0" applyFill="1" applyBorder="1" applyAlignment="1">
      <alignment vertical="center" wrapText="1"/>
    </xf>
    <xf numFmtId="0" fontId="0" fillId="2" borderId="7" xfId="0" applyFill="1" applyBorder="1" applyAlignment="1">
      <alignment vertical="center" wrapText="1"/>
    </xf>
    <xf numFmtId="0" fontId="0" fillId="2" borderId="47" xfId="0" applyFill="1" applyBorder="1" applyAlignment="1">
      <alignment vertical="center" wrapText="1"/>
    </xf>
    <xf numFmtId="0" fontId="0" fillId="2" borderId="43" xfId="0" applyFill="1" applyBorder="1" applyAlignment="1">
      <alignment vertical="center" wrapText="1"/>
    </xf>
    <xf numFmtId="0" fontId="2" fillId="7" borderId="7" xfId="0" applyFont="1" applyFill="1" applyBorder="1" applyAlignment="1">
      <alignment vertical="center" wrapText="1"/>
    </xf>
    <xf numFmtId="0" fontId="3" fillId="7" borderId="7" xfId="0" applyFont="1" applyFill="1" applyBorder="1" applyAlignment="1">
      <alignment wrapText="1"/>
    </xf>
    <xf numFmtId="0" fontId="3" fillId="6" borderId="28" xfId="0" applyFont="1" applyFill="1" applyBorder="1" applyAlignment="1">
      <alignment vertical="center" wrapText="1"/>
    </xf>
    <xf numFmtId="0" fontId="3" fillId="5" borderId="45" xfId="0" applyFont="1" applyFill="1" applyBorder="1" applyAlignment="1">
      <alignment vertical="center" wrapText="1"/>
    </xf>
    <xf numFmtId="0" fontId="3" fillId="5" borderId="101" xfId="0" applyFont="1" applyFill="1" applyBorder="1" applyAlignment="1">
      <alignment vertical="center" wrapText="1"/>
    </xf>
    <xf numFmtId="0" fontId="3" fillId="6" borderId="45" xfId="0" applyFont="1" applyFill="1" applyBorder="1" applyAlignment="1">
      <alignment vertical="center" wrapText="1"/>
    </xf>
    <xf numFmtId="0" fontId="3" fillId="6" borderId="101" xfId="0" applyFont="1" applyFill="1" applyBorder="1" applyAlignment="1">
      <alignment vertical="center" wrapText="1"/>
    </xf>
    <xf numFmtId="0" fontId="3" fillId="0" borderId="55" xfId="0" applyFont="1" applyBorder="1" applyAlignment="1">
      <alignment horizontal="center" vertical="center" wrapText="1"/>
    </xf>
    <xf numFmtId="14" fontId="0" fillId="4" borderId="4" xfId="0" applyNumberFormat="1" applyFill="1" applyBorder="1" applyAlignment="1">
      <alignment horizontal="right" vertical="center" wrapText="1"/>
    </xf>
    <xf numFmtId="0" fontId="17" fillId="0" borderId="55" xfId="0" applyFont="1" applyBorder="1" applyAlignment="1">
      <alignment horizontal="center" vertical="center"/>
    </xf>
    <xf numFmtId="0" fontId="17" fillId="0" borderId="28" xfId="0" applyFont="1" applyBorder="1" applyAlignment="1">
      <alignment horizontal="center" vertical="center"/>
    </xf>
    <xf numFmtId="0" fontId="17" fillId="0" borderId="29" xfId="0" applyFont="1" applyBorder="1" applyAlignment="1">
      <alignment horizontal="center" vertical="center"/>
    </xf>
    <xf numFmtId="0" fontId="21" fillId="0" borderId="0" xfId="0" applyFont="1" applyAlignment="1">
      <alignment horizontal="center" vertical="center"/>
    </xf>
    <xf numFmtId="0" fontId="3" fillId="7" borderId="1" xfId="0" applyFont="1" applyFill="1" applyBorder="1" applyAlignment="1">
      <alignment wrapText="1"/>
    </xf>
    <xf numFmtId="14" fontId="3" fillId="6" borderId="4" xfId="0" applyNumberFormat="1" applyFont="1" applyFill="1" applyBorder="1" applyAlignment="1">
      <alignment vertical="center" wrapText="1"/>
    </xf>
    <xf numFmtId="0" fontId="0" fillId="2" borderId="0" xfId="0" applyFill="1" applyAlignment="1">
      <alignment wrapText="1"/>
    </xf>
    <xf numFmtId="0" fontId="0" fillId="0" borderId="0" xfId="0" applyAlignment="1">
      <alignment horizontal="left" vertical="center"/>
    </xf>
    <xf numFmtId="0" fontId="3" fillId="0" borderId="100" xfId="0" applyFont="1" applyBorder="1" applyAlignment="1">
      <alignment horizontal="center" vertical="center" wrapText="1"/>
    </xf>
    <xf numFmtId="14" fontId="3" fillId="0" borderId="100" xfId="0" applyNumberFormat="1" applyFont="1" applyBorder="1" applyAlignment="1">
      <alignment horizontal="center" vertical="center" wrapText="1"/>
    </xf>
    <xf numFmtId="0" fontId="14" fillId="0" borderId="76" xfId="0" applyFont="1" applyBorder="1"/>
    <xf numFmtId="0" fontId="0" fillId="9" borderId="1" xfId="0" applyFill="1" applyBorder="1" applyAlignment="1">
      <alignment horizontal="center" vertical="center" wrapText="1"/>
    </xf>
    <xf numFmtId="0" fontId="0" fillId="9" borderId="6" xfId="0" applyFill="1" applyBorder="1" applyAlignment="1">
      <alignment vertical="center" wrapText="1"/>
    </xf>
    <xf numFmtId="17" fontId="0" fillId="0" borderId="66" xfId="0" applyNumberFormat="1" applyBorder="1" applyAlignment="1">
      <alignment vertical="center" wrapText="1"/>
    </xf>
    <xf numFmtId="0" fontId="3" fillId="7" borderId="57" xfId="0" applyFont="1" applyFill="1" applyBorder="1" applyAlignment="1">
      <alignment vertical="center" wrapText="1"/>
    </xf>
    <xf numFmtId="0" fontId="0" fillId="2" borderId="14" xfId="0" applyFill="1" applyBorder="1" applyAlignment="1">
      <alignment vertical="center" wrapText="1"/>
    </xf>
    <xf numFmtId="0" fontId="0" fillId="8" borderId="37" xfId="0" applyFill="1" applyBorder="1" applyAlignment="1">
      <alignment wrapText="1"/>
    </xf>
    <xf numFmtId="0" fontId="0" fillId="2" borderId="34" xfId="0" applyFill="1" applyBorder="1" applyAlignment="1">
      <alignment horizontal="center" vertical="center" wrapText="1"/>
    </xf>
    <xf numFmtId="14" fontId="0" fillId="2" borderId="13" xfId="0" applyNumberFormat="1" applyFill="1" applyBorder="1" applyAlignment="1">
      <alignment vertical="center" wrapText="1"/>
    </xf>
    <xf numFmtId="0" fontId="0" fillId="4" borderId="98" xfId="0" applyFill="1" applyBorder="1" applyAlignment="1">
      <alignment horizontal="center" vertical="center" wrapText="1"/>
    </xf>
    <xf numFmtId="14" fontId="0" fillId="0" borderId="96" xfId="0" applyNumberFormat="1" applyBorder="1" applyAlignment="1">
      <alignment horizontal="center" vertical="center" wrapText="1"/>
    </xf>
    <xf numFmtId="0" fontId="0" fillId="0" borderId="107" xfId="0" applyBorder="1" applyAlignment="1">
      <alignment horizontal="center" vertical="center" wrapText="1"/>
    </xf>
    <xf numFmtId="0" fontId="0" fillId="0" borderId="48" xfId="0" applyBorder="1" applyAlignment="1">
      <alignment horizontal="center" vertical="center"/>
    </xf>
    <xf numFmtId="0" fontId="24" fillId="0" borderId="0" xfId="0" applyFont="1"/>
    <xf numFmtId="0" fontId="2" fillId="7" borderId="1" xfId="0" applyFont="1" applyFill="1" applyBorder="1" applyAlignment="1">
      <alignment horizontal="center" vertical="center" wrapText="1"/>
    </xf>
    <xf numFmtId="0" fontId="0" fillId="0" borderId="28" xfId="0" applyBorder="1" applyAlignment="1">
      <alignment vertical="center"/>
    </xf>
    <xf numFmtId="14" fontId="0" fillId="4" borderId="1" xfId="0" applyNumberFormat="1" applyFill="1" applyBorder="1" applyAlignment="1">
      <alignment vertical="center" wrapText="1"/>
    </xf>
    <xf numFmtId="0" fontId="16" fillId="0" borderId="29" xfId="1" applyBorder="1" applyAlignment="1">
      <alignment vertical="center" wrapText="1"/>
    </xf>
    <xf numFmtId="0" fontId="0" fillId="2" borderId="65" xfId="0" applyFill="1" applyBorder="1" applyAlignment="1">
      <alignment wrapText="1"/>
    </xf>
    <xf numFmtId="0" fontId="0" fillId="4" borderId="48" xfId="0" applyFill="1" applyBorder="1" applyAlignment="1">
      <alignment horizontal="center" vertical="center" wrapText="1"/>
    </xf>
    <xf numFmtId="0" fontId="0" fillId="12" borderId="0" xfId="0" applyFill="1" applyAlignment="1">
      <alignment vertical="center" wrapText="1"/>
    </xf>
    <xf numFmtId="0" fontId="3" fillId="7" borderId="108" xfId="0" applyFont="1" applyFill="1" applyBorder="1" applyAlignment="1">
      <alignment horizontal="center" vertical="center" wrapText="1"/>
    </xf>
    <xf numFmtId="0" fontId="24" fillId="0" borderId="57" xfId="0" applyFont="1" applyBorder="1"/>
    <xf numFmtId="0" fontId="25" fillId="0" borderId="57" xfId="0" applyFont="1" applyBorder="1"/>
    <xf numFmtId="0" fontId="0" fillId="0" borderId="49" xfId="0" applyBorder="1" applyAlignment="1">
      <alignment horizontal="center" vertical="center" wrapText="1"/>
    </xf>
    <xf numFmtId="0" fontId="0" fillId="0" borderId="76" xfId="0" applyBorder="1" applyAlignment="1">
      <alignment horizontal="center" vertical="center" wrapText="1"/>
    </xf>
    <xf numFmtId="14" fontId="0" fillId="0" borderId="76" xfId="0" applyNumberFormat="1" applyBorder="1" applyAlignment="1">
      <alignment horizontal="center" vertical="center" wrapText="1"/>
    </xf>
    <xf numFmtId="14" fontId="0" fillId="0" borderId="45" xfId="0" applyNumberFormat="1" applyBorder="1" applyAlignment="1">
      <alignment horizontal="center" vertical="center" wrapText="1"/>
    </xf>
    <xf numFmtId="0" fontId="6" fillId="0" borderId="13" xfId="0" applyFont="1" applyBorder="1" applyAlignment="1">
      <alignment wrapText="1"/>
    </xf>
    <xf numFmtId="0" fontId="0" fillId="9" borderId="0" xfId="0" applyFill="1" applyAlignment="1">
      <alignment horizontal="center" vertical="center" wrapText="1"/>
    </xf>
    <xf numFmtId="0" fontId="12" fillId="0" borderId="13" xfId="0" applyFont="1" applyBorder="1" applyAlignment="1">
      <alignment wrapText="1"/>
    </xf>
    <xf numFmtId="0" fontId="0" fillId="9" borderId="14" xfId="0" applyFill="1" applyBorder="1" applyAlignment="1">
      <alignment horizontal="center" vertical="center" wrapText="1"/>
    </xf>
    <xf numFmtId="0" fontId="0" fillId="0" borderId="13" xfId="0" applyBorder="1" applyAlignment="1">
      <alignment wrapText="1"/>
    </xf>
    <xf numFmtId="0" fontId="0" fillId="0" borderId="90" xfId="0" applyBorder="1" applyAlignment="1">
      <alignment vertical="center" wrapText="1"/>
    </xf>
    <xf numFmtId="0" fontId="0" fillId="9" borderId="38" xfId="0" applyFill="1" applyBorder="1" applyAlignment="1">
      <alignment vertical="center" wrapText="1"/>
    </xf>
    <xf numFmtId="0" fontId="3" fillId="0" borderId="51" xfId="0" applyFont="1" applyBorder="1" applyAlignment="1">
      <alignment horizontal="center" vertical="center" wrapText="1"/>
    </xf>
    <xf numFmtId="0" fontId="0" fillId="2" borderId="95" xfId="0" applyFill="1" applyBorder="1" applyAlignment="1">
      <alignment horizontal="center" vertical="center" wrapText="1"/>
    </xf>
    <xf numFmtId="14" fontId="3" fillId="7" borderId="6" xfId="0" applyNumberFormat="1" applyFont="1" applyFill="1" applyBorder="1" applyAlignment="1">
      <alignment vertical="center" wrapText="1"/>
    </xf>
    <xf numFmtId="0" fontId="0" fillId="2" borderId="16" xfId="0" applyFill="1" applyBorder="1" applyAlignment="1">
      <alignment vertical="center" wrapText="1"/>
    </xf>
    <xf numFmtId="0" fontId="3" fillId="7" borderId="30" xfId="0" applyFont="1" applyFill="1" applyBorder="1" applyAlignment="1">
      <alignment vertical="center" wrapText="1"/>
    </xf>
    <xf numFmtId="0" fontId="2" fillId="7" borderId="28" xfId="0" applyFont="1" applyFill="1" applyBorder="1" applyAlignment="1">
      <alignment wrapText="1"/>
    </xf>
    <xf numFmtId="0" fontId="3" fillId="5" borderId="5" xfId="0" applyFont="1" applyFill="1" applyBorder="1" applyAlignment="1">
      <alignment vertical="center" wrapText="1"/>
    </xf>
    <xf numFmtId="0" fontId="3" fillId="9" borderId="8" xfId="0" applyFont="1" applyFill="1" applyBorder="1" applyAlignment="1">
      <alignment vertical="center" wrapText="1"/>
    </xf>
    <xf numFmtId="0" fontId="3" fillId="5" borderId="6" xfId="0" applyFont="1" applyFill="1" applyBorder="1" applyAlignment="1">
      <alignment vertical="center" wrapText="1"/>
    </xf>
    <xf numFmtId="0" fontId="3" fillId="5" borderId="7" xfId="0" applyFont="1" applyFill="1" applyBorder="1" applyAlignment="1">
      <alignment vertical="center" wrapText="1"/>
    </xf>
    <xf numFmtId="0" fontId="3" fillId="9" borderId="34" xfId="0" applyFont="1" applyFill="1" applyBorder="1" applyAlignment="1">
      <alignment vertical="center" wrapText="1"/>
    </xf>
    <xf numFmtId="0" fontId="3" fillId="6" borderId="5" xfId="0" applyFont="1" applyFill="1" applyBorder="1" applyAlignment="1">
      <alignment vertical="center" wrapText="1"/>
    </xf>
    <xf numFmtId="0" fontId="3" fillId="6" borderId="6" xfId="0" applyFont="1" applyFill="1" applyBorder="1" applyAlignment="1">
      <alignment vertical="center" wrapText="1"/>
    </xf>
    <xf numFmtId="0" fontId="3" fillId="6" borderId="7" xfId="0" applyFont="1" applyFill="1" applyBorder="1" applyAlignment="1">
      <alignment vertical="center" wrapText="1"/>
    </xf>
    <xf numFmtId="0" fontId="3" fillId="0" borderId="38" xfId="0" applyFont="1" applyBorder="1" applyAlignment="1">
      <alignment wrapText="1"/>
    </xf>
    <xf numFmtId="0" fontId="0" fillId="0" borderId="1" xfId="0" applyBorder="1" applyAlignment="1">
      <alignment horizontal="center" vertical="center" wrapText="1"/>
    </xf>
    <xf numFmtId="0" fontId="0" fillId="0" borderId="6" xfId="0" applyBorder="1" applyAlignment="1">
      <alignment horizontal="center" vertical="center" wrapText="1"/>
    </xf>
    <xf numFmtId="0" fontId="3" fillId="0" borderId="38" xfId="0" applyFont="1" applyBorder="1" applyAlignment="1">
      <alignment horizontal="center" wrapText="1"/>
    </xf>
    <xf numFmtId="0" fontId="2" fillId="0" borderId="38" xfId="0" applyFont="1" applyBorder="1" applyAlignment="1">
      <alignment horizontal="center" wrapText="1"/>
    </xf>
    <xf numFmtId="0" fontId="3" fillId="9" borderId="38" xfId="0" applyFont="1" applyFill="1" applyBorder="1" applyAlignment="1">
      <alignment vertical="center" wrapText="1"/>
    </xf>
    <xf numFmtId="0" fontId="12" fillId="0" borderId="0" xfId="0" applyFont="1"/>
    <xf numFmtId="0" fontId="20" fillId="0" borderId="0" xfId="0" applyFont="1"/>
    <xf numFmtId="0" fontId="1" fillId="0" borderId="109" xfId="0" applyFont="1" applyBorder="1" applyAlignment="1">
      <alignment horizontal="center" vertical="center" wrapText="1"/>
    </xf>
    <xf numFmtId="0" fontId="1" fillId="0" borderId="110" xfId="0" applyFont="1" applyBorder="1" applyAlignment="1">
      <alignment horizontal="center" vertical="center" wrapText="1"/>
    </xf>
    <xf numFmtId="0" fontId="1" fillId="0" borderId="69" xfId="0" applyFont="1" applyBorder="1" applyAlignment="1">
      <alignment horizontal="center" vertical="center" wrapText="1"/>
    </xf>
    <xf numFmtId="0" fontId="1" fillId="2" borderId="111" xfId="0" applyFont="1" applyFill="1" applyBorder="1" applyAlignment="1">
      <alignment horizontal="center" vertical="center" wrapText="1"/>
    </xf>
    <xf numFmtId="0" fontId="1" fillId="2" borderId="112" xfId="0" applyFont="1" applyFill="1" applyBorder="1" applyAlignment="1">
      <alignment horizontal="center" vertical="center" wrapText="1"/>
    </xf>
    <xf numFmtId="0" fontId="1" fillId="2" borderId="113" xfId="0" applyFont="1" applyFill="1" applyBorder="1" applyAlignment="1">
      <alignment horizontal="center" vertical="center" wrapText="1"/>
    </xf>
    <xf numFmtId="0" fontId="1" fillId="2" borderId="114" xfId="0" applyFont="1" applyFill="1" applyBorder="1" applyAlignment="1">
      <alignment vertical="center"/>
    </xf>
    <xf numFmtId="0" fontId="1" fillId="4" borderId="111" xfId="0" applyFont="1" applyFill="1" applyBorder="1" applyAlignment="1">
      <alignment horizontal="center" vertical="center" wrapText="1"/>
    </xf>
    <xf numFmtId="0" fontId="1" fillId="4" borderId="112" xfId="0" applyFont="1" applyFill="1" applyBorder="1" applyAlignment="1">
      <alignment horizontal="center" vertical="center" wrapText="1"/>
    </xf>
    <xf numFmtId="0" fontId="1" fillId="4" borderId="114" xfId="0" applyFont="1" applyFill="1" applyBorder="1" applyAlignment="1">
      <alignment horizontal="center" vertical="center" wrapText="1"/>
    </xf>
    <xf numFmtId="0" fontId="1" fillId="3" borderId="111" xfId="0" applyFont="1" applyFill="1" applyBorder="1" applyAlignment="1">
      <alignment horizontal="center" vertical="center" wrapText="1"/>
    </xf>
    <xf numFmtId="0" fontId="1" fillId="3" borderId="112" xfId="0" applyFont="1" applyFill="1" applyBorder="1" applyAlignment="1">
      <alignment horizontal="center" vertical="center" wrapText="1"/>
    </xf>
    <xf numFmtId="0" fontId="1" fillId="3" borderId="114" xfId="0" applyFont="1" applyFill="1" applyBorder="1" applyAlignment="1">
      <alignment horizontal="center" vertical="center" wrapText="1"/>
    </xf>
    <xf numFmtId="0" fontId="1" fillId="0" borderId="115" xfId="0" applyFont="1" applyBorder="1" applyAlignment="1">
      <alignment horizontal="center" vertical="center" wrapText="1"/>
    </xf>
    <xf numFmtId="0" fontId="1" fillId="0" borderId="116" xfId="0" applyFont="1" applyBorder="1" applyAlignment="1">
      <alignment horizontal="center" vertical="center"/>
    </xf>
    <xf numFmtId="0" fontId="26" fillId="0" borderId="1" xfId="0" applyFont="1" applyBorder="1"/>
    <xf numFmtId="0" fontId="26" fillId="0" borderId="1" xfId="0" applyFont="1" applyBorder="1" applyAlignment="1">
      <alignment horizontal="center" vertical="center"/>
    </xf>
    <xf numFmtId="14" fontId="26" fillId="0" borderId="1" xfId="0" applyNumberFormat="1" applyFont="1" applyBorder="1" applyAlignment="1">
      <alignment horizontal="center" vertical="center"/>
    </xf>
    <xf numFmtId="0" fontId="26" fillId="0" borderId="1" xfId="0" applyFont="1" applyBorder="1" applyAlignment="1">
      <alignment vertical="center" wrapText="1"/>
    </xf>
    <xf numFmtId="0" fontId="26" fillId="0" borderId="1" xfId="0" applyFont="1" applyBorder="1" applyAlignment="1">
      <alignment horizontal="center" vertical="center" wrapText="1"/>
    </xf>
    <xf numFmtId="0" fontId="27" fillId="0" borderId="1" xfId="0" applyFont="1" applyBorder="1" applyAlignment="1">
      <alignment horizontal="center" vertical="center" wrapText="1"/>
    </xf>
    <xf numFmtId="14" fontId="26" fillId="0" borderId="1" xfId="0" applyNumberFormat="1" applyFont="1" applyBorder="1" applyAlignment="1">
      <alignment vertical="center"/>
    </xf>
    <xf numFmtId="0" fontId="26" fillId="0" borderId="1" xfId="0" applyFont="1" applyBorder="1" applyAlignment="1">
      <alignment vertical="center"/>
    </xf>
    <xf numFmtId="0" fontId="26" fillId="0" borderId="1" xfId="0" applyFont="1" applyBorder="1" applyAlignment="1">
      <alignment wrapText="1"/>
    </xf>
    <xf numFmtId="0" fontId="27" fillId="0" borderId="1" xfId="0" applyFont="1" applyBorder="1" applyAlignment="1">
      <alignment horizontal="center" vertical="center"/>
    </xf>
    <xf numFmtId="14" fontId="27" fillId="0" borderId="1" xfId="0" applyNumberFormat="1" applyFont="1" applyBorder="1" applyAlignment="1">
      <alignment horizontal="center" vertical="center"/>
    </xf>
    <xf numFmtId="0" fontId="27" fillId="0" borderId="1" xfId="0" applyFont="1" applyBorder="1" applyAlignment="1">
      <alignment vertical="center" wrapText="1"/>
    </xf>
    <xf numFmtId="14" fontId="27" fillId="0" borderId="1" xfId="0" applyNumberFormat="1" applyFont="1" applyBorder="1" applyAlignment="1">
      <alignment vertical="center"/>
    </xf>
    <xf numFmtId="0" fontId="27" fillId="0" borderId="1" xfId="0" applyFont="1" applyBorder="1" applyAlignment="1">
      <alignment vertical="center"/>
    </xf>
    <xf numFmtId="14" fontId="26" fillId="0" borderId="1" xfId="0" applyNumberFormat="1" applyFont="1" applyBorder="1"/>
    <xf numFmtId="0" fontId="26" fillId="0" borderId="1" xfId="0" applyFont="1" applyBorder="1" applyAlignment="1">
      <alignment horizontal="right" vertical="center"/>
    </xf>
    <xf numFmtId="0" fontId="27" fillId="0" borderId="1" xfId="0" applyFont="1" applyBorder="1"/>
    <xf numFmtId="0" fontId="28" fillId="0" borderId="1" xfId="0" applyFont="1" applyBorder="1"/>
    <xf numFmtId="0" fontId="26" fillId="0" borderId="1" xfId="0" applyFont="1" applyBorder="1" applyAlignment="1">
      <alignment horizontal="center" wrapText="1"/>
    </xf>
    <xf numFmtId="0" fontId="27" fillId="0" borderId="1" xfId="0" applyFont="1" applyBorder="1" applyAlignment="1">
      <alignment wrapText="1"/>
    </xf>
    <xf numFmtId="0" fontId="29" fillId="0" borderId="1" xfId="0" applyFont="1" applyBorder="1"/>
    <xf numFmtId="0" fontId="26" fillId="0" borderId="1" xfId="0" applyFont="1" applyBorder="1" applyAlignment="1">
      <alignment horizontal="center"/>
    </xf>
    <xf numFmtId="0" fontId="1" fillId="0" borderId="23"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22" xfId="0" applyFont="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vertical="center"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hyperlink" Target="mailto:idel_lpz@hotmail.com"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mailto:luisfmonterroso@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10A6D-31CD-4690-880A-31F43028BC1E}">
  <dimension ref="A2:F135"/>
  <sheetViews>
    <sheetView topLeftCell="A53" workbookViewId="0">
      <selection activeCell="A60" sqref="A60"/>
    </sheetView>
  </sheetViews>
  <sheetFormatPr baseColWidth="10" defaultColWidth="9.109375" defaultRowHeight="14.4" x14ac:dyDescent="0.3"/>
  <cols>
    <col min="1" max="1" width="33.109375" customWidth="1"/>
    <col min="5" max="5" width="23.33203125" customWidth="1"/>
  </cols>
  <sheetData>
    <row r="2" spans="1:5" x14ac:dyDescent="0.3">
      <c r="A2" s="71" t="s">
        <v>0</v>
      </c>
      <c r="E2" s="239"/>
    </row>
    <row r="3" spans="1:5" x14ac:dyDescent="0.3">
      <c r="A3" s="72" t="s">
        <v>1</v>
      </c>
      <c r="E3" s="240" t="s">
        <v>2</v>
      </c>
    </row>
    <row r="4" spans="1:5" x14ac:dyDescent="0.3">
      <c r="A4" s="72" t="s">
        <v>3</v>
      </c>
      <c r="E4" s="241" t="s">
        <v>4</v>
      </c>
    </row>
    <row r="5" spans="1:5" ht="28.8" x14ac:dyDescent="0.3">
      <c r="A5" s="72" t="s">
        <v>5</v>
      </c>
      <c r="E5" s="72" t="s">
        <v>6</v>
      </c>
    </row>
    <row r="6" spans="1:5" x14ac:dyDescent="0.3">
      <c r="A6" s="72" t="s">
        <v>7</v>
      </c>
      <c r="E6" s="72" t="s">
        <v>8</v>
      </c>
    </row>
    <row r="7" spans="1:5" x14ac:dyDescent="0.3">
      <c r="A7" s="72" t="s">
        <v>9</v>
      </c>
      <c r="E7" s="72" t="s">
        <v>10</v>
      </c>
    </row>
    <row r="8" spans="1:5" x14ac:dyDescent="0.3">
      <c r="A8" s="72" t="s">
        <v>11</v>
      </c>
    </row>
    <row r="9" spans="1:5" x14ac:dyDescent="0.3">
      <c r="A9" s="72" t="s">
        <v>12</v>
      </c>
    </row>
    <row r="10" spans="1:5" x14ac:dyDescent="0.3">
      <c r="A10" s="72" t="s">
        <v>13</v>
      </c>
    </row>
    <row r="11" spans="1:5" x14ac:dyDescent="0.3">
      <c r="A11" s="72" t="s">
        <v>14</v>
      </c>
    </row>
    <row r="12" spans="1:5" x14ac:dyDescent="0.3">
      <c r="A12" s="72" t="s">
        <v>15</v>
      </c>
    </row>
    <row r="13" spans="1:5" x14ac:dyDescent="0.3">
      <c r="A13" s="72" t="s">
        <v>16</v>
      </c>
    </row>
    <row r="14" spans="1:5" x14ac:dyDescent="0.3">
      <c r="A14" s="72" t="s">
        <v>17</v>
      </c>
    </row>
    <row r="15" spans="1:5" x14ac:dyDescent="0.3">
      <c r="A15" s="72" t="s">
        <v>18</v>
      </c>
    </row>
    <row r="16" spans="1:5" x14ac:dyDescent="0.3">
      <c r="A16" s="72" t="s">
        <v>19</v>
      </c>
    </row>
    <row r="17" spans="1:1" x14ac:dyDescent="0.3">
      <c r="A17" s="72" t="s">
        <v>20</v>
      </c>
    </row>
    <row r="18" spans="1:1" x14ac:dyDescent="0.3">
      <c r="A18" s="72" t="s">
        <v>21</v>
      </c>
    </row>
    <row r="19" spans="1:1" x14ac:dyDescent="0.3">
      <c r="A19" s="72" t="s">
        <v>22</v>
      </c>
    </row>
    <row r="20" spans="1:1" x14ac:dyDescent="0.3">
      <c r="A20" s="72" t="s">
        <v>23</v>
      </c>
    </row>
    <row r="21" spans="1:1" x14ac:dyDescent="0.3">
      <c r="A21" s="72" t="s">
        <v>24</v>
      </c>
    </row>
    <row r="22" spans="1:1" x14ac:dyDescent="0.3">
      <c r="A22" s="72" t="s">
        <v>25</v>
      </c>
    </row>
    <row r="23" spans="1:1" x14ac:dyDescent="0.3">
      <c r="A23" s="72" t="s">
        <v>26</v>
      </c>
    </row>
    <row r="24" spans="1:1" x14ac:dyDescent="0.3">
      <c r="A24" s="72" t="s">
        <v>27</v>
      </c>
    </row>
    <row r="25" spans="1:1" x14ac:dyDescent="0.3">
      <c r="A25" s="72" t="s">
        <v>28</v>
      </c>
    </row>
    <row r="26" spans="1:1" x14ac:dyDescent="0.3">
      <c r="A26" s="72" t="s">
        <v>29</v>
      </c>
    </row>
    <row r="27" spans="1:1" x14ac:dyDescent="0.3">
      <c r="A27" s="72" t="s">
        <v>30</v>
      </c>
    </row>
    <row r="28" spans="1:1" x14ac:dyDescent="0.3">
      <c r="A28" s="72" t="s">
        <v>31</v>
      </c>
    </row>
    <row r="29" spans="1:1" x14ac:dyDescent="0.3">
      <c r="A29" s="72" t="s">
        <v>32</v>
      </c>
    </row>
    <row r="30" spans="1:1" x14ac:dyDescent="0.3">
      <c r="A30" s="72" t="s">
        <v>33</v>
      </c>
    </row>
    <row r="31" spans="1:1" x14ac:dyDescent="0.3">
      <c r="A31" s="72" t="s">
        <v>34</v>
      </c>
    </row>
    <row r="32" spans="1:1" x14ac:dyDescent="0.3">
      <c r="A32" s="72" t="s">
        <v>35</v>
      </c>
    </row>
    <row r="33" spans="1:6" ht="28.8" x14ac:dyDescent="0.3">
      <c r="A33" s="72" t="s">
        <v>36</v>
      </c>
    </row>
    <row r="34" spans="1:6" ht="28.8" x14ac:dyDescent="0.3">
      <c r="A34" s="72" t="s">
        <v>37</v>
      </c>
    </row>
    <row r="35" spans="1:6" x14ac:dyDescent="0.3">
      <c r="A35" s="72" t="s">
        <v>38</v>
      </c>
    </row>
    <row r="36" spans="1:6" ht="28.8" x14ac:dyDescent="0.3">
      <c r="A36" s="72" t="s">
        <v>39</v>
      </c>
    </row>
    <row r="37" spans="1:6" x14ac:dyDescent="0.3">
      <c r="A37" s="72" t="s">
        <v>40</v>
      </c>
    </row>
    <row r="38" spans="1:6" x14ac:dyDescent="0.3">
      <c r="A38" s="72" t="s">
        <v>41</v>
      </c>
    </row>
    <row r="39" spans="1:6" x14ac:dyDescent="0.3">
      <c r="A39" s="72" t="s">
        <v>42</v>
      </c>
    </row>
    <row r="40" spans="1:6" x14ac:dyDescent="0.3">
      <c r="A40" s="72" t="s">
        <v>43</v>
      </c>
    </row>
    <row r="41" spans="1:6" x14ac:dyDescent="0.3">
      <c r="A41" s="72" t="s">
        <v>44</v>
      </c>
    </row>
    <row r="42" spans="1:6" x14ac:dyDescent="0.3">
      <c r="A42" s="72" t="s">
        <v>45</v>
      </c>
    </row>
    <row r="43" spans="1:6" x14ac:dyDescent="0.3">
      <c r="A43" s="72" t="s">
        <v>46</v>
      </c>
      <c r="F43" t="s">
        <v>47</v>
      </c>
    </row>
    <row r="44" spans="1:6" x14ac:dyDescent="0.3">
      <c r="A44" s="72" t="s">
        <v>48</v>
      </c>
    </row>
    <row r="45" spans="1:6" x14ac:dyDescent="0.3">
      <c r="A45" s="72" t="s">
        <v>49</v>
      </c>
    </row>
    <row r="46" spans="1:6" x14ac:dyDescent="0.3">
      <c r="A46" s="72" t="s">
        <v>50</v>
      </c>
    </row>
    <row r="47" spans="1:6" x14ac:dyDescent="0.3">
      <c r="A47" s="72" t="s">
        <v>51</v>
      </c>
    </row>
    <row r="48" spans="1:6" x14ac:dyDescent="0.3">
      <c r="A48" s="72" t="s">
        <v>52</v>
      </c>
    </row>
    <row r="49" spans="1:1" x14ac:dyDescent="0.3">
      <c r="A49" s="72" t="s">
        <v>53</v>
      </c>
    </row>
    <row r="50" spans="1:1" x14ac:dyDescent="0.3">
      <c r="A50" s="72" t="s">
        <v>54</v>
      </c>
    </row>
    <row r="51" spans="1:1" x14ac:dyDescent="0.3">
      <c r="A51" s="72" t="s">
        <v>55</v>
      </c>
    </row>
    <row r="52" spans="1:1" ht="28.8" x14ac:dyDescent="0.3">
      <c r="A52" s="72" t="s">
        <v>56</v>
      </c>
    </row>
    <row r="53" spans="1:1" x14ac:dyDescent="0.3">
      <c r="A53" s="72" t="s">
        <v>57</v>
      </c>
    </row>
    <row r="54" spans="1:1" x14ac:dyDescent="0.3">
      <c r="A54" s="72" t="s">
        <v>58</v>
      </c>
    </row>
    <row r="55" spans="1:1" x14ac:dyDescent="0.3">
      <c r="A55" s="72" t="s">
        <v>59</v>
      </c>
    </row>
    <row r="56" spans="1:1" x14ac:dyDescent="0.3">
      <c r="A56" s="72" t="s">
        <v>60</v>
      </c>
    </row>
    <row r="57" spans="1:1" x14ac:dyDescent="0.3">
      <c r="A57" s="72" t="s">
        <v>61</v>
      </c>
    </row>
    <row r="58" spans="1:1" x14ac:dyDescent="0.3">
      <c r="A58" s="72" t="s">
        <v>62</v>
      </c>
    </row>
    <row r="59" spans="1:1" x14ac:dyDescent="0.3">
      <c r="A59" s="72" t="s">
        <v>63</v>
      </c>
    </row>
    <row r="60" spans="1:1" x14ac:dyDescent="0.3">
      <c r="A60" s="72" t="s">
        <v>64</v>
      </c>
    </row>
    <row r="61" spans="1:1" x14ac:dyDescent="0.3">
      <c r="A61" s="72"/>
    </row>
    <row r="62" spans="1:1" x14ac:dyDescent="0.3">
      <c r="A62" s="73"/>
    </row>
    <row r="63" spans="1:1" x14ac:dyDescent="0.3">
      <c r="A63" s="73"/>
    </row>
    <row r="64" spans="1:1" x14ac:dyDescent="0.3">
      <c r="A64" s="73"/>
    </row>
    <row r="65" spans="1:1" x14ac:dyDescent="0.3">
      <c r="A65" s="73"/>
    </row>
    <row r="66" spans="1:1" x14ac:dyDescent="0.3">
      <c r="A66" s="73"/>
    </row>
    <row r="67" spans="1:1" x14ac:dyDescent="0.3">
      <c r="A67" s="73"/>
    </row>
    <row r="68" spans="1:1" x14ac:dyDescent="0.3">
      <c r="A68" s="73"/>
    </row>
    <row r="69" spans="1:1" x14ac:dyDescent="0.3">
      <c r="A69" s="73"/>
    </row>
    <row r="70" spans="1:1" x14ac:dyDescent="0.3">
      <c r="A70" s="73"/>
    </row>
    <row r="71" spans="1:1" x14ac:dyDescent="0.3">
      <c r="A71" s="73"/>
    </row>
    <row r="72" spans="1:1" x14ac:dyDescent="0.3">
      <c r="A72" s="73"/>
    </row>
    <row r="73" spans="1:1" x14ac:dyDescent="0.3">
      <c r="A73" s="73"/>
    </row>
    <row r="74" spans="1:1" x14ac:dyDescent="0.3">
      <c r="A74" s="73"/>
    </row>
    <row r="75" spans="1:1" x14ac:dyDescent="0.3">
      <c r="A75" s="73"/>
    </row>
    <row r="76" spans="1:1" x14ac:dyDescent="0.3">
      <c r="A76" s="73"/>
    </row>
    <row r="77" spans="1:1" x14ac:dyDescent="0.3">
      <c r="A77" s="73"/>
    </row>
    <row r="78" spans="1:1" x14ac:dyDescent="0.3">
      <c r="A78" s="73"/>
    </row>
    <row r="79" spans="1:1" x14ac:dyDescent="0.3">
      <c r="A79" s="73"/>
    </row>
    <row r="80" spans="1:1" x14ac:dyDescent="0.3">
      <c r="A80" s="73"/>
    </row>
    <row r="81" spans="1:1" x14ac:dyDescent="0.3">
      <c r="A81" s="73"/>
    </row>
    <row r="82" spans="1:1" x14ac:dyDescent="0.3">
      <c r="A82" s="73"/>
    </row>
    <row r="83" spans="1:1" x14ac:dyDescent="0.3">
      <c r="A83" s="73"/>
    </row>
    <row r="84" spans="1:1" x14ac:dyDescent="0.3">
      <c r="A84" s="73"/>
    </row>
    <row r="85" spans="1:1" x14ac:dyDescent="0.3">
      <c r="A85" s="73"/>
    </row>
    <row r="86" spans="1:1" x14ac:dyDescent="0.3">
      <c r="A86" s="73"/>
    </row>
    <row r="87" spans="1:1" x14ac:dyDescent="0.3">
      <c r="A87" s="73"/>
    </row>
    <row r="88" spans="1:1" x14ac:dyDescent="0.3">
      <c r="A88" s="73"/>
    </row>
    <row r="89" spans="1:1" x14ac:dyDescent="0.3">
      <c r="A89" s="73"/>
    </row>
    <row r="90" spans="1:1" x14ac:dyDescent="0.3">
      <c r="A90" s="73"/>
    </row>
    <row r="91" spans="1:1" x14ac:dyDescent="0.3">
      <c r="A91" s="73"/>
    </row>
    <row r="92" spans="1:1" x14ac:dyDescent="0.3">
      <c r="A92" s="73"/>
    </row>
    <row r="93" spans="1:1" x14ac:dyDescent="0.3">
      <c r="A93" s="73"/>
    </row>
    <row r="94" spans="1:1" x14ac:dyDescent="0.3">
      <c r="A94" s="73"/>
    </row>
    <row r="95" spans="1:1" x14ac:dyDescent="0.3">
      <c r="A95" s="73"/>
    </row>
    <row r="96" spans="1:1" x14ac:dyDescent="0.3">
      <c r="A96" s="73"/>
    </row>
    <row r="97" spans="1:1" x14ac:dyDescent="0.3">
      <c r="A97" s="73"/>
    </row>
    <row r="98" spans="1:1" x14ac:dyDescent="0.3">
      <c r="A98" s="73"/>
    </row>
    <row r="99" spans="1:1" x14ac:dyDescent="0.3">
      <c r="A99" s="73"/>
    </row>
    <row r="100" spans="1:1" x14ac:dyDescent="0.3">
      <c r="A100" s="73"/>
    </row>
    <row r="101" spans="1:1" x14ac:dyDescent="0.3">
      <c r="A101" s="73"/>
    </row>
    <row r="102" spans="1:1" x14ac:dyDescent="0.3">
      <c r="A102" s="73"/>
    </row>
    <row r="103" spans="1:1" x14ac:dyDescent="0.3">
      <c r="A103" s="73"/>
    </row>
    <row r="104" spans="1:1" x14ac:dyDescent="0.3">
      <c r="A104" s="35"/>
    </row>
    <row r="105" spans="1:1" x14ac:dyDescent="0.3">
      <c r="A105" s="35"/>
    </row>
    <row r="106" spans="1:1" x14ac:dyDescent="0.3">
      <c r="A106" s="35"/>
    </row>
    <row r="107" spans="1:1" x14ac:dyDescent="0.3">
      <c r="A107" s="73"/>
    </row>
    <row r="108" spans="1:1" x14ac:dyDescent="0.3">
      <c r="A108" s="35"/>
    </row>
    <row r="109" spans="1:1" x14ac:dyDescent="0.3">
      <c r="A109" s="35"/>
    </row>
    <row r="110" spans="1:1" x14ac:dyDescent="0.3">
      <c r="A110" s="35"/>
    </row>
    <row r="111" spans="1:1" x14ac:dyDescent="0.3">
      <c r="A111" s="35"/>
    </row>
    <row r="112" spans="1:1" x14ac:dyDescent="0.3">
      <c r="A112" s="35"/>
    </row>
    <row r="113" spans="1:1" x14ac:dyDescent="0.3">
      <c r="A113" s="35"/>
    </row>
    <row r="114" spans="1:1" x14ac:dyDescent="0.3">
      <c r="A114" s="35"/>
    </row>
    <row r="115" spans="1:1" x14ac:dyDescent="0.3">
      <c r="A115" s="35"/>
    </row>
    <row r="116" spans="1:1" x14ac:dyDescent="0.3">
      <c r="A116" s="35"/>
    </row>
    <row r="117" spans="1:1" x14ac:dyDescent="0.3">
      <c r="A117" s="35"/>
    </row>
    <row r="118" spans="1:1" x14ac:dyDescent="0.3">
      <c r="A118" s="35"/>
    </row>
    <row r="119" spans="1:1" x14ac:dyDescent="0.3">
      <c r="A119" s="35"/>
    </row>
    <row r="120" spans="1:1" x14ac:dyDescent="0.3">
      <c r="A120" s="35"/>
    </row>
    <row r="121" spans="1:1" x14ac:dyDescent="0.3">
      <c r="A121" s="35"/>
    </row>
    <row r="122" spans="1:1" x14ac:dyDescent="0.3">
      <c r="A122" s="74"/>
    </row>
    <row r="123" spans="1:1" x14ac:dyDescent="0.3">
      <c r="A123" s="74"/>
    </row>
    <row r="124" spans="1:1" x14ac:dyDescent="0.3">
      <c r="A124" s="35"/>
    </row>
    <row r="125" spans="1:1" x14ac:dyDescent="0.3">
      <c r="A125" s="35"/>
    </row>
    <row r="126" spans="1:1" x14ac:dyDescent="0.3">
      <c r="A126" s="35"/>
    </row>
    <row r="127" spans="1:1" x14ac:dyDescent="0.3">
      <c r="A127" s="35"/>
    </row>
    <row r="128" spans="1:1" x14ac:dyDescent="0.3">
      <c r="A128" s="35"/>
    </row>
    <row r="129" spans="1:1" x14ac:dyDescent="0.3">
      <c r="A129" s="35"/>
    </row>
    <row r="130" spans="1:1" x14ac:dyDescent="0.3">
      <c r="A130" s="35"/>
    </row>
    <row r="131" spans="1:1" x14ac:dyDescent="0.3">
      <c r="A131" s="35"/>
    </row>
    <row r="132" spans="1:1" x14ac:dyDescent="0.3">
      <c r="A132" s="73"/>
    </row>
    <row r="133" spans="1:1" x14ac:dyDescent="0.3">
      <c r="A133" s="35"/>
    </row>
    <row r="134" spans="1:1" x14ac:dyDescent="0.3">
      <c r="A134" s="35"/>
    </row>
    <row r="135" spans="1:1" x14ac:dyDescent="0.3">
      <c r="A135" s="73"/>
    </row>
  </sheetData>
  <sheetProtection algorithmName="SHA-512" hashValue="h733WcxJ6YAUyc3xiY444q7BtGp/dhUDuLSWozWOCk5ohOKzcwLT4fbRAzF3I95rQKmOz8wREUpL5dqupVWq7A==" saltValue="ESyF77vuMmbIRrDIMr094g=="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8475D-7488-42AE-91DC-A1D66B6D7B48}">
  <sheetPr>
    <tabColor rgb="FF92D050"/>
  </sheetPr>
  <dimension ref="A1:S587"/>
  <sheetViews>
    <sheetView zoomScale="145" zoomScaleNormal="145" workbookViewId="0">
      <pane xSplit="3" ySplit="1" topLeftCell="L571" activePane="bottomRight" state="frozen"/>
      <selection pane="topRight"/>
      <selection pane="bottomLeft"/>
      <selection pane="bottomRight" activeCell="A2" sqref="A2:S582"/>
    </sheetView>
  </sheetViews>
  <sheetFormatPr baseColWidth="10" defaultColWidth="9.109375" defaultRowHeight="14.4" x14ac:dyDescent="0.3"/>
  <cols>
    <col min="1" max="1" width="6.6640625" customWidth="1"/>
    <col min="2" max="3" width="11.44140625" style="82" customWidth="1"/>
    <col min="4" max="4" width="45.33203125" style="98" customWidth="1"/>
    <col min="5" max="5" width="15.6640625" style="35" customWidth="1"/>
    <col min="6" max="6" width="13" style="74" bestFit="1" customWidth="1"/>
    <col min="7" max="7" width="13" style="96" customWidth="1"/>
    <col min="8" max="8" width="13" customWidth="1"/>
    <col min="9" max="9" width="27.6640625" style="96" customWidth="1"/>
    <col min="10" max="12" width="13.88671875" customWidth="1"/>
    <col min="13" max="15" width="15.44140625" customWidth="1"/>
    <col min="16" max="16" width="14.33203125" style="82" customWidth="1"/>
    <col min="17" max="18" width="14.33203125" customWidth="1"/>
    <col min="19" max="19" width="36.109375" customWidth="1"/>
    <col min="20" max="259" width="11.44140625" customWidth="1"/>
  </cols>
  <sheetData>
    <row r="1" spans="1:19" ht="28.8" x14ac:dyDescent="0.3">
      <c r="B1" s="817" t="s">
        <v>66</v>
      </c>
      <c r="C1" s="818" t="s">
        <v>67</v>
      </c>
      <c r="D1" s="819" t="s">
        <v>68</v>
      </c>
      <c r="E1" s="319" t="s">
        <v>69</v>
      </c>
      <c r="F1" s="820" t="s">
        <v>70</v>
      </c>
      <c r="G1" s="821" t="s">
        <v>71</v>
      </c>
      <c r="H1" s="822" t="s">
        <v>72</v>
      </c>
      <c r="I1" s="823" t="s">
        <v>73</v>
      </c>
      <c r="J1" s="824" t="s">
        <v>74</v>
      </c>
      <c r="K1" s="825" t="s">
        <v>71</v>
      </c>
      <c r="L1" s="826" t="s">
        <v>73</v>
      </c>
      <c r="M1" s="827" t="s">
        <v>75</v>
      </c>
      <c r="N1" s="828" t="s">
        <v>71</v>
      </c>
      <c r="O1" s="829" t="s">
        <v>73</v>
      </c>
      <c r="P1" s="70" t="s">
        <v>76</v>
      </c>
      <c r="Q1" s="830" t="s">
        <v>77</v>
      </c>
      <c r="R1" s="830" t="s">
        <v>78</v>
      </c>
      <c r="S1" s="831" t="s">
        <v>79</v>
      </c>
    </row>
    <row r="2" spans="1:19" ht="57.6" x14ac:dyDescent="0.3">
      <c r="A2" s="832">
        <v>1</v>
      </c>
      <c r="B2" s="833" t="s">
        <v>80</v>
      </c>
      <c r="C2" s="834">
        <v>45681</v>
      </c>
      <c r="D2" s="835" t="s">
        <v>81</v>
      </c>
      <c r="E2" s="836" t="s">
        <v>17</v>
      </c>
      <c r="F2" s="837" t="s">
        <v>10</v>
      </c>
      <c r="G2" s="838">
        <v>45681</v>
      </c>
      <c r="H2" s="839">
        <v>10000273284</v>
      </c>
      <c r="I2" s="839" t="s">
        <v>82</v>
      </c>
      <c r="J2" s="833"/>
      <c r="K2" s="832"/>
      <c r="L2" s="832"/>
      <c r="M2" s="833"/>
      <c r="N2" s="832"/>
      <c r="O2" s="832"/>
      <c r="P2" s="834">
        <v>45768</v>
      </c>
      <c r="Q2" s="833">
        <f t="shared" ref="Q2:Q65" si="0">P2-G2</f>
        <v>87</v>
      </c>
      <c r="R2" s="836"/>
      <c r="S2" s="840" t="s">
        <v>83</v>
      </c>
    </row>
    <row r="3" spans="1:19" ht="43.2" x14ac:dyDescent="0.3">
      <c r="A3" s="832">
        <v>2</v>
      </c>
      <c r="B3" s="841" t="s">
        <v>80</v>
      </c>
      <c r="C3" s="842">
        <v>45686</v>
      </c>
      <c r="D3" s="843" t="s">
        <v>84</v>
      </c>
      <c r="E3" s="836" t="s">
        <v>17</v>
      </c>
      <c r="F3" s="837" t="s">
        <v>10</v>
      </c>
      <c r="G3" s="844">
        <v>45686</v>
      </c>
      <c r="H3" s="845"/>
      <c r="I3" s="839" t="s">
        <v>82</v>
      </c>
      <c r="J3" s="845"/>
      <c r="K3" s="845"/>
      <c r="L3" s="845"/>
      <c r="M3" s="845"/>
      <c r="N3" s="845"/>
      <c r="O3" s="845"/>
      <c r="P3" s="842">
        <v>45728</v>
      </c>
      <c r="Q3" s="833">
        <f t="shared" si="0"/>
        <v>42</v>
      </c>
      <c r="R3" s="836" t="s">
        <v>85</v>
      </c>
      <c r="S3" s="845"/>
    </row>
    <row r="4" spans="1:19" ht="43.2" x14ac:dyDescent="0.3">
      <c r="A4" s="832">
        <v>3</v>
      </c>
      <c r="B4" s="841">
        <v>1550</v>
      </c>
      <c r="C4" s="842">
        <v>45679</v>
      </c>
      <c r="D4" s="843" t="s">
        <v>86</v>
      </c>
      <c r="E4" s="837" t="s">
        <v>17</v>
      </c>
      <c r="F4" s="837" t="s">
        <v>6</v>
      </c>
      <c r="G4" s="844">
        <v>45679</v>
      </c>
      <c r="H4" s="845"/>
      <c r="I4" s="839" t="s">
        <v>82</v>
      </c>
      <c r="J4" s="845"/>
      <c r="K4" s="845"/>
      <c r="L4" s="845"/>
      <c r="M4" s="845"/>
      <c r="N4" s="845"/>
      <c r="O4" s="845"/>
      <c r="P4" s="842">
        <v>45726</v>
      </c>
      <c r="Q4" s="833">
        <f t="shared" si="0"/>
        <v>47</v>
      </c>
      <c r="R4" s="836"/>
      <c r="S4" s="843" t="s">
        <v>87</v>
      </c>
    </row>
    <row r="5" spans="1:19" ht="72" x14ac:dyDescent="0.3">
      <c r="A5" s="832">
        <v>4</v>
      </c>
      <c r="B5" s="841" t="s">
        <v>80</v>
      </c>
      <c r="C5" s="842">
        <v>45685</v>
      </c>
      <c r="D5" s="843" t="s">
        <v>88</v>
      </c>
      <c r="E5" s="836" t="s">
        <v>17</v>
      </c>
      <c r="F5" s="836" t="s">
        <v>10</v>
      </c>
      <c r="G5" s="844">
        <v>45685</v>
      </c>
      <c r="H5" s="839">
        <v>1000259885</v>
      </c>
      <c r="I5" s="839" t="s">
        <v>82</v>
      </c>
      <c r="J5" s="845"/>
      <c r="K5" s="845"/>
      <c r="L5" s="845"/>
      <c r="M5" s="845"/>
      <c r="N5" s="845"/>
      <c r="O5" s="845"/>
      <c r="P5" s="842">
        <v>45726</v>
      </c>
      <c r="Q5" s="833">
        <f t="shared" si="0"/>
        <v>41</v>
      </c>
      <c r="R5" s="836" t="s">
        <v>85</v>
      </c>
      <c r="S5" s="845"/>
    </row>
    <row r="6" spans="1:19" ht="86.4" x14ac:dyDescent="0.3">
      <c r="A6" s="832">
        <v>5</v>
      </c>
      <c r="B6" s="841" t="s">
        <v>80</v>
      </c>
      <c r="C6" s="842">
        <v>45688</v>
      </c>
      <c r="D6" s="843" t="s">
        <v>89</v>
      </c>
      <c r="E6" s="836" t="s">
        <v>17</v>
      </c>
      <c r="F6" s="837" t="s">
        <v>10</v>
      </c>
      <c r="G6" s="844">
        <v>45688</v>
      </c>
      <c r="H6" s="845">
        <v>10000259851</v>
      </c>
      <c r="I6" s="839" t="s">
        <v>82</v>
      </c>
      <c r="J6" s="845"/>
      <c r="K6" s="845"/>
      <c r="L6" s="845"/>
      <c r="M6" s="845"/>
      <c r="N6" s="845"/>
      <c r="O6" s="845"/>
      <c r="P6" s="842">
        <v>45726</v>
      </c>
      <c r="Q6" s="833">
        <f t="shared" si="0"/>
        <v>38</v>
      </c>
      <c r="R6" s="836" t="s">
        <v>85</v>
      </c>
      <c r="S6" s="845"/>
    </row>
    <row r="7" spans="1:19" ht="100.8" x14ac:dyDescent="0.3">
      <c r="A7" s="832">
        <v>6</v>
      </c>
      <c r="B7" s="833" t="s">
        <v>80</v>
      </c>
      <c r="C7" s="834">
        <v>45684</v>
      </c>
      <c r="D7" s="835" t="s">
        <v>90</v>
      </c>
      <c r="E7" s="836" t="s">
        <v>17</v>
      </c>
      <c r="F7" s="836" t="s">
        <v>10</v>
      </c>
      <c r="G7" s="838">
        <v>45684</v>
      </c>
      <c r="H7" s="839">
        <v>10000255804</v>
      </c>
      <c r="I7" s="839" t="s">
        <v>82</v>
      </c>
      <c r="J7" s="833"/>
      <c r="K7" s="832"/>
      <c r="L7" s="832"/>
      <c r="M7" s="833"/>
      <c r="N7" s="832"/>
      <c r="O7" s="832"/>
      <c r="P7" s="834">
        <v>45723</v>
      </c>
      <c r="Q7" s="833">
        <f t="shared" si="0"/>
        <v>39</v>
      </c>
      <c r="R7" s="836"/>
      <c r="S7" s="832"/>
    </row>
    <row r="8" spans="1:19" ht="115.2" x14ac:dyDescent="0.3">
      <c r="A8" s="832">
        <v>7</v>
      </c>
      <c r="B8" s="833" t="s">
        <v>80</v>
      </c>
      <c r="C8" s="834">
        <v>45684</v>
      </c>
      <c r="D8" s="835" t="s">
        <v>91</v>
      </c>
      <c r="E8" s="836" t="s">
        <v>17</v>
      </c>
      <c r="F8" s="836" t="s">
        <v>10</v>
      </c>
      <c r="G8" s="838">
        <v>45684</v>
      </c>
      <c r="H8" s="839">
        <v>10000255815</v>
      </c>
      <c r="I8" s="839" t="s">
        <v>82</v>
      </c>
      <c r="J8" s="833"/>
      <c r="K8" s="832"/>
      <c r="L8" s="832"/>
      <c r="M8" s="833"/>
      <c r="N8" s="832"/>
      <c r="O8" s="832"/>
      <c r="P8" s="834">
        <v>45723</v>
      </c>
      <c r="Q8" s="833">
        <f t="shared" si="0"/>
        <v>39</v>
      </c>
      <c r="R8" s="836"/>
      <c r="S8" s="832"/>
    </row>
    <row r="9" spans="1:19" ht="43.2" x14ac:dyDescent="0.3">
      <c r="A9" s="832">
        <v>8</v>
      </c>
      <c r="B9" s="841" t="s">
        <v>80</v>
      </c>
      <c r="C9" s="842">
        <v>45687</v>
      </c>
      <c r="D9" s="843" t="s">
        <v>92</v>
      </c>
      <c r="E9" s="836" t="s">
        <v>17</v>
      </c>
      <c r="F9" s="837" t="s">
        <v>10</v>
      </c>
      <c r="G9" s="844">
        <v>45687</v>
      </c>
      <c r="H9" s="845">
        <v>10000259855</v>
      </c>
      <c r="I9" s="839" t="s">
        <v>82</v>
      </c>
      <c r="J9" s="845"/>
      <c r="K9" s="845"/>
      <c r="L9" s="845"/>
      <c r="M9" s="845"/>
      <c r="N9" s="845"/>
      <c r="O9" s="845"/>
      <c r="P9" s="842">
        <v>45723</v>
      </c>
      <c r="Q9" s="833">
        <f t="shared" si="0"/>
        <v>36</v>
      </c>
      <c r="R9" s="836" t="s">
        <v>85</v>
      </c>
      <c r="S9" s="845"/>
    </row>
    <row r="10" spans="1:19" ht="28.8" x14ac:dyDescent="0.3">
      <c r="A10" s="832">
        <v>9</v>
      </c>
      <c r="B10" s="833">
        <v>1550</v>
      </c>
      <c r="C10" s="834">
        <v>45678</v>
      </c>
      <c r="D10" s="835" t="s">
        <v>93</v>
      </c>
      <c r="E10" s="836" t="s">
        <v>17</v>
      </c>
      <c r="F10" s="836" t="s">
        <v>8</v>
      </c>
      <c r="G10" s="838">
        <v>45678</v>
      </c>
      <c r="H10" s="845">
        <v>10000259968</v>
      </c>
      <c r="I10" s="839" t="s">
        <v>82</v>
      </c>
      <c r="J10" s="833"/>
      <c r="K10" s="832"/>
      <c r="L10" s="832"/>
      <c r="M10" s="833"/>
      <c r="N10" s="832"/>
      <c r="O10" s="832"/>
      <c r="P10" s="834">
        <v>45714</v>
      </c>
      <c r="Q10" s="833">
        <f t="shared" si="0"/>
        <v>36</v>
      </c>
      <c r="R10" s="836" t="s">
        <v>94</v>
      </c>
      <c r="S10" s="832"/>
    </row>
    <row r="11" spans="1:19" ht="72" x14ac:dyDescent="0.3">
      <c r="A11" s="832">
        <v>10</v>
      </c>
      <c r="B11" s="833" t="s">
        <v>80</v>
      </c>
      <c r="C11" s="834">
        <v>45680</v>
      </c>
      <c r="D11" s="843" t="s">
        <v>95</v>
      </c>
      <c r="E11" s="836" t="s">
        <v>17</v>
      </c>
      <c r="F11" s="837" t="s">
        <v>10</v>
      </c>
      <c r="G11" s="838">
        <v>45680</v>
      </c>
      <c r="H11" s="832"/>
      <c r="I11" s="839" t="s">
        <v>82</v>
      </c>
      <c r="J11" s="833"/>
      <c r="K11" s="832"/>
      <c r="L11" s="832"/>
      <c r="M11" s="833"/>
      <c r="N11" s="832"/>
      <c r="O11" s="832"/>
      <c r="P11" s="834">
        <v>45714</v>
      </c>
      <c r="Q11" s="833">
        <f t="shared" si="0"/>
        <v>34</v>
      </c>
      <c r="R11" s="836"/>
      <c r="S11" s="832"/>
    </row>
    <row r="12" spans="1:19" ht="57.6" x14ac:dyDescent="0.3">
      <c r="A12" s="832">
        <v>11</v>
      </c>
      <c r="B12" s="841" t="s">
        <v>80</v>
      </c>
      <c r="C12" s="842">
        <v>45685</v>
      </c>
      <c r="D12" s="843" t="s">
        <v>96</v>
      </c>
      <c r="E12" s="836" t="s">
        <v>17</v>
      </c>
      <c r="F12" s="836" t="s">
        <v>10</v>
      </c>
      <c r="G12" s="844">
        <v>45685</v>
      </c>
      <c r="H12" s="839"/>
      <c r="I12" s="839" t="s">
        <v>82</v>
      </c>
      <c r="J12" s="845"/>
      <c r="K12" s="845"/>
      <c r="L12" s="845"/>
      <c r="M12" s="845"/>
      <c r="N12" s="845"/>
      <c r="O12" s="845"/>
      <c r="P12" s="842">
        <v>45714</v>
      </c>
      <c r="Q12" s="833">
        <f t="shared" si="0"/>
        <v>29</v>
      </c>
      <c r="R12" s="836" t="s">
        <v>85</v>
      </c>
      <c r="S12" s="845"/>
    </row>
    <row r="13" spans="1:19" x14ac:dyDescent="0.3">
      <c r="A13" s="832">
        <v>12</v>
      </c>
      <c r="B13" s="833">
        <v>1550</v>
      </c>
      <c r="C13" s="834">
        <v>45660</v>
      </c>
      <c r="D13" s="840" t="s">
        <v>97</v>
      </c>
      <c r="E13" s="836" t="s">
        <v>17</v>
      </c>
      <c r="F13" s="836" t="s">
        <v>4</v>
      </c>
      <c r="G13" s="846">
        <v>45660</v>
      </c>
      <c r="H13" s="832"/>
      <c r="I13" s="839" t="s">
        <v>82</v>
      </c>
      <c r="J13" s="833"/>
      <c r="K13" s="832"/>
      <c r="L13" s="832"/>
      <c r="M13" s="833"/>
      <c r="N13" s="832"/>
      <c r="O13" s="832"/>
      <c r="P13" s="834">
        <v>45708</v>
      </c>
      <c r="Q13" s="833">
        <f t="shared" si="0"/>
        <v>48</v>
      </c>
      <c r="R13" s="836"/>
      <c r="S13" s="832"/>
    </row>
    <row r="14" spans="1:19" ht="43.2" x14ac:dyDescent="0.3">
      <c r="A14" s="832">
        <v>13</v>
      </c>
      <c r="B14" s="833" t="s">
        <v>80</v>
      </c>
      <c r="C14" s="834">
        <v>45677</v>
      </c>
      <c r="D14" s="835" t="s">
        <v>98</v>
      </c>
      <c r="E14" s="836" t="s">
        <v>21</v>
      </c>
      <c r="F14" s="837" t="s">
        <v>10</v>
      </c>
      <c r="G14" s="844">
        <v>45677</v>
      </c>
      <c r="H14" s="832"/>
      <c r="I14" s="839" t="s">
        <v>99</v>
      </c>
      <c r="J14" s="833"/>
      <c r="K14" s="832"/>
      <c r="L14" s="832"/>
      <c r="M14" s="833"/>
      <c r="N14" s="832"/>
      <c r="O14" s="832"/>
      <c r="P14" s="834">
        <v>45708</v>
      </c>
      <c r="Q14" s="833">
        <f t="shared" si="0"/>
        <v>31</v>
      </c>
      <c r="R14" s="836"/>
      <c r="S14" s="832" t="s">
        <v>100</v>
      </c>
    </row>
    <row r="15" spans="1:19" ht="43.2" x14ac:dyDescent="0.3">
      <c r="A15" s="832">
        <v>14</v>
      </c>
      <c r="B15" s="841">
        <v>1550</v>
      </c>
      <c r="C15" s="842">
        <v>45686</v>
      </c>
      <c r="D15" s="843" t="s">
        <v>101</v>
      </c>
      <c r="E15" s="836" t="s">
        <v>3</v>
      </c>
      <c r="F15" s="837" t="s">
        <v>6</v>
      </c>
      <c r="G15" s="844">
        <v>45686</v>
      </c>
      <c r="H15" s="845"/>
      <c r="I15" s="839" t="s">
        <v>82</v>
      </c>
      <c r="J15" s="845"/>
      <c r="K15" s="845"/>
      <c r="L15" s="845"/>
      <c r="M15" s="845"/>
      <c r="N15" s="845"/>
      <c r="O15" s="845"/>
      <c r="P15" s="842">
        <v>45708</v>
      </c>
      <c r="Q15" s="833">
        <f t="shared" si="0"/>
        <v>22</v>
      </c>
      <c r="R15" s="836"/>
      <c r="S15" s="836" t="s">
        <v>102</v>
      </c>
    </row>
    <row r="16" spans="1:19" ht="43.2" x14ac:dyDescent="0.3">
      <c r="A16" s="832">
        <v>15</v>
      </c>
      <c r="B16" s="841" t="s">
        <v>80</v>
      </c>
      <c r="C16" s="842">
        <v>45687</v>
      </c>
      <c r="D16" s="843" t="s">
        <v>103</v>
      </c>
      <c r="E16" s="836" t="s">
        <v>48</v>
      </c>
      <c r="F16" s="837" t="s">
        <v>8</v>
      </c>
      <c r="G16" s="844">
        <v>45687</v>
      </c>
      <c r="H16" s="845"/>
      <c r="I16" s="839" t="s">
        <v>99</v>
      </c>
      <c r="J16" s="845"/>
      <c r="K16" s="845"/>
      <c r="L16" s="845"/>
      <c r="M16" s="845"/>
      <c r="N16" s="845"/>
      <c r="O16" s="845"/>
      <c r="P16" s="842">
        <v>45698</v>
      </c>
      <c r="Q16" s="833">
        <f t="shared" si="0"/>
        <v>11</v>
      </c>
      <c r="R16" s="836" t="s">
        <v>94</v>
      </c>
      <c r="S16" s="845" t="s">
        <v>104</v>
      </c>
    </row>
    <row r="17" spans="1:19" ht="72" x14ac:dyDescent="0.3">
      <c r="A17" s="832">
        <v>16</v>
      </c>
      <c r="B17" s="833" t="s">
        <v>80</v>
      </c>
      <c r="C17" s="834">
        <v>45684</v>
      </c>
      <c r="D17" s="835" t="s">
        <v>105</v>
      </c>
      <c r="E17" s="836" t="s">
        <v>11</v>
      </c>
      <c r="F17" s="836" t="s">
        <v>10</v>
      </c>
      <c r="G17" s="838">
        <v>45684</v>
      </c>
      <c r="H17" s="832"/>
      <c r="I17" s="839" t="s">
        <v>106</v>
      </c>
      <c r="J17" s="833"/>
      <c r="K17" s="832"/>
      <c r="L17" s="832"/>
      <c r="M17" s="833"/>
      <c r="N17" s="832"/>
      <c r="O17" s="832"/>
      <c r="P17" s="834">
        <v>45695</v>
      </c>
      <c r="Q17" s="833">
        <f t="shared" si="0"/>
        <v>11</v>
      </c>
      <c r="R17" s="836"/>
      <c r="S17" s="832"/>
    </row>
    <row r="18" spans="1:19" ht="72" x14ac:dyDescent="0.3">
      <c r="A18" s="832">
        <v>17</v>
      </c>
      <c r="B18" s="841" t="s">
        <v>80</v>
      </c>
      <c r="C18" s="842">
        <v>45685</v>
      </c>
      <c r="D18" s="843" t="s">
        <v>107</v>
      </c>
      <c r="E18" s="836" t="s">
        <v>11</v>
      </c>
      <c r="F18" s="836" t="s">
        <v>10</v>
      </c>
      <c r="G18" s="844">
        <v>45685</v>
      </c>
      <c r="H18" s="845"/>
      <c r="I18" s="839" t="s">
        <v>106</v>
      </c>
      <c r="J18" s="845"/>
      <c r="K18" s="845"/>
      <c r="L18" s="845"/>
      <c r="M18" s="845"/>
      <c r="N18" s="845"/>
      <c r="O18" s="845"/>
      <c r="P18" s="842">
        <v>45695</v>
      </c>
      <c r="Q18" s="833">
        <f t="shared" si="0"/>
        <v>10</v>
      </c>
      <c r="R18" s="836" t="s">
        <v>85</v>
      </c>
      <c r="S18" s="845"/>
    </row>
    <row r="19" spans="1:19" ht="28.8" x14ac:dyDescent="0.3">
      <c r="A19" s="832">
        <v>18</v>
      </c>
      <c r="B19" s="841">
        <v>1550</v>
      </c>
      <c r="C19" s="842">
        <v>45686</v>
      </c>
      <c r="D19" s="843" t="s">
        <v>108</v>
      </c>
      <c r="E19" s="836" t="s">
        <v>11</v>
      </c>
      <c r="F19" s="837" t="s">
        <v>8</v>
      </c>
      <c r="G19" s="844">
        <v>45686</v>
      </c>
      <c r="H19" s="845"/>
      <c r="I19" s="839" t="s">
        <v>106</v>
      </c>
      <c r="J19" s="845"/>
      <c r="K19" s="845"/>
      <c r="L19" s="845"/>
      <c r="M19" s="845"/>
      <c r="N19" s="845"/>
      <c r="O19" s="845"/>
      <c r="P19" s="842">
        <v>45695</v>
      </c>
      <c r="Q19" s="833">
        <f t="shared" si="0"/>
        <v>9</v>
      </c>
      <c r="R19" s="836" t="s">
        <v>94</v>
      </c>
      <c r="S19" s="845"/>
    </row>
    <row r="20" spans="1:19" ht="28.8" x14ac:dyDescent="0.3">
      <c r="A20" s="832">
        <v>19</v>
      </c>
      <c r="B20" s="841">
        <v>1550</v>
      </c>
      <c r="C20" s="842">
        <v>45686</v>
      </c>
      <c r="D20" s="843" t="s">
        <v>109</v>
      </c>
      <c r="E20" s="836" t="s">
        <v>11</v>
      </c>
      <c r="F20" s="837" t="s">
        <v>8</v>
      </c>
      <c r="G20" s="844">
        <v>45686</v>
      </c>
      <c r="H20" s="845"/>
      <c r="I20" s="839" t="s">
        <v>106</v>
      </c>
      <c r="J20" s="845"/>
      <c r="K20" s="845"/>
      <c r="L20" s="845"/>
      <c r="M20" s="845"/>
      <c r="N20" s="845"/>
      <c r="O20" s="845"/>
      <c r="P20" s="842">
        <v>45695</v>
      </c>
      <c r="Q20" s="833">
        <f t="shared" si="0"/>
        <v>9</v>
      </c>
      <c r="R20" s="836" t="s">
        <v>94</v>
      </c>
      <c r="S20" s="845"/>
    </row>
    <row r="21" spans="1:19" ht="28.8" x14ac:dyDescent="0.3">
      <c r="A21" s="832">
        <v>20</v>
      </c>
      <c r="B21" s="841" t="s">
        <v>80</v>
      </c>
      <c r="C21" s="842">
        <v>45687</v>
      </c>
      <c r="D21" s="843" t="s">
        <v>110</v>
      </c>
      <c r="E21" s="836" t="s">
        <v>11</v>
      </c>
      <c r="F21" s="837" t="s">
        <v>8</v>
      </c>
      <c r="G21" s="844">
        <v>45687</v>
      </c>
      <c r="H21" s="845"/>
      <c r="I21" s="839" t="s">
        <v>106</v>
      </c>
      <c r="J21" s="845"/>
      <c r="K21" s="845"/>
      <c r="L21" s="845"/>
      <c r="M21" s="845"/>
      <c r="N21" s="845"/>
      <c r="O21" s="845"/>
      <c r="P21" s="842">
        <v>45695</v>
      </c>
      <c r="Q21" s="833">
        <f t="shared" si="0"/>
        <v>8</v>
      </c>
      <c r="R21" s="836" t="s">
        <v>94</v>
      </c>
      <c r="S21" s="845"/>
    </row>
    <row r="22" spans="1:19" ht="28.8" x14ac:dyDescent="0.3">
      <c r="A22" s="832">
        <v>21</v>
      </c>
      <c r="B22" s="841" t="s">
        <v>80</v>
      </c>
      <c r="C22" s="842">
        <v>45687</v>
      </c>
      <c r="D22" s="843" t="s">
        <v>111</v>
      </c>
      <c r="E22" s="836" t="s">
        <v>11</v>
      </c>
      <c r="F22" s="837" t="s">
        <v>8</v>
      </c>
      <c r="G22" s="844">
        <v>45688</v>
      </c>
      <c r="H22" s="845"/>
      <c r="I22" s="839" t="s">
        <v>106</v>
      </c>
      <c r="J22" s="845"/>
      <c r="K22" s="845"/>
      <c r="L22" s="845"/>
      <c r="M22" s="845"/>
      <c r="N22" s="845"/>
      <c r="O22" s="845"/>
      <c r="P22" s="842">
        <v>45695</v>
      </c>
      <c r="Q22" s="833">
        <f t="shared" si="0"/>
        <v>7</v>
      </c>
      <c r="R22" s="836" t="s">
        <v>94</v>
      </c>
      <c r="S22" s="845"/>
    </row>
    <row r="23" spans="1:19" ht="72" x14ac:dyDescent="0.3">
      <c r="A23" s="832">
        <v>22</v>
      </c>
      <c r="B23" s="841" t="s">
        <v>80</v>
      </c>
      <c r="C23" s="842">
        <v>45688</v>
      </c>
      <c r="D23" s="843" t="s">
        <v>112</v>
      </c>
      <c r="E23" s="837" t="s">
        <v>11</v>
      </c>
      <c r="F23" s="837" t="s">
        <v>10</v>
      </c>
      <c r="G23" s="844">
        <v>45688</v>
      </c>
      <c r="H23" s="845"/>
      <c r="I23" s="839" t="s">
        <v>106</v>
      </c>
      <c r="J23" s="845"/>
      <c r="K23" s="845"/>
      <c r="L23" s="845"/>
      <c r="M23" s="845"/>
      <c r="N23" s="845"/>
      <c r="O23" s="845"/>
      <c r="P23" s="842">
        <v>45695</v>
      </c>
      <c r="Q23" s="833">
        <f t="shared" si="0"/>
        <v>7</v>
      </c>
      <c r="R23" s="836" t="s">
        <v>85</v>
      </c>
      <c r="S23" s="845"/>
    </row>
    <row r="24" spans="1:19" ht="28.8" x14ac:dyDescent="0.3">
      <c r="A24" s="832">
        <v>23</v>
      </c>
      <c r="B24" s="833" t="s">
        <v>80</v>
      </c>
      <c r="C24" s="834">
        <v>45665</v>
      </c>
      <c r="D24" s="840" t="s">
        <v>113</v>
      </c>
      <c r="E24" s="836" t="s">
        <v>17</v>
      </c>
      <c r="F24" s="836" t="s">
        <v>6</v>
      </c>
      <c r="G24" s="846">
        <v>45665</v>
      </c>
      <c r="H24" s="832"/>
      <c r="I24" s="839" t="s">
        <v>82</v>
      </c>
      <c r="J24" s="833"/>
      <c r="K24" s="832"/>
      <c r="L24" s="832"/>
      <c r="M24" s="833"/>
      <c r="N24" s="832"/>
      <c r="O24" s="832"/>
      <c r="P24" s="834">
        <v>45694</v>
      </c>
      <c r="Q24" s="833">
        <f t="shared" si="0"/>
        <v>29</v>
      </c>
      <c r="R24" s="836"/>
      <c r="S24" s="832" t="s">
        <v>114</v>
      </c>
    </row>
    <row r="25" spans="1:19" ht="43.2" x14ac:dyDescent="0.3">
      <c r="A25" s="832">
        <v>24</v>
      </c>
      <c r="B25" s="833" t="s">
        <v>80</v>
      </c>
      <c r="C25" s="834">
        <v>45665</v>
      </c>
      <c r="D25" s="840" t="s">
        <v>115</v>
      </c>
      <c r="E25" s="836" t="s">
        <v>17</v>
      </c>
      <c r="F25" s="836" t="s">
        <v>10</v>
      </c>
      <c r="G25" s="846">
        <v>45665</v>
      </c>
      <c r="H25" s="832">
        <v>10000251445</v>
      </c>
      <c r="I25" s="839" t="s">
        <v>82</v>
      </c>
      <c r="J25" s="833"/>
      <c r="K25" s="832"/>
      <c r="L25" s="832"/>
      <c r="M25" s="833"/>
      <c r="N25" s="832"/>
      <c r="O25" s="832"/>
      <c r="P25" s="834">
        <v>45694</v>
      </c>
      <c r="Q25" s="833">
        <f t="shared" si="0"/>
        <v>29</v>
      </c>
      <c r="R25" s="836"/>
      <c r="S25" s="832"/>
    </row>
    <row r="26" spans="1:19" ht="43.2" x14ac:dyDescent="0.3">
      <c r="A26" s="832">
        <v>25</v>
      </c>
      <c r="B26" s="833" t="s">
        <v>80</v>
      </c>
      <c r="C26" s="834">
        <v>45670</v>
      </c>
      <c r="D26" s="835" t="s">
        <v>116</v>
      </c>
      <c r="E26" s="836" t="s">
        <v>17</v>
      </c>
      <c r="F26" s="837" t="s">
        <v>10</v>
      </c>
      <c r="G26" s="838">
        <v>45670</v>
      </c>
      <c r="H26" s="832">
        <v>10000251411</v>
      </c>
      <c r="I26" s="839" t="s">
        <v>82</v>
      </c>
      <c r="J26" s="845"/>
      <c r="K26" s="845"/>
      <c r="L26" s="845"/>
      <c r="M26" s="845"/>
      <c r="N26" s="845"/>
      <c r="O26" s="845"/>
      <c r="P26" s="834">
        <v>45694</v>
      </c>
      <c r="Q26" s="833">
        <f t="shared" si="0"/>
        <v>24</v>
      </c>
      <c r="R26" s="836"/>
      <c r="S26" s="843"/>
    </row>
    <row r="27" spans="1:19" ht="28.8" x14ac:dyDescent="0.3">
      <c r="A27" s="832">
        <v>26</v>
      </c>
      <c r="B27" s="833" t="s">
        <v>80</v>
      </c>
      <c r="C27" s="834">
        <v>45670</v>
      </c>
      <c r="D27" s="835" t="s">
        <v>117</v>
      </c>
      <c r="E27" s="836" t="s">
        <v>17</v>
      </c>
      <c r="F27" s="837" t="s">
        <v>10</v>
      </c>
      <c r="G27" s="838">
        <v>45670</v>
      </c>
      <c r="H27" s="832">
        <v>10000251218</v>
      </c>
      <c r="I27" s="839" t="s">
        <v>82</v>
      </c>
      <c r="J27" s="833"/>
      <c r="K27" s="832"/>
      <c r="L27" s="832"/>
      <c r="M27" s="833"/>
      <c r="N27" s="832"/>
      <c r="O27" s="832"/>
      <c r="P27" s="834">
        <v>45694</v>
      </c>
      <c r="Q27" s="833">
        <f t="shared" si="0"/>
        <v>24</v>
      </c>
      <c r="R27" s="836"/>
      <c r="S27" s="832"/>
    </row>
    <row r="28" spans="1:19" ht="43.2" x14ac:dyDescent="0.3">
      <c r="A28" s="832">
        <v>27</v>
      </c>
      <c r="B28" s="833" t="s">
        <v>80</v>
      </c>
      <c r="C28" s="834">
        <v>45671</v>
      </c>
      <c r="D28" s="835" t="s">
        <v>118</v>
      </c>
      <c r="E28" s="836" t="s">
        <v>17</v>
      </c>
      <c r="F28" s="836" t="s">
        <v>10</v>
      </c>
      <c r="G28" s="838">
        <v>45671</v>
      </c>
      <c r="H28" s="845"/>
      <c r="I28" s="839" t="s">
        <v>82</v>
      </c>
      <c r="J28" s="833"/>
      <c r="K28" s="832"/>
      <c r="L28" s="832"/>
      <c r="M28" s="833"/>
      <c r="N28" s="832"/>
      <c r="O28" s="832"/>
      <c r="P28" s="834">
        <v>45694</v>
      </c>
      <c r="Q28" s="833">
        <f t="shared" si="0"/>
        <v>23</v>
      </c>
      <c r="R28" s="836"/>
      <c r="S28" s="832"/>
    </row>
    <row r="29" spans="1:19" ht="43.2" x14ac:dyDescent="0.3">
      <c r="A29" s="832">
        <v>28</v>
      </c>
      <c r="B29" s="833" t="s">
        <v>80</v>
      </c>
      <c r="C29" s="834">
        <v>45673</v>
      </c>
      <c r="D29" s="835" t="s">
        <v>119</v>
      </c>
      <c r="E29" s="837" t="s">
        <v>17</v>
      </c>
      <c r="F29" s="837" t="s">
        <v>10</v>
      </c>
      <c r="G29" s="838">
        <v>45673</v>
      </c>
      <c r="H29" s="845"/>
      <c r="I29" s="839" t="s">
        <v>82</v>
      </c>
      <c r="J29" s="833"/>
      <c r="K29" s="832"/>
      <c r="L29" s="832"/>
      <c r="M29" s="833"/>
      <c r="N29" s="832"/>
      <c r="O29" s="832"/>
      <c r="P29" s="834">
        <v>45694</v>
      </c>
      <c r="Q29" s="833">
        <f t="shared" si="0"/>
        <v>21</v>
      </c>
      <c r="R29" s="833"/>
      <c r="S29" s="832"/>
    </row>
    <row r="30" spans="1:19" ht="43.2" x14ac:dyDescent="0.3">
      <c r="A30" s="832">
        <v>29</v>
      </c>
      <c r="B30" s="833" t="s">
        <v>80</v>
      </c>
      <c r="C30" s="834">
        <v>45680</v>
      </c>
      <c r="D30" s="843" t="s">
        <v>120</v>
      </c>
      <c r="E30" s="836" t="s">
        <v>48</v>
      </c>
      <c r="F30" s="837" t="s">
        <v>10</v>
      </c>
      <c r="G30" s="838">
        <v>45680</v>
      </c>
      <c r="H30" s="832"/>
      <c r="I30" s="839" t="s">
        <v>99</v>
      </c>
      <c r="J30" s="833"/>
      <c r="K30" s="832"/>
      <c r="L30" s="832"/>
      <c r="M30" s="833"/>
      <c r="N30" s="832"/>
      <c r="O30" s="832"/>
      <c r="P30" s="834">
        <v>45694</v>
      </c>
      <c r="Q30" s="833">
        <f t="shared" si="0"/>
        <v>14</v>
      </c>
      <c r="R30" s="836"/>
      <c r="S30" s="832" t="s">
        <v>121</v>
      </c>
    </row>
    <row r="31" spans="1:19" ht="28.8" x14ac:dyDescent="0.3">
      <c r="A31" s="832">
        <v>30</v>
      </c>
      <c r="B31" s="841">
        <v>1550</v>
      </c>
      <c r="C31" s="842">
        <v>45686</v>
      </c>
      <c r="D31" s="843" t="s">
        <v>122</v>
      </c>
      <c r="E31" s="836" t="s">
        <v>15</v>
      </c>
      <c r="F31" s="837" t="s">
        <v>6</v>
      </c>
      <c r="G31" s="844">
        <v>45686</v>
      </c>
      <c r="H31" s="845"/>
      <c r="I31" s="839" t="s">
        <v>99</v>
      </c>
      <c r="J31" s="845"/>
      <c r="K31" s="845"/>
      <c r="L31" s="845"/>
      <c r="M31" s="845"/>
      <c r="N31" s="845"/>
      <c r="O31" s="845"/>
      <c r="P31" s="842">
        <v>45694</v>
      </c>
      <c r="Q31" s="833">
        <f t="shared" si="0"/>
        <v>8</v>
      </c>
      <c r="R31" s="836"/>
      <c r="S31" s="836" t="s">
        <v>123</v>
      </c>
    </row>
    <row r="32" spans="1:19" ht="100.8" x14ac:dyDescent="0.3">
      <c r="A32" s="832">
        <v>31</v>
      </c>
      <c r="B32" s="841" t="s">
        <v>80</v>
      </c>
      <c r="C32" s="842">
        <v>45686</v>
      </c>
      <c r="D32" s="843" t="s">
        <v>124</v>
      </c>
      <c r="E32" s="836" t="s">
        <v>1</v>
      </c>
      <c r="F32" s="837" t="s">
        <v>10</v>
      </c>
      <c r="G32" s="844">
        <v>45686</v>
      </c>
      <c r="H32" s="845"/>
      <c r="I32" s="839" t="s">
        <v>125</v>
      </c>
      <c r="J32" s="845"/>
      <c r="K32" s="845"/>
      <c r="L32" s="845"/>
      <c r="M32" s="845"/>
      <c r="N32" s="845"/>
      <c r="O32" s="845"/>
      <c r="P32" s="842">
        <v>45694</v>
      </c>
      <c r="Q32" s="833">
        <f t="shared" si="0"/>
        <v>8</v>
      </c>
      <c r="R32" s="836" t="s">
        <v>85</v>
      </c>
      <c r="S32" s="845"/>
    </row>
    <row r="33" spans="1:19" ht="57.6" x14ac:dyDescent="0.3">
      <c r="A33" s="832">
        <v>32</v>
      </c>
      <c r="B33" s="841" t="s">
        <v>80</v>
      </c>
      <c r="C33" s="842">
        <v>45687</v>
      </c>
      <c r="D33" s="843" t="s">
        <v>126</v>
      </c>
      <c r="E33" s="836" t="s">
        <v>17</v>
      </c>
      <c r="F33" s="837" t="s">
        <v>10</v>
      </c>
      <c r="G33" s="844">
        <v>45687</v>
      </c>
      <c r="H33" s="845">
        <v>10000259861</v>
      </c>
      <c r="I33" s="839" t="s">
        <v>82</v>
      </c>
      <c r="J33" s="845"/>
      <c r="K33" s="845"/>
      <c r="L33" s="845"/>
      <c r="M33" s="845"/>
      <c r="N33" s="845"/>
      <c r="O33" s="845"/>
      <c r="P33" s="842">
        <v>45694</v>
      </c>
      <c r="Q33" s="833">
        <f t="shared" si="0"/>
        <v>7</v>
      </c>
      <c r="R33" s="836" t="s">
        <v>85</v>
      </c>
      <c r="S33" s="845"/>
    </row>
    <row r="34" spans="1:19" ht="115.2" x14ac:dyDescent="0.3">
      <c r="A34" s="832">
        <v>33</v>
      </c>
      <c r="B34" s="841" t="s">
        <v>80</v>
      </c>
      <c r="C34" s="842">
        <v>45688</v>
      </c>
      <c r="D34" s="843" t="s">
        <v>127</v>
      </c>
      <c r="E34" s="836" t="s">
        <v>17</v>
      </c>
      <c r="F34" s="837" t="s">
        <v>10</v>
      </c>
      <c r="G34" s="844">
        <v>45688</v>
      </c>
      <c r="H34" s="845">
        <v>10000259975</v>
      </c>
      <c r="I34" s="839" t="s">
        <v>82</v>
      </c>
      <c r="J34" s="845"/>
      <c r="K34" s="845"/>
      <c r="L34" s="845"/>
      <c r="M34" s="845"/>
      <c r="N34" s="845"/>
      <c r="O34" s="845"/>
      <c r="P34" s="842">
        <v>45694</v>
      </c>
      <c r="Q34" s="833">
        <f t="shared" si="0"/>
        <v>6</v>
      </c>
      <c r="R34" s="836" t="s">
        <v>85</v>
      </c>
      <c r="S34" s="845"/>
    </row>
    <row r="35" spans="1:19" ht="187.2" x14ac:dyDescent="0.3">
      <c r="A35" s="832">
        <v>34</v>
      </c>
      <c r="B35" s="833" t="s">
        <v>80</v>
      </c>
      <c r="C35" s="834">
        <v>45684</v>
      </c>
      <c r="D35" s="835" t="s">
        <v>128</v>
      </c>
      <c r="E35" s="836" t="s">
        <v>21</v>
      </c>
      <c r="F35" s="836" t="s">
        <v>10</v>
      </c>
      <c r="G35" s="838">
        <v>45684</v>
      </c>
      <c r="H35" s="832"/>
      <c r="I35" s="839" t="s">
        <v>129</v>
      </c>
      <c r="J35" s="833"/>
      <c r="K35" s="832"/>
      <c r="L35" s="832"/>
      <c r="M35" s="833"/>
      <c r="N35" s="832"/>
      <c r="O35" s="832"/>
      <c r="P35" s="834">
        <v>45693</v>
      </c>
      <c r="Q35" s="833">
        <f t="shared" si="0"/>
        <v>9</v>
      </c>
      <c r="R35" s="836"/>
      <c r="S35" s="832"/>
    </row>
    <row r="36" spans="1:19" ht="115.2" x14ac:dyDescent="0.3">
      <c r="A36" s="832">
        <v>35</v>
      </c>
      <c r="B36" s="841" t="s">
        <v>80</v>
      </c>
      <c r="C36" s="842">
        <v>45688</v>
      </c>
      <c r="D36" s="843" t="s">
        <v>130</v>
      </c>
      <c r="E36" s="836" t="s">
        <v>27</v>
      </c>
      <c r="F36" s="837" t="s">
        <v>10</v>
      </c>
      <c r="G36" s="844">
        <v>45688</v>
      </c>
      <c r="H36" s="845"/>
      <c r="I36" s="839" t="s">
        <v>82</v>
      </c>
      <c r="J36" s="845"/>
      <c r="K36" s="845"/>
      <c r="L36" s="845"/>
      <c r="M36" s="845"/>
      <c r="N36" s="845"/>
      <c r="O36" s="845"/>
      <c r="P36" s="842">
        <v>45693</v>
      </c>
      <c r="Q36" s="833">
        <f t="shared" si="0"/>
        <v>5</v>
      </c>
      <c r="R36" s="836" t="s">
        <v>85</v>
      </c>
      <c r="S36" s="845"/>
    </row>
    <row r="37" spans="1:19" ht="57.6" x14ac:dyDescent="0.3">
      <c r="A37" s="832">
        <v>36</v>
      </c>
      <c r="B37" s="833" t="s">
        <v>80</v>
      </c>
      <c r="C37" s="834">
        <v>45665</v>
      </c>
      <c r="D37" s="840" t="s">
        <v>131</v>
      </c>
      <c r="E37" s="836" t="s">
        <v>17</v>
      </c>
      <c r="F37" s="836" t="s">
        <v>10</v>
      </c>
      <c r="G37" s="846">
        <v>45665</v>
      </c>
      <c r="H37" s="832">
        <v>10000251449</v>
      </c>
      <c r="I37" s="839" t="s">
        <v>82</v>
      </c>
      <c r="J37" s="833"/>
      <c r="K37" s="832"/>
      <c r="L37" s="832"/>
      <c r="M37" s="833"/>
      <c r="N37" s="832"/>
      <c r="O37" s="832"/>
      <c r="P37" s="834">
        <v>45692</v>
      </c>
      <c r="Q37" s="833">
        <f t="shared" si="0"/>
        <v>27</v>
      </c>
      <c r="R37" s="836"/>
      <c r="S37" s="832"/>
    </row>
    <row r="38" spans="1:19" ht="43.2" x14ac:dyDescent="0.3">
      <c r="A38" s="832">
        <v>37</v>
      </c>
      <c r="B38" s="833" t="s">
        <v>80</v>
      </c>
      <c r="C38" s="834">
        <v>45670</v>
      </c>
      <c r="D38" s="835" t="s">
        <v>132</v>
      </c>
      <c r="E38" s="836" t="s">
        <v>17</v>
      </c>
      <c r="F38" s="837" t="s">
        <v>10</v>
      </c>
      <c r="G38" s="838">
        <v>45670</v>
      </c>
      <c r="H38" s="832">
        <v>10000251419</v>
      </c>
      <c r="I38" s="839" t="s">
        <v>82</v>
      </c>
      <c r="J38" s="833"/>
      <c r="K38" s="832"/>
      <c r="L38" s="832"/>
      <c r="M38" s="833"/>
      <c r="N38" s="832"/>
      <c r="O38" s="832"/>
      <c r="P38" s="834">
        <v>45692</v>
      </c>
      <c r="Q38" s="833">
        <f t="shared" si="0"/>
        <v>22</v>
      </c>
      <c r="R38" s="836"/>
      <c r="S38" s="832"/>
    </row>
    <row r="39" spans="1:19" ht="57.6" x14ac:dyDescent="0.3">
      <c r="A39" s="832">
        <v>38</v>
      </c>
      <c r="B39" s="833" t="s">
        <v>80</v>
      </c>
      <c r="C39" s="834">
        <v>45670</v>
      </c>
      <c r="D39" s="835" t="s">
        <v>133</v>
      </c>
      <c r="E39" s="836" t="s">
        <v>17</v>
      </c>
      <c r="F39" s="837" t="s">
        <v>10</v>
      </c>
      <c r="G39" s="838">
        <v>45670</v>
      </c>
      <c r="H39" s="832">
        <v>10000251405</v>
      </c>
      <c r="I39" s="839" t="s">
        <v>82</v>
      </c>
      <c r="J39" s="833"/>
      <c r="K39" s="832"/>
      <c r="L39" s="832"/>
      <c r="M39" s="833"/>
      <c r="N39" s="832"/>
      <c r="O39" s="832"/>
      <c r="P39" s="834">
        <v>45692</v>
      </c>
      <c r="Q39" s="833">
        <f t="shared" si="0"/>
        <v>22</v>
      </c>
      <c r="R39" s="836"/>
      <c r="S39" s="832"/>
    </row>
    <row r="40" spans="1:19" ht="43.2" x14ac:dyDescent="0.3">
      <c r="A40" s="832">
        <v>39</v>
      </c>
      <c r="B40" s="833">
        <v>1550</v>
      </c>
      <c r="C40" s="834">
        <v>45671</v>
      </c>
      <c r="D40" s="835" t="s">
        <v>134</v>
      </c>
      <c r="E40" s="836" t="s">
        <v>23</v>
      </c>
      <c r="F40" s="836" t="s">
        <v>8</v>
      </c>
      <c r="G40" s="838">
        <v>45671</v>
      </c>
      <c r="H40" s="847">
        <v>10000259901</v>
      </c>
      <c r="I40" s="839" t="s">
        <v>135</v>
      </c>
      <c r="J40" s="833"/>
      <c r="K40" s="832"/>
      <c r="L40" s="832"/>
      <c r="M40" s="833"/>
      <c r="N40" s="832"/>
      <c r="O40" s="832"/>
      <c r="P40" s="834">
        <v>45692</v>
      </c>
      <c r="Q40" s="833">
        <f t="shared" si="0"/>
        <v>21</v>
      </c>
      <c r="R40" s="836" t="s">
        <v>136</v>
      </c>
      <c r="S40" s="832"/>
    </row>
    <row r="41" spans="1:19" ht="28.8" x14ac:dyDescent="0.3">
      <c r="A41" s="832">
        <v>40</v>
      </c>
      <c r="B41" s="833">
        <v>1550</v>
      </c>
      <c r="C41" s="834">
        <v>45671</v>
      </c>
      <c r="D41" s="835" t="s">
        <v>137</v>
      </c>
      <c r="E41" s="836" t="s">
        <v>1</v>
      </c>
      <c r="F41" s="836" t="s">
        <v>8</v>
      </c>
      <c r="G41" s="838">
        <v>45671</v>
      </c>
      <c r="H41" s="832"/>
      <c r="I41" s="839" t="s">
        <v>125</v>
      </c>
      <c r="J41" s="833"/>
      <c r="K41" s="832"/>
      <c r="L41" s="832"/>
      <c r="M41" s="833"/>
      <c r="N41" s="832"/>
      <c r="O41" s="832"/>
      <c r="P41" s="834">
        <v>45692</v>
      </c>
      <c r="Q41" s="833">
        <f t="shared" si="0"/>
        <v>21</v>
      </c>
      <c r="R41" s="836" t="s">
        <v>138</v>
      </c>
      <c r="S41" s="832"/>
    </row>
    <row r="42" spans="1:19" ht="43.2" x14ac:dyDescent="0.3">
      <c r="A42" s="832">
        <v>41</v>
      </c>
      <c r="B42" s="833" t="s">
        <v>80</v>
      </c>
      <c r="C42" s="834">
        <v>45671</v>
      </c>
      <c r="D42" s="835" t="s">
        <v>139</v>
      </c>
      <c r="E42" s="836" t="s">
        <v>17</v>
      </c>
      <c r="F42" s="836" t="s">
        <v>10</v>
      </c>
      <c r="G42" s="838">
        <v>45671</v>
      </c>
      <c r="H42" s="845">
        <v>10000252047</v>
      </c>
      <c r="I42" s="839" t="s">
        <v>82</v>
      </c>
      <c r="J42" s="845"/>
      <c r="K42" s="845"/>
      <c r="L42" s="845"/>
      <c r="M42" s="845"/>
      <c r="N42" s="845"/>
      <c r="O42" s="845"/>
      <c r="P42" s="834">
        <v>45692</v>
      </c>
      <c r="Q42" s="833">
        <f t="shared" si="0"/>
        <v>21</v>
      </c>
      <c r="R42" s="836"/>
      <c r="S42" s="845"/>
    </row>
    <row r="43" spans="1:19" ht="43.2" x14ac:dyDescent="0.3">
      <c r="A43" s="832">
        <v>42</v>
      </c>
      <c r="B43" s="833">
        <v>1550</v>
      </c>
      <c r="C43" s="834">
        <v>45672</v>
      </c>
      <c r="D43" s="835" t="s">
        <v>140</v>
      </c>
      <c r="E43" s="836" t="s">
        <v>51</v>
      </c>
      <c r="F43" s="836" t="s">
        <v>8</v>
      </c>
      <c r="G43" s="838">
        <v>45672</v>
      </c>
      <c r="H43" s="832"/>
      <c r="I43" s="839" t="s">
        <v>99</v>
      </c>
      <c r="J43" s="833"/>
      <c r="K43" s="832"/>
      <c r="L43" s="832"/>
      <c r="M43" s="833"/>
      <c r="N43" s="832"/>
      <c r="O43" s="832"/>
      <c r="P43" s="834">
        <v>45692</v>
      </c>
      <c r="Q43" s="833">
        <f t="shared" si="0"/>
        <v>20</v>
      </c>
      <c r="R43" s="833"/>
      <c r="S43" s="832"/>
    </row>
    <row r="44" spans="1:19" ht="43.2" x14ac:dyDescent="0.3">
      <c r="A44" s="832">
        <v>43</v>
      </c>
      <c r="B44" s="833" t="s">
        <v>80</v>
      </c>
      <c r="C44" s="834">
        <v>45672</v>
      </c>
      <c r="D44" s="835" t="s">
        <v>141</v>
      </c>
      <c r="E44" s="836" t="s">
        <v>17</v>
      </c>
      <c r="F44" s="837" t="s">
        <v>10</v>
      </c>
      <c r="G44" s="838">
        <v>45672</v>
      </c>
      <c r="H44" s="845"/>
      <c r="I44" s="839" t="s">
        <v>82</v>
      </c>
      <c r="J44" s="845"/>
      <c r="K44" s="845"/>
      <c r="L44" s="845"/>
      <c r="M44" s="845"/>
      <c r="N44" s="845"/>
      <c r="O44" s="845"/>
      <c r="P44" s="834">
        <v>45692</v>
      </c>
      <c r="Q44" s="833">
        <f t="shared" si="0"/>
        <v>20</v>
      </c>
      <c r="R44" s="833"/>
      <c r="S44" s="845"/>
    </row>
    <row r="45" spans="1:19" ht="57.6" x14ac:dyDescent="0.3">
      <c r="A45" s="832">
        <v>44</v>
      </c>
      <c r="B45" s="833" t="s">
        <v>80</v>
      </c>
      <c r="C45" s="834">
        <v>45672</v>
      </c>
      <c r="D45" s="835" t="s">
        <v>142</v>
      </c>
      <c r="E45" s="836" t="s">
        <v>17</v>
      </c>
      <c r="F45" s="837" t="s">
        <v>10</v>
      </c>
      <c r="G45" s="838">
        <v>45672</v>
      </c>
      <c r="H45" s="845"/>
      <c r="I45" s="839" t="s">
        <v>82</v>
      </c>
      <c r="J45" s="845"/>
      <c r="K45" s="845"/>
      <c r="L45" s="845"/>
      <c r="M45" s="845"/>
      <c r="N45" s="845"/>
      <c r="O45" s="845"/>
      <c r="P45" s="834">
        <v>45692</v>
      </c>
      <c r="Q45" s="833">
        <f t="shared" si="0"/>
        <v>20</v>
      </c>
      <c r="R45" s="833"/>
      <c r="S45" s="845"/>
    </row>
    <row r="46" spans="1:19" ht="43.2" x14ac:dyDescent="0.3">
      <c r="A46" s="832">
        <v>45</v>
      </c>
      <c r="B46" s="833" t="s">
        <v>80</v>
      </c>
      <c r="C46" s="834">
        <v>45672</v>
      </c>
      <c r="D46" s="835" t="s">
        <v>143</v>
      </c>
      <c r="E46" s="837" t="s">
        <v>17</v>
      </c>
      <c r="F46" s="837" t="s">
        <v>10</v>
      </c>
      <c r="G46" s="838">
        <v>45672</v>
      </c>
      <c r="H46" s="845"/>
      <c r="I46" s="839" t="s">
        <v>82</v>
      </c>
      <c r="J46" s="845"/>
      <c r="K46" s="845"/>
      <c r="L46" s="845"/>
      <c r="M46" s="845"/>
      <c r="N46" s="845"/>
      <c r="O46" s="845"/>
      <c r="P46" s="834">
        <v>45692</v>
      </c>
      <c r="Q46" s="833">
        <f t="shared" si="0"/>
        <v>20</v>
      </c>
      <c r="R46" s="833"/>
      <c r="S46" s="845"/>
    </row>
    <row r="47" spans="1:19" ht="43.2" x14ac:dyDescent="0.3">
      <c r="A47" s="832">
        <v>46</v>
      </c>
      <c r="B47" s="833" t="s">
        <v>80</v>
      </c>
      <c r="C47" s="834">
        <v>45673</v>
      </c>
      <c r="D47" s="835" t="s">
        <v>144</v>
      </c>
      <c r="E47" s="837" t="s">
        <v>17</v>
      </c>
      <c r="F47" s="837" t="s">
        <v>10</v>
      </c>
      <c r="G47" s="838">
        <v>45673</v>
      </c>
      <c r="H47" s="845"/>
      <c r="I47" s="839" t="s">
        <v>82</v>
      </c>
      <c r="J47" s="833"/>
      <c r="K47" s="832"/>
      <c r="L47" s="832"/>
      <c r="M47" s="833"/>
      <c r="N47" s="832"/>
      <c r="O47" s="832"/>
      <c r="P47" s="834">
        <v>45692</v>
      </c>
      <c r="Q47" s="833">
        <f t="shared" si="0"/>
        <v>19</v>
      </c>
      <c r="R47" s="833"/>
      <c r="S47" s="832"/>
    </row>
    <row r="48" spans="1:19" ht="43.2" x14ac:dyDescent="0.3">
      <c r="A48" s="832">
        <v>47</v>
      </c>
      <c r="B48" s="833" t="s">
        <v>80</v>
      </c>
      <c r="C48" s="834">
        <v>45673</v>
      </c>
      <c r="D48" s="835" t="s">
        <v>145</v>
      </c>
      <c r="E48" s="837" t="s">
        <v>17</v>
      </c>
      <c r="F48" s="837" t="s">
        <v>10</v>
      </c>
      <c r="G48" s="838">
        <v>45673</v>
      </c>
      <c r="H48" s="845"/>
      <c r="I48" s="839" t="s">
        <v>82</v>
      </c>
      <c r="J48" s="833"/>
      <c r="K48" s="832"/>
      <c r="L48" s="832"/>
      <c r="M48" s="833"/>
      <c r="N48" s="832"/>
      <c r="O48" s="832"/>
      <c r="P48" s="834">
        <v>45692</v>
      </c>
      <c r="Q48" s="833">
        <f t="shared" si="0"/>
        <v>19</v>
      </c>
      <c r="R48" s="833"/>
      <c r="S48" s="832"/>
    </row>
    <row r="49" spans="1:19" ht="28.8" x14ac:dyDescent="0.3">
      <c r="A49" s="832">
        <v>48</v>
      </c>
      <c r="B49" s="841">
        <v>1550</v>
      </c>
      <c r="C49" s="842">
        <v>45680</v>
      </c>
      <c r="D49" s="843" t="s">
        <v>146</v>
      </c>
      <c r="E49" s="836" t="s">
        <v>21</v>
      </c>
      <c r="F49" s="837" t="s">
        <v>8</v>
      </c>
      <c r="G49" s="844">
        <v>45680</v>
      </c>
      <c r="H49" s="845"/>
      <c r="I49" s="839" t="s">
        <v>125</v>
      </c>
      <c r="J49" s="845"/>
      <c r="K49" s="845"/>
      <c r="L49" s="845"/>
      <c r="M49" s="845"/>
      <c r="N49" s="845"/>
      <c r="O49" s="845"/>
      <c r="P49" s="842">
        <v>45692</v>
      </c>
      <c r="Q49" s="833">
        <f t="shared" si="0"/>
        <v>12</v>
      </c>
      <c r="R49" s="836" t="s">
        <v>147</v>
      </c>
      <c r="S49" s="845"/>
    </row>
    <row r="50" spans="1:19" ht="43.2" x14ac:dyDescent="0.3">
      <c r="A50" s="832">
        <v>49</v>
      </c>
      <c r="B50" s="833" t="s">
        <v>80</v>
      </c>
      <c r="C50" s="834">
        <v>45680</v>
      </c>
      <c r="D50" s="843" t="s">
        <v>148</v>
      </c>
      <c r="E50" s="836" t="s">
        <v>48</v>
      </c>
      <c r="F50" s="837" t="s">
        <v>10</v>
      </c>
      <c r="G50" s="838">
        <v>45680</v>
      </c>
      <c r="H50" s="832"/>
      <c r="I50" s="839" t="s">
        <v>99</v>
      </c>
      <c r="J50" s="833"/>
      <c r="K50" s="832"/>
      <c r="L50" s="832"/>
      <c r="M50" s="833"/>
      <c r="N50" s="832"/>
      <c r="O50" s="832"/>
      <c r="P50" s="834">
        <v>45692</v>
      </c>
      <c r="Q50" s="833">
        <f t="shared" si="0"/>
        <v>12</v>
      </c>
      <c r="R50" s="836"/>
      <c r="S50" s="832" t="s">
        <v>149</v>
      </c>
    </row>
    <row r="51" spans="1:19" ht="28.8" x14ac:dyDescent="0.3">
      <c r="A51" s="832">
        <v>50</v>
      </c>
      <c r="B51" s="833">
        <v>1550</v>
      </c>
      <c r="C51" s="834">
        <v>45681</v>
      </c>
      <c r="D51" s="840" t="s">
        <v>150</v>
      </c>
      <c r="E51" s="836" t="s">
        <v>1</v>
      </c>
      <c r="F51" s="836" t="s">
        <v>8</v>
      </c>
      <c r="G51" s="838">
        <v>45681</v>
      </c>
      <c r="H51" s="832"/>
      <c r="I51" s="839" t="s">
        <v>125</v>
      </c>
      <c r="J51" s="833"/>
      <c r="K51" s="832"/>
      <c r="L51" s="832"/>
      <c r="M51" s="833"/>
      <c r="N51" s="832"/>
      <c r="O51" s="832"/>
      <c r="P51" s="834">
        <v>45692</v>
      </c>
      <c r="Q51" s="833">
        <f t="shared" si="0"/>
        <v>11</v>
      </c>
      <c r="R51" s="836" t="s">
        <v>151</v>
      </c>
      <c r="S51" s="832"/>
    </row>
    <row r="52" spans="1:19" ht="72" x14ac:dyDescent="0.3">
      <c r="A52" s="832">
        <v>51</v>
      </c>
      <c r="B52" s="833" t="s">
        <v>80</v>
      </c>
      <c r="C52" s="834">
        <v>45684</v>
      </c>
      <c r="D52" s="835" t="s">
        <v>152</v>
      </c>
      <c r="E52" s="836" t="s">
        <v>17</v>
      </c>
      <c r="F52" s="836" t="s">
        <v>10</v>
      </c>
      <c r="G52" s="838">
        <v>45684</v>
      </c>
      <c r="H52" s="832"/>
      <c r="I52" s="839" t="s">
        <v>82</v>
      </c>
      <c r="J52" s="833"/>
      <c r="K52" s="832"/>
      <c r="L52" s="832"/>
      <c r="M52" s="833"/>
      <c r="N52" s="832"/>
      <c r="O52" s="832"/>
      <c r="P52" s="834">
        <v>45692</v>
      </c>
      <c r="Q52" s="833">
        <f t="shared" si="0"/>
        <v>8</v>
      </c>
      <c r="R52" s="836"/>
      <c r="S52" s="832"/>
    </row>
    <row r="53" spans="1:19" ht="43.2" x14ac:dyDescent="0.3">
      <c r="A53" s="832">
        <v>52</v>
      </c>
      <c r="B53" s="833">
        <v>1550</v>
      </c>
      <c r="C53" s="834">
        <v>45685</v>
      </c>
      <c r="D53" s="835" t="s">
        <v>153</v>
      </c>
      <c r="E53" s="836" t="s">
        <v>51</v>
      </c>
      <c r="F53" s="836" t="s">
        <v>8</v>
      </c>
      <c r="G53" s="838">
        <v>45685</v>
      </c>
      <c r="H53" s="832"/>
      <c r="I53" s="839" t="s">
        <v>99</v>
      </c>
      <c r="J53" s="833"/>
      <c r="K53" s="832"/>
      <c r="L53" s="832"/>
      <c r="M53" s="833"/>
      <c r="N53" s="832"/>
      <c r="O53" s="832"/>
      <c r="P53" s="834">
        <v>45692</v>
      </c>
      <c r="Q53" s="833">
        <f t="shared" si="0"/>
        <v>7</v>
      </c>
      <c r="R53" s="836" t="s">
        <v>154</v>
      </c>
      <c r="S53" s="832"/>
    </row>
    <row r="54" spans="1:19" ht="28.8" x14ac:dyDescent="0.3">
      <c r="A54" s="832">
        <v>53</v>
      </c>
      <c r="B54" s="833">
        <v>1550</v>
      </c>
      <c r="C54" s="834">
        <v>45685</v>
      </c>
      <c r="D54" s="835" t="s">
        <v>155</v>
      </c>
      <c r="E54" s="836" t="s">
        <v>1</v>
      </c>
      <c r="F54" s="836" t="s">
        <v>8</v>
      </c>
      <c r="G54" s="838">
        <v>45685</v>
      </c>
      <c r="H54" s="832"/>
      <c r="I54" s="839" t="s">
        <v>125</v>
      </c>
      <c r="J54" s="833"/>
      <c r="K54" s="832"/>
      <c r="L54" s="832"/>
      <c r="M54" s="833"/>
      <c r="N54" s="832"/>
      <c r="O54" s="832"/>
      <c r="P54" s="834">
        <v>45692</v>
      </c>
      <c r="Q54" s="833">
        <f t="shared" si="0"/>
        <v>7</v>
      </c>
      <c r="R54" s="836" t="s">
        <v>151</v>
      </c>
      <c r="S54" s="832"/>
    </row>
    <row r="55" spans="1:19" ht="28.8" x14ac:dyDescent="0.3">
      <c r="A55" s="832">
        <v>54</v>
      </c>
      <c r="B55" s="833">
        <v>1550</v>
      </c>
      <c r="C55" s="834">
        <v>45685</v>
      </c>
      <c r="D55" s="835" t="s">
        <v>156</v>
      </c>
      <c r="E55" s="836" t="s">
        <v>1</v>
      </c>
      <c r="F55" s="836" t="s">
        <v>8</v>
      </c>
      <c r="G55" s="838">
        <v>45685</v>
      </c>
      <c r="H55" s="832"/>
      <c r="I55" s="839" t="s">
        <v>157</v>
      </c>
      <c r="J55" s="833"/>
      <c r="K55" s="832"/>
      <c r="L55" s="832"/>
      <c r="M55" s="833"/>
      <c r="N55" s="832"/>
      <c r="O55" s="832"/>
      <c r="P55" s="834">
        <v>45692</v>
      </c>
      <c r="Q55" s="833">
        <f t="shared" si="0"/>
        <v>7</v>
      </c>
      <c r="R55" s="836" t="s">
        <v>151</v>
      </c>
      <c r="S55" s="832"/>
    </row>
    <row r="56" spans="1:19" ht="28.8" x14ac:dyDescent="0.3">
      <c r="A56" s="832">
        <v>55</v>
      </c>
      <c r="B56" s="833">
        <v>1550</v>
      </c>
      <c r="C56" s="834">
        <v>45685</v>
      </c>
      <c r="D56" s="835" t="s">
        <v>158</v>
      </c>
      <c r="E56" s="836" t="s">
        <v>12</v>
      </c>
      <c r="F56" s="836" t="s">
        <v>8</v>
      </c>
      <c r="G56" s="838">
        <v>45685</v>
      </c>
      <c r="H56" s="832"/>
      <c r="I56" s="839" t="s">
        <v>159</v>
      </c>
      <c r="J56" s="833"/>
      <c r="K56" s="832"/>
      <c r="L56" s="832"/>
      <c r="M56" s="833"/>
      <c r="N56" s="832"/>
      <c r="O56" s="832"/>
      <c r="P56" s="834">
        <v>45692</v>
      </c>
      <c r="Q56" s="833">
        <f t="shared" si="0"/>
        <v>7</v>
      </c>
      <c r="R56" s="836" t="s">
        <v>160</v>
      </c>
      <c r="S56" s="832"/>
    </row>
    <row r="57" spans="1:19" ht="86.4" x14ac:dyDescent="0.3">
      <c r="A57" s="832">
        <v>56</v>
      </c>
      <c r="B57" s="841" t="s">
        <v>80</v>
      </c>
      <c r="C57" s="842">
        <v>45685</v>
      </c>
      <c r="D57" s="843" t="s">
        <v>161</v>
      </c>
      <c r="E57" s="836" t="s">
        <v>12</v>
      </c>
      <c r="F57" s="836" t="s">
        <v>10</v>
      </c>
      <c r="G57" s="844">
        <v>45685</v>
      </c>
      <c r="H57" s="845"/>
      <c r="I57" s="839" t="s">
        <v>159</v>
      </c>
      <c r="J57" s="845"/>
      <c r="K57" s="845"/>
      <c r="L57" s="845"/>
      <c r="M57" s="845"/>
      <c r="N57" s="845"/>
      <c r="O57" s="845"/>
      <c r="P57" s="842">
        <v>45692</v>
      </c>
      <c r="Q57" s="833">
        <f t="shared" si="0"/>
        <v>7</v>
      </c>
      <c r="R57" s="836" t="s">
        <v>85</v>
      </c>
      <c r="S57" s="845"/>
    </row>
    <row r="58" spans="1:19" ht="43.2" x14ac:dyDescent="0.3">
      <c r="A58" s="832">
        <v>57</v>
      </c>
      <c r="B58" s="841">
        <v>1550</v>
      </c>
      <c r="C58" s="842">
        <v>45686</v>
      </c>
      <c r="D58" s="843" t="s">
        <v>162</v>
      </c>
      <c r="E58" s="836" t="s">
        <v>51</v>
      </c>
      <c r="F58" s="837" t="s">
        <v>8</v>
      </c>
      <c r="G58" s="844">
        <v>45686</v>
      </c>
      <c r="H58" s="845"/>
      <c r="I58" s="839" t="s">
        <v>99</v>
      </c>
      <c r="J58" s="845"/>
      <c r="K58" s="845"/>
      <c r="L58" s="845"/>
      <c r="M58" s="845"/>
      <c r="N58" s="845"/>
      <c r="O58" s="845"/>
      <c r="P58" s="834">
        <v>45692</v>
      </c>
      <c r="Q58" s="833">
        <f t="shared" si="0"/>
        <v>6</v>
      </c>
      <c r="R58" s="836" t="s">
        <v>94</v>
      </c>
      <c r="S58" s="845"/>
    </row>
    <row r="59" spans="1:19" ht="28.8" x14ac:dyDescent="0.3">
      <c r="A59" s="832">
        <v>58</v>
      </c>
      <c r="B59" s="841">
        <v>1550</v>
      </c>
      <c r="C59" s="842">
        <v>45686</v>
      </c>
      <c r="D59" s="843" t="s">
        <v>163</v>
      </c>
      <c r="E59" s="836" t="s">
        <v>12</v>
      </c>
      <c r="F59" s="837" t="s">
        <v>8</v>
      </c>
      <c r="G59" s="844">
        <v>45686</v>
      </c>
      <c r="H59" s="845"/>
      <c r="I59" s="839" t="s">
        <v>159</v>
      </c>
      <c r="J59" s="845"/>
      <c r="K59" s="845"/>
      <c r="L59" s="845"/>
      <c r="M59" s="845"/>
      <c r="N59" s="845"/>
      <c r="O59" s="845"/>
      <c r="P59" s="842">
        <v>45692</v>
      </c>
      <c r="Q59" s="833">
        <f t="shared" si="0"/>
        <v>6</v>
      </c>
      <c r="R59" s="836" t="s">
        <v>160</v>
      </c>
      <c r="S59" s="845"/>
    </row>
    <row r="60" spans="1:19" ht="43.2" x14ac:dyDescent="0.3">
      <c r="A60" s="832">
        <v>59</v>
      </c>
      <c r="B60" s="841" t="s">
        <v>80</v>
      </c>
      <c r="C60" s="842">
        <v>45686</v>
      </c>
      <c r="D60" s="843" t="s">
        <v>164</v>
      </c>
      <c r="E60" s="836" t="s">
        <v>48</v>
      </c>
      <c r="F60" s="837" t="s">
        <v>10</v>
      </c>
      <c r="G60" s="844">
        <v>45686</v>
      </c>
      <c r="H60" s="845"/>
      <c r="I60" s="839" t="s">
        <v>99</v>
      </c>
      <c r="J60" s="845"/>
      <c r="K60" s="845"/>
      <c r="L60" s="845"/>
      <c r="M60" s="845"/>
      <c r="N60" s="845"/>
      <c r="O60" s="845"/>
      <c r="P60" s="842">
        <v>45692</v>
      </c>
      <c r="Q60" s="833">
        <f t="shared" si="0"/>
        <v>6</v>
      </c>
      <c r="R60" s="836" t="s">
        <v>165</v>
      </c>
      <c r="S60" s="845" t="s">
        <v>166</v>
      </c>
    </row>
    <row r="61" spans="1:19" ht="28.8" x14ac:dyDescent="0.3">
      <c r="A61" s="832">
        <v>60</v>
      </c>
      <c r="B61" s="841" t="s">
        <v>80</v>
      </c>
      <c r="C61" s="842">
        <v>45687</v>
      </c>
      <c r="D61" s="843" t="s">
        <v>167</v>
      </c>
      <c r="E61" s="836" t="s">
        <v>17</v>
      </c>
      <c r="F61" s="837" t="s">
        <v>8</v>
      </c>
      <c r="G61" s="844">
        <v>45687</v>
      </c>
      <c r="H61" s="845"/>
      <c r="I61" s="839" t="s">
        <v>82</v>
      </c>
      <c r="J61" s="845"/>
      <c r="K61" s="845"/>
      <c r="L61" s="845"/>
      <c r="M61" s="845"/>
      <c r="N61" s="845"/>
      <c r="O61" s="845"/>
      <c r="P61" s="842">
        <v>45692</v>
      </c>
      <c r="Q61" s="833">
        <f t="shared" si="0"/>
        <v>5</v>
      </c>
      <c r="R61" s="836" t="s">
        <v>94</v>
      </c>
      <c r="S61" s="845"/>
    </row>
    <row r="62" spans="1:19" ht="28.8" x14ac:dyDescent="0.3">
      <c r="A62" s="832">
        <v>61</v>
      </c>
      <c r="B62" s="841">
        <v>1550</v>
      </c>
      <c r="C62" s="842">
        <v>45687</v>
      </c>
      <c r="D62" s="843" t="s">
        <v>168</v>
      </c>
      <c r="E62" s="836" t="s">
        <v>1</v>
      </c>
      <c r="F62" s="837" t="s">
        <v>8</v>
      </c>
      <c r="G62" s="844">
        <v>45687</v>
      </c>
      <c r="H62" s="845"/>
      <c r="I62" s="839" t="s">
        <v>125</v>
      </c>
      <c r="J62" s="845"/>
      <c r="K62" s="845"/>
      <c r="L62" s="845"/>
      <c r="M62" s="845"/>
      <c r="N62" s="845"/>
      <c r="O62" s="845"/>
      <c r="P62" s="842">
        <v>45692</v>
      </c>
      <c r="Q62" s="833">
        <f t="shared" si="0"/>
        <v>5</v>
      </c>
      <c r="R62" s="836" t="s">
        <v>169</v>
      </c>
      <c r="S62" s="845"/>
    </row>
    <row r="63" spans="1:19" ht="28.8" x14ac:dyDescent="0.3">
      <c r="A63" s="832">
        <v>62</v>
      </c>
      <c r="B63" s="841" t="s">
        <v>80</v>
      </c>
      <c r="C63" s="842">
        <v>45687</v>
      </c>
      <c r="D63" s="843" t="s">
        <v>170</v>
      </c>
      <c r="E63" s="836" t="s">
        <v>17</v>
      </c>
      <c r="F63" s="837" t="s">
        <v>8</v>
      </c>
      <c r="G63" s="844">
        <v>45687</v>
      </c>
      <c r="H63" s="845"/>
      <c r="I63" s="839" t="s">
        <v>82</v>
      </c>
      <c r="J63" s="845"/>
      <c r="K63" s="845"/>
      <c r="L63" s="845"/>
      <c r="M63" s="845"/>
      <c r="N63" s="845"/>
      <c r="O63" s="845"/>
      <c r="P63" s="842">
        <v>45692</v>
      </c>
      <c r="Q63" s="833">
        <f t="shared" si="0"/>
        <v>5</v>
      </c>
      <c r="R63" s="836" t="s">
        <v>94</v>
      </c>
      <c r="S63" s="845"/>
    </row>
    <row r="64" spans="1:19" ht="28.8" x14ac:dyDescent="0.3">
      <c r="A64" s="832">
        <v>63</v>
      </c>
      <c r="B64" s="841">
        <v>1550</v>
      </c>
      <c r="C64" s="842">
        <v>45687</v>
      </c>
      <c r="D64" s="843" t="s">
        <v>171</v>
      </c>
      <c r="E64" s="836" t="s">
        <v>1</v>
      </c>
      <c r="F64" s="837" t="s">
        <v>4</v>
      </c>
      <c r="G64" s="844">
        <v>45687</v>
      </c>
      <c r="H64" s="845"/>
      <c r="I64" s="839" t="s">
        <v>125</v>
      </c>
      <c r="J64" s="845"/>
      <c r="K64" s="845"/>
      <c r="L64" s="845"/>
      <c r="M64" s="845"/>
      <c r="N64" s="845"/>
      <c r="O64" s="845"/>
      <c r="P64" s="842">
        <v>45692</v>
      </c>
      <c r="Q64" s="833">
        <f t="shared" si="0"/>
        <v>5</v>
      </c>
      <c r="R64" s="836"/>
      <c r="S64" s="845"/>
    </row>
    <row r="65" spans="1:19" ht="28.8" x14ac:dyDescent="0.3">
      <c r="A65" s="832">
        <v>64</v>
      </c>
      <c r="B65" s="841">
        <v>1550</v>
      </c>
      <c r="C65" s="842">
        <v>45687</v>
      </c>
      <c r="D65" s="843" t="s">
        <v>172</v>
      </c>
      <c r="E65" s="836" t="s">
        <v>1</v>
      </c>
      <c r="F65" s="837" t="s">
        <v>4</v>
      </c>
      <c r="G65" s="844">
        <v>45687</v>
      </c>
      <c r="H65" s="845"/>
      <c r="I65" s="839" t="s">
        <v>125</v>
      </c>
      <c r="J65" s="845"/>
      <c r="K65" s="845"/>
      <c r="L65" s="845"/>
      <c r="M65" s="845"/>
      <c r="N65" s="845"/>
      <c r="O65" s="845"/>
      <c r="P65" s="842">
        <v>45692</v>
      </c>
      <c r="Q65" s="833">
        <f t="shared" si="0"/>
        <v>5</v>
      </c>
      <c r="R65" s="836"/>
      <c r="S65" s="845"/>
    </row>
    <row r="66" spans="1:19" ht="28.8" x14ac:dyDescent="0.3">
      <c r="A66" s="832">
        <v>65</v>
      </c>
      <c r="B66" s="841">
        <v>1550</v>
      </c>
      <c r="C66" s="842">
        <v>45687</v>
      </c>
      <c r="D66" s="843" t="s">
        <v>173</v>
      </c>
      <c r="E66" s="836" t="s">
        <v>1</v>
      </c>
      <c r="F66" s="837" t="s">
        <v>8</v>
      </c>
      <c r="G66" s="844">
        <v>45687</v>
      </c>
      <c r="H66" s="845"/>
      <c r="I66" s="839" t="s">
        <v>174</v>
      </c>
      <c r="J66" s="845"/>
      <c r="K66" s="845"/>
      <c r="L66" s="845"/>
      <c r="M66" s="845"/>
      <c r="N66" s="845"/>
      <c r="O66" s="845"/>
      <c r="P66" s="842">
        <v>45692</v>
      </c>
      <c r="Q66" s="833">
        <f t="shared" ref="Q66:Q129" si="1">P66-G66</f>
        <v>5</v>
      </c>
      <c r="R66" s="836" t="s">
        <v>160</v>
      </c>
      <c r="S66" s="845"/>
    </row>
    <row r="67" spans="1:19" x14ac:dyDescent="0.3">
      <c r="A67" s="832">
        <v>66</v>
      </c>
      <c r="B67" s="841">
        <v>1550</v>
      </c>
      <c r="C67" s="842">
        <v>45687</v>
      </c>
      <c r="D67" s="843" t="s">
        <v>175</v>
      </c>
      <c r="E67" s="836" t="s">
        <v>21</v>
      </c>
      <c r="F67" s="837" t="s">
        <v>176</v>
      </c>
      <c r="G67" s="844">
        <v>45687</v>
      </c>
      <c r="H67" s="845"/>
      <c r="I67" s="839" t="s">
        <v>99</v>
      </c>
      <c r="J67" s="845"/>
      <c r="K67" s="845"/>
      <c r="L67" s="845"/>
      <c r="M67" s="845"/>
      <c r="N67" s="845"/>
      <c r="O67" s="845"/>
      <c r="P67" s="842">
        <v>45692</v>
      </c>
      <c r="Q67" s="833">
        <f t="shared" si="1"/>
        <v>5</v>
      </c>
      <c r="R67" s="836"/>
      <c r="S67" s="845"/>
    </row>
    <row r="68" spans="1:19" ht="43.2" x14ac:dyDescent="0.3">
      <c r="A68" s="832">
        <v>67</v>
      </c>
      <c r="B68" s="841" t="s">
        <v>80</v>
      </c>
      <c r="C68" s="842">
        <v>45687</v>
      </c>
      <c r="D68" s="843" t="s">
        <v>177</v>
      </c>
      <c r="E68" s="836" t="s">
        <v>51</v>
      </c>
      <c r="F68" s="836" t="s">
        <v>10</v>
      </c>
      <c r="G68" s="844">
        <v>45687</v>
      </c>
      <c r="H68" s="832"/>
      <c r="I68" s="839" t="s">
        <v>99</v>
      </c>
      <c r="J68" s="845"/>
      <c r="K68" s="845"/>
      <c r="L68" s="845"/>
      <c r="M68" s="845"/>
      <c r="N68" s="845"/>
      <c r="O68" s="845"/>
      <c r="P68" s="842">
        <v>45692</v>
      </c>
      <c r="Q68" s="833">
        <f t="shared" si="1"/>
        <v>5</v>
      </c>
      <c r="R68" s="836" t="s">
        <v>178</v>
      </c>
      <c r="S68" s="845"/>
    </row>
    <row r="69" spans="1:19" ht="43.2" x14ac:dyDescent="0.3">
      <c r="A69" s="832">
        <v>68</v>
      </c>
      <c r="B69" s="841" t="s">
        <v>80</v>
      </c>
      <c r="C69" s="842">
        <v>45687</v>
      </c>
      <c r="D69" s="843" t="s">
        <v>179</v>
      </c>
      <c r="E69" s="836" t="s">
        <v>51</v>
      </c>
      <c r="F69" s="836" t="s">
        <v>10</v>
      </c>
      <c r="G69" s="844">
        <v>45687</v>
      </c>
      <c r="H69" s="832"/>
      <c r="I69" s="839" t="s">
        <v>99</v>
      </c>
      <c r="J69" s="845"/>
      <c r="K69" s="845"/>
      <c r="L69" s="845"/>
      <c r="M69" s="845"/>
      <c r="N69" s="845"/>
      <c r="O69" s="845"/>
      <c r="P69" s="842">
        <v>45692</v>
      </c>
      <c r="Q69" s="833">
        <f t="shared" si="1"/>
        <v>5</v>
      </c>
      <c r="R69" s="836" t="s">
        <v>85</v>
      </c>
      <c r="S69" s="845"/>
    </row>
    <row r="70" spans="1:19" ht="28.8" x14ac:dyDescent="0.3">
      <c r="A70" s="832">
        <v>69</v>
      </c>
      <c r="B70" s="841">
        <v>1550</v>
      </c>
      <c r="C70" s="842">
        <v>45688</v>
      </c>
      <c r="D70" s="843" t="s">
        <v>180</v>
      </c>
      <c r="E70" s="836" t="s">
        <v>12</v>
      </c>
      <c r="F70" s="837" t="s">
        <v>8</v>
      </c>
      <c r="G70" s="844">
        <v>45688</v>
      </c>
      <c r="H70" s="845"/>
      <c r="I70" s="839" t="s">
        <v>159</v>
      </c>
      <c r="J70" s="845"/>
      <c r="K70" s="845"/>
      <c r="L70" s="845"/>
      <c r="M70" s="845"/>
      <c r="N70" s="845"/>
      <c r="O70" s="845"/>
      <c r="P70" s="842">
        <v>45692</v>
      </c>
      <c r="Q70" s="833">
        <f t="shared" si="1"/>
        <v>4</v>
      </c>
      <c r="R70" s="836" t="s">
        <v>94</v>
      </c>
      <c r="S70" s="845"/>
    </row>
    <row r="71" spans="1:19" s="243" customFormat="1" ht="28.8" x14ac:dyDescent="0.3">
      <c r="A71" s="832">
        <v>70</v>
      </c>
      <c r="B71" s="841">
        <v>1550</v>
      </c>
      <c r="C71" s="842">
        <v>45688</v>
      </c>
      <c r="D71" s="843" t="s">
        <v>181</v>
      </c>
      <c r="E71" s="837" t="s">
        <v>12</v>
      </c>
      <c r="F71" s="837" t="s">
        <v>8</v>
      </c>
      <c r="G71" s="844">
        <v>45688</v>
      </c>
      <c r="H71" s="845"/>
      <c r="I71" s="839" t="s">
        <v>159</v>
      </c>
      <c r="J71" s="845"/>
      <c r="K71" s="845"/>
      <c r="L71" s="845"/>
      <c r="M71" s="845"/>
      <c r="N71" s="845"/>
      <c r="O71" s="845"/>
      <c r="P71" s="842">
        <v>45692</v>
      </c>
      <c r="Q71" s="833">
        <f t="shared" si="1"/>
        <v>4</v>
      </c>
      <c r="R71" s="836" t="s">
        <v>151</v>
      </c>
      <c r="S71" s="845"/>
    </row>
    <row r="72" spans="1:19" ht="43.2" x14ac:dyDescent="0.3">
      <c r="A72" s="832">
        <v>71</v>
      </c>
      <c r="B72" s="841" t="s">
        <v>80</v>
      </c>
      <c r="C72" s="842">
        <v>45688</v>
      </c>
      <c r="D72" s="843" t="s">
        <v>182</v>
      </c>
      <c r="E72" s="836" t="s">
        <v>51</v>
      </c>
      <c r="F72" s="836" t="s">
        <v>10</v>
      </c>
      <c r="G72" s="844">
        <v>45688</v>
      </c>
      <c r="H72" s="832"/>
      <c r="I72" s="839" t="s">
        <v>99</v>
      </c>
      <c r="J72" s="845"/>
      <c r="K72" s="845"/>
      <c r="L72" s="845"/>
      <c r="M72" s="845"/>
      <c r="N72" s="845"/>
      <c r="O72" s="845"/>
      <c r="P72" s="842">
        <v>45692</v>
      </c>
      <c r="Q72" s="833">
        <f t="shared" si="1"/>
        <v>4</v>
      </c>
      <c r="R72" s="836" t="s">
        <v>85</v>
      </c>
      <c r="S72" s="845"/>
    </row>
    <row r="73" spans="1:19" ht="28.8" x14ac:dyDescent="0.3">
      <c r="A73" s="832">
        <v>72</v>
      </c>
      <c r="B73" s="841">
        <v>1550</v>
      </c>
      <c r="C73" s="842">
        <v>45680</v>
      </c>
      <c r="D73" s="843" t="s">
        <v>183</v>
      </c>
      <c r="E73" s="836" t="s">
        <v>21</v>
      </c>
      <c r="F73" s="837" t="s">
        <v>8</v>
      </c>
      <c r="G73" s="844">
        <v>45680</v>
      </c>
      <c r="H73" s="845"/>
      <c r="I73" s="839" t="s">
        <v>125</v>
      </c>
      <c r="J73" s="845"/>
      <c r="K73" s="845"/>
      <c r="L73" s="845"/>
      <c r="M73" s="845"/>
      <c r="N73" s="845"/>
      <c r="O73" s="845"/>
      <c r="P73" s="842">
        <v>45691</v>
      </c>
      <c r="Q73" s="833">
        <f t="shared" si="1"/>
        <v>11</v>
      </c>
      <c r="R73" s="836" t="s">
        <v>138</v>
      </c>
      <c r="S73" s="845"/>
    </row>
    <row r="74" spans="1:19" ht="28.8" x14ac:dyDescent="0.3">
      <c r="A74" s="832">
        <v>73</v>
      </c>
      <c r="B74" s="841">
        <v>1550</v>
      </c>
      <c r="C74" s="842">
        <v>45680</v>
      </c>
      <c r="D74" s="843" t="s">
        <v>184</v>
      </c>
      <c r="E74" s="836" t="s">
        <v>1</v>
      </c>
      <c r="F74" s="837" t="s">
        <v>8</v>
      </c>
      <c r="G74" s="844">
        <v>45680</v>
      </c>
      <c r="H74" s="845"/>
      <c r="I74" s="839" t="s">
        <v>125</v>
      </c>
      <c r="J74" s="845"/>
      <c r="K74" s="845"/>
      <c r="L74" s="845"/>
      <c r="M74" s="845"/>
      <c r="N74" s="845"/>
      <c r="O74" s="845"/>
      <c r="P74" s="842">
        <v>45691</v>
      </c>
      <c r="Q74" s="833">
        <f t="shared" si="1"/>
        <v>11</v>
      </c>
      <c r="R74" s="836" t="s">
        <v>94</v>
      </c>
      <c r="S74" s="845"/>
    </row>
    <row r="75" spans="1:19" ht="43.2" x14ac:dyDescent="0.3">
      <c r="A75" s="832">
        <v>74</v>
      </c>
      <c r="B75" s="833">
        <v>1550</v>
      </c>
      <c r="C75" s="834">
        <v>45680</v>
      </c>
      <c r="D75" s="835" t="s">
        <v>185</v>
      </c>
      <c r="E75" s="836" t="s">
        <v>51</v>
      </c>
      <c r="F75" s="836" t="s">
        <v>4</v>
      </c>
      <c r="G75" s="838">
        <v>45680</v>
      </c>
      <c r="H75" s="832"/>
      <c r="I75" s="839" t="s">
        <v>99</v>
      </c>
      <c r="J75" s="833"/>
      <c r="K75" s="832"/>
      <c r="L75" s="832"/>
      <c r="M75" s="833"/>
      <c r="N75" s="832"/>
      <c r="O75" s="832"/>
      <c r="P75" s="834">
        <v>45691</v>
      </c>
      <c r="Q75" s="833">
        <f t="shared" si="1"/>
        <v>11</v>
      </c>
      <c r="R75" s="836"/>
      <c r="S75" s="832"/>
    </row>
    <row r="76" spans="1:19" ht="43.2" x14ac:dyDescent="0.3">
      <c r="A76" s="832">
        <v>75</v>
      </c>
      <c r="B76" s="833">
        <v>1550</v>
      </c>
      <c r="C76" s="834">
        <v>45680</v>
      </c>
      <c r="D76" s="835" t="s">
        <v>186</v>
      </c>
      <c r="E76" s="836" t="s">
        <v>51</v>
      </c>
      <c r="F76" s="836" t="s">
        <v>8</v>
      </c>
      <c r="G76" s="838">
        <v>45680</v>
      </c>
      <c r="H76" s="832"/>
      <c r="I76" s="839" t="s">
        <v>99</v>
      </c>
      <c r="J76" s="833"/>
      <c r="K76" s="832"/>
      <c r="L76" s="832"/>
      <c r="M76" s="833"/>
      <c r="N76" s="832"/>
      <c r="O76" s="832"/>
      <c r="P76" s="834">
        <v>45691</v>
      </c>
      <c r="Q76" s="833">
        <f t="shared" si="1"/>
        <v>11</v>
      </c>
      <c r="R76" s="836" t="s">
        <v>138</v>
      </c>
      <c r="S76" s="832"/>
    </row>
    <row r="77" spans="1:19" ht="72" x14ac:dyDescent="0.3">
      <c r="A77" s="832">
        <v>76</v>
      </c>
      <c r="B77" s="833" t="s">
        <v>80</v>
      </c>
      <c r="C77" s="834">
        <v>45680</v>
      </c>
      <c r="D77" s="843" t="s">
        <v>187</v>
      </c>
      <c r="E77" s="836" t="s">
        <v>12</v>
      </c>
      <c r="F77" s="837" t="s">
        <v>10</v>
      </c>
      <c r="G77" s="838">
        <v>45680</v>
      </c>
      <c r="H77" s="832"/>
      <c r="I77" s="839" t="s">
        <v>159</v>
      </c>
      <c r="J77" s="833"/>
      <c r="K77" s="832"/>
      <c r="L77" s="832"/>
      <c r="M77" s="833"/>
      <c r="N77" s="832"/>
      <c r="O77" s="832"/>
      <c r="P77" s="834">
        <v>45691</v>
      </c>
      <c r="Q77" s="833">
        <f t="shared" si="1"/>
        <v>11</v>
      </c>
      <c r="R77" s="836"/>
      <c r="S77" s="832"/>
    </row>
    <row r="78" spans="1:19" ht="43.2" x14ac:dyDescent="0.3">
      <c r="A78" s="832">
        <v>77</v>
      </c>
      <c r="B78" s="833">
        <v>1550</v>
      </c>
      <c r="C78" s="834">
        <v>45681</v>
      </c>
      <c r="D78" s="835" t="s">
        <v>188</v>
      </c>
      <c r="E78" s="836" t="s">
        <v>51</v>
      </c>
      <c r="F78" s="836" t="s">
        <v>8</v>
      </c>
      <c r="G78" s="838">
        <v>45681</v>
      </c>
      <c r="H78" s="832"/>
      <c r="I78" s="839" t="s">
        <v>99</v>
      </c>
      <c r="J78" s="833"/>
      <c r="K78" s="832"/>
      <c r="L78" s="832"/>
      <c r="M78" s="833"/>
      <c r="N78" s="832"/>
      <c r="O78" s="832"/>
      <c r="P78" s="834">
        <v>45691</v>
      </c>
      <c r="Q78" s="833">
        <f t="shared" si="1"/>
        <v>10</v>
      </c>
      <c r="R78" s="836" t="s">
        <v>151</v>
      </c>
      <c r="S78" s="832"/>
    </row>
    <row r="79" spans="1:19" ht="43.2" x14ac:dyDescent="0.3">
      <c r="A79" s="832">
        <v>78</v>
      </c>
      <c r="B79" s="833">
        <v>1550</v>
      </c>
      <c r="C79" s="834">
        <v>45681</v>
      </c>
      <c r="D79" s="835" t="s">
        <v>189</v>
      </c>
      <c r="E79" s="836" t="s">
        <v>51</v>
      </c>
      <c r="F79" s="836" t="s">
        <v>8</v>
      </c>
      <c r="G79" s="838">
        <v>45681</v>
      </c>
      <c r="H79" s="832"/>
      <c r="I79" s="839" t="s">
        <v>99</v>
      </c>
      <c r="J79" s="833"/>
      <c r="K79" s="832"/>
      <c r="L79" s="832"/>
      <c r="M79" s="833"/>
      <c r="N79" s="832"/>
      <c r="O79" s="832"/>
      <c r="P79" s="834">
        <v>45691</v>
      </c>
      <c r="Q79" s="833">
        <f t="shared" si="1"/>
        <v>10</v>
      </c>
      <c r="R79" s="836" t="s">
        <v>190</v>
      </c>
      <c r="S79" s="832"/>
    </row>
    <row r="80" spans="1:19" ht="28.8" x14ac:dyDescent="0.3">
      <c r="A80" s="832">
        <v>79</v>
      </c>
      <c r="B80" s="833">
        <v>1550</v>
      </c>
      <c r="C80" s="834">
        <v>45681</v>
      </c>
      <c r="D80" s="835" t="s">
        <v>191</v>
      </c>
      <c r="E80" s="836" t="s">
        <v>1</v>
      </c>
      <c r="F80" s="836" t="s">
        <v>8</v>
      </c>
      <c r="G80" s="838">
        <v>45681</v>
      </c>
      <c r="H80" s="832"/>
      <c r="I80" s="839" t="s">
        <v>125</v>
      </c>
      <c r="J80" s="833"/>
      <c r="K80" s="832"/>
      <c r="L80" s="832"/>
      <c r="M80" s="833"/>
      <c r="N80" s="832"/>
      <c r="O80" s="832"/>
      <c r="P80" s="834">
        <v>45691</v>
      </c>
      <c r="Q80" s="833">
        <f t="shared" si="1"/>
        <v>10</v>
      </c>
      <c r="R80" s="836" t="s">
        <v>94</v>
      </c>
      <c r="S80" s="832"/>
    </row>
    <row r="81" spans="1:19" ht="57.6" x14ac:dyDescent="0.3">
      <c r="A81" s="832">
        <v>80</v>
      </c>
      <c r="B81" s="833" t="s">
        <v>80</v>
      </c>
      <c r="C81" s="834">
        <v>45681</v>
      </c>
      <c r="D81" s="835" t="s">
        <v>192</v>
      </c>
      <c r="E81" s="836" t="s">
        <v>3</v>
      </c>
      <c r="F81" s="837" t="s">
        <v>10</v>
      </c>
      <c r="G81" s="838">
        <v>45681</v>
      </c>
      <c r="H81" s="832"/>
      <c r="I81" s="839" t="s">
        <v>82</v>
      </c>
      <c r="J81" s="833"/>
      <c r="K81" s="832"/>
      <c r="L81" s="832"/>
      <c r="M81" s="833"/>
      <c r="N81" s="832"/>
      <c r="O81" s="832"/>
      <c r="P81" s="834">
        <v>45691</v>
      </c>
      <c r="Q81" s="833">
        <f t="shared" si="1"/>
        <v>10</v>
      </c>
      <c r="R81" s="836"/>
      <c r="S81" s="832"/>
    </row>
    <row r="82" spans="1:19" ht="43.2" x14ac:dyDescent="0.3">
      <c r="A82" s="832">
        <v>81</v>
      </c>
      <c r="B82" s="833">
        <v>1550</v>
      </c>
      <c r="C82" s="834">
        <v>45684</v>
      </c>
      <c r="D82" s="835" t="s">
        <v>193</v>
      </c>
      <c r="E82" s="836" t="s">
        <v>51</v>
      </c>
      <c r="F82" s="836" t="s">
        <v>8</v>
      </c>
      <c r="G82" s="838">
        <v>45684</v>
      </c>
      <c r="H82" s="832"/>
      <c r="I82" s="839" t="s">
        <v>99</v>
      </c>
      <c r="J82" s="833"/>
      <c r="K82" s="832"/>
      <c r="L82" s="832"/>
      <c r="M82" s="833"/>
      <c r="N82" s="832"/>
      <c r="O82" s="832"/>
      <c r="P82" s="834">
        <v>45691</v>
      </c>
      <c r="Q82" s="833">
        <f t="shared" si="1"/>
        <v>7</v>
      </c>
      <c r="R82" s="836" t="s">
        <v>94</v>
      </c>
      <c r="S82" s="832"/>
    </row>
    <row r="83" spans="1:19" ht="43.2" x14ac:dyDescent="0.3">
      <c r="A83" s="832">
        <v>82</v>
      </c>
      <c r="B83" s="833">
        <v>1550</v>
      </c>
      <c r="C83" s="834">
        <v>45684</v>
      </c>
      <c r="D83" s="835" t="s">
        <v>194</v>
      </c>
      <c r="E83" s="836" t="s">
        <v>51</v>
      </c>
      <c r="F83" s="836" t="s">
        <v>6</v>
      </c>
      <c r="G83" s="838">
        <v>45684</v>
      </c>
      <c r="H83" s="832"/>
      <c r="I83" s="839" t="s">
        <v>99</v>
      </c>
      <c r="J83" s="833"/>
      <c r="K83" s="832"/>
      <c r="L83" s="832"/>
      <c r="M83" s="833"/>
      <c r="N83" s="832"/>
      <c r="O83" s="832"/>
      <c r="P83" s="834">
        <v>45691</v>
      </c>
      <c r="Q83" s="833">
        <f t="shared" si="1"/>
        <v>7</v>
      </c>
      <c r="R83" s="836"/>
      <c r="S83" s="832"/>
    </row>
    <row r="84" spans="1:19" ht="43.2" x14ac:dyDescent="0.3">
      <c r="A84" s="832">
        <v>83</v>
      </c>
      <c r="B84" s="833">
        <v>1550</v>
      </c>
      <c r="C84" s="834">
        <v>45684</v>
      </c>
      <c r="D84" s="835" t="s">
        <v>195</v>
      </c>
      <c r="E84" s="836" t="s">
        <v>51</v>
      </c>
      <c r="F84" s="836" t="s">
        <v>6</v>
      </c>
      <c r="G84" s="838">
        <v>45684</v>
      </c>
      <c r="H84" s="832"/>
      <c r="I84" s="839" t="s">
        <v>99</v>
      </c>
      <c r="J84" s="833"/>
      <c r="K84" s="832"/>
      <c r="L84" s="832"/>
      <c r="M84" s="833"/>
      <c r="N84" s="832"/>
      <c r="O84" s="832"/>
      <c r="P84" s="834">
        <v>45691</v>
      </c>
      <c r="Q84" s="833">
        <f t="shared" si="1"/>
        <v>7</v>
      </c>
      <c r="R84" s="836"/>
      <c r="S84" s="832"/>
    </row>
    <row r="85" spans="1:19" ht="43.2" x14ac:dyDescent="0.3">
      <c r="A85" s="832">
        <v>84</v>
      </c>
      <c r="B85" s="833">
        <v>1550</v>
      </c>
      <c r="C85" s="834">
        <v>45684</v>
      </c>
      <c r="D85" s="835" t="s">
        <v>196</v>
      </c>
      <c r="E85" s="836" t="s">
        <v>51</v>
      </c>
      <c r="F85" s="836" t="s">
        <v>8</v>
      </c>
      <c r="G85" s="838">
        <v>45684</v>
      </c>
      <c r="H85" s="832"/>
      <c r="I85" s="839" t="s">
        <v>99</v>
      </c>
      <c r="J85" s="833"/>
      <c r="K85" s="832"/>
      <c r="L85" s="832"/>
      <c r="M85" s="833"/>
      <c r="N85" s="832"/>
      <c r="O85" s="832"/>
      <c r="P85" s="834">
        <v>45691</v>
      </c>
      <c r="Q85" s="833">
        <f t="shared" si="1"/>
        <v>7</v>
      </c>
      <c r="R85" s="836" t="s">
        <v>94</v>
      </c>
      <c r="S85" s="832"/>
    </row>
    <row r="86" spans="1:19" ht="28.8" x14ac:dyDescent="0.3">
      <c r="A86" s="832">
        <v>85</v>
      </c>
      <c r="B86" s="833">
        <v>1550</v>
      </c>
      <c r="C86" s="834">
        <v>45684</v>
      </c>
      <c r="D86" s="835" t="s">
        <v>197</v>
      </c>
      <c r="E86" s="836" t="s">
        <v>1</v>
      </c>
      <c r="F86" s="836" t="s">
        <v>8</v>
      </c>
      <c r="G86" s="838">
        <v>45684</v>
      </c>
      <c r="H86" s="832"/>
      <c r="I86" s="839" t="s">
        <v>125</v>
      </c>
      <c r="J86" s="833"/>
      <c r="K86" s="832"/>
      <c r="L86" s="832"/>
      <c r="M86" s="833"/>
      <c r="N86" s="832"/>
      <c r="O86" s="832"/>
      <c r="P86" s="834">
        <v>45691</v>
      </c>
      <c r="Q86" s="833">
        <f t="shared" si="1"/>
        <v>7</v>
      </c>
      <c r="R86" s="836" t="s">
        <v>154</v>
      </c>
      <c r="S86" s="832"/>
    </row>
    <row r="87" spans="1:19" ht="115.2" x14ac:dyDescent="0.3">
      <c r="A87" s="832">
        <v>86</v>
      </c>
      <c r="B87" s="833" t="s">
        <v>80</v>
      </c>
      <c r="C87" s="834">
        <v>45684</v>
      </c>
      <c r="D87" s="835" t="s">
        <v>198</v>
      </c>
      <c r="E87" s="836" t="s">
        <v>3</v>
      </c>
      <c r="F87" s="836" t="s">
        <v>10</v>
      </c>
      <c r="G87" s="838">
        <v>45684</v>
      </c>
      <c r="H87" s="839">
        <v>10000255965</v>
      </c>
      <c r="I87" s="839" t="s">
        <v>82</v>
      </c>
      <c r="J87" s="833"/>
      <c r="K87" s="832"/>
      <c r="L87" s="832"/>
      <c r="M87" s="833"/>
      <c r="N87" s="832"/>
      <c r="O87" s="832"/>
      <c r="P87" s="834">
        <v>45691</v>
      </c>
      <c r="Q87" s="833">
        <f t="shared" si="1"/>
        <v>7</v>
      </c>
      <c r="R87" s="836"/>
      <c r="S87" s="832"/>
    </row>
    <row r="88" spans="1:19" ht="43.2" x14ac:dyDescent="0.3">
      <c r="A88" s="832">
        <v>87</v>
      </c>
      <c r="B88" s="833" t="s">
        <v>80</v>
      </c>
      <c r="C88" s="834">
        <v>45684</v>
      </c>
      <c r="D88" s="835" t="s">
        <v>199</v>
      </c>
      <c r="E88" s="836" t="s">
        <v>51</v>
      </c>
      <c r="F88" s="836" t="s">
        <v>10</v>
      </c>
      <c r="G88" s="838">
        <v>45684</v>
      </c>
      <c r="H88" s="832"/>
      <c r="I88" s="839" t="s">
        <v>99</v>
      </c>
      <c r="J88" s="833"/>
      <c r="K88" s="832"/>
      <c r="L88" s="832"/>
      <c r="M88" s="833"/>
      <c r="N88" s="832"/>
      <c r="O88" s="832"/>
      <c r="P88" s="834">
        <v>45691</v>
      </c>
      <c r="Q88" s="833">
        <f t="shared" si="1"/>
        <v>7</v>
      </c>
      <c r="R88" s="836"/>
      <c r="S88" s="832"/>
    </row>
    <row r="89" spans="1:19" ht="72" x14ac:dyDescent="0.3">
      <c r="A89" s="832">
        <v>88</v>
      </c>
      <c r="B89" s="833" t="s">
        <v>80</v>
      </c>
      <c r="C89" s="834">
        <v>45684</v>
      </c>
      <c r="D89" s="835" t="s">
        <v>200</v>
      </c>
      <c r="E89" s="836" t="s">
        <v>25</v>
      </c>
      <c r="F89" s="836" t="s">
        <v>10</v>
      </c>
      <c r="G89" s="838">
        <v>45684</v>
      </c>
      <c r="H89" s="839">
        <v>10000256036</v>
      </c>
      <c r="I89" s="839" t="s">
        <v>135</v>
      </c>
      <c r="J89" s="833"/>
      <c r="K89" s="832"/>
      <c r="L89" s="832"/>
      <c r="M89" s="833"/>
      <c r="N89" s="832"/>
      <c r="O89" s="832"/>
      <c r="P89" s="834">
        <v>45691</v>
      </c>
      <c r="Q89" s="833">
        <f t="shared" si="1"/>
        <v>7</v>
      </c>
      <c r="R89" s="836"/>
      <c r="S89" s="832"/>
    </row>
    <row r="90" spans="1:19" ht="43.2" x14ac:dyDescent="0.3">
      <c r="A90" s="832">
        <v>89</v>
      </c>
      <c r="B90" s="833" t="s">
        <v>80</v>
      </c>
      <c r="C90" s="834">
        <v>45684</v>
      </c>
      <c r="D90" s="835" t="s">
        <v>201</v>
      </c>
      <c r="E90" s="836" t="s">
        <v>51</v>
      </c>
      <c r="F90" s="836" t="s">
        <v>10</v>
      </c>
      <c r="G90" s="838">
        <v>45684</v>
      </c>
      <c r="H90" s="832"/>
      <c r="I90" s="839" t="s">
        <v>99</v>
      </c>
      <c r="J90" s="833"/>
      <c r="K90" s="832"/>
      <c r="L90" s="832"/>
      <c r="M90" s="833"/>
      <c r="N90" s="832"/>
      <c r="O90" s="832"/>
      <c r="P90" s="834">
        <v>45691</v>
      </c>
      <c r="Q90" s="833">
        <f t="shared" si="1"/>
        <v>7</v>
      </c>
      <c r="R90" s="836"/>
      <c r="S90" s="832"/>
    </row>
    <row r="91" spans="1:19" ht="43.2" x14ac:dyDescent="0.3">
      <c r="A91" s="832">
        <v>90</v>
      </c>
      <c r="B91" s="833" t="s">
        <v>80</v>
      </c>
      <c r="C91" s="834">
        <v>45684</v>
      </c>
      <c r="D91" s="835" t="s">
        <v>202</v>
      </c>
      <c r="E91" s="836" t="s">
        <v>51</v>
      </c>
      <c r="F91" s="836" t="s">
        <v>10</v>
      </c>
      <c r="G91" s="838">
        <v>45684</v>
      </c>
      <c r="H91" s="832"/>
      <c r="I91" s="839" t="s">
        <v>99</v>
      </c>
      <c r="J91" s="833"/>
      <c r="K91" s="832"/>
      <c r="L91" s="832"/>
      <c r="M91" s="833"/>
      <c r="N91" s="832"/>
      <c r="O91" s="832"/>
      <c r="P91" s="834">
        <v>45691</v>
      </c>
      <c r="Q91" s="833">
        <f t="shared" si="1"/>
        <v>7</v>
      </c>
      <c r="R91" s="836"/>
      <c r="S91" s="832"/>
    </row>
    <row r="92" spans="1:19" ht="43.2" x14ac:dyDescent="0.3">
      <c r="A92" s="832">
        <v>91</v>
      </c>
      <c r="B92" s="833" t="s">
        <v>80</v>
      </c>
      <c r="C92" s="834">
        <v>45684</v>
      </c>
      <c r="D92" s="835" t="s">
        <v>203</v>
      </c>
      <c r="E92" s="836" t="s">
        <v>51</v>
      </c>
      <c r="F92" s="836" t="s">
        <v>10</v>
      </c>
      <c r="G92" s="838">
        <v>45684</v>
      </c>
      <c r="H92" s="832"/>
      <c r="I92" s="839" t="s">
        <v>99</v>
      </c>
      <c r="J92" s="833"/>
      <c r="K92" s="832"/>
      <c r="L92" s="832"/>
      <c r="M92" s="833"/>
      <c r="N92" s="832"/>
      <c r="O92" s="832"/>
      <c r="P92" s="834">
        <v>45691</v>
      </c>
      <c r="Q92" s="833">
        <f t="shared" si="1"/>
        <v>7</v>
      </c>
      <c r="R92" s="836"/>
      <c r="S92" s="832"/>
    </row>
    <row r="93" spans="1:19" ht="28.8" x14ac:dyDescent="0.3">
      <c r="A93" s="832">
        <v>92</v>
      </c>
      <c r="B93" s="833">
        <v>1550</v>
      </c>
      <c r="C93" s="834">
        <v>45684</v>
      </c>
      <c r="D93" s="835" t="s">
        <v>204</v>
      </c>
      <c r="E93" s="836" t="s">
        <v>1</v>
      </c>
      <c r="F93" s="836" t="s">
        <v>8</v>
      </c>
      <c r="G93" s="838">
        <v>45685</v>
      </c>
      <c r="H93" s="832"/>
      <c r="I93" s="839" t="s">
        <v>125</v>
      </c>
      <c r="J93" s="833"/>
      <c r="K93" s="832"/>
      <c r="L93" s="832"/>
      <c r="M93" s="833"/>
      <c r="N93" s="832"/>
      <c r="O93" s="832"/>
      <c r="P93" s="834">
        <v>45691</v>
      </c>
      <c r="Q93" s="833">
        <f t="shared" si="1"/>
        <v>6</v>
      </c>
      <c r="R93" s="836" t="s">
        <v>205</v>
      </c>
      <c r="S93" s="832"/>
    </row>
    <row r="94" spans="1:19" ht="43.2" x14ac:dyDescent="0.3">
      <c r="A94" s="832">
        <v>93</v>
      </c>
      <c r="B94" s="833">
        <v>1550</v>
      </c>
      <c r="C94" s="834">
        <v>45685</v>
      </c>
      <c r="D94" s="835" t="s">
        <v>206</v>
      </c>
      <c r="E94" s="836" t="s">
        <v>51</v>
      </c>
      <c r="F94" s="836" t="s">
        <v>4</v>
      </c>
      <c r="G94" s="838">
        <v>45685</v>
      </c>
      <c r="H94" s="832"/>
      <c r="I94" s="839" t="s">
        <v>99</v>
      </c>
      <c r="J94" s="833"/>
      <c r="K94" s="832"/>
      <c r="L94" s="832"/>
      <c r="M94" s="833"/>
      <c r="N94" s="832"/>
      <c r="O94" s="832"/>
      <c r="P94" s="834">
        <v>45691</v>
      </c>
      <c r="Q94" s="833">
        <f t="shared" si="1"/>
        <v>6</v>
      </c>
      <c r="R94" s="836"/>
      <c r="S94" s="832"/>
    </row>
    <row r="95" spans="1:19" ht="43.2" x14ac:dyDescent="0.3">
      <c r="A95" s="832">
        <v>94</v>
      </c>
      <c r="B95" s="833">
        <v>1550</v>
      </c>
      <c r="C95" s="834">
        <v>45685</v>
      </c>
      <c r="D95" s="835" t="s">
        <v>207</v>
      </c>
      <c r="E95" s="836" t="s">
        <v>51</v>
      </c>
      <c r="F95" s="836" t="s">
        <v>8</v>
      </c>
      <c r="G95" s="838">
        <v>45685</v>
      </c>
      <c r="H95" s="832"/>
      <c r="I95" s="839" t="s">
        <v>99</v>
      </c>
      <c r="J95" s="833"/>
      <c r="K95" s="832"/>
      <c r="L95" s="832"/>
      <c r="M95" s="833"/>
      <c r="N95" s="832"/>
      <c r="O95" s="832"/>
      <c r="P95" s="834">
        <v>45691</v>
      </c>
      <c r="Q95" s="833">
        <f t="shared" si="1"/>
        <v>6</v>
      </c>
      <c r="R95" s="836" t="s">
        <v>138</v>
      </c>
      <c r="S95" s="832"/>
    </row>
    <row r="96" spans="1:19" ht="28.8" x14ac:dyDescent="0.3">
      <c r="A96" s="832">
        <v>95</v>
      </c>
      <c r="B96" s="841">
        <v>1550</v>
      </c>
      <c r="C96" s="842">
        <v>45685</v>
      </c>
      <c r="D96" s="843" t="s">
        <v>208</v>
      </c>
      <c r="E96" s="836" t="s">
        <v>1</v>
      </c>
      <c r="F96" s="837" t="s">
        <v>4</v>
      </c>
      <c r="G96" s="844">
        <v>45685</v>
      </c>
      <c r="H96" s="845"/>
      <c r="I96" s="839" t="s">
        <v>125</v>
      </c>
      <c r="J96" s="845"/>
      <c r="K96" s="845"/>
      <c r="L96" s="845"/>
      <c r="M96" s="845"/>
      <c r="N96" s="845"/>
      <c r="O96" s="845"/>
      <c r="P96" s="842">
        <v>45691</v>
      </c>
      <c r="Q96" s="833">
        <f t="shared" si="1"/>
        <v>6</v>
      </c>
      <c r="R96" s="836"/>
      <c r="S96" s="845"/>
    </row>
    <row r="97" spans="1:19" ht="43.2" x14ac:dyDescent="0.3">
      <c r="A97" s="832">
        <v>96</v>
      </c>
      <c r="B97" s="841">
        <v>1550</v>
      </c>
      <c r="C97" s="842">
        <v>45685</v>
      </c>
      <c r="D97" s="843" t="s">
        <v>209</v>
      </c>
      <c r="E97" s="836" t="s">
        <v>51</v>
      </c>
      <c r="F97" s="837" t="s">
        <v>6</v>
      </c>
      <c r="G97" s="844">
        <v>45685</v>
      </c>
      <c r="H97" s="845"/>
      <c r="I97" s="839" t="s">
        <v>99</v>
      </c>
      <c r="J97" s="845"/>
      <c r="K97" s="845"/>
      <c r="L97" s="845"/>
      <c r="M97" s="845"/>
      <c r="N97" s="845"/>
      <c r="O97" s="845"/>
      <c r="P97" s="842">
        <v>45691</v>
      </c>
      <c r="Q97" s="833">
        <f t="shared" si="1"/>
        <v>6</v>
      </c>
      <c r="R97" s="836"/>
      <c r="S97" s="845"/>
    </row>
    <row r="98" spans="1:19" ht="158.4" x14ac:dyDescent="0.3">
      <c r="A98" s="832">
        <v>97</v>
      </c>
      <c r="B98" s="841" t="s">
        <v>80</v>
      </c>
      <c r="C98" s="842">
        <v>45685</v>
      </c>
      <c r="D98" s="843" t="s">
        <v>210</v>
      </c>
      <c r="E98" s="836" t="s">
        <v>1</v>
      </c>
      <c r="F98" s="836" t="s">
        <v>10</v>
      </c>
      <c r="G98" s="844">
        <v>45685</v>
      </c>
      <c r="H98" s="845"/>
      <c r="I98" s="839" t="s">
        <v>125</v>
      </c>
      <c r="J98" s="845"/>
      <c r="K98" s="845"/>
      <c r="L98" s="845"/>
      <c r="M98" s="845"/>
      <c r="N98" s="845"/>
      <c r="O98" s="845"/>
      <c r="P98" s="842">
        <v>45691</v>
      </c>
      <c r="Q98" s="833">
        <f t="shared" si="1"/>
        <v>6</v>
      </c>
      <c r="R98" s="836" t="s">
        <v>85</v>
      </c>
      <c r="S98" s="845"/>
    </row>
    <row r="99" spans="1:19" ht="43.2" x14ac:dyDescent="0.3">
      <c r="A99" s="832">
        <v>98</v>
      </c>
      <c r="B99" s="841" t="s">
        <v>80</v>
      </c>
      <c r="C99" s="842">
        <v>45685</v>
      </c>
      <c r="D99" s="843" t="s">
        <v>211</v>
      </c>
      <c r="E99" s="836" t="s">
        <v>51</v>
      </c>
      <c r="F99" s="836" t="s">
        <v>10</v>
      </c>
      <c r="G99" s="838">
        <v>45685</v>
      </c>
      <c r="H99" s="832"/>
      <c r="I99" s="839" t="s">
        <v>99</v>
      </c>
      <c r="J99" s="845"/>
      <c r="K99" s="845"/>
      <c r="L99" s="845"/>
      <c r="M99" s="845"/>
      <c r="N99" s="845"/>
      <c r="O99" s="845"/>
      <c r="P99" s="842">
        <v>45691</v>
      </c>
      <c r="Q99" s="833">
        <f t="shared" si="1"/>
        <v>6</v>
      </c>
      <c r="R99" s="836" t="s">
        <v>212</v>
      </c>
      <c r="S99" s="845"/>
    </row>
    <row r="100" spans="1:19" ht="43.2" x14ac:dyDescent="0.3">
      <c r="A100" s="832">
        <v>99</v>
      </c>
      <c r="B100" s="841" t="s">
        <v>80</v>
      </c>
      <c r="C100" s="842">
        <v>45685</v>
      </c>
      <c r="D100" s="843" t="s">
        <v>213</v>
      </c>
      <c r="E100" s="836" t="s">
        <v>51</v>
      </c>
      <c r="F100" s="836" t="s">
        <v>10</v>
      </c>
      <c r="G100" s="838">
        <v>45685</v>
      </c>
      <c r="H100" s="832"/>
      <c r="I100" s="839" t="s">
        <v>99</v>
      </c>
      <c r="J100" s="845"/>
      <c r="K100" s="845"/>
      <c r="L100" s="845"/>
      <c r="M100" s="845"/>
      <c r="N100" s="845"/>
      <c r="O100" s="845"/>
      <c r="P100" s="842">
        <v>45691</v>
      </c>
      <c r="Q100" s="833">
        <f t="shared" si="1"/>
        <v>6</v>
      </c>
      <c r="R100" s="836" t="s">
        <v>214</v>
      </c>
      <c r="S100" s="845"/>
    </row>
    <row r="101" spans="1:19" ht="43.2" x14ac:dyDescent="0.3">
      <c r="A101" s="832">
        <v>100</v>
      </c>
      <c r="B101" s="841" t="s">
        <v>80</v>
      </c>
      <c r="C101" s="842">
        <v>45685</v>
      </c>
      <c r="D101" s="843" t="s">
        <v>215</v>
      </c>
      <c r="E101" s="836" t="s">
        <v>51</v>
      </c>
      <c r="F101" s="836" t="s">
        <v>10</v>
      </c>
      <c r="G101" s="838">
        <v>45685</v>
      </c>
      <c r="H101" s="832"/>
      <c r="I101" s="839" t="s">
        <v>99</v>
      </c>
      <c r="J101" s="845"/>
      <c r="K101" s="845"/>
      <c r="L101" s="845"/>
      <c r="M101" s="845"/>
      <c r="N101" s="845"/>
      <c r="O101" s="845"/>
      <c r="P101" s="842">
        <v>45691</v>
      </c>
      <c r="Q101" s="833">
        <f t="shared" si="1"/>
        <v>6</v>
      </c>
      <c r="R101" s="836" t="s">
        <v>216</v>
      </c>
      <c r="S101" s="845"/>
    </row>
    <row r="102" spans="1:19" ht="43.2" x14ac:dyDescent="0.3">
      <c r="A102" s="832">
        <v>101</v>
      </c>
      <c r="B102" s="841">
        <v>1550</v>
      </c>
      <c r="C102" s="842">
        <v>45686</v>
      </c>
      <c r="D102" s="843" t="s">
        <v>217</v>
      </c>
      <c r="E102" s="836" t="s">
        <v>51</v>
      </c>
      <c r="F102" s="837" t="s">
        <v>8</v>
      </c>
      <c r="G102" s="844">
        <v>45686</v>
      </c>
      <c r="H102" s="845"/>
      <c r="I102" s="839" t="s">
        <v>99</v>
      </c>
      <c r="J102" s="845"/>
      <c r="K102" s="845"/>
      <c r="L102" s="845"/>
      <c r="M102" s="845"/>
      <c r="N102" s="845"/>
      <c r="O102" s="845"/>
      <c r="P102" s="842">
        <v>45691</v>
      </c>
      <c r="Q102" s="833">
        <f t="shared" si="1"/>
        <v>5</v>
      </c>
      <c r="R102" s="836" t="s">
        <v>94</v>
      </c>
      <c r="S102" s="845"/>
    </row>
    <row r="103" spans="1:19" ht="43.2" x14ac:dyDescent="0.3">
      <c r="A103" s="832">
        <v>102</v>
      </c>
      <c r="B103" s="841" t="s">
        <v>80</v>
      </c>
      <c r="C103" s="842">
        <v>45686</v>
      </c>
      <c r="D103" s="843" t="s">
        <v>218</v>
      </c>
      <c r="E103" s="836" t="s">
        <v>51</v>
      </c>
      <c r="F103" s="836" t="s">
        <v>10</v>
      </c>
      <c r="G103" s="844">
        <v>45686</v>
      </c>
      <c r="H103" s="832"/>
      <c r="I103" s="839" t="s">
        <v>99</v>
      </c>
      <c r="J103" s="845"/>
      <c r="K103" s="845"/>
      <c r="L103" s="845"/>
      <c r="M103" s="845"/>
      <c r="N103" s="845"/>
      <c r="O103" s="845"/>
      <c r="P103" s="842">
        <v>45691</v>
      </c>
      <c r="Q103" s="833">
        <f t="shared" si="1"/>
        <v>5</v>
      </c>
      <c r="R103" s="836" t="s">
        <v>216</v>
      </c>
      <c r="S103" s="845"/>
    </row>
    <row r="104" spans="1:19" ht="43.2" x14ac:dyDescent="0.3">
      <c r="A104" s="832">
        <v>103</v>
      </c>
      <c r="B104" s="841" t="s">
        <v>80</v>
      </c>
      <c r="C104" s="842">
        <v>45686</v>
      </c>
      <c r="D104" s="843" t="s">
        <v>219</v>
      </c>
      <c r="E104" s="836" t="s">
        <v>51</v>
      </c>
      <c r="F104" s="836" t="s">
        <v>10</v>
      </c>
      <c r="G104" s="844">
        <v>45686</v>
      </c>
      <c r="H104" s="832"/>
      <c r="I104" s="839" t="s">
        <v>99</v>
      </c>
      <c r="J104" s="845"/>
      <c r="K104" s="845"/>
      <c r="L104" s="845"/>
      <c r="M104" s="845"/>
      <c r="N104" s="845"/>
      <c r="O104" s="845"/>
      <c r="P104" s="842">
        <v>45691</v>
      </c>
      <c r="Q104" s="833">
        <f t="shared" si="1"/>
        <v>5</v>
      </c>
      <c r="R104" s="836" t="s">
        <v>212</v>
      </c>
      <c r="S104" s="845"/>
    </row>
    <row r="105" spans="1:19" ht="43.2" x14ac:dyDescent="0.3">
      <c r="A105" s="832">
        <v>104</v>
      </c>
      <c r="B105" s="841">
        <v>1550</v>
      </c>
      <c r="C105" s="842">
        <v>45687</v>
      </c>
      <c r="D105" s="843" t="s">
        <v>220</v>
      </c>
      <c r="E105" s="836" t="s">
        <v>51</v>
      </c>
      <c r="F105" s="837" t="s">
        <v>8</v>
      </c>
      <c r="G105" s="844">
        <v>45687</v>
      </c>
      <c r="H105" s="845"/>
      <c r="I105" s="839" t="s">
        <v>99</v>
      </c>
      <c r="J105" s="845"/>
      <c r="K105" s="845"/>
      <c r="L105" s="845"/>
      <c r="M105" s="845"/>
      <c r="N105" s="845"/>
      <c r="O105" s="845"/>
      <c r="P105" s="842">
        <v>45691</v>
      </c>
      <c r="Q105" s="833">
        <f t="shared" si="1"/>
        <v>4</v>
      </c>
      <c r="R105" s="836" t="s">
        <v>138</v>
      </c>
      <c r="S105" s="845"/>
    </row>
    <row r="106" spans="1:19" ht="43.2" x14ac:dyDescent="0.3">
      <c r="A106" s="832">
        <v>105</v>
      </c>
      <c r="B106" s="841">
        <v>1550</v>
      </c>
      <c r="C106" s="842">
        <v>45687</v>
      </c>
      <c r="D106" s="843" t="s">
        <v>221</v>
      </c>
      <c r="E106" s="836" t="s">
        <v>51</v>
      </c>
      <c r="F106" s="837" t="s">
        <v>6</v>
      </c>
      <c r="G106" s="844">
        <v>45688</v>
      </c>
      <c r="H106" s="845"/>
      <c r="I106" s="839" t="s">
        <v>99</v>
      </c>
      <c r="J106" s="845"/>
      <c r="K106" s="845"/>
      <c r="L106" s="845"/>
      <c r="M106" s="845"/>
      <c r="N106" s="845"/>
      <c r="O106" s="845"/>
      <c r="P106" s="842">
        <v>45691</v>
      </c>
      <c r="Q106" s="833">
        <f t="shared" si="1"/>
        <v>3</v>
      </c>
      <c r="R106" s="836"/>
      <c r="S106" s="845"/>
    </row>
    <row r="107" spans="1:19" ht="100.8" x14ac:dyDescent="0.3">
      <c r="A107" s="832">
        <v>106</v>
      </c>
      <c r="B107" s="841">
        <v>1550</v>
      </c>
      <c r="C107" s="842">
        <v>45687</v>
      </c>
      <c r="D107" s="843" t="s">
        <v>222</v>
      </c>
      <c r="E107" s="836" t="s">
        <v>1</v>
      </c>
      <c r="F107" s="837" t="s">
        <v>6</v>
      </c>
      <c r="G107" s="844">
        <v>45687</v>
      </c>
      <c r="H107" s="845"/>
      <c r="I107" s="839" t="s">
        <v>125</v>
      </c>
      <c r="J107" s="845"/>
      <c r="K107" s="845"/>
      <c r="L107" s="845"/>
      <c r="M107" s="845"/>
      <c r="N107" s="845"/>
      <c r="O107" s="845"/>
      <c r="P107" s="842">
        <v>45691</v>
      </c>
      <c r="Q107" s="833">
        <f t="shared" si="1"/>
        <v>4</v>
      </c>
      <c r="R107" s="836"/>
      <c r="S107" s="845"/>
    </row>
    <row r="108" spans="1:19" ht="43.2" x14ac:dyDescent="0.3">
      <c r="A108" s="832">
        <v>107</v>
      </c>
      <c r="B108" s="841">
        <v>1550</v>
      </c>
      <c r="C108" s="842">
        <v>45687</v>
      </c>
      <c r="D108" s="843" t="s">
        <v>223</v>
      </c>
      <c r="E108" s="836" t="s">
        <v>51</v>
      </c>
      <c r="F108" s="837" t="s">
        <v>6</v>
      </c>
      <c r="G108" s="844">
        <v>45688</v>
      </c>
      <c r="H108" s="845"/>
      <c r="I108" s="839" t="s">
        <v>99</v>
      </c>
      <c r="J108" s="845"/>
      <c r="K108" s="845"/>
      <c r="L108" s="845"/>
      <c r="M108" s="845"/>
      <c r="N108" s="845"/>
      <c r="O108" s="845"/>
      <c r="P108" s="842">
        <v>45691</v>
      </c>
      <c r="Q108" s="833">
        <f t="shared" si="1"/>
        <v>3</v>
      </c>
      <c r="R108" s="836"/>
      <c r="S108" s="845"/>
    </row>
    <row r="109" spans="1:19" ht="43.2" x14ac:dyDescent="0.3">
      <c r="A109" s="832">
        <v>108</v>
      </c>
      <c r="B109" s="841" t="s">
        <v>80</v>
      </c>
      <c r="C109" s="842">
        <v>45687</v>
      </c>
      <c r="D109" s="843" t="s">
        <v>224</v>
      </c>
      <c r="E109" s="836" t="s">
        <v>51</v>
      </c>
      <c r="F109" s="836" t="s">
        <v>10</v>
      </c>
      <c r="G109" s="844">
        <v>45687</v>
      </c>
      <c r="H109" s="832"/>
      <c r="I109" s="839" t="s">
        <v>99</v>
      </c>
      <c r="J109" s="845"/>
      <c r="K109" s="845"/>
      <c r="L109" s="845"/>
      <c r="M109" s="845"/>
      <c r="N109" s="845"/>
      <c r="O109" s="845"/>
      <c r="P109" s="842">
        <v>45691</v>
      </c>
      <c r="Q109" s="833">
        <f t="shared" si="1"/>
        <v>4</v>
      </c>
      <c r="R109" s="836" t="s">
        <v>178</v>
      </c>
      <c r="S109" s="845"/>
    </row>
    <row r="110" spans="1:19" ht="43.2" x14ac:dyDescent="0.3">
      <c r="A110" s="832">
        <v>109</v>
      </c>
      <c r="B110" s="841">
        <v>1550</v>
      </c>
      <c r="C110" s="842">
        <v>45688</v>
      </c>
      <c r="D110" s="843" t="s">
        <v>225</v>
      </c>
      <c r="E110" s="836" t="s">
        <v>51</v>
      </c>
      <c r="F110" s="837" t="s">
        <v>8</v>
      </c>
      <c r="G110" s="844">
        <v>45688</v>
      </c>
      <c r="H110" s="845"/>
      <c r="I110" s="839" t="s">
        <v>99</v>
      </c>
      <c r="J110" s="845"/>
      <c r="K110" s="845"/>
      <c r="L110" s="845"/>
      <c r="M110" s="845"/>
      <c r="N110" s="845"/>
      <c r="O110" s="845"/>
      <c r="P110" s="842">
        <v>45691</v>
      </c>
      <c r="Q110" s="833">
        <f t="shared" si="1"/>
        <v>3</v>
      </c>
      <c r="R110" s="836" t="s">
        <v>94</v>
      </c>
      <c r="S110" s="845"/>
    </row>
    <row r="111" spans="1:19" ht="28.8" x14ac:dyDescent="0.3">
      <c r="A111" s="832">
        <v>110</v>
      </c>
      <c r="B111" s="841">
        <v>1550</v>
      </c>
      <c r="C111" s="842">
        <v>45688</v>
      </c>
      <c r="D111" s="843" t="s">
        <v>226</v>
      </c>
      <c r="E111" s="836" t="s">
        <v>1</v>
      </c>
      <c r="F111" s="837" t="s">
        <v>4</v>
      </c>
      <c r="G111" s="844">
        <v>45688</v>
      </c>
      <c r="H111" s="845"/>
      <c r="I111" s="839" t="s">
        <v>125</v>
      </c>
      <c r="J111" s="845"/>
      <c r="K111" s="845"/>
      <c r="L111" s="845"/>
      <c r="M111" s="845"/>
      <c r="N111" s="845"/>
      <c r="O111" s="845"/>
      <c r="P111" s="842">
        <v>45691</v>
      </c>
      <c r="Q111" s="833">
        <f t="shared" si="1"/>
        <v>3</v>
      </c>
      <c r="R111" s="836"/>
      <c r="S111" s="845"/>
    </row>
    <row r="112" spans="1:19" ht="43.2" x14ac:dyDescent="0.3">
      <c r="A112" s="832">
        <v>111</v>
      </c>
      <c r="B112" s="841">
        <v>1550</v>
      </c>
      <c r="C112" s="842">
        <v>45688</v>
      </c>
      <c r="D112" s="843" t="s">
        <v>227</v>
      </c>
      <c r="E112" s="836" t="s">
        <v>1</v>
      </c>
      <c r="F112" s="837" t="s">
        <v>6</v>
      </c>
      <c r="G112" s="844">
        <v>45688</v>
      </c>
      <c r="H112" s="845"/>
      <c r="I112" s="839" t="s">
        <v>125</v>
      </c>
      <c r="J112" s="845"/>
      <c r="K112" s="845"/>
      <c r="L112" s="845"/>
      <c r="M112" s="845"/>
      <c r="N112" s="845"/>
      <c r="O112" s="845"/>
      <c r="P112" s="842">
        <v>45691</v>
      </c>
      <c r="Q112" s="833">
        <f t="shared" si="1"/>
        <v>3</v>
      </c>
      <c r="R112" s="836"/>
      <c r="S112" s="845"/>
    </row>
    <row r="113" spans="1:19" x14ac:dyDescent="0.3">
      <c r="A113" s="832">
        <v>112</v>
      </c>
      <c r="B113" s="841">
        <v>1550</v>
      </c>
      <c r="C113" s="842">
        <v>45688</v>
      </c>
      <c r="D113" s="843" t="s">
        <v>228</v>
      </c>
      <c r="E113" s="836" t="s">
        <v>23</v>
      </c>
      <c r="F113" s="837" t="s">
        <v>6</v>
      </c>
      <c r="G113" s="844">
        <v>45688</v>
      </c>
      <c r="H113" s="845"/>
      <c r="I113" s="839" t="s">
        <v>135</v>
      </c>
      <c r="J113" s="845"/>
      <c r="K113" s="845"/>
      <c r="L113" s="845"/>
      <c r="M113" s="845"/>
      <c r="N113" s="845"/>
      <c r="O113" s="845"/>
      <c r="P113" s="842">
        <v>45691</v>
      </c>
      <c r="Q113" s="833">
        <f t="shared" si="1"/>
        <v>3</v>
      </c>
      <c r="R113" s="836"/>
      <c r="S113" s="845"/>
    </row>
    <row r="114" spans="1:19" ht="43.2" x14ac:dyDescent="0.3">
      <c r="A114" s="832">
        <v>113</v>
      </c>
      <c r="B114" s="841" t="s">
        <v>80</v>
      </c>
      <c r="C114" s="842">
        <v>45679</v>
      </c>
      <c r="D114" s="835" t="s">
        <v>229</v>
      </c>
      <c r="E114" s="837" t="s">
        <v>51</v>
      </c>
      <c r="F114" s="837" t="s">
        <v>10</v>
      </c>
      <c r="G114" s="844">
        <v>45679</v>
      </c>
      <c r="H114" s="845"/>
      <c r="I114" s="839" t="s">
        <v>99</v>
      </c>
      <c r="J114" s="845"/>
      <c r="K114" s="845"/>
      <c r="L114" s="845"/>
      <c r="M114" s="845"/>
      <c r="N114" s="845"/>
      <c r="O114" s="845"/>
      <c r="P114" s="842">
        <v>45690</v>
      </c>
      <c r="Q114" s="833">
        <f t="shared" si="1"/>
        <v>11</v>
      </c>
      <c r="R114" s="836"/>
      <c r="S114" s="845"/>
    </row>
    <row r="115" spans="1:19" ht="43.2" x14ac:dyDescent="0.3">
      <c r="A115" s="832">
        <v>114</v>
      </c>
      <c r="B115" s="841" t="s">
        <v>80</v>
      </c>
      <c r="C115" s="842">
        <v>45679</v>
      </c>
      <c r="D115" s="835" t="s">
        <v>230</v>
      </c>
      <c r="E115" s="837" t="s">
        <v>51</v>
      </c>
      <c r="F115" s="837" t="s">
        <v>10</v>
      </c>
      <c r="G115" s="844">
        <v>45679</v>
      </c>
      <c r="H115" s="845"/>
      <c r="I115" s="839" t="s">
        <v>99</v>
      </c>
      <c r="J115" s="845"/>
      <c r="K115" s="845"/>
      <c r="L115" s="845"/>
      <c r="M115" s="845"/>
      <c r="N115" s="845"/>
      <c r="O115" s="845"/>
      <c r="P115" s="842">
        <v>45690</v>
      </c>
      <c r="Q115" s="833">
        <f t="shared" si="1"/>
        <v>11</v>
      </c>
      <c r="R115" s="836"/>
      <c r="S115" s="845"/>
    </row>
    <row r="116" spans="1:19" ht="43.2" x14ac:dyDescent="0.3">
      <c r="A116" s="832">
        <v>115</v>
      </c>
      <c r="B116" s="841" t="s">
        <v>80</v>
      </c>
      <c r="C116" s="842">
        <v>45679</v>
      </c>
      <c r="D116" s="835" t="s">
        <v>231</v>
      </c>
      <c r="E116" s="837" t="s">
        <v>51</v>
      </c>
      <c r="F116" s="837" t="s">
        <v>10</v>
      </c>
      <c r="G116" s="844">
        <v>45679</v>
      </c>
      <c r="H116" s="845"/>
      <c r="I116" s="839" t="s">
        <v>99</v>
      </c>
      <c r="J116" s="845"/>
      <c r="K116" s="845"/>
      <c r="L116" s="845"/>
      <c r="M116" s="845"/>
      <c r="N116" s="845"/>
      <c r="O116" s="845"/>
      <c r="P116" s="842">
        <v>45690</v>
      </c>
      <c r="Q116" s="833">
        <f t="shared" si="1"/>
        <v>11</v>
      </c>
      <c r="R116" s="836"/>
      <c r="S116" s="845"/>
    </row>
    <row r="117" spans="1:19" ht="43.2" x14ac:dyDescent="0.3">
      <c r="A117" s="832">
        <v>116</v>
      </c>
      <c r="B117" s="833">
        <v>1550</v>
      </c>
      <c r="C117" s="834">
        <v>45680</v>
      </c>
      <c r="D117" s="835" t="s">
        <v>232</v>
      </c>
      <c r="E117" s="836" t="s">
        <v>36</v>
      </c>
      <c r="F117" s="836" t="s">
        <v>8</v>
      </c>
      <c r="G117" s="838">
        <v>45680</v>
      </c>
      <c r="H117" s="832"/>
      <c r="I117" s="839" t="s">
        <v>99</v>
      </c>
      <c r="J117" s="833"/>
      <c r="K117" s="832"/>
      <c r="L117" s="832"/>
      <c r="M117" s="833"/>
      <c r="N117" s="832"/>
      <c r="O117" s="832"/>
      <c r="P117" s="834">
        <v>45690</v>
      </c>
      <c r="Q117" s="833">
        <f t="shared" si="1"/>
        <v>10</v>
      </c>
      <c r="R117" s="836" t="s">
        <v>169</v>
      </c>
      <c r="S117" s="839" t="s">
        <v>233</v>
      </c>
    </row>
    <row r="118" spans="1:19" ht="43.2" x14ac:dyDescent="0.3">
      <c r="A118" s="832">
        <v>117</v>
      </c>
      <c r="B118" s="833" t="s">
        <v>80</v>
      </c>
      <c r="C118" s="834">
        <v>45680</v>
      </c>
      <c r="D118" s="843" t="s">
        <v>234</v>
      </c>
      <c r="E118" s="837" t="s">
        <v>51</v>
      </c>
      <c r="F118" s="837" t="s">
        <v>10</v>
      </c>
      <c r="G118" s="838">
        <v>45680</v>
      </c>
      <c r="H118" s="845"/>
      <c r="I118" s="839" t="s">
        <v>99</v>
      </c>
      <c r="J118" s="833"/>
      <c r="K118" s="832"/>
      <c r="L118" s="832"/>
      <c r="M118" s="833"/>
      <c r="N118" s="832"/>
      <c r="O118" s="832"/>
      <c r="P118" s="834">
        <v>45690</v>
      </c>
      <c r="Q118" s="833">
        <f t="shared" si="1"/>
        <v>10</v>
      </c>
      <c r="R118" s="836"/>
      <c r="S118" s="832"/>
    </row>
    <row r="119" spans="1:19" ht="43.2" x14ac:dyDescent="0.3">
      <c r="A119" s="832">
        <v>118</v>
      </c>
      <c r="B119" s="833" t="s">
        <v>80</v>
      </c>
      <c r="C119" s="834">
        <v>45680</v>
      </c>
      <c r="D119" s="843" t="s">
        <v>235</v>
      </c>
      <c r="E119" s="837" t="s">
        <v>51</v>
      </c>
      <c r="F119" s="837" t="s">
        <v>10</v>
      </c>
      <c r="G119" s="838">
        <v>45680</v>
      </c>
      <c r="H119" s="845"/>
      <c r="I119" s="839" t="s">
        <v>99</v>
      </c>
      <c r="J119" s="833"/>
      <c r="K119" s="832"/>
      <c r="L119" s="832"/>
      <c r="M119" s="833"/>
      <c r="N119" s="832"/>
      <c r="O119" s="832"/>
      <c r="P119" s="834">
        <v>45690</v>
      </c>
      <c r="Q119" s="833">
        <f t="shared" si="1"/>
        <v>10</v>
      </c>
      <c r="R119" s="836"/>
      <c r="S119" s="832"/>
    </row>
    <row r="120" spans="1:19" ht="43.2" x14ac:dyDescent="0.3">
      <c r="A120" s="832">
        <v>119</v>
      </c>
      <c r="B120" s="833" t="s">
        <v>80</v>
      </c>
      <c r="C120" s="834">
        <v>45680</v>
      </c>
      <c r="D120" s="843" t="s">
        <v>236</v>
      </c>
      <c r="E120" s="837" t="s">
        <v>51</v>
      </c>
      <c r="F120" s="837" t="s">
        <v>10</v>
      </c>
      <c r="G120" s="838">
        <v>45680</v>
      </c>
      <c r="H120" s="845"/>
      <c r="I120" s="839" t="s">
        <v>99</v>
      </c>
      <c r="J120" s="833"/>
      <c r="K120" s="832"/>
      <c r="L120" s="832"/>
      <c r="M120" s="833"/>
      <c r="N120" s="832"/>
      <c r="O120" s="832"/>
      <c r="P120" s="834">
        <v>45690</v>
      </c>
      <c r="Q120" s="833">
        <f t="shared" si="1"/>
        <v>10</v>
      </c>
      <c r="R120" s="836"/>
      <c r="S120" s="832"/>
    </row>
    <row r="121" spans="1:19" ht="72" x14ac:dyDescent="0.3">
      <c r="A121" s="832">
        <v>120</v>
      </c>
      <c r="B121" s="833" t="s">
        <v>80</v>
      </c>
      <c r="C121" s="834">
        <v>45680</v>
      </c>
      <c r="D121" s="843" t="s">
        <v>237</v>
      </c>
      <c r="E121" s="836" t="s">
        <v>42</v>
      </c>
      <c r="F121" s="837" t="s">
        <v>10</v>
      </c>
      <c r="G121" s="838">
        <v>45680</v>
      </c>
      <c r="H121" s="832"/>
      <c r="I121" s="839" t="s">
        <v>82</v>
      </c>
      <c r="J121" s="833"/>
      <c r="K121" s="832"/>
      <c r="L121" s="832"/>
      <c r="M121" s="833"/>
      <c r="N121" s="832"/>
      <c r="O121" s="832"/>
      <c r="P121" s="834">
        <v>45690</v>
      </c>
      <c r="Q121" s="833">
        <f t="shared" si="1"/>
        <v>10</v>
      </c>
      <c r="R121" s="836"/>
      <c r="S121" s="832"/>
    </row>
    <row r="122" spans="1:19" ht="43.2" x14ac:dyDescent="0.3">
      <c r="A122" s="832">
        <v>121</v>
      </c>
      <c r="B122" s="833">
        <v>1550</v>
      </c>
      <c r="C122" s="834">
        <v>45681</v>
      </c>
      <c r="D122" s="835" t="s">
        <v>238</v>
      </c>
      <c r="E122" s="836" t="s">
        <v>51</v>
      </c>
      <c r="F122" s="836" t="s">
        <v>6</v>
      </c>
      <c r="G122" s="838">
        <v>45681</v>
      </c>
      <c r="H122" s="832"/>
      <c r="I122" s="839" t="s">
        <v>99</v>
      </c>
      <c r="J122" s="833"/>
      <c r="K122" s="832"/>
      <c r="L122" s="832"/>
      <c r="M122" s="833"/>
      <c r="N122" s="832"/>
      <c r="O122" s="832"/>
      <c r="P122" s="834">
        <v>45690</v>
      </c>
      <c r="Q122" s="833">
        <f t="shared" si="1"/>
        <v>9</v>
      </c>
      <c r="R122" s="836"/>
      <c r="S122" s="832"/>
    </row>
    <row r="123" spans="1:19" ht="43.2" x14ac:dyDescent="0.3">
      <c r="A123" s="832">
        <v>122</v>
      </c>
      <c r="B123" s="833">
        <v>1550</v>
      </c>
      <c r="C123" s="834">
        <v>45681</v>
      </c>
      <c r="D123" s="835" t="s">
        <v>239</v>
      </c>
      <c r="E123" s="836" t="s">
        <v>51</v>
      </c>
      <c r="F123" s="836" t="s">
        <v>6</v>
      </c>
      <c r="G123" s="838">
        <v>45681</v>
      </c>
      <c r="H123" s="832"/>
      <c r="I123" s="839" t="s">
        <v>99</v>
      </c>
      <c r="J123" s="833"/>
      <c r="K123" s="832"/>
      <c r="L123" s="832"/>
      <c r="M123" s="833"/>
      <c r="N123" s="832"/>
      <c r="O123" s="832"/>
      <c r="P123" s="834">
        <v>45690</v>
      </c>
      <c r="Q123" s="833">
        <f t="shared" si="1"/>
        <v>9</v>
      </c>
      <c r="R123" s="836"/>
      <c r="S123" s="832"/>
    </row>
    <row r="124" spans="1:19" ht="43.2" x14ac:dyDescent="0.3">
      <c r="A124" s="832">
        <v>123</v>
      </c>
      <c r="B124" s="833" t="s">
        <v>80</v>
      </c>
      <c r="C124" s="834">
        <v>45681</v>
      </c>
      <c r="D124" s="835" t="s">
        <v>240</v>
      </c>
      <c r="E124" s="837" t="s">
        <v>51</v>
      </c>
      <c r="F124" s="837" t="s">
        <v>10</v>
      </c>
      <c r="G124" s="838">
        <v>45681</v>
      </c>
      <c r="H124" s="845"/>
      <c r="I124" s="839" t="s">
        <v>99</v>
      </c>
      <c r="J124" s="833"/>
      <c r="K124" s="832"/>
      <c r="L124" s="832"/>
      <c r="M124" s="833"/>
      <c r="N124" s="832"/>
      <c r="O124" s="832"/>
      <c r="P124" s="834">
        <v>45690</v>
      </c>
      <c r="Q124" s="833">
        <f t="shared" si="1"/>
        <v>9</v>
      </c>
      <c r="R124" s="836"/>
      <c r="S124" s="832"/>
    </row>
    <row r="125" spans="1:19" ht="43.2" x14ac:dyDescent="0.3">
      <c r="A125" s="832">
        <v>124</v>
      </c>
      <c r="B125" s="833" t="s">
        <v>80</v>
      </c>
      <c r="C125" s="834">
        <v>45681</v>
      </c>
      <c r="D125" s="835" t="s">
        <v>241</v>
      </c>
      <c r="E125" s="837" t="s">
        <v>51</v>
      </c>
      <c r="F125" s="837" t="s">
        <v>10</v>
      </c>
      <c r="G125" s="838">
        <v>45681</v>
      </c>
      <c r="H125" s="845"/>
      <c r="I125" s="839" t="s">
        <v>99</v>
      </c>
      <c r="J125" s="833"/>
      <c r="K125" s="832"/>
      <c r="L125" s="832"/>
      <c r="M125" s="833"/>
      <c r="N125" s="832"/>
      <c r="O125" s="832"/>
      <c r="P125" s="834">
        <v>45690</v>
      </c>
      <c r="Q125" s="833">
        <f t="shared" si="1"/>
        <v>9</v>
      </c>
      <c r="R125" s="836"/>
      <c r="S125" s="832"/>
    </row>
    <row r="126" spans="1:19" ht="43.2" x14ac:dyDescent="0.3">
      <c r="A126" s="832">
        <v>125</v>
      </c>
      <c r="B126" s="833" t="s">
        <v>80</v>
      </c>
      <c r="C126" s="834">
        <v>45681</v>
      </c>
      <c r="D126" s="835" t="s">
        <v>242</v>
      </c>
      <c r="E126" s="837" t="s">
        <v>51</v>
      </c>
      <c r="F126" s="837" t="s">
        <v>10</v>
      </c>
      <c r="G126" s="838">
        <v>45681</v>
      </c>
      <c r="H126" s="845"/>
      <c r="I126" s="839" t="s">
        <v>99</v>
      </c>
      <c r="J126" s="833"/>
      <c r="K126" s="832"/>
      <c r="L126" s="832"/>
      <c r="M126" s="833"/>
      <c r="N126" s="832"/>
      <c r="O126" s="832"/>
      <c r="P126" s="834">
        <v>45690</v>
      </c>
      <c r="Q126" s="833">
        <f t="shared" si="1"/>
        <v>9</v>
      </c>
      <c r="R126" s="836"/>
      <c r="S126" s="832"/>
    </row>
    <row r="127" spans="1:19" ht="43.2" x14ac:dyDescent="0.3">
      <c r="A127" s="832">
        <v>126</v>
      </c>
      <c r="B127" s="833" t="s">
        <v>80</v>
      </c>
      <c r="C127" s="834">
        <v>45681</v>
      </c>
      <c r="D127" s="835" t="s">
        <v>243</v>
      </c>
      <c r="E127" s="837" t="s">
        <v>51</v>
      </c>
      <c r="F127" s="837" t="s">
        <v>10</v>
      </c>
      <c r="G127" s="838">
        <v>45681</v>
      </c>
      <c r="H127" s="845"/>
      <c r="I127" s="839" t="s">
        <v>99</v>
      </c>
      <c r="J127" s="833"/>
      <c r="K127" s="832"/>
      <c r="L127" s="832"/>
      <c r="M127" s="833"/>
      <c r="N127" s="832"/>
      <c r="O127" s="832"/>
      <c r="P127" s="834">
        <v>45690</v>
      </c>
      <c r="Q127" s="833">
        <f t="shared" si="1"/>
        <v>9</v>
      </c>
      <c r="R127" s="836"/>
      <c r="S127" s="832"/>
    </row>
    <row r="128" spans="1:19" ht="43.2" x14ac:dyDescent="0.3">
      <c r="A128" s="832">
        <v>127</v>
      </c>
      <c r="B128" s="833" t="s">
        <v>80</v>
      </c>
      <c r="C128" s="834">
        <v>45681</v>
      </c>
      <c r="D128" s="835" t="s">
        <v>244</v>
      </c>
      <c r="E128" s="837" t="s">
        <v>51</v>
      </c>
      <c r="F128" s="837" t="s">
        <v>10</v>
      </c>
      <c r="G128" s="838">
        <v>45681</v>
      </c>
      <c r="H128" s="845"/>
      <c r="I128" s="839" t="s">
        <v>99</v>
      </c>
      <c r="J128" s="833"/>
      <c r="K128" s="832"/>
      <c r="L128" s="832"/>
      <c r="M128" s="833"/>
      <c r="N128" s="832"/>
      <c r="O128" s="832"/>
      <c r="P128" s="834">
        <v>45690</v>
      </c>
      <c r="Q128" s="833">
        <f t="shared" si="1"/>
        <v>9</v>
      </c>
      <c r="R128" s="836"/>
      <c r="S128" s="832"/>
    </row>
    <row r="129" spans="1:19" ht="43.2" x14ac:dyDescent="0.3">
      <c r="A129" s="832">
        <v>128</v>
      </c>
      <c r="B129" s="833" t="s">
        <v>80</v>
      </c>
      <c r="C129" s="834">
        <v>45684</v>
      </c>
      <c r="D129" s="835" t="s">
        <v>245</v>
      </c>
      <c r="E129" s="836" t="s">
        <v>51</v>
      </c>
      <c r="F129" s="836" t="s">
        <v>10</v>
      </c>
      <c r="G129" s="838">
        <v>45684</v>
      </c>
      <c r="H129" s="832"/>
      <c r="I129" s="839" t="s">
        <v>99</v>
      </c>
      <c r="J129" s="833"/>
      <c r="K129" s="832"/>
      <c r="L129" s="832"/>
      <c r="M129" s="833"/>
      <c r="N129" s="832"/>
      <c r="O129" s="832"/>
      <c r="P129" s="834">
        <v>45690</v>
      </c>
      <c r="Q129" s="833">
        <f t="shared" si="1"/>
        <v>6</v>
      </c>
      <c r="R129" s="836"/>
      <c r="S129" s="832"/>
    </row>
    <row r="130" spans="1:19" ht="43.2" x14ac:dyDescent="0.3">
      <c r="A130" s="832">
        <v>129</v>
      </c>
      <c r="B130" s="833" t="s">
        <v>80</v>
      </c>
      <c r="C130" s="834">
        <v>45684</v>
      </c>
      <c r="D130" s="835" t="s">
        <v>246</v>
      </c>
      <c r="E130" s="836" t="s">
        <v>51</v>
      </c>
      <c r="F130" s="836" t="s">
        <v>10</v>
      </c>
      <c r="G130" s="838">
        <v>45684</v>
      </c>
      <c r="H130" s="832"/>
      <c r="I130" s="839" t="s">
        <v>99</v>
      </c>
      <c r="J130" s="833"/>
      <c r="K130" s="832"/>
      <c r="L130" s="832"/>
      <c r="M130" s="833"/>
      <c r="N130" s="832"/>
      <c r="O130" s="832"/>
      <c r="P130" s="834">
        <v>45690</v>
      </c>
      <c r="Q130" s="833">
        <f t="shared" ref="Q130:Q193" si="2">P130-G130</f>
        <v>6</v>
      </c>
      <c r="R130" s="836"/>
      <c r="S130" s="832"/>
    </row>
    <row r="131" spans="1:19" ht="43.2" x14ac:dyDescent="0.3">
      <c r="A131" s="832">
        <v>130</v>
      </c>
      <c r="B131" s="833" t="s">
        <v>80</v>
      </c>
      <c r="C131" s="834">
        <v>45684</v>
      </c>
      <c r="D131" s="835" t="s">
        <v>247</v>
      </c>
      <c r="E131" s="836" t="s">
        <v>51</v>
      </c>
      <c r="F131" s="836" t="s">
        <v>10</v>
      </c>
      <c r="G131" s="838">
        <v>45684</v>
      </c>
      <c r="H131" s="832"/>
      <c r="I131" s="839" t="s">
        <v>99</v>
      </c>
      <c r="J131" s="833"/>
      <c r="K131" s="832"/>
      <c r="L131" s="832"/>
      <c r="M131" s="833"/>
      <c r="N131" s="832"/>
      <c r="O131" s="832"/>
      <c r="P131" s="834">
        <v>45690</v>
      </c>
      <c r="Q131" s="833">
        <f t="shared" si="2"/>
        <v>6</v>
      </c>
      <c r="R131" s="836"/>
      <c r="S131" s="832"/>
    </row>
    <row r="132" spans="1:19" ht="43.2" x14ac:dyDescent="0.3">
      <c r="A132" s="832">
        <v>131</v>
      </c>
      <c r="B132" s="833" t="s">
        <v>80</v>
      </c>
      <c r="C132" s="834">
        <v>45684</v>
      </c>
      <c r="D132" s="835" t="s">
        <v>248</v>
      </c>
      <c r="E132" s="836" t="s">
        <v>51</v>
      </c>
      <c r="F132" s="836" t="s">
        <v>10</v>
      </c>
      <c r="G132" s="838">
        <v>45684</v>
      </c>
      <c r="H132" s="832"/>
      <c r="I132" s="839" t="s">
        <v>99</v>
      </c>
      <c r="J132" s="833"/>
      <c r="K132" s="832"/>
      <c r="L132" s="832"/>
      <c r="M132" s="833"/>
      <c r="N132" s="832"/>
      <c r="O132" s="832"/>
      <c r="P132" s="834">
        <v>45690</v>
      </c>
      <c r="Q132" s="833">
        <f t="shared" si="2"/>
        <v>6</v>
      </c>
      <c r="R132" s="836"/>
      <c r="S132" s="832"/>
    </row>
    <row r="133" spans="1:19" ht="43.2" x14ac:dyDescent="0.3">
      <c r="A133" s="832">
        <v>132</v>
      </c>
      <c r="B133" s="833" t="s">
        <v>80</v>
      </c>
      <c r="C133" s="834">
        <v>45684</v>
      </c>
      <c r="D133" s="835" t="s">
        <v>249</v>
      </c>
      <c r="E133" s="836" t="s">
        <v>51</v>
      </c>
      <c r="F133" s="836" t="s">
        <v>10</v>
      </c>
      <c r="G133" s="838">
        <v>45684</v>
      </c>
      <c r="H133" s="832"/>
      <c r="I133" s="839" t="s">
        <v>99</v>
      </c>
      <c r="J133" s="833"/>
      <c r="K133" s="832"/>
      <c r="L133" s="832"/>
      <c r="M133" s="833"/>
      <c r="N133" s="832"/>
      <c r="O133" s="832"/>
      <c r="P133" s="834">
        <v>45690</v>
      </c>
      <c r="Q133" s="833">
        <f t="shared" si="2"/>
        <v>6</v>
      </c>
      <c r="R133" s="836"/>
      <c r="S133" s="832"/>
    </row>
    <row r="134" spans="1:19" ht="43.2" x14ac:dyDescent="0.3">
      <c r="A134" s="832">
        <v>133</v>
      </c>
      <c r="B134" s="833" t="s">
        <v>80</v>
      </c>
      <c r="C134" s="834">
        <v>45684</v>
      </c>
      <c r="D134" s="835" t="s">
        <v>250</v>
      </c>
      <c r="E134" s="836" t="s">
        <v>51</v>
      </c>
      <c r="F134" s="836" t="s">
        <v>10</v>
      </c>
      <c r="G134" s="838">
        <v>45684</v>
      </c>
      <c r="H134" s="832"/>
      <c r="I134" s="839" t="s">
        <v>99</v>
      </c>
      <c r="J134" s="833"/>
      <c r="K134" s="832"/>
      <c r="L134" s="832"/>
      <c r="M134" s="833"/>
      <c r="N134" s="832"/>
      <c r="O134" s="832"/>
      <c r="P134" s="834">
        <v>45690</v>
      </c>
      <c r="Q134" s="833">
        <f t="shared" si="2"/>
        <v>6</v>
      </c>
      <c r="R134" s="836"/>
      <c r="S134" s="832"/>
    </row>
    <row r="135" spans="1:19" ht="28.8" x14ac:dyDescent="0.3">
      <c r="A135" s="832">
        <v>134</v>
      </c>
      <c r="B135" s="841">
        <v>1550</v>
      </c>
      <c r="C135" s="842">
        <v>45688</v>
      </c>
      <c r="D135" s="843" t="s">
        <v>251</v>
      </c>
      <c r="E135" s="836" t="s">
        <v>1</v>
      </c>
      <c r="F135" s="837" t="s">
        <v>4</v>
      </c>
      <c r="G135" s="844">
        <v>45688</v>
      </c>
      <c r="H135" s="845"/>
      <c r="I135" s="839" t="s">
        <v>125</v>
      </c>
      <c r="J135" s="845"/>
      <c r="K135" s="845"/>
      <c r="L135" s="845"/>
      <c r="M135" s="845"/>
      <c r="N135" s="845"/>
      <c r="O135" s="845"/>
      <c r="P135" s="844">
        <v>45690</v>
      </c>
      <c r="Q135" s="833">
        <f t="shared" si="2"/>
        <v>2</v>
      </c>
      <c r="R135" s="836"/>
      <c r="S135" s="845"/>
    </row>
    <row r="136" spans="1:19" ht="72" x14ac:dyDescent="0.3">
      <c r="A136" s="832">
        <v>135</v>
      </c>
      <c r="B136" s="833">
        <v>1550</v>
      </c>
      <c r="C136" s="834">
        <v>45672</v>
      </c>
      <c r="D136" s="835" t="s">
        <v>252</v>
      </c>
      <c r="E136" s="836" t="s">
        <v>35</v>
      </c>
      <c r="F136" s="836" t="s">
        <v>8</v>
      </c>
      <c r="G136" s="838">
        <v>45672</v>
      </c>
      <c r="H136" s="832"/>
      <c r="I136" s="839" t="s">
        <v>253</v>
      </c>
      <c r="J136" s="833"/>
      <c r="K136" s="832"/>
      <c r="L136" s="832"/>
      <c r="M136" s="833"/>
      <c r="N136" s="832"/>
      <c r="O136" s="832"/>
      <c r="P136" s="834">
        <v>45688</v>
      </c>
      <c r="Q136" s="833">
        <f t="shared" si="2"/>
        <v>16</v>
      </c>
      <c r="R136" s="833"/>
      <c r="S136" s="832"/>
    </row>
    <row r="137" spans="1:19" ht="43.2" x14ac:dyDescent="0.3">
      <c r="A137" s="832">
        <v>136</v>
      </c>
      <c r="B137" s="833" t="s">
        <v>80</v>
      </c>
      <c r="C137" s="834">
        <v>45673</v>
      </c>
      <c r="D137" s="835" t="s">
        <v>254</v>
      </c>
      <c r="E137" s="837" t="s">
        <v>51</v>
      </c>
      <c r="F137" s="837" t="s">
        <v>10</v>
      </c>
      <c r="G137" s="838">
        <v>45673</v>
      </c>
      <c r="H137" s="845"/>
      <c r="I137" s="839" t="s">
        <v>99</v>
      </c>
      <c r="J137" s="833"/>
      <c r="K137" s="832"/>
      <c r="L137" s="832"/>
      <c r="M137" s="833"/>
      <c r="N137" s="832"/>
      <c r="O137" s="832"/>
      <c r="P137" s="834">
        <v>45688</v>
      </c>
      <c r="Q137" s="833">
        <f t="shared" si="2"/>
        <v>15</v>
      </c>
      <c r="R137" s="833"/>
      <c r="S137" s="832"/>
    </row>
    <row r="138" spans="1:19" ht="43.2" x14ac:dyDescent="0.3">
      <c r="A138" s="832">
        <v>137</v>
      </c>
      <c r="B138" s="841" t="s">
        <v>80</v>
      </c>
      <c r="C138" s="842">
        <v>45679</v>
      </c>
      <c r="D138" s="835" t="s">
        <v>255</v>
      </c>
      <c r="E138" s="837" t="s">
        <v>51</v>
      </c>
      <c r="F138" s="837" t="s">
        <v>10</v>
      </c>
      <c r="G138" s="844">
        <v>45679</v>
      </c>
      <c r="H138" s="845"/>
      <c r="I138" s="848" t="s">
        <v>99</v>
      </c>
      <c r="J138" s="845"/>
      <c r="K138" s="845"/>
      <c r="L138" s="845"/>
      <c r="M138" s="845"/>
      <c r="N138" s="845"/>
      <c r="O138" s="845"/>
      <c r="P138" s="842">
        <v>45688</v>
      </c>
      <c r="Q138" s="833">
        <f t="shared" si="2"/>
        <v>9</v>
      </c>
      <c r="R138" s="836"/>
      <c r="S138" s="845"/>
    </row>
    <row r="139" spans="1:19" ht="28.8" x14ac:dyDescent="0.3">
      <c r="A139" s="832">
        <v>138</v>
      </c>
      <c r="B139" s="841">
        <v>1550</v>
      </c>
      <c r="C139" s="842">
        <v>45680</v>
      </c>
      <c r="D139" s="843" t="s">
        <v>256</v>
      </c>
      <c r="E139" s="836" t="s">
        <v>1</v>
      </c>
      <c r="F139" s="837" t="s">
        <v>8</v>
      </c>
      <c r="G139" s="844">
        <v>45680</v>
      </c>
      <c r="H139" s="845"/>
      <c r="I139" s="839" t="s">
        <v>125</v>
      </c>
      <c r="J139" s="845"/>
      <c r="K139" s="845"/>
      <c r="L139" s="845"/>
      <c r="M139" s="845"/>
      <c r="N139" s="845"/>
      <c r="O139" s="845"/>
      <c r="P139" s="842">
        <v>45688</v>
      </c>
      <c r="Q139" s="833">
        <f t="shared" si="2"/>
        <v>8</v>
      </c>
      <c r="R139" s="836" t="s">
        <v>160</v>
      </c>
      <c r="S139" s="845"/>
    </row>
    <row r="140" spans="1:19" ht="43.2" x14ac:dyDescent="0.3">
      <c r="A140" s="832">
        <v>139</v>
      </c>
      <c r="B140" s="833">
        <v>1550</v>
      </c>
      <c r="C140" s="834">
        <v>45681</v>
      </c>
      <c r="D140" s="835" t="s">
        <v>257</v>
      </c>
      <c r="E140" s="836" t="s">
        <v>1</v>
      </c>
      <c r="F140" s="836" t="s">
        <v>6</v>
      </c>
      <c r="G140" s="838">
        <v>45681</v>
      </c>
      <c r="H140" s="832"/>
      <c r="I140" s="833" t="s">
        <v>258</v>
      </c>
      <c r="J140" s="833"/>
      <c r="K140" s="832"/>
      <c r="L140" s="832"/>
      <c r="M140" s="833"/>
      <c r="N140" s="832"/>
      <c r="O140" s="832"/>
      <c r="P140" s="834">
        <v>45688</v>
      </c>
      <c r="Q140" s="833">
        <f t="shared" si="2"/>
        <v>7</v>
      </c>
      <c r="R140" s="836"/>
      <c r="S140" s="832"/>
    </row>
    <row r="141" spans="1:19" ht="57.6" x14ac:dyDescent="0.3">
      <c r="A141" s="832">
        <v>140</v>
      </c>
      <c r="B141" s="833">
        <v>1550</v>
      </c>
      <c r="C141" s="834">
        <v>45684</v>
      </c>
      <c r="D141" s="835" t="s">
        <v>259</v>
      </c>
      <c r="E141" s="836" t="s">
        <v>21</v>
      </c>
      <c r="F141" s="836" t="s">
        <v>6</v>
      </c>
      <c r="G141" s="838">
        <v>45684</v>
      </c>
      <c r="H141" s="832"/>
      <c r="I141" s="833" t="s">
        <v>258</v>
      </c>
      <c r="J141" s="833"/>
      <c r="K141" s="832"/>
      <c r="L141" s="832"/>
      <c r="M141" s="833"/>
      <c r="N141" s="832"/>
      <c r="O141" s="832"/>
      <c r="P141" s="834">
        <v>45688</v>
      </c>
      <c r="Q141" s="833">
        <f t="shared" si="2"/>
        <v>4</v>
      </c>
      <c r="R141" s="836"/>
      <c r="S141" s="832"/>
    </row>
    <row r="142" spans="1:19" ht="72" x14ac:dyDescent="0.3">
      <c r="A142" s="832">
        <v>141</v>
      </c>
      <c r="B142" s="841">
        <v>1550</v>
      </c>
      <c r="C142" s="842">
        <v>45685</v>
      </c>
      <c r="D142" s="843" t="s">
        <v>260</v>
      </c>
      <c r="E142" s="836" t="s">
        <v>25</v>
      </c>
      <c r="F142" s="836" t="s">
        <v>6</v>
      </c>
      <c r="G142" s="838">
        <v>45685</v>
      </c>
      <c r="H142" s="832">
        <v>10000256875</v>
      </c>
      <c r="I142" s="839" t="s">
        <v>135</v>
      </c>
      <c r="J142" s="845"/>
      <c r="K142" s="845"/>
      <c r="L142" s="845"/>
      <c r="M142" s="845"/>
      <c r="N142" s="845"/>
      <c r="O142" s="845"/>
      <c r="P142" s="842">
        <v>45688</v>
      </c>
      <c r="Q142" s="833">
        <f t="shared" si="2"/>
        <v>3</v>
      </c>
      <c r="R142" s="836"/>
      <c r="S142" s="845"/>
    </row>
    <row r="143" spans="1:19" ht="28.8" x14ac:dyDescent="0.3">
      <c r="A143" s="832">
        <v>142</v>
      </c>
      <c r="B143" s="841">
        <v>1550</v>
      </c>
      <c r="C143" s="842">
        <v>45686</v>
      </c>
      <c r="D143" s="843" t="s">
        <v>261</v>
      </c>
      <c r="E143" s="836" t="s">
        <v>50</v>
      </c>
      <c r="F143" s="837" t="s">
        <v>4</v>
      </c>
      <c r="G143" s="844">
        <v>45686</v>
      </c>
      <c r="H143" s="845"/>
      <c r="I143" s="848" t="s">
        <v>253</v>
      </c>
      <c r="J143" s="841" t="s">
        <v>262</v>
      </c>
      <c r="K143" s="844">
        <v>45686</v>
      </c>
      <c r="L143" s="845"/>
      <c r="M143" s="845"/>
      <c r="N143" s="845"/>
      <c r="O143" s="845"/>
      <c r="P143" s="842">
        <v>45688</v>
      </c>
      <c r="Q143" s="833">
        <f t="shared" si="2"/>
        <v>2</v>
      </c>
      <c r="R143" s="836"/>
      <c r="S143" s="845"/>
    </row>
    <row r="144" spans="1:19" ht="57.6" x14ac:dyDescent="0.3">
      <c r="A144" s="832">
        <v>143</v>
      </c>
      <c r="B144" s="841">
        <v>1550</v>
      </c>
      <c r="C144" s="842">
        <v>45686</v>
      </c>
      <c r="D144" s="843" t="s">
        <v>263</v>
      </c>
      <c r="E144" s="836" t="s">
        <v>7</v>
      </c>
      <c r="F144" s="837" t="s">
        <v>6</v>
      </c>
      <c r="G144" s="844">
        <v>45687</v>
      </c>
      <c r="H144" s="845"/>
      <c r="I144" s="839" t="s">
        <v>129</v>
      </c>
      <c r="J144" s="845"/>
      <c r="K144" s="845"/>
      <c r="L144" s="845"/>
      <c r="M144" s="845"/>
      <c r="N144" s="845"/>
      <c r="O144" s="845"/>
      <c r="P144" s="842">
        <v>45688</v>
      </c>
      <c r="Q144" s="833">
        <f t="shared" si="2"/>
        <v>1</v>
      </c>
      <c r="R144" s="836"/>
      <c r="S144" s="845"/>
    </row>
    <row r="145" spans="1:19" ht="43.2" x14ac:dyDescent="0.3">
      <c r="A145" s="832">
        <v>144</v>
      </c>
      <c r="B145" s="841">
        <v>1550</v>
      </c>
      <c r="C145" s="842">
        <v>45687</v>
      </c>
      <c r="D145" s="843" t="s">
        <v>264</v>
      </c>
      <c r="E145" s="836" t="s">
        <v>1</v>
      </c>
      <c r="F145" s="837" t="s">
        <v>6</v>
      </c>
      <c r="G145" s="844">
        <v>45687</v>
      </c>
      <c r="H145" s="845"/>
      <c r="I145" s="839" t="s">
        <v>125</v>
      </c>
      <c r="J145" s="845"/>
      <c r="K145" s="845"/>
      <c r="L145" s="845"/>
      <c r="M145" s="845"/>
      <c r="N145" s="845"/>
      <c r="O145" s="845"/>
      <c r="P145" s="842">
        <v>45688</v>
      </c>
      <c r="Q145" s="833">
        <f t="shared" si="2"/>
        <v>1</v>
      </c>
      <c r="R145" s="836"/>
      <c r="S145" s="845"/>
    </row>
    <row r="146" spans="1:19" ht="43.2" x14ac:dyDescent="0.3">
      <c r="A146" s="832">
        <v>145</v>
      </c>
      <c r="B146" s="841">
        <v>1550</v>
      </c>
      <c r="C146" s="842">
        <v>45688</v>
      </c>
      <c r="D146" s="843" t="s">
        <v>265</v>
      </c>
      <c r="E146" s="836" t="s">
        <v>49</v>
      </c>
      <c r="F146" s="837" t="s">
        <v>8</v>
      </c>
      <c r="G146" s="844">
        <v>45688</v>
      </c>
      <c r="H146" s="845"/>
      <c r="I146" s="839" t="s">
        <v>266</v>
      </c>
      <c r="J146" s="845"/>
      <c r="K146" s="845"/>
      <c r="L146" s="845"/>
      <c r="M146" s="845"/>
      <c r="N146" s="845"/>
      <c r="O146" s="845"/>
      <c r="P146" s="842">
        <v>45688</v>
      </c>
      <c r="Q146" s="833">
        <f t="shared" si="2"/>
        <v>0</v>
      </c>
      <c r="R146" s="836" t="s">
        <v>267</v>
      </c>
      <c r="S146" s="845"/>
    </row>
    <row r="147" spans="1:19" ht="43.2" x14ac:dyDescent="0.3">
      <c r="A147" s="832">
        <v>146</v>
      </c>
      <c r="B147" s="841">
        <v>1550</v>
      </c>
      <c r="C147" s="842">
        <v>45688</v>
      </c>
      <c r="D147" s="843" t="s">
        <v>268</v>
      </c>
      <c r="E147" s="836" t="s">
        <v>49</v>
      </c>
      <c r="F147" s="837" t="s">
        <v>8</v>
      </c>
      <c r="G147" s="844">
        <v>45688</v>
      </c>
      <c r="H147" s="845"/>
      <c r="I147" s="839" t="s">
        <v>266</v>
      </c>
      <c r="J147" s="845"/>
      <c r="K147" s="845"/>
      <c r="L147" s="845"/>
      <c r="M147" s="845"/>
      <c r="N147" s="845"/>
      <c r="O147" s="845"/>
      <c r="P147" s="842">
        <v>45688</v>
      </c>
      <c r="Q147" s="833">
        <f t="shared" si="2"/>
        <v>0</v>
      </c>
      <c r="R147" s="836" t="s">
        <v>267</v>
      </c>
      <c r="S147" s="845"/>
    </row>
    <row r="148" spans="1:19" ht="43.2" x14ac:dyDescent="0.3">
      <c r="A148" s="832">
        <v>147</v>
      </c>
      <c r="B148" s="841">
        <v>1550</v>
      </c>
      <c r="C148" s="842">
        <v>45688</v>
      </c>
      <c r="D148" s="839" t="s">
        <v>269</v>
      </c>
      <c r="E148" s="836" t="s">
        <v>49</v>
      </c>
      <c r="F148" s="837" t="s">
        <v>8</v>
      </c>
      <c r="G148" s="844">
        <v>45688</v>
      </c>
      <c r="H148" s="845"/>
      <c r="I148" s="839" t="s">
        <v>266</v>
      </c>
      <c r="J148" s="845"/>
      <c r="K148" s="845"/>
      <c r="L148" s="845"/>
      <c r="M148" s="845"/>
      <c r="N148" s="845"/>
      <c r="O148" s="845"/>
      <c r="P148" s="842">
        <v>45688</v>
      </c>
      <c r="Q148" s="833">
        <f t="shared" si="2"/>
        <v>0</v>
      </c>
      <c r="R148" s="836" t="s">
        <v>270</v>
      </c>
      <c r="S148" s="845"/>
    </row>
    <row r="149" spans="1:19" ht="43.2" x14ac:dyDescent="0.3">
      <c r="A149" s="832">
        <v>148</v>
      </c>
      <c r="B149" s="841">
        <v>1550</v>
      </c>
      <c r="C149" s="842">
        <v>45688</v>
      </c>
      <c r="D149" s="843" t="s">
        <v>271</v>
      </c>
      <c r="E149" s="836" t="s">
        <v>49</v>
      </c>
      <c r="F149" s="837" t="s">
        <v>8</v>
      </c>
      <c r="G149" s="844">
        <v>45688</v>
      </c>
      <c r="H149" s="845"/>
      <c r="I149" s="839" t="s">
        <v>266</v>
      </c>
      <c r="J149" s="845"/>
      <c r="K149" s="845"/>
      <c r="L149" s="845"/>
      <c r="M149" s="845"/>
      <c r="N149" s="845"/>
      <c r="O149" s="845"/>
      <c r="P149" s="842">
        <v>45688</v>
      </c>
      <c r="Q149" s="833">
        <f t="shared" si="2"/>
        <v>0</v>
      </c>
      <c r="R149" s="836" t="s">
        <v>270</v>
      </c>
      <c r="S149" s="845"/>
    </row>
    <row r="150" spans="1:19" ht="43.2" x14ac:dyDescent="0.3">
      <c r="A150" s="832">
        <v>149</v>
      </c>
      <c r="B150" s="841">
        <v>1550</v>
      </c>
      <c r="C150" s="842">
        <v>45688</v>
      </c>
      <c r="D150" s="843" t="s">
        <v>272</v>
      </c>
      <c r="E150" s="836" t="s">
        <v>49</v>
      </c>
      <c r="F150" s="837" t="s">
        <v>8</v>
      </c>
      <c r="G150" s="844">
        <v>45688</v>
      </c>
      <c r="H150" s="845"/>
      <c r="I150" s="839" t="s">
        <v>266</v>
      </c>
      <c r="J150" s="845"/>
      <c r="K150" s="845"/>
      <c r="L150" s="845"/>
      <c r="M150" s="845"/>
      <c r="N150" s="845"/>
      <c r="O150" s="845"/>
      <c r="P150" s="842">
        <v>45688</v>
      </c>
      <c r="Q150" s="833">
        <f t="shared" si="2"/>
        <v>0</v>
      </c>
      <c r="R150" s="836" t="s">
        <v>270</v>
      </c>
      <c r="S150" s="845"/>
    </row>
    <row r="151" spans="1:19" ht="43.2" x14ac:dyDescent="0.3">
      <c r="A151" s="832">
        <v>150</v>
      </c>
      <c r="B151" s="841">
        <v>1550</v>
      </c>
      <c r="C151" s="842">
        <v>45688</v>
      </c>
      <c r="D151" s="843" t="s">
        <v>273</v>
      </c>
      <c r="E151" s="836" t="s">
        <v>49</v>
      </c>
      <c r="F151" s="837" t="s">
        <v>4</v>
      </c>
      <c r="G151" s="844">
        <v>45688</v>
      </c>
      <c r="H151" s="845"/>
      <c r="I151" s="839" t="s">
        <v>266</v>
      </c>
      <c r="J151" s="845"/>
      <c r="K151" s="845"/>
      <c r="L151" s="845"/>
      <c r="M151" s="845"/>
      <c r="N151" s="845"/>
      <c r="O151" s="845"/>
      <c r="P151" s="844">
        <v>45688</v>
      </c>
      <c r="Q151" s="833">
        <f t="shared" si="2"/>
        <v>0</v>
      </c>
      <c r="R151" s="836"/>
      <c r="S151" s="845"/>
    </row>
    <row r="152" spans="1:19" ht="43.2" x14ac:dyDescent="0.3">
      <c r="A152" s="832">
        <v>151</v>
      </c>
      <c r="B152" s="841">
        <v>1550</v>
      </c>
      <c r="C152" s="842">
        <v>45688</v>
      </c>
      <c r="D152" s="848" t="s">
        <v>274</v>
      </c>
      <c r="E152" s="836" t="s">
        <v>49</v>
      </c>
      <c r="F152" s="837" t="s">
        <v>6</v>
      </c>
      <c r="G152" s="844">
        <v>45688</v>
      </c>
      <c r="H152" s="845"/>
      <c r="I152" s="839" t="s">
        <v>266</v>
      </c>
      <c r="J152" s="845"/>
      <c r="K152" s="845"/>
      <c r="L152" s="845"/>
      <c r="M152" s="845"/>
      <c r="N152" s="845"/>
      <c r="O152" s="845"/>
      <c r="P152" s="842">
        <v>45688</v>
      </c>
      <c r="Q152" s="833">
        <f t="shared" si="2"/>
        <v>0</v>
      </c>
      <c r="R152" s="836"/>
      <c r="S152" s="845"/>
    </row>
    <row r="153" spans="1:19" ht="43.2" x14ac:dyDescent="0.3">
      <c r="A153" s="832">
        <v>152</v>
      </c>
      <c r="B153" s="841">
        <v>1550</v>
      </c>
      <c r="C153" s="842">
        <v>45688</v>
      </c>
      <c r="D153" s="848" t="s">
        <v>275</v>
      </c>
      <c r="E153" s="836" t="s">
        <v>49</v>
      </c>
      <c r="F153" s="837" t="s">
        <v>6</v>
      </c>
      <c r="G153" s="844">
        <v>45688</v>
      </c>
      <c r="H153" s="845"/>
      <c r="I153" s="839" t="s">
        <v>266</v>
      </c>
      <c r="J153" s="845"/>
      <c r="K153" s="845"/>
      <c r="L153" s="845"/>
      <c r="M153" s="845"/>
      <c r="N153" s="845"/>
      <c r="O153" s="845"/>
      <c r="P153" s="842">
        <v>45688</v>
      </c>
      <c r="Q153" s="833">
        <f t="shared" si="2"/>
        <v>0</v>
      </c>
      <c r="R153" s="836"/>
      <c r="S153" s="845"/>
    </row>
    <row r="154" spans="1:19" ht="43.2" x14ac:dyDescent="0.3">
      <c r="A154" s="832">
        <v>153</v>
      </c>
      <c r="B154" s="841">
        <v>1550</v>
      </c>
      <c r="C154" s="842">
        <v>45688</v>
      </c>
      <c r="D154" s="848" t="s">
        <v>276</v>
      </c>
      <c r="E154" s="836" t="s">
        <v>49</v>
      </c>
      <c r="F154" s="837" t="s">
        <v>6</v>
      </c>
      <c r="G154" s="844">
        <v>45688</v>
      </c>
      <c r="H154" s="845"/>
      <c r="I154" s="839" t="s">
        <v>266</v>
      </c>
      <c r="J154" s="845"/>
      <c r="K154" s="845"/>
      <c r="L154" s="845"/>
      <c r="M154" s="845"/>
      <c r="N154" s="845"/>
      <c r="O154" s="845"/>
      <c r="P154" s="842">
        <v>45688</v>
      </c>
      <c r="Q154" s="833">
        <f t="shared" si="2"/>
        <v>0</v>
      </c>
      <c r="R154" s="836"/>
      <c r="S154" s="845"/>
    </row>
    <row r="155" spans="1:19" ht="43.2" x14ac:dyDescent="0.3">
      <c r="A155" s="832">
        <v>154</v>
      </c>
      <c r="B155" s="841">
        <v>1550</v>
      </c>
      <c r="C155" s="842">
        <v>45688</v>
      </c>
      <c r="D155" s="848" t="s">
        <v>277</v>
      </c>
      <c r="E155" s="836" t="s">
        <v>49</v>
      </c>
      <c r="F155" s="837" t="s">
        <v>6</v>
      </c>
      <c r="G155" s="844">
        <v>45688</v>
      </c>
      <c r="H155" s="845"/>
      <c r="I155" s="839" t="s">
        <v>266</v>
      </c>
      <c r="J155" s="845"/>
      <c r="K155" s="845"/>
      <c r="L155" s="845"/>
      <c r="M155" s="845"/>
      <c r="N155" s="845"/>
      <c r="O155" s="845"/>
      <c r="P155" s="842">
        <v>45688</v>
      </c>
      <c r="Q155" s="833">
        <f t="shared" si="2"/>
        <v>0</v>
      </c>
      <c r="R155" s="836"/>
      <c r="S155" s="845"/>
    </row>
    <row r="156" spans="1:19" ht="43.2" x14ac:dyDescent="0.3">
      <c r="A156" s="832">
        <v>155</v>
      </c>
      <c r="B156" s="841">
        <v>1550</v>
      </c>
      <c r="C156" s="842">
        <v>45688</v>
      </c>
      <c r="D156" s="848" t="s">
        <v>278</v>
      </c>
      <c r="E156" s="836" t="s">
        <v>49</v>
      </c>
      <c r="F156" s="837" t="s">
        <v>6</v>
      </c>
      <c r="G156" s="844">
        <v>45688</v>
      </c>
      <c r="H156" s="845"/>
      <c r="I156" s="839" t="s">
        <v>266</v>
      </c>
      <c r="J156" s="845"/>
      <c r="K156" s="845"/>
      <c r="L156" s="845"/>
      <c r="M156" s="845"/>
      <c r="N156" s="845"/>
      <c r="O156" s="845"/>
      <c r="P156" s="842">
        <v>45688</v>
      </c>
      <c r="Q156" s="833">
        <f t="shared" si="2"/>
        <v>0</v>
      </c>
      <c r="R156" s="836"/>
      <c r="S156" s="845"/>
    </row>
    <row r="157" spans="1:19" ht="43.2" x14ac:dyDescent="0.3">
      <c r="A157" s="832">
        <v>156</v>
      </c>
      <c r="B157" s="841">
        <v>1550</v>
      </c>
      <c r="C157" s="842">
        <v>45688</v>
      </c>
      <c r="D157" s="848" t="s">
        <v>279</v>
      </c>
      <c r="E157" s="836" t="s">
        <v>49</v>
      </c>
      <c r="F157" s="837" t="s">
        <v>6</v>
      </c>
      <c r="G157" s="844">
        <v>45688</v>
      </c>
      <c r="H157" s="845"/>
      <c r="I157" s="839" t="s">
        <v>266</v>
      </c>
      <c r="J157" s="845"/>
      <c r="K157" s="845"/>
      <c r="L157" s="845"/>
      <c r="M157" s="845"/>
      <c r="N157" s="845"/>
      <c r="O157" s="845"/>
      <c r="P157" s="842">
        <v>45688</v>
      </c>
      <c r="Q157" s="833">
        <f t="shared" si="2"/>
        <v>0</v>
      </c>
      <c r="R157" s="836"/>
      <c r="S157" s="845"/>
    </row>
    <row r="158" spans="1:19" ht="43.2" x14ac:dyDescent="0.3">
      <c r="A158" s="832">
        <v>157</v>
      </c>
      <c r="B158" s="841">
        <v>1550</v>
      </c>
      <c r="C158" s="842">
        <v>45688</v>
      </c>
      <c r="D158" s="848" t="s">
        <v>280</v>
      </c>
      <c r="E158" s="836" t="s">
        <v>49</v>
      </c>
      <c r="F158" s="837" t="s">
        <v>6</v>
      </c>
      <c r="G158" s="844">
        <v>45688</v>
      </c>
      <c r="H158" s="845"/>
      <c r="I158" s="839" t="s">
        <v>266</v>
      </c>
      <c r="J158" s="845"/>
      <c r="K158" s="845"/>
      <c r="L158" s="845"/>
      <c r="M158" s="845"/>
      <c r="N158" s="845"/>
      <c r="O158" s="845"/>
      <c r="P158" s="842">
        <v>45688</v>
      </c>
      <c r="Q158" s="833">
        <f t="shared" si="2"/>
        <v>0</v>
      </c>
      <c r="R158" s="836"/>
      <c r="S158" s="845"/>
    </row>
    <row r="159" spans="1:19" ht="43.2" x14ac:dyDescent="0.3">
      <c r="A159" s="832">
        <v>158</v>
      </c>
      <c r="B159" s="841">
        <v>1550</v>
      </c>
      <c r="C159" s="842">
        <v>45688</v>
      </c>
      <c r="D159" s="843" t="s">
        <v>281</v>
      </c>
      <c r="E159" s="837" t="s">
        <v>49</v>
      </c>
      <c r="F159" s="837" t="s">
        <v>8</v>
      </c>
      <c r="G159" s="844">
        <v>45688</v>
      </c>
      <c r="H159" s="845"/>
      <c r="I159" s="839" t="s">
        <v>266</v>
      </c>
      <c r="J159" s="845"/>
      <c r="K159" s="845"/>
      <c r="L159" s="845"/>
      <c r="M159" s="845"/>
      <c r="N159" s="845"/>
      <c r="O159" s="845"/>
      <c r="P159" s="842">
        <v>45688</v>
      </c>
      <c r="Q159" s="833">
        <f t="shared" si="2"/>
        <v>0</v>
      </c>
      <c r="R159" s="836" t="s">
        <v>190</v>
      </c>
      <c r="S159" s="845"/>
    </row>
    <row r="160" spans="1:19" ht="43.2" x14ac:dyDescent="0.3">
      <c r="A160" s="832">
        <v>159</v>
      </c>
      <c r="B160" s="841">
        <v>1550</v>
      </c>
      <c r="C160" s="842">
        <v>45688</v>
      </c>
      <c r="D160" s="843" t="s">
        <v>282</v>
      </c>
      <c r="E160" s="837" t="s">
        <v>49</v>
      </c>
      <c r="F160" s="837" t="s">
        <v>8</v>
      </c>
      <c r="G160" s="844">
        <v>45688</v>
      </c>
      <c r="H160" s="845"/>
      <c r="I160" s="839" t="s">
        <v>266</v>
      </c>
      <c r="J160" s="845"/>
      <c r="K160" s="845"/>
      <c r="L160" s="845"/>
      <c r="M160" s="845"/>
      <c r="N160" s="845"/>
      <c r="O160" s="845"/>
      <c r="P160" s="842">
        <v>45688</v>
      </c>
      <c r="Q160" s="833">
        <f t="shared" si="2"/>
        <v>0</v>
      </c>
      <c r="R160" s="836" t="s">
        <v>190</v>
      </c>
      <c r="S160" s="845"/>
    </row>
    <row r="161" spans="1:19" ht="43.2" x14ac:dyDescent="0.3">
      <c r="A161" s="832">
        <v>160</v>
      </c>
      <c r="B161" s="841">
        <v>1550</v>
      </c>
      <c r="C161" s="842">
        <v>45688</v>
      </c>
      <c r="D161" s="843" t="s">
        <v>283</v>
      </c>
      <c r="E161" s="837" t="s">
        <v>49</v>
      </c>
      <c r="F161" s="837" t="s">
        <v>8</v>
      </c>
      <c r="G161" s="844">
        <v>45688</v>
      </c>
      <c r="H161" s="845"/>
      <c r="I161" s="839" t="s">
        <v>266</v>
      </c>
      <c r="J161" s="845"/>
      <c r="K161" s="845"/>
      <c r="L161" s="845"/>
      <c r="M161" s="845"/>
      <c r="N161" s="845"/>
      <c r="O161" s="845"/>
      <c r="P161" s="842">
        <v>45688</v>
      </c>
      <c r="Q161" s="833">
        <f t="shared" si="2"/>
        <v>0</v>
      </c>
      <c r="R161" s="836" t="s">
        <v>190</v>
      </c>
      <c r="S161" s="845"/>
    </row>
    <row r="162" spans="1:19" ht="43.2" x14ac:dyDescent="0.3">
      <c r="A162" s="832">
        <v>161</v>
      </c>
      <c r="B162" s="841">
        <v>1550</v>
      </c>
      <c r="C162" s="842">
        <v>45688</v>
      </c>
      <c r="D162" s="843" t="s">
        <v>284</v>
      </c>
      <c r="E162" s="837" t="s">
        <v>49</v>
      </c>
      <c r="F162" s="837" t="s">
        <v>8</v>
      </c>
      <c r="G162" s="844">
        <v>45688</v>
      </c>
      <c r="H162" s="845"/>
      <c r="I162" s="839" t="s">
        <v>266</v>
      </c>
      <c r="J162" s="845"/>
      <c r="K162" s="845"/>
      <c r="L162" s="845"/>
      <c r="M162" s="845"/>
      <c r="N162" s="845"/>
      <c r="O162" s="845"/>
      <c r="P162" s="842">
        <v>45688</v>
      </c>
      <c r="Q162" s="833">
        <f t="shared" si="2"/>
        <v>0</v>
      </c>
      <c r="R162" s="836" t="s">
        <v>190</v>
      </c>
      <c r="S162" s="845"/>
    </row>
    <row r="163" spans="1:19" ht="43.2" x14ac:dyDescent="0.3">
      <c r="A163" s="832">
        <v>162</v>
      </c>
      <c r="B163" s="841">
        <v>1550</v>
      </c>
      <c r="C163" s="842">
        <v>45688</v>
      </c>
      <c r="D163" s="843" t="s">
        <v>285</v>
      </c>
      <c r="E163" s="837" t="s">
        <v>49</v>
      </c>
      <c r="F163" s="837" t="s">
        <v>8</v>
      </c>
      <c r="G163" s="844">
        <v>45688</v>
      </c>
      <c r="H163" s="845"/>
      <c r="I163" s="839" t="s">
        <v>266</v>
      </c>
      <c r="J163" s="845"/>
      <c r="K163" s="845"/>
      <c r="L163" s="845"/>
      <c r="M163" s="845"/>
      <c r="N163" s="845"/>
      <c r="O163" s="845"/>
      <c r="P163" s="842">
        <v>45688</v>
      </c>
      <c r="Q163" s="833">
        <f t="shared" si="2"/>
        <v>0</v>
      </c>
      <c r="R163" s="836" t="s">
        <v>190</v>
      </c>
      <c r="S163" s="845"/>
    </row>
    <row r="164" spans="1:19" ht="43.2" x14ac:dyDescent="0.3">
      <c r="A164" s="832">
        <v>163</v>
      </c>
      <c r="B164" s="841">
        <v>1550</v>
      </c>
      <c r="C164" s="842">
        <v>45688</v>
      </c>
      <c r="D164" s="843" t="s">
        <v>286</v>
      </c>
      <c r="E164" s="837" t="s">
        <v>49</v>
      </c>
      <c r="F164" s="837" t="s">
        <v>8</v>
      </c>
      <c r="G164" s="844">
        <v>45688</v>
      </c>
      <c r="H164" s="845"/>
      <c r="I164" s="839" t="s">
        <v>266</v>
      </c>
      <c r="J164" s="845"/>
      <c r="K164" s="845"/>
      <c r="L164" s="845"/>
      <c r="M164" s="845"/>
      <c r="N164" s="845"/>
      <c r="O164" s="845"/>
      <c r="P164" s="842">
        <v>45688</v>
      </c>
      <c r="Q164" s="833">
        <f t="shared" si="2"/>
        <v>0</v>
      </c>
      <c r="R164" s="836" t="s">
        <v>190</v>
      </c>
      <c r="S164" s="845"/>
    </row>
    <row r="165" spans="1:19" ht="43.2" x14ac:dyDescent="0.3">
      <c r="A165" s="832">
        <v>164</v>
      </c>
      <c r="B165" s="841">
        <v>1550</v>
      </c>
      <c r="C165" s="842">
        <v>45688</v>
      </c>
      <c r="D165" s="843" t="s">
        <v>287</v>
      </c>
      <c r="E165" s="837" t="s">
        <v>49</v>
      </c>
      <c r="F165" s="837" t="s">
        <v>8</v>
      </c>
      <c r="G165" s="844">
        <v>45688</v>
      </c>
      <c r="H165" s="845"/>
      <c r="I165" s="839" t="s">
        <v>266</v>
      </c>
      <c r="J165" s="845"/>
      <c r="K165" s="845"/>
      <c r="L165" s="845"/>
      <c r="M165" s="845"/>
      <c r="N165" s="845"/>
      <c r="O165" s="845"/>
      <c r="P165" s="842">
        <v>45688</v>
      </c>
      <c r="Q165" s="833">
        <f t="shared" si="2"/>
        <v>0</v>
      </c>
      <c r="R165" s="836" t="s">
        <v>190</v>
      </c>
      <c r="S165" s="845"/>
    </row>
    <row r="166" spans="1:19" ht="43.2" x14ac:dyDescent="0.3">
      <c r="A166" s="832">
        <v>165</v>
      </c>
      <c r="B166" s="841">
        <v>1550</v>
      </c>
      <c r="C166" s="842">
        <v>45688</v>
      </c>
      <c r="D166" s="848" t="s">
        <v>288</v>
      </c>
      <c r="E166" s="836" t="s">
        <v>49</v>
      </c>
      <c r="F166" s="837" t="s">
        <v>6</v>
      </c>
      <c r="G166" s="844">
        <v>45688</v>
      </c>
      <c r="H166" s="845"/>
      <c r="I166" s="839" t="s">
        <v>266</v>
      </c>
      <c r="J166" s="845"/>
      <c r="K166" s="845"/>
      <c r="L166" s="845"/>
      <c r="M166" s="845"/>
      <c r="N166" s="845"/>
      <c r="O166" s="845"/>
      <c r="P166" s="842">
        <v>45688</v>
      </c>
      <c r="Q166" s="833">
        <f t="shared" si="2"/>
        <v>0</v>
      </c>
      <c r="R166" s="836"/>
      <c r="S166" s="845"/>
    </row>
    <row r="167" spans="1:19" ht="43.2" x14ac:dyDescent="0.3">
      <c r="A167" s="832">
        <v>166</v>
      </c>
      <c r="B167" s="841">
        <v>1550</v>
      </c>
      <c r="C167" s="842">
        <v>45688</v>
      </c>
      <c r="D167" s="848" t="s">
        <v>289</v>
      </c>
      <c r="E167" s="836" t="s">
        <v>49</v>
      </c>
      <c r="F167" s="837" t="s">
        <v>6</v>
      </c>
      <c r="G167" s="844">
        <v>45688</v>
      </c>
      <c r="H167" s="845"/>
      <c r="I167" s="839" t="s">
        <v>266</v>
      </c>
      <c r="J167" s="845"/>
      <c r="K167" s="845"/>
      <c r="L167" s="845"/>
      <c r="M167" s="845"/>
      <c r="N167" s="845"/>
      <c r="O167" s="845"/>
      <c r="P167" s="842">
        <v>45688</v>
      </c>
      <c r="Q167" s="833">
        <f t="shared" si="2"/>
        <v>0</v>
      </c>
      <c r="R167" s="836"/>
      <c r="S167" s="845"/>
    </row>
    <row r="168" spans="1:19" ht="43.2" x14ac:dyDescent="0.3">
      <c r="A168" s="832">
        <v>167</v>
      </c>
      <c r="B168" s="841">
        <v>1550</v>
      </c>
      <c r="C168" s="842">
        <v>45688</v>
      </c>
      <c r="D168" s="848" t="s">
        <v>290</v>
      </c>
      <c r="E168" s="836" t="s">
        <v>49</v>
      </c>
      <c r="F168" s="837" t="s">
        <v>6</v>
      </c>
      <c r="G168" s="844">
        <v>45688</v>
      </c>
      <c r="H168" s="845"/>
      <c r="I168" s="839" t="s">
        <v>266</v>
      </c>
      <c r="J168" s="845"/>
      <c r="K168" s="845"/>
      <c r="L168" s="845"/>
      <c r="M168" s="845"/>
      <c r="N168" s="845"/>
      <c r="O168" s="845"/>
      <c r="P168" s="842">
        <v>45688</v>
      </c>
      <c r="Q168" s="833">
        <f t="shared" si="2"/>
        <v>0</v>
      </c>
      <c r="R168" s="836"/>
      <c r="S168" s="845"/>
    </row>
    <row r="169" spans="1:19" ht="43.2" x14ac:dyDescent="0.3">
      <c r="A169" s="832">
        <v>168</v>
      </c>
      <c r="B169" s="841">
        <v>1550</v>
      </c>
      <c r="C169" s="842">
        <v>45688</v>
      </c>
      <c r="D169" s="843" t="s">
        <v>291</v>
      </c>
      <c r="E169" s="837" t="s">
        <v>49</v>
      </c>
      <c r="F169" s="837" t="s">
        <v>8</v>
      </c>
      <c r="G169" s="844">
        <v>45688</v>
      </c>
      <c r="H169" s="845"/>
      <c r="I169" s="839" t="s">
        <v>266</v>
      </c>
      <c r="J169" s="845"/>
      <c r="K169" s="845"/>
      <c r="L169" s="845"/>
      <c r="M169" s="845"/>
      <c r="N169" s="845"/>
      <c r="O169" s="845"/>
      <c r="P169" s="842">
        <v>45688</v>
      </c>
      <c r="Q169" s="833">
        <f t="shared" si="2"/>
        <v>0</v>
      </c>
      <c r="R169" s="836" t="s">
        <v>138</v>
      </c>
      <c r="S169" s="845"/>
    </row>
    <row r="170" spans="1:19" ht="43.2" x14ac:dyDescent="0.3">
      <c r="A170" s="832">
        <v>169</v>
      </c>
      <c r="B170" s="841">
        <v>1550</v>
      </c>
      <c r="C170" s="842">
        <v>45688</v>
      </c>
      <c r="D170" s="843" t="s">
        <v>292</v>
      </c>
      <c r="E170" s="837" t="s">
        <v>49</v>
      </c>
      <c r="F170" s="837" t="s">
        <v>8</v>
      </c>
      <c r="G170" s="844">
        <v>45688</v>
      </c>
      <c r="H170" s="845"/>
      <c r="I170" s="839" t="s">
        <v>266</v>
      </c>
      <c r="J170" s="845"/>
      <c r="K170" s="845"/>
      <c r="L170" s="845"/>
      <c r="M170" s="845"/>
      <c r="N170" s="845"/>
      <c r="O170" s="845"/>
      <c r="P170" s="842">
        <v>45688</v>
      </c>
      <c r="Q170" s="833">
        <f t="shared" si="2"/>
        <v>0</v>
      </c>
      <c r="R170" s="836" t="s">
        <v>138</v>
      </c>
      <c r="S170" s="845"/>
    </row>
    <row r="171" spans="1:19" ht="43.2" x14ac:dyDescent="0.3">
      <c r="A171" s="832">
        <v>170</v>
      </c>
      <c r="B171" s="841">
        <v>1550</v>
      </c>
      <c r="C171" s="842">
        <v>45688</v>
      </c>
      <c r="D171" s="848" t="s">
        <v>293</v>
      </c>
      <c r="E171" s="836" t="s">
        <v>49</v>
      </c>
      <c r="F171" s="837" t="s">
        <v>6</v>
      </c>
      <c r="G171" s="844">
        <v>45688</v>
      </c>
      <c r="H171" s="845"/>
      <c r="I171" s="839" t="s">
        <v>266</v>
      </c>
      <c r="J171" s="845"/>
      <c r="K171" s="845"/>
      <c r="L171" s="845"/>
      <c r="M171" s="845"/>
      <c r="N171" s="845"/>
      <c r="O171" s="845"/>
      <c r="P171" s="842">
        <v>45688</v>
      </c>
      <c r="Q171" s="833">
        <f t="shared" si="2"/>
        <v>0</v>
      </c>
      <c r="R171" s="836"/>
      <c r="S171" s="845"/>
    </row>
    <row r="172" spans="1:19" ht="43.2" x14ac:dyDescent="0.3">
      <c r="A172" s="832">
        <v>171</v>
      </c>
      <c r="B172" s="841">
        <v>1550</v>
      </c>
      <c r="C172" s="842">
        <v>45688</v>
      </c>
      <c r="D172" s="848" t="s">
        <v>294</v>
      </c>
      <c r="E172" s="836" t="s">
        <v>49</v>
      </c>
      <c r="F172" s="837" t="s">
        <v>6</v>
      </c>
      <c r="G172" s="844">
        <v>45688</v>
      </c>
      <c r="H172" s="845"/>
      <c r="I172" s="839" t="s">
        <v>266</v>
      </c>
      <c r="J172" s="845"/>
      <c r="K172" s="845"/>
      <c r="L172" s="845"/>
      <c r="M172" s="845"/>
      <c r="N172" s="845"/>
      <c r="O172" s="845"/>
      <c r="P172" s="842">
        <v>45688</v>
      </c>
      <c r="Q172" s="833">
        <f t="shared" si="2"/>
        <v>0</v>
      </c>
      <c r="R172" s="836"/>
      <c r="S172" s="845"/>
    </row>
    <row r="173" spans="1:19" ht="43.2" x14ac:dyDescent="0.3">
      <c r="A173" s="832">
        <v>172</v>
      </c>
      <c r="B173" s="841">
        <v>1550</v>
      </c>
      <c r="C173" s="842">
        <v>45688</v>
      </c>
      <c r="D173" s="848" t="s">
        <v>295</v>
      </c>
      <c r="E173" s="836" t="s">
        <v>49</v>
      </c>
      <c r="F173" s="837" t="s">
        <v>6</v>
      </c>
      <c r="G173" s="844">
        <v>45688</v>
      </c>
      <c r="H173" s="845"/>
      <c r="I173" s="839" t="s">
        <v>266</v>
      </c>
      <c r="J173" s="845"/>
      <c r="K173" s="845"/>
      <c r="L173" s="845"/>
      <c r="M173" s="845"/>
      <c r="N173" s="845"/>
      <c r="O173" s="845"/>
      <c r="P173" s="842">
        <v>45688</v>
      </c>
      <c r="Q173" s="833">
        <f t="shared" si="2"/>
        <v>0</v>
      </c>
      <c r="R173" s="836"/>
      <c r="S173" s="845"/>
    </row>
    <row r="174" spans="1:19" ht="43.2" x14ac:dyDescent="0.3">
      <c r="A174" s="832">
        <v>173</v>
      </c>
      <c r="B174" s="841">
        <v>1550</v>
      </c>
      <c r="C174" s="842">
        <v>45688</v>
      </c>
      <c r="D174" s="848" t="s">
        <v>296</v>
      </c>
      <c r="E174" s="836" t="s">
        <v>49</v>
      </c>
      <c r="F174" s="837" t="s">
        <v>6</v>
      </c>
      <c r="G174" s="844">
        <v>45688</v>
      </c>
      <c r="H174" s="845"/>
      <c r="I174" s="839" t="s">
        <v>266</v>
      </c>
      <c r="J174" s="845"/>
      <c r="K174" s="845"/>
      <c r="L174" s="845"/>
      <c r="M174" s="845"/>
      <c r="N174" s="845"/>
      <c r="O174" s="845"/>
      <c r="P174" s="842">
        <v>45688</v>
      </c>
      <c r="Q174" s="833">
        <f t="shared" si="2"/>
        <v>0</v>
      </c>
      <c r="R174" s="836"/>
      <c r="S174" s="845"/>
    </row>
    <row r="175" spans="1:19" ht="43.2" x14ac:dyDescent="0.3">
      <c r="A175" s="832">
        <v>174</v>
      </c>
      <c r="B175" s="841">
        <v>1550</v>
      </c>
      <c r="C175" s="842">
        <v>45688</v>
      </c>
      <c r="D175" s="848" t="s">
        <v>297</v>
      </c>
      <c r="E175" s="836" t="s">
        <v>49</v>
      </c>
      <c r="F175" s="837" t="s">
        <v>6</v>
      </c>
      <c r="G175" s="844">
        <v>45688</v>
      </c>
      <c r="H175" s="845"/>
      <c r="I175" s="839" t="s">
        <v>266</v>
      </c>
      <c r="J175" s="845"/>
      <c r="K175" s="845"/>
      <c r="L175" s="845"/>
      <c r="M175" s="845"/>
      <c r="N175" s="845"/>
      <c r="O175" s="845"/>
      <c r="P175" s="842">
        <v>45688</v>
      </c>
      <c r="Q175" s="833">
        <f t="shared" si="2"/>
        <v>0</v>
      </c>
      <c r="R175" s="836"/>
      <c r="S175" s="845"/>
    </row>
    <row r="176" spans="1:19" ht="43.2" x14ac:dyDescent="0.3">
      <c r="A176" s="832">
        <v>175</v>
      </c>
      <c r="B176" s="841">
        <v>1550</v>
      </c>
      <c r="C176" s="842">
        <v>45688</v>
      </c>
      <c r="D176" s="848" t="s">
        <v>298</v>
      </c>
      <c r="E176" s="836" t="s">
        <v>49</v>
      </c>
      <c r="F176" s="837" t="s">
        <v>6</v>
      </c>
      <c r="G176" s="844">
        <v>45688</v>
      </c>
      <c r="H176" s="845"/>
      <c r="I176" s="839" t="s">
        <v>266</v>
      </c>
      <c r="J176" s="845"/>
      <c r="K176" s="845"/>
      <c r="L176" s="845"/>
      <c r="M176" s="845"/>
      <c r="N176" s="845"/>
      <c r="O176" s="845"/>
      <c r="P176" s="842">
        <v>45688</v>
      </c>
      <c r="Q176" s="833">
        <f t="shared" si="2"/>
        <v>0</v>
      </c>
      <c r="R176" s="836"/>
      <c r="S176" s="845"/>
    </row>
    <row r="177" spans="1:19" ht="43.2" x14ac:dyDescent="0.3">
      <c r="A177" s="832">
        <v>176</v>
      </c>
      <c r="B177" s="841">
        <v>1550</v>
      </c>
      <c r="C177" s="842">
        <v>45688</v>
      </c>
      <c r="D177" s="848" t="s">
        <v>299</v>
      </c>
      <c r="E177" s="836" t="s">
        <v>49</v>
      </c>
      <c r="F177" s="837" t="s">
        <v>6</v>
      </c>
      <c r="G177" s="844">
        <v>45688</v>
      </c>
      <c r="H177" s="845"/>
      <c r="I177" s="839" t="s">
        <v>266</v>
      </c>
      <c r="J177" s="845"/>
      <c r="K177" s="845"/>
      <c r="L177" s="845"/>
      <c r="M177" s="845"/>
      <c r="N177" s="845"/>
      <c r="O177" s="845"/>
      <c r="P177" s="842">
        <v>45688</v>
      </c>
      <c r="Q177" s="833">
        <f t="shared" si="2"/>
        <v>0</v>
      </c>
      <c r="R177" s="836"/>
      <c r="S177" s="845"/>
    </row>
    <row r="178" spans="1:19" ht="43.2" x14ac:dyDescent="0.3">
      <c r="A178" s="832">
        <v>177</v>
      </c>
      <c r="B178" s="841">
        <v>1550</v>
      </c>
      <c r="C178" s="842">
        <v>45688</v>
      </c>
      <c r="D178" s="848" t="s">
        <v>300</v>
      </c>
      <c r="E178" s="836" t="s">
        <v>49</v>
      </c>
      <c r="F178" s="837" t="s">
        <v>6</v>
      </c>
      <c r="G178" s="844">
        <v>45688</v>
      </c>
      <c r="H178" s="845"/>
      <c r="I178" s="839" t="s">
        <v>266</v>
      </c>
      <c r="J178" s="845"/>
      <c r="K178" s="845"/>
      <c r="L178" s="845"/>
      <c r="M178" s="845"/>
      <c r="N178" s="845"/>
      <c r="O178" s="845"/>
      <c r="P178" s="842">
        <v>45688</v>
      </c>
      <c r="Q178" s="833">
        <f t="shared" si="2"/>
        <v>0</v>
      </c>
      <c r="R178" s="836"/>
      <c r="S178" s="845"/>
    </row>
    <row r="179" spans="1:19" ht="43.2" x14ac:dyDescent="0.3">
      <c r="A179" s="832">
        <v>178</v>
      </c>
      <c r="B179" s="841" t="s">
        <v>301</v>
      </c>
      <c r="C179" s="842">
        <v>45688</v>
      </c>
      <c r="D179" s="843" t="s">
        <v>302</v>
      </c>
      <c r="E179" s="836" t="s">
        <v>49</v>
      </c>
      <c r="F179" s="836" t="s">
        <v>10</v>
      </c>
      <c r="G179" s="844">
        <v>45688</v>
      </c>
      <c r="H179" s="845"/>
      <c r="I179" s="839" t="s">
        <v>266</v>
      </c>
      <c r="J179" s="845"/>
      <c r="K179" s="845"/>
      <c r="L179" s="845"/>
      <c r="M179" s="845"/>
      <c r="N179" s="845"/>
      <c r="O179" s="845"/>
      <c r="P179" s="842">
        <v>45688</v>
      </c>
      <c r="Q179" s="833">
        <f t="shared" si="2"/>
        <v>0</v>
      </c>
      <c r="R179" s="836" t="s">
        <v>303</v>
      </c>
      <c r="S179" s="845"/>
    </row>
    <row r="180" spans="1:19" ht="43.2" x14ac:dyDescent="0.3">
      <c r="A180" s="832">
        <v>179</v>
      </c>
      <c r="B180" s="841" t="s">
        <v>301</v>
      </c>
      <c r="C180" s="842">
        <v>45688</v>
      </c>
      <c r="D180" s="843" t="s">
        <v>304</v>
      </c>
      <c r="E180" s="836" t="s">
        <v>49</v>
      </c>
      <c r="F180" s="836" t="s">
        <v>10</v>
      </c>
      <c r="G180" s="844">
        <v>45688</v>
      </c>
      <c r="H180" s="845"/>
      <c r="I180" s="839" t="s">
        <v>266</v>
      </c>
      <c r="J180" s="845"/>
      <c r="K180" s="845"/>
      <c r="L180" s="845"/>
      <c r="M180" s="845"/>
      <c r="N180" s="845"/>
      <c r="O180" s="845"/>
      <c r="P180" s="842">
        <v>45688</v>
      </c>
      <c r="Q180" s="833">
        <f t="shared" si="2"/>
        <v>0</v>
      </c>
      <c r="R180" s="836" t="s">
        <v>303</v>
      </c>
      <c r="S180" s="845"/>
    </row>
    <row r="181" spans="1:19" ht="43.2" x14ac:dyDescent="0.3">
      <c r="A181" s="832">
        <v>180</v>
      </c>
      <c r="B181" s="841" t="s">
        <v>301</v>
      </c>
      <c r="C181" s="842">
        <v>45688</v>
      </c>
      <c r="D181" s="843" t="s">
        <v>305</v>
      </c>
      <c r="E181" s="836" t="s">
        <v>49</v>
      </c>
      <c r="F181" s="836" t="s">
        <v>10</v>
      </c>
      <c r="G181" s="844">
        <v>45688</v>
      </c>
      <c r="H181" s="845"/>
      <c r="I181" s="839" t="s">
        <v>266</v>
      </c>
      <c r="J181" s="845"/>
      <c r="K181" s="845"/>
      <c r="L181" s="845"/>
      <c r="M181" s="845"/>
      <c r="N181" s="845"/>
      <c r="O181" s="845"/>
      <c r="P181" s="842">
        <v>45688</v>
      </c>
      <c r="Q181" s="833">
        <f t="shared" si="2"/>
        <v>0</v>
      </c>
      <c r="R181" s="836" t="s">
        <v>303</v>
      </c>
      <c r="S181" s="845"/>
    </row>
    <row r="182" spans="1:19" ht="43.2" x14ac:dyDescent="0.3">
      <c r="A182" s="832">
        <v>181</v>
      </c>
      <c r="B182" s="841" t="s">
        <v>301</v>
      </c>
      <c r="C182" s="842">
        <v>45688</v>
      </c>
      <c r="D182" s="843" t="s">
        <v>306</v>
      </c>
      <c r="E182" s="836" t="s">
        <v>49</v>
      </c>
      <c r="F182" s="836" t="s">
        <v>10</v>
      </c>
      <c r="G182" s="844">
        <v>45688</v>
      </c>
      <c r="H182" s="845"/>
      <c r="I182" s="839" t="s">
        <v>266</v>
      </c>
      <c r="J182" s="845"/>
      <c r="K182" s="845"/>
      <c r="L182" s="845"/>
      <c r="M182" s="845"/>
      <c r="N182" s="845"/>
      <c r="O182" s="845"/>
      <c r="P182" s="842">
        <v>45688</v>
      </c>
      <c r="Q182" s="833">
        <f t="shared" si="2"/>
        <v>0</v>
      </c>
      <c r="R182" s="836" t="s">
        <v>303</v>
      </c>
      <c r="S182" s="845"/>
    </row>
    <row r="183" spans="1:19" ht="43.2" x14ac:dyDescent="0.3">
      <c r="A183" s="832">
        <v>182</v>
      </c>
      <c r="B183" s="841" t="s">
        <v>301</v>
      </c>
      <c r="C183" s="842">
        <v>45688</v>
      </c>
      <c r="D183" s="843" t="s">
        <v>307</v>
      </c>
      <c r="E183" s="836" t="s">
        <v>49</v>
      </c>
      <c r="F183" s="836" t="s">
        <v>10</v>
      </c>
      <c r="G183" s="844">
        <v>45688</v>
      </c>
      <c r="H183" s="845"/>
      <c r="I183" s="839" t="s">
        <v>266</v>
      </c>
      <c r="J183" s="845"/>
      <c r="K183" s="845"/>
      <c r="L183" s="845"/>
      <c r="M183" s="845"/>
      <c r="N183" s="845"/>
      <c r="O183" s="845"/>
      <c r="P183" s="842">
        <v>45688</v>
      </c>
      <c r="Q183" s="833">
        <f t="shared" si="2"/>
        <v>0</v>
      </c>
      <c r="R183" s="836" t="s">
        <v>303</v>
      </c>
      <c r="S183" s="845"/>
    </row>
    <row r="184" spans="1:19" ht="43.2" x14ac:dyDescent="0.3">
      <c r="A184" s="832">
        <v>183</v>
      </c>
      <c r="B184" s="841" t="s">
        <v>301</v>
      </c>
      <c r="C184" s="842">
        <v>45688</v>
      </c>
      <c r="D184" s="843" t="s">
        <v>308</v>
      </c>
      <c r="E184" s="836" t="s">
        <v>49</v>
      </c>
      <c r="F184" s="836" t="s">
        <v>10</v>
      </c>
      <c r="G184" s="844">
        <v>45688</v>
      </c>
      <c r="H184" s="845"/>
      <c r="I184" s="839" t="s">
        <v>266</v>
      </c>
      <c r="J184" s="845"/>
      <c r="K184" s="845"/>
      <c r="L184" s="845"/>
      <c r="M184" s="845"/>
      <c r="N184" s="845"/>
      <c r="O184" s="845"/>
      <c r="P184" s="842">
        <v>45688</v>
      </c>
      <c r="Q184" s="833">
        <f t="shared" si="2"/>
        <v>0</v>
      </c>
      <c r="R184" s="836" t="s">
        <v>303</v>
      </c>
      <c r="S184" s="845"/>
    </row>
    <row r="185" spans="1:19" ht="43.2" x14ac:dyDescent="0.3">
      <c r="A185" s="832">
        <v>184</v>
      </c>
      <c r="B185" s="841" t="s">
        <v>301</v>
      </c>
      <c r="C185" s="842">
        <v>45688</v>
      </c>
      <c r="D185" s="843" t="s">
        <v>309</v>
      </c>
      <c r="E185" s="836" t="s">
        <v>49</v>
      </c>
      <c r="F185" s="836" t="s">
        <v>10</v>
      </c>
      <c r="G185" s="844">
        <v>45688</v>
      </c>
      <c r="H185" s="845"/>
      <c r="I185" s="839" t="s">
        <v>266</v>
      </c>
      <c r="J185" s="845"/>
      <c r="K185" s="845"/>
      <c r="L185" s="845"/>
      <c r="M185" s="845"/>
      <c r="N185" s="845"/>
      <c r="O185" s="845"/>
      <c r="P185" s="842">
        <v>45688</v>
      </c>
      <c r="Q185" s="833">
        <f t="shared" si="2"/>
        <v>0</v>
      </c>
      <c r="R185" s="836" t="s">
        <v>310</v>
      </c>
      <c r="S185" s="845"/>
    </row>
    <row r="186" spans="1:19" ht="43.2" x14ac:dyDescent="0.3">
      <c r="A186" s="832">
        <v>185</v>
      </c>
      <c r="B186" s="841" t="s">
        <v>301</v>
      </c>
      <c r="C186" s="842">
        <v>45688</v>
      </c>
      <c r="D186" s="843" t="s">
        <v>311</v>
      </c>
      <c r="E186" s="836" t="s">
        <v>49</v>
      </c>
      <c r="F186" s="836" t="s">
        <v>10</v>
      </c>
      <c r="G186" s="844">
        <v>45688</v>
      </c>
      <c r="H186" s="845"/>
      <c r="I186" s="839" t="s">
        <v>266</v>
      </c>
      <c r="J186" s="845"/>
      <c r="K186" s="845"/>
      <c r="L186" s="845"/>
      <c r="M186" s="845"/>
      <c r="N186" s="845"/>
      <c r="O186" s="845"/>
      <c r="P186" s="842">
        <v>45688</v>
      </c>
      <c r="Q186" s="833">
        <f t="shared" si="2"/>
        <v>0</v>
      </c>
      <c r="R186" s="836" t="s">
        <v>312</v>
      </c>
      <c r="S186" s="845"/>
    </row>
    <row r="187" spans="1:19" ht="43.2" x14ac:dyDescent="0.3">
      <c r="A187" s="832">
        <v>186</v>
      </c>
      <c r="B187" s="841" t="s">
        <v>301</v>
      </c>
      <c r="C187" s="842">
        <v>45688</v>
      </c>
      <c r="D187" s="843" t="s">
        <v>313</v>
      </c>
      <c r="E187" s="836" t="s">
        <v>49</v>
      </c>
      <c r="F187" s="836" t="s">
        <v>10</v>
      </c>
      <c r="G187" s="844">
        <v>45688</v>
      </c>
      <c r="H187" s="845"/>
      <c r="I187" s="839" t="s">
        <v>266</v>
      </c>
      <c r="J187" s="845"/>
      <c r="K187" s="845"/>
      <c r="L187" s="845"/>
      <c r="M187" s="845"/>
      <c r="N187" s="845"/>
      <c r="O187" s="845"/>
      <c r="P187" s="842">
        <v>45688</v>
      </c>
      <c r="Q187" s="833">
        <f t="shared" si="2"/>
        <v>0</v>
      </c>
      <c r="R187" s="836" t="s">
        <v>312</v>
      </c>
      <c r="S187" s="845"/>
    </row>
    <row r="188" spans="1:19" ht="43.2" x14ac:dyDescent="0.3">
      <c r="A188" s="832">
        <v>187</v>
      </c>
      <c r="B188" s="841" t="s">
        <v>301</v>
      </c>
      <c r="C188" s="842">
        <v>45688</v>
      </c>
      <c r="D188" s="843" t="s">
        <v>314</v>
      </c>
      <c r="E188" s="836" t="s">
        <v>49</v>
      </c>
      <c r="F188" s="836" t="s">
        <v>10</v>
      </c>
      <c r="G188" s="844">
        <v>45688</v>
      </c>
      <c r="H188" s="845"/>
      <c r="I188" s="839" t="s">
        <v>266</v>
      </c>
      <c r="J188" s="845"/>
      <c r="K188" s="845"/>
      <c r="L188" s="845"/>
      <c r="M188" s="845"/>
      <c r="N188" s="845"/>
      <c r="O188" s="845"/>
      <c r="P188" s="842">
        <v>45688</v>
      </c>
      <c r="Q188" s="833">
        <f t="shared" si="2"/>
        <v>0</v>
      </c>
      <c r="R188" s="836" t="s">
        <v>312</v>
      </c>
      <c r="S188" s="845"/>
    </row>
    <row r="189" spans="1:19" ht="43.2" x14ac:dyDescent="0.3">
      <c r="A189" s="832">
        <v>188</v>
      </c>
      <c r="B189" s="841" t="s">
        <v>301</v>
      </c>
      <c r="C189" s="842">
        <v>45688</v>
      </c>
      <c r="D189" s="843" t="s">
        <v>315</v>
      </c>
      <c r="E189" s="836" t="s">
        <v>49</v>
      </c>
      <c r="F189" s="836" t="s">
        <v>10</v>
      </c>
      <c r="G189" s="844">
        <v>45688</v>
      </c>
      <c r="H189" s="845"/>
      <c r="I189" s="839" t="s">
        <v>266</v>
      </c>
      <c r="J189" s="845"/>
      <c r="K189" s="845"/>
      <c r="L189" s="845"/>
      <c r="M189" s="845"/>
      <c r="N189" s="845"/>
      <c r="O189" s="845"/>
      <c r="P189" s="842">
        <v>45688</v>
      </c>
      <c r="Q189" s="833">
        <f t="shared" si="2"/>
        <v>0</v>
      </c>
      <c r="R189" s="836" t="s">
        <v>312</v>
      </c>
      <c r="S189" s="845"/>
    </row>
    <row r="190" spans="1:19" ht="43.2" x14ac:dyDescent="0.3">
      <c r="A190" s="832">
        <v>189</v>
      </c>
      <c r="B190" s="841" t="s">
        <v>301</v>
      </c>
      <c r="C190" s="842">
        <v>45688</v>
      </c>
      <c r="D190" s="843" t="s">
        <v>316</v>
      </c>
      <c r="E190" s="836" t="s">
        <v>49</v>
      </c>
      <c r="F190" s="836" t="s">
        <v>10</v>
      </c>
      <c r="G190" s="844">
        <v>45688</v>
      </c>
      <c r="H190" s="845"/>
      <c r="I190" s="839" t="s">
        <v>266</v>
      </c>
      <c r="J190" s="845"/>
      <c r="K190" s="845"/>
      <c r="L190" s="845"/>
      <c r="M190" s="845"/>
      <c r="N190" s="845"/>
      <c r="O190" s="845"/>
      <c r="P190" s="842">
        <v>45688</v>
      </c>
      <c r="Q190" s="833">
        <f t="shared" si="2"/>
        <v>0</v>
      </c>
      <c r="R190" s="836" t="s">
        <v>312</v>
      </c>
      <c r="S190" s="845"/>
    </row>
    <row r="191" spans="1:19" ht="43.2" x14ac:dyDescent="0.3">
      <c r="A191" s="832">
        <v>190</v>
      </c>
      <c r="B191" s="841" t="s">
        <v>301</v>
      </c>
      <c r="C191" s="842">
        <v>45688</v>
      </c>
      <c r="D191" s="843" t="s">
        <v>317</v>
      </c>
      <c r="E191" s="836" t="s">
        <v>49</v>
      </c>
      <c r="F191" s="836" t="s">
        <v>10</v>
      </c>
      <c r="G191" s="844">
        <v>45688</v>
      </c>
      <c r="H191" s="845"/>
      <c r="I191" s="839" t="s">
        <v>266</v>
      </c>
      <c r="J191" s="845"/>
      <c r="K191" s="845"/>
      <c r="L191" s="845"/>
      <c r="M191" s="845"/>
      <c r="N191" s="845"/>
      <c r="O191" s="845"/>
      <c r="P191" s="842">
        <v>45688</v>
      </c>
      <c r="Q191" s="833">
        <f t="shared" si="2"/>
        <v>0</v>
      </c>
      <c r="R191" s="836" t="s">
        <v>312</v>
      </c>
      <c r="S191" s="845"/>
    </row>
    <row r="192" spans="1:19" ht="43.2" x14ac:dyDescent="0.3">
      <c r="A192" s="832">
        <v>191</v>
      </c>
      <c r="B192" s="841" t="s">
        <v>301</v>
      </c>
      <c r="C192" s="842">
        <v>45688</v>
      </c>
      <c r="D192" s="843" t="s">
        <v>318</v>
      </c>
      <c r="E192" s="836" t="s">
        <v>49</v>
      </c>
      <c r="F192" s="836" t="s">
        <v>10</v>
      </c>
      <c r="G192" s="844">
        <v>45688</v>
      </c>
      <c r="H192" s="845"/>
      <c r="I192" s="839" t="s">
        <v>266</v>
      </c>
      <c r="J192" s="845"/>
      <c r="K192" s="845"/>
      <c r="L192" s="845"/>
      <c r="M192" s="845"/>
      <c r="N192" s="845"/>
      <c r="O192" s="845"/>
      <c r="P192" s="842">
        <v>45688</v>
      </c>
      <c r="Q192" s="833">
        <f t="shared" si="2"/>
        <v>0</v>
      </c>
      <c r="R192" s="836" t="s">
        <v>312</v>
      </c>
      <c r="S192" s="845"/>
    </row>
    <row r="193" spans="1:19" ht="43.2" x14ac:dyDescent="0.3">
      <c r="A193" s="832">
        <v>192</v>
      </c>
      <c r="B193" s="841" t="s">
        <v>80</v>
      </c>
      <c r="C193" s="842">
        <v>45688</v>
      </c>
      <c r="D193" s="843" t="s">
        <v>319</v>
      </c>
      <c r="E193" s="836" t="s">
        <v>49</v>
      </c>
      <c r="F193" s="836" t="s">
        <v>10</v>
      </c>
      <c r="G193" s="844">
        <v>45688</v>
      </c>
      <c r="H193" s="845"/>
      <c r="I193" s="839" t="s">
        <v>266</v>
      </c>
      <c r="J193" s="845"/>
      <c r="K193" s="845"/>
      <c r="L193" s="845"/>
      <c r="M193" s="845"/>
      <c r="N193" s="845"/>
      <c r="O193" s="845"/>
      <c r="P193" s="842">
        <v>45688</v>
      </c>
      <c r="Q193" s="833">
        <f t="shared" si="2"/>
        <v>0</v>
      </c>
      <c r="R193" s="836" t="s">
        <v>214</v>
      </c>
      <c r="S193" s="845"/>
    </row>
    <row r="194" spans="1:19" ht="43.2" x14ac:dyDescent="0.3">
      <c r="A194" s="832">
        <v>193</v>
      </c>
      <c r="B194" s="841" t="s">
        <v>80</v>
      </c>
      <c r="C194" s="842">
        <v>45688</v>
      </c>
      <c r="D194" s="843" t="s">
        <v>320</v>
      </c>
      <c r="E194" s="836" t="s">
        <v>49</v>
      </c>
      <c r="F194" s="836" t="s">
        <v>10</v>
      </c>
      <c r="G194" s="844">
        <v>45688</v>
      </c>
      <c r="H194" s="845"/>
      <c r="I194" s="839" t="s">
        <v>266</v>
      </c>
      <c r="J194" s="845"/>
      <c r="K194" s="845"/>
      <c r="L194" s="845"/>
      <c r="M194" s="845"/>
      <c r="N194" s="845"/>
      <c r="O194" s="845"/>
      <c r="P194" s="842">
        <v>45688</v>
      </c>
      <c r="Q194" s="833">
        <f t="shared" ref="Q194:Q257" si="3">P194-G194</f>
        <v>0</v>
      </c>
      <c r="R194" s="836" t="s">
        <v>214</v>
      </c>
      <c r="S194" s="845"/>
    </row>
    <row r="195" spans="1:19" ht="43.2" x14ac:dyDescent="0.3">
      <c r="A195" s="832">
        <v>194</v>
      </c>
      <c r="B195" s="841" t="s">
        <v>80</v>
      </c>
      <c r="C195" s="842">
        <v>45688</v>
      </c>
      <c r="D195" s="843" t="s">
        <v>321</v>
      </c>
      <c r="E195" s="836" t="s">
        <v>49</v>
      </c>
      <c r="F195" s="836" t="s">
        <v>10</v>
      </c>
      <c r="G195" s="844">
        <v>45688</v>
      </c>
      <c r="H195" s="845"/>
      <c r="I195" s="839" t="s">
        <v>266</v>
      </c>
      <c r="J195" s="845"/>
      <c r="K195" s="845"/>
      <c r="L195" s="845"/>
      <c r="M195" s="845"/>
      <c r="N195" s="845"/>
      <c r="O195" s="845"/>
      <c r="P195" s="842">
        <v>45688</v>
      </c>
      <c r="Q195" s="833">
        <f t="shared" si="3"/>
        <v>0</v>
      </c>
      <c r="R195" s="836" t="s">
        <v>214</v>
      </c>
      <c r="S195" s="845"/>
    </row>
    <row r="196" spans="1:19" ht="43.2" x14ac:dyDescent="0.3">
      <c r="A196" s="832">
        <v>195</v>
      </c>
      <c r="B196" s="841" t="s">
        <v>301</v>
      </c>
      <c r="C196" s="842">
        <v>45688</v>
      </c>
      <c r="D196" s="843" t="s">
        <v>322</v>
      </c>
      <c r="E196" s="836" t="s">
        <v>49</v>
      </c>
      <c r="F196" s="836" t="s">
        <v>10</v>
      </c>
      <c r="G196" s="844">
        <v>45688</v>
      </c>
      <c r="H196" s="845"/>
      <c r="I196" s="839" t="s">
        <v>266</v>
      </c>
      <c r="J196" s="845"/>
      <c r="K196" s="845"/>
      <c r="L196" s="845"/>
      <c r="M196" s="845"/>
      <c r="N196" s="845"/>
      <c r="O196" s="845"/>
      <c r="P196" s="842">
        <v>45688</v>
      </c>
      <c r="Q196" s="833">
        <f t="shared" si="3"/>
        <v>0</v>
      </c>
      <c r="R196" s="836" t="s">
        <v>323</v>
      </c>
      <c r="S196" s="845"/>
    </row>
    <row r="197" spans="1:19" ht="43.2" x14ac:dyDescent="0.3">
      <c r="A197" s="832">
        <v>196</v>
      </c>
      <c r="B197" s="841" t="s">
        <v>301</v>
      </c>
      <c r="C197" s="842">
        <v>45688</v>
      </c>
      <c r="D197" s="843" t="s">
        <v>324</v>
      </c>
      <c r="E197" s="836" t="s">
        <v>49</v>
      </c>
      <c r="F197" s="836" t="s">
        <v>10</v>
      </c>
      <c r="G197" s="844">
        <v>45688</v>
      </c>
      <c r="H197" s="845"/>
      <c r="I197" s="839" t="s">
        <v>266</v>
      </c>
      <c r="J197" s="845"/>
      <c r="K197" s="845"/>
      <c r="L197" s="845"/>
      <c r="M197" s="845"/>
      <c r="N197" s="845"/>
      <c r="O197" s="845"/>
      <c r="P197" s="842">
        <v>45688</v>
      </c>
      <c r="Q197" s="833">
        <f t="shared" si="3"/>
        <v>0</v>
      </c>
      <c r="R197" s="836" t="s">
        <v>323</v>
      </c>
      <c r="S197" s="845"/>
    </row>
    <row r="198" spans="1:19" ht="43.2" x14ac:dyDescent="0.3">
      <c r="A198" s="832">
        <v>197</v>
      </c>
      <c r="B198" s="841" t="s">
        <v>301</v>
      </c>
      <c r="C198" s="842">
        <v>45688</v>
      </c>
      <c r="D198" s="843" t="s">
        <v>325</v>
      </c>
      <c r="E198" s="836" t="s">
        <v>49</v>
      </c>
      <c r="F198" s="836" t="s">
        <v>10</v>
      </c>
      <c r="G198" s="844">
        <v>45688</v>
      </c>
      <c r="H198" s="845"/>
      <c r="I198" s="839" t="s">
        <v>266</v>
      </c>
      <c r="J198" s="845"/>
      <c r="K198" s="845"/>
      <c r="L198" s="845"/>
      <c r="M198" s="845"/>
      <c r="N198" s="845"/>
      <c r="O198" s="845"/>
      <c r="P198" s="842">
        <v>45688</v>
      </c>
      <c r="Q198" s="833">
        <f t="shared" si="3"/>
        <v>0</v>
      </c>
      <c r="R198" s="836" t="s">
        <v>323</v>
      </c>
      <c r="S198" s="845"/>
    </row>
    <row r="199" spans="1:19" ht="43.2" x14ac:dyDescent="0.3">
      <c r="A199" s="832">
        <v>198</v>
      </c>
      <c r="B199" s="841">
        <v>1550</v>
      </c>
      <c r="C199" s="842">
        <v>45688</v>
      </c>
      <c r="D199" s="843" t="s">
        <v>326</v>
      </c>
      <c r="E199" s="836" t="s">
        <v>49</v>
      </c>
      <c r="F199" s="836" t="s">
        <v>10</v>
      </c>
      <c r="G199" s="844">
        <v>45688</v>
      </c>
      <c r="H199" s="845"/>
      <c r="I199" s="839" t="s">
        <v>266</v>
      </c>
      <c r="J199" s="845"/>
      <c r="K199" s="845"/>
      <c r="L199" s="845"/>
      <c r="M199" s="845"/>
      <c r="N199" s="845"/>
      <c r="O199" s="845"/>
      <c r="P199" s="842">
        <v>45688</v>
      </c>
      <c r="Q199" s="833">
        <f t="shared" si="3"/>
        <v>0</v>
      </c>
      <c r="R199" s="836" t="s">
        <v>327</v>
      </c>
      <c r="S199" s="845"/>
    </row>
    <row r="200" spans="1:19" ht="100.8" x14ac:dyDescent="0.3">
      <c r="A200" s="832">
        <v>199</v>
      </c>
      <c r="B200" s="833" t="s">
        <v>80</v>
      </c>
      <c r="C200" s="834">
        <v>45673</v>
      </c>
      <c r="D200" s="835" t="s">
        <v>328</v>
      </c>
      <c r="E200" s="837" t="s">
        <v>17</v>
      </c>
      <c r="F200" s="837" t="s">
        <v>10</v>
      </c>
      <c r="G200" s="838">
        <v>45673</v>
      </c>
      <c r="H200" s="845"/>
      <c r="I200" s="849" t="s">
        <v>82</v>
      </c>
      <c r="J200" s="833"/>
      <c r="K200" s="832"/>
      <c r="L200" s="832"/>
      <c r="M200" s="833"/>
      <c r="N200" s="832"/>
      <c r="O200" s="832"/>
      <c r="P200" s="834">
        <v>45687</v>
      </c>
      <c r="Q200" s="833">
        <f t="shared" si="3"/>
        <v>14</v>
      </c>
      <c r="R200" s="833"/>
      <c r="S200" s="832"/>
    </row>
    <row r="201" spans="1:19" ht="57.6" x14ac:dyDescent="0.3">
      <c r="A201" s="832">
        <v>200</v>
      </c>
      <c r="B201" s="833">
        <v>1550</v>
      </c>
      <c r="C201" s="834">
        <v>45681</v>
      </c>
      <c r="D201" s="835" t="s">
        <v>329</v>
      </c>
      <c r="E201" s="836" t="s">
        <v>1</v>
      </c>
      <c r="F201" s="836" t="s">
        <v>6</v>
      </c>
      <c r="G201" s="838">
        <v>45681</v>
      </c>
      <c r="H201" s="832"/>
      <c r="I201" s="833" t="s">
        <v>258</v>
      </c>
      <c r="J201" s="833"/>
      <c r="K201" s="832"/>
      <c r="L201" s="832"/>
      <c r="M201" s="833"/>
      <c r="N201" s="832"/>
      <c r="O201" s="832"/>
      <c r="P201" s="834">
        <v>45687</v>
      </c>
      <c r="Q201" s="833">
        <f t="shared" si="3"/>
        <v>6</v>
      </c>
      <c r="R201" s="836"/>
      <c r="S201" s="832"/>
    </row>
    <row r="202" spans="1:19" ht="43.2" x14ac:dyDescent="0.3">
      <c r="A202" s="832">
        <v>201</v>
      </c>
      <c r="B202" s="833">
        <v>1550</v>
      </c>
      <c r="C202" s="834">
        <v>45684</v>
      </c>
      <c r="D202" s="835" t="s">
        <v>330</v>
      </c>
      <c r="E202" s="836" t="s">
        <v>51</v>
      </c>
      <c r="F202" s="836" t="s">
        <v>8</v>
      </c>
      <c r="G202" s="838">
        <v>45684</v>
      </c>
      <c r="H202" s="832"/>
      <c r="I202" s="845" t="s">
        <v>99</v>
      </c>
      <c r="J202" s="833"/>
      <c r="K202" s="832"/>
      <c r="L202" s="832"/>
      <c r="M202" s="833"/>
      <c r="N202" s="832"/>
      <c r="O202" s="832"/>
      <c r="P202" s="834">
        <v>45687</v>
      </c>
      <c r="Q202" s="833">
        <f t="shared" si="3"/>
        <v>3</v>
      </c>
      <c r="R202" s="836" t="s">
        <v>138</v>
      </c>
      <c r="S202" s="832"/>
    </row>
    <row r="203" spans="1:19" ht="100.8" x14ac:dyDescent="0.3">
      <c r="A203" s="832">
        <v>202</v>
      </c>
      <c r="B203" s="841" t="s">
        <v>80</v>
      </c>
      <c r="C203" s="842">
        <v>45685</v>
      </c>
      <c r="D203" s="843" t="s">
        <v>331</v>
      </c>
      <c r="E203" s="836" t="s">
        <v>1</v>
      </c>
      <c r="F203" s="836" t="s">
        <v>10</v>
      </c>
      <c r="G203" s="844">
        <v>45685</v>
      </c>
      <c r="H203" s="845"/>
      <c r="I203" s="839" t="s">
        <v>125</v>
      </c>
      <c r="J203" s="845"/>
      <c r="K203" s="845"/>
      <c r="L203" s="845"/>
      <c r="M203" s="845"/>
      <c r="N203" s="845"/>
      <c r="O203" s="845"/>
      <c r="P203" s="842">
        <v>45687</v>
      </c>
      <c r="Q203" s="833">
        <f t="shared" si="3"/>
        <v>2</v>
      </c>
      <c r="R203" s="836" t="s">
        <v>85</v>
      </c>
      <c r="S203" s="845"/>
    </row>
    <row r="204" spans="1:19" ht="43.2" x14ac:dyDescent="0.3">
      <c r="A204" s="832">
        <v>203</v>
      </c>
      <c r="B204" s="841" t="s">
        <v>80</v>
      </c>
      <c r="C204" s="842">
        <v>45685</v>
      </c>
      <c r="D204" s="843" t="s">
        <v>332</v>
      </c>
      <c r="E204" s="836" t="s">
        <v>51</v>
      </c>
      <c r="F204" s="836" t="s">
        <v>10</v>
      </c>
      <c r="G204" s="838">
        <v>45685</v>
      </c>
      <c r="H204" s="832"/>
      <c r="I204" s="845" t="s">
        <v>99</v>
      </c>
      <c r="J204" s="845"/>
      <c r="K204" s="845"/>
      <c r="L204" s="845"/>
      <c r="M204" s="845"/>
      <c r="N204" s="845"/>
      <c r="O204" s="845"/>
      <c r="P204" s="842">
        <v>45687</v>
      </c>
      <c r="Q204" s="833">
        <f t="shared" si="3"/>
        <v>2</v>
      </c>
      <c r="R204" s="836" t="s">
        <v>85</v>
      </c>
      <c r="S204" s="845"/>
    </row>
    <row r="205" spans="1:19" ht="129.6" x14ac:dyDescent="0.3">
      <c r="A205" s="832">
        <v>204</v>
      </c>
      <c r="B205" s="841" t="s">
        <v>80</v>
      </c>
      <c r="C205" s="842">
        <v>45686</v>
      </c>
      <c r="D205" s="843" t="s">
        <v>333</v>
      </c>
      <c r="E205" s="836" t="s">
        <v>1</v>
      </c>
      <c r="F205" s="837" t="s">
        <v>10</v>
      </c>
      <c r="G205" s="844">
        <v>45686</v>
      </c>
      <c r="H205" s="845"/>
      <c r="I205" s="839" t="s">
        <v>129</v>
      </c>
      <c r="J205" s="845"/>
      <c r="K205" s="845"/>
      <c r="L205" s="845"/>
      <c r="M205" s="845"/>
      <c r="N205" s="845"/>
      <c r="O205" s="845"/>
      <c r="P205" s="842">
        <v>45687</v>
      </c>
      <c r="Q205" s="833">
        <f t="shared" si="3"/>
        <v>1</v>
      </c>
      <c r="R205" s="836" t="s">
        <v>85</v>
      </c>
      <c r="S205" s="845"/>
    </row>
    <row r="206" spans="1:19" ht="115.2" x14ac:dyDescent="0.3">
      <c r="A206" s="832">
        <v>205</v>
      </c>
      <c r="B206" s="841" t="s">
        <v>80</v>
      </c>
      <c r="C206" s="842">
        <v>45686</v>
      </c>
      <c r="D206" s="843" t="s">
        <v>334</v>
      </c>
      <c r="E206" s="836" t="s">
        <v>7</v>
      </c>
      <c r="F206" s="837" t="s">
        <v>10</v>
      </c>
      <c r="G206" s="844">
        <v>45686</v>
      </c>
      <c r="H206" s="845"/>
      <c r="I206" s="839" t="s">
        <v>129</v>
      </c>
      <c r="J206" s="845"/>
      <c r="K206" s="845"/>
      <c r="L206" s="845"/>
      <c r="M206" s="845"/>
      <c r="N206" s="845"/>
      <c r="O206" s="845"/>
      <c r="P206" s="842">
        <v>45687</v>
      </c>
      <c r="Q206" s="833">
        <f t="shared" si="3"/>
        <v>1</v>
      </c>
      <c r="R206" s="836" t="s">
        <v>85</v>
      </c>
      <c r="S206" s="845"/>
    </row>
    <row r="207" spans="1:19" ht="57.6" x14ac:dyDescent="0.3">
      <c r="A207" s="832">
        <v>206</v>
      </c>
      <c r="B207" s="841" t="s">
        <v>80</v>
      </c>
      <c r="C207" s="842">
        <v>45686</v>
      </c>
      <c r="D207" s="843" t="s">
        <v>335</v>
      </c>
      <c r="E207" s="836" t="s">
        <v>25</v>
      </c>
      <c r="F207" s="837" t="s">
        <v>10</v>
      </c>
      <c r="G207" s="844">
        <v>45686</v>
      </c>
      <c r="H207" s="845"/>
      <c r="I207" s="839" t="s">
        <v>135</v>
      </c>
      <c r="J207" s="845"/>
      <c r="K207" s="845"/>
      <c r="L207" s="845"/>
      <c r="M207" s="845"/>
      <c r="N207" s="845"/>
      <c r="O207" s="845"/>
      <c r="P207" s="842">
        <v>45687</v>
      </c>
      <c r="Q207" s="833">
        <f t="shared" si="3"/>
        <v>1</v>
      </c>
      <c r="R207" s="836" t="s">
        <v>85</v>
      </c>
      <c r="S207" s="845"/>
    </row>
    <row r="208" spans="1:19" ht="43.2" x14ac:dyDescent="0.3">
      <c r="A208" s="832">
        <v>207</v>
      </c>
      <c r="B208" s="841">
        <v>1550</v>
      </c>
      <c r="C208" s="842">
        <v>45687</v>
      </c>
      <c r="D208" s="848" t="s">
        <v>336</v>
      </c>
      <c r="E208" s="836" t="s">
        <v>49</v>
      </c>
      <c r="F208" s="837" t="s">
        <v>6</v>
      </c>
      <c r="G208" s="844">
        <v>45687</v>
      </c>
      <c r="H208" s="845"/>
      <c r="I208" s="839" t="s">
        <v>266</v>
      </c>
      <c r="J208" s="845"/>
      <c r="K208" s="845"/>
      <c r="L208" s="845"/>
      <c r="M208" s="845"/>
      <c r="N208" s="845"/>
      <c r="O208" s="845"/>
      <c r="P208" s="842">
        <v>45687</v>
      </c>
      <c r="Q208" s="833">
        <f t="shared" si="3"/>
        <v>0</v>
      </c>
      <c r="R208" s="836"/>
      <c r="S208" s="845"/>
    </row>
    <row r="209" spans="1:19" ht="43.2" x14ac:dyDescent="0.3">
      <c r="A209" s="832">
        <v>208</v>
      </c>
      <c r="B209" s="841">
        <v>1550</v>
      </c>
      <c r="C209" s="842">
        <v>45687</v>
      </c>
      <c r="D209" s="843" t="s">
        <v>337</v>
      </c>
      <c r="E209" s="836" t="s">
        <v>49</v>
      </c>
      <c r="F209" s="837" t="s">
        <v>8</v>
      </c>
      <c r="G209" s="844">
        <v>45687</v>
      </c>
      <c r="H209" s="845"/>
      <c r="I209" s="839" t="s">
        <v>266</v>
      </c>
      <c r="J209" s="845"/>
      <c r="K209" s="845"/>
      <c r="L209" s="845"/>
      <c r="M209" s="845"/>
      <c r="N209" s="845"/>
      <c r="O209" s="845"/>
      <c r="P209" s="842">
        <v>45687</v>
      </c>
      <c r="Q209" s="833">
        <f t="shared" si="3"/>
        <v>0</v>
      </c>
      <c r="R209" s="836" t="s">
        <v>270</v>
      </c>
      <c r="S209" s="845"/>
    </row>
    <row r="210" spans="1:19" ht="43.2" x14ac:dyDescent="0.3">
      <c r="A210" s="832">
        <v>209</v>
      </c>
      <c r="B210" s="841">
        <v>1550</v>
      </c>
      <c r="C210" s="842">
        <v>45687</v>
      </c>
      <c r="D210" s="843" t="s">
        <v>338</v>
      </c>
      <c r="E210" s="836" t="s">
        <v>49</v>
      </c>
      <c r="F210" s="837" t="s">
        <v>8</v>
      </c>
      <c r="G210" s="844">
        <v>45687</v>
      </c>
      <c r="H210" s="845"/>
      <c r="I210" s="839" t="s">
        <v>266</v>
      </c>
      <c r="J210" s="845"/>
      <c r="K210" s="845"/>
      <c r="L210" s="845"/>
      <c r="M210" s="845"/>
      <c r="N210" s="845"/>
      <c r="O210" s="845"/>
      <c r="P210" s="842">
        <v>45687</v>
      </c>
      <c r="Q210" s="833">
        <f t="shared" si="3"/>
        <v>0</v>
      </c>
      <c r="R210" s="836" t="s">
        <v>270</v>
      </c>
      <c r="S210" s="845"/>
    </row>
    <row r="211" spans="1:19" ht="43.2" x14ac:dyDescent="0.3">
      <c r="A211" s="832">
        <v>210</v>
      </c>
      <c r="B211" s="841">
        <v>1550</v>
      </c>
      <c r="C211" s="842">
        <v>45687</v>
      </c>
      <c r="D211" s="843" t="s">
        <v>339</v>
      </c>
      <c r="E211" s="836" t="s">
        <v>49</v>
      </c>
      <c r="F211" s="837" t="s">
        <v>8</v>
      </c>
      <c r="G211" s="844">
        <v>45687</v>
      </c>
      <c r="H211" s="845"/>
      <c r="I211" s="839" t="s">
        <v>266</v>
      </c>
      <c r="J211" s="845"/>
      <c r="K211" s="845"/>
      <c r="L211" s="845"/>
      <c r="M211" s="845"/>
      <c r="N211" s="845"/>
      <c r="O211" s="845"/>
      <c r="P211" s="842">
        <v>45687</v>
      </c>
      <c r="Q211" s="833">
        <f t="shared" si="3"/>
        <v>0</v>
      </c>
      <c r="R211" s="836" t="s">
        <v>270</v>
      </c>
      <c r="S211" s="845"/>
    </row>
    <row r="212" spans="1:19" ht="43.2" x14ac:dyDescent="0.3">
      <c r="A212" s="832">
        <v>211</v>
      </c>
      <c r="B212" s="841">
        <v>1550</v>
      </c>
      <c r="C212" s="842">
        <v>45687</v>
      </c>
      <c r="D212" s="843" t="s">
        <v>340</v>
      </c>
      <c r="E212" s="836" t="s">
        <v>49</v>
      </c>
      <c r="F212" s="837" t="s">
        <v>6</v>
      </c>
      <c r="G212" s="844">
        <v>45687</v>
      </c>
      <c r="H212" s="845"/>
      <c r="I212" s="839" t="s">
        <v>266</v>
      </c>
      <c r="J212" s="845"/>
      <c r="K212" s="845"/>
      <c r="L212" s="845"/>
      <c r="M212" s="845"/>
      <c r="N212" s="845"/>
      <c r="O212" s="845"/>
      <c r="P212" s="842">
        <v>45687</v>
      </c>
      <c r="Q212" s="833">
        <f t="shared" si="3"/>
        <v>0</v>
      </c>
      <c r="R212" s="836"/>
      <c r="S212" s="845"/>
    </row>
    <row r="213" spans="1:19" ht="43.2" x14ac:dyDescent="0.3">
      <c r="A213" s="832">
        <v>212</v>
      </c>
      <c r="B213" s="841" t="s">
        <v>80</v>
      </c>
      <c r="C213" s="842">
        <v>45687</v>
      </c>
      <c r="D213" s="843" t="s">
        <v>341</v>
      </c>
      <c r="E213" s="836" t="s">
        <v>49</v>
      </c>
      <c r="F213" s="836" t="s">
        <v>10</v>
      </c>
      <c r="G213" s="844">
        <v>45687</v>
      </c>
      <c r="H213" s="845"/>
      <c r="I213" s="839" t="s">
        <v>266</v>
      </c>
      <c r="J213" s="845"/>
      <c r="K213" s="845"/>
      <c r="L213" s="845"/>
      <c r="M213" s="845"/>
      <c r="N213" s="845"/>
      <c r="O213" s="845"/>
      <c r="P213" s="842">
        <v>45687</v>
      </c>
      <c r="Q213" s="833">
        <f t="shared" si="3"/>
        <v>0</v>
      </c>
      <c r="R213" s="836" t="s">
        <v>214</v>
      </c>
      <c r="S213" s="845"/>
    </row>
    <row r="214" spans="1:19" ht="43.2" x14ac:dyDescent="0.3">
      <c r="A214" s="832">
        <v>213</v>
      </c>
      <c r="B214" s="841" t="s">
        <v>301</v>
      </c>
      <c r="C214" s="842">
        <v>45687</v>
      </c>
      <c r="D214" s="843" t="s">
        <v>342</v>
      </c>
      <c r="E214" s="836" t="s">
        <v>49</v>
      </c>
      <c r="F214" s="836" t="s">
        <v>10</v>
      </c>
      <c r="G214" s="844">
        <v>45687</v>
      </c>
      <c r="H214" s="845"/>
      <c r="I214" s="839" t="s">
        <v>266</v>
      </c>
      <c r="J214" s="845"/>
      <c r="K214" s="845"/>
      <c r="L214" s="845"/>
      <c r="M214" s="845"/>
      <c r="N214" s="845"/>
      <c r="O214" s="845"/>
      <c r="P214" s="842">
        <v>45687</v>
      </c>
      <c r="Q214" s="833">
        <f t="shared" si="3"/>
        <v>0</v>
      </c>
      <c r="R214" s="836" t="s">
        <v>303</v>
      </c>
      <c r="S214" s="845"/>
    </row>
    <row r="215" spans="1:19" ht="43.2" x14ac:dyDescent="0.3">
      <c r="A215" s="832">
        <v>214</v>
      </c>
      <c r="B215" s="841" t="s">
        <v>301</v>
      </c>
      <c r="C215" s="842">
        <v>45687</v>
      </c>
      <c r="D215" s="843" t="s">
        <v>343</v>
      </c>
      <c r="E215" s="836" t="s">
        <v>49</v>
      </c>
      <c r="F215" s="836" t="s">
        <v>10</v>
      </c>
      <c r="G215" s="844">
        <v>45687</v>
      </c>
      <c r="H215" s="845"/>
      <c r="I215" s="839" t="s">
        <v>266</v>
      </c>
      <c r="J215" s="845"/>
      <c r="K215" s="845"/>
      <c r="L215" s="845"/>
      <c r="M215" s="845"/>
      <c r="N215" s="845"/>
      <c r="O215" s="845"/>
      <c r="P215" s="842">
        <v>45687</v>
      </c>
      <c r="Q215" s="833">
        <f t="shared" si="3"/>
        <v>0</v>
      </c>
      <c r="R215" s="836" t="s">
        <v>312</v>
      </c>
      <c r="S215" s="845"/>
    </row>
    <row r="216" spans="1:19" ht="43.2" x14ac:dyDescent="0.3">
      <c r="A216" s="832">
        <v>215</v>
      </c>
      <c r="B216" s="841" t="s">
        <v>301</v>
      </c>
      <c r="C216" s="842">
        <v>45687</v>
      </c>
      <c r="D216" s="843" t="s">
        <v>344</v>
      </c>
      <c r="E216" s="836" t="s">
        <v>49</v>
      </c>
      <c r="F216" s="836" t="s">
        <v>10</v>
      </c>
      <c r="G216" s="844">
        <v>45687</v>
      </c>
      <c r="H216" s="845"/>
      <c r="I216" s="839" t="s">
        <v>266</v>
      </c>
      <c r="J216" s="845"/>
      <c r="K216" s="845"/>
      <c r="L216" s="845"/>
      <c r="M216" s="845"/>
      <c r="N216" s="845"/>
      <c r="O216" s="845"/>
      <c r="P216" s="842">
        <v>45687</v>
      </c>
      <c r="Q216" s="833">
        <f t="shared" si="3"/>
        <v>0</v>
      </c>
      <c r="R216" s="836" t="s">
        <v>312</v>
      </c>
      <c r="S216" s="845"/>
    </row>
    <row r="217" spans="1:19" ht="57.6" x14ac:dyDescent="0.3">
      <c r="A217" s="832">
        <v>216</v>
      </c>
      <c r="B217" s="841" t="s">
        <v>80</v>
      </c>
      <c r="C217" s="842">
        <v>45687</v>
      </c>
      <c r="D217" s="843" t="s">
        <v>345</v>
      </c>
      <c r="E217" s="836" t="s">
        <v>26</v>
      </c>
      <c r="F217" s="837" t="s">
        <v>10</v>
      </c>
      <c r="G217" s="844">
        <v>45687</v>
      </c>
      <c r="H217" s="845"/>
      <c r="I217" s="839" t="s">
        <v>174</v>
      </c>
      <c r="J217" s="845"/>
      <c r="K217" s="845"/>
      <c r="L217" s="845"/>
      <c r="M217" s="845"/>
      <c r="N217" s="845"/>
      <c r="O217" s="845"/>
      <c r="P217" s="842">
        <v>45687</v>
      </c>
      <c r="Q217" s="833">
        <f t="shared" si="3"/>
        <v>0</v>
      </c>
      <c r="R217" s="836" t="s">
        <v>85</v>
      </c>
      <c r="S217" s="845"/>
    </row>
    <row r="218" spans="1:19" ht="72" x14ac:dyDescent="0.3">
      <c r="A218" s="832">
        <v>217</v>
      </c>
      <c r="B218" s="833" t="s">
        <v>80</v>
      </c>
      <c r="C218" s="834">
        <v>45671</v>
      </c>
      <c r="D218" s="835" t="s">
        <v>346</v>
      </c>
      <c r="E218" s="836" t="s">
        <v>56</v>
      </c>
      <c r="F218" s="836" t="s">
        <v>10</v>
      </c>
      <c r="G218" s="838">
        <v>45671</v>
      </c>
      <c r="H218" s="832"/>
      <c r="I218" s="839" t="s">
        <v>99</v>
      </c>
      <c r="J218" s="833"/>
      <c r="K218" s="832"/>
      <c r="L218" s="832"/>
      <c r="M218" s="833"/>
      <c r="N218" s="832"/>
      <c r="O218" s="832"/>
      <c r="P218" s="834">
        <v>45686</v>
      </c>
      <c r="Q218" s="833">
        <f t="shared" si="3"/>
        <v>15</v>
      </c>
      <c r="R218" s="836"/>
      <c r="S218" s="850"/>
    </row>
    <row r="219" spans="1:19" ht="57.6" x14ac:dyDescent="0.3">
      <c r="A219" s="832">
        <v>218</v>
      </c>
      <c r="B219" s="833" t="s">
        <v>80</v>
      </c>
      <c r="C219" s="834">
        <v>45672</v>
      </c>
      <c r="D219" s="835" t="s">
        <v>347</v>
      </c>
      <c r="E219" s="836" t="s">
        <v>27</v>
      </c>
      <c r="F219" s="837" t="s">
        <v>10</v>
      </c>
      <c r="G219" s="838">
        <v>45672</v>
      </c>
      <c r="H219" s="832"/>
      <c r="I219" s="845" t="s">
        <v>82</v>
      </c>
      <c r="J219" s="833"/>
      <c r="K219" s="832"/>
      <c r="L219" s="832"/>
      <c r="M219" s="833"/>
      <c r="N219" s="832"/>
      <c r="O219" s="832"/>
      <c r="P219" s="834">
        <v>45686</v>
      </c>
      <c r="Q219" s="833">
        <f t="shared" si="3"/>
        <v>14</v>
      </c>
      <c r="R219" s="833"/>
      <c r="S219" s="832"/>
    </row>
    <row r="220" spans="1:19" ht="115.2" x14ac:dyDescent="0.3">
      <c r="A220" s="832">
        <v>219</v>
      </c>
      <c r="B220" s="833" t="s">
        <v>80</v>
      </c>
      <c r="C220" s="834">
        <v>45673</v>
      </c>
      <c r="D220" s="835" t="s">
        <v>348</v>
      </c>
      <c r="E220" s="837" t="s">
        <v>1</v>
      </c>
      <c r="F220" s="837" t="s">
        <v>10</v>
      </c>
      <c r="G220" s="838">
        <v>45673</v>
      </c>
      <c r="H220" s="845"/>
      <c r="I220" s="845" t="s">
        <v>129</v>
      </c>
      <c r="J220" s="833"/>
      <c r="K220" s="832"/>
      <c r="L220" s="832"/>
      <c r="M220" s="833"/>
      <c r="N220" s="832"/>
      <c r="O220" s="832"/>
      <c r="P220" s="834">
        <v>45686</v>
      </c>
      <c r="Q220" s="833">
        <f t="shared" si="3"/>
        <v>13</v>
      </c>
      <c r="R220" s="833"/>
      <c r="S220" s="832"/>
    </row>
    <row r="221" spans="1:19" ht="57.6" x14ac:dyDescent="0.3">
      <c r="A221" s="832">
        <v>220</v>
      </c>
      <c r="B221" s="841">
        <v>1550</v>
      </c>
      <c r="C221" s="842">
        <v>45679</v>
      </c>
      <c r="D221" s="843" t="s">
        <v>349</v>
      </c>
      <c r="E221" s="836" t="s">
        <v>1</v>
      </c>
      <c r="F221" s="837" t="s">
        <v>6</v>
      </c>
      <c r="G221" s="844">
        <v>45679</v>
      </c>
      <c r="H221" s="845"/>
      <c r="I221" s="839" t="s">
        <v>125</v>
      </c>
      <c r="J221" s="845"/>
      <c r="K221" s="845"/>
      <c r="L221" s="845"/>
      <c r="M221" s="845"/>
      <c r="N221" s="845"/>
      <c r="O221" s="845"/>
      <c r="P221" s="842">
        <v>45686</v>
      </c>
      <c r="Q221" s="833">
        <f t="shared" si="3"/>
        <v>7</v>
      </c>
      <c r="R221" s="836"/>
      <c r="S221" s="845"/>
    </row>
    <row r="222" spans="1:19" ht="43.2" x14ac:dyDescent="0.3">
      <c r="A222" s="832">
        <v>221</v>
      </c>
      <c r="B222" s="841">
        <v>1550</v>
      </c>
      <c r="C222" s="842">
        <v>45679</v>
      </c>
      <c r="D222" s="843" t="s">
        <v>350</v>
      </c>
      <c r="E222" s="836" t="s">
        <v>51</v>
      </c>
      <c r="F222" s="837" t="s">
        <v>8</v>
      </c>
      <c r="G222" s="844">
        <v>45679</v>
      </c>
      <c r="H222" s="845"/>
      <c r="I222" s="845" t="s">
        <v>99</v>
      </c>
      <c r="J222" s="845"/>
      <c r="K222" s="845"/>
      <c r="L222" s="845"/>
      <c r="M222" s="845"/>
      <c r="N222" s="845"/>
      <c r="O222" s="845"/>
      <c r="P222" s="842">
        <v>45686</v>
      </c>
      <c r="Q222" s="833">
        <f t="shared" si="3"/>
        <v>7</v>
      </c>
      <c r="R222" s="836" t="s">
        <v>94</v>
      </c>
      <c r="S222" s="845"/>
    </row>
    <row r="223" spans="1:19" ht="28.8" x14ac:dyDescent="0.3">
      <c r="A223" s="832">
        <v>222</v>
      </c>
      <c r="B223" s="833">
        <v>1550</v>
      </c>
      <c r="C223" s="834">
        <v>45680</v>
      </c>
      <c r="D223" s="835" t="s">
        <v>351</v>
      </c>
      <c r="E223" s="836" t="s">
        <v>1</v>
      </c>
      <c r="F223" s="836" t="s">
        <v>4</v>
      </c>
      <c r="G223" s="838">
        <v>45680</v>
      </c>
      <c r="H223" s="832"/>
      <c r="I223" s="839" t="s">
        <v>125</v>
      </c>
      <c r="J223" s="833"/>
      <c r="K223" s="832"/>
      <c r="L223" s="832"/>
      <c r="M223" s="833"/>
      <c r="N223" s="832"/>
      <c r="O223" s="832"/>
      <c r="P223" s="834">
        <v>45686</v>
      </c>
      <c r="Q223" s="833">
        <f t="shared" si="3"/>
        <v>6</v>
      </c>
      <c r="R223" s="836"/>
      <c r="S223" s="832"/>
    </row>
    <row r="224" spans="1:19" ht="43.2" x14ac:dyDescent="0.3">
      <c r="A224" s="832">
        <v>223</v>
      </c>
      <c r="B224" s="833" t="s">
        <v>80</v>
      </c>
      <c r="C224" s="834">
        <v>45680</v>
      </c>
      <c r="D224" s="843" t="s">
        <v>352</v>
      </c>
      <c r="E224" s="837" t="s">
        <v>51</v>
      </c>
      <c r="F224" s="837" t="s">
        <v>10</v>
      </c>
      <c r="G224" s="838">
        <v>45680</v>
      </c>
      <c r="H224" s="845"/>
      <c r="I224" s="845" t="s">
        <v>99</v>
      </c>
      <c r="J224" s="833"/>
      <c r="K224" s="832"/>
      <c r="L224" s="832"/>
      <c r="M224" s="833"/>
      <c r="N224" s="832"/>
      <c r="O224" s="832"/>
      <c r="P224" s="834">
        <v>45686</v>
      </c>
      <c r="Q224" s="833">
        <f t="shared" si="3"/>
        <v>6</v>
      </c>
      <c r="R224" s="836"/>
      <c r="S224" s="832"/>
    </row>
    <row r="225" spans="1:19" ht="43.2" x14ac:dyDescent="0.3">
      <c r="A225" s="832">
        <v>224</v>
      </c>
      <c r="B225" s="833">
        <v>1550</v>
      </c>
      <c r="C225" s="834">
        <v>45681</v>
      </c>
      <c r="D225" s="835" t="s">
        <v>353</v>
      </c>
      <c r="E225" s="836" t="s">
        <v>35</v>
      </c>
      <c r="F225" s="836" t="s">
        <v>6</v>
      </c>
      <c r="G225" s="838">
        <v>45681</v>
      </c>
      <c r="H225" s="832"/>
      <c r="I225" s="839" t="s">
        <v>253</v>
      </c>
      <c r="J225" s="833"/>
      <c r="K225" s="832"/>
      <c r="L225" s="832"/>
      <c r="M225" s="833"/>
      <c r="N225" s="832"/>
      <c r="O225" s="832"/>
      <c r="P225" s="834">
        <v>45686</v>
      </c>
      <c r="Q225" s="833">
        <f t="shared" si="3"/>
        <v>5</v>
      </c>
      <c r="R225" s="836"/>
      <c r="S225" s="832"/>
    </row>
    <row r="226" spans="1:19" ht="43.2" x14ac:dyDescent="0.3">
      <c r="A226" s="832">
        <v>225</v>
      </c>
      <c r="B226" s="833" t="s">
        <v>80</v>
      </c>
      <c r="C226" s="834">
        <v>45681</v>
      </c>
      <c r="D226" s="835" t="s">
        <v>354</v>
      </c>
      <c r="E226" s="837" t="s">
        <v>51</v>
      </c>
      <c r="F226" s="837" t="s">
        <v>10</v>
      </c>
      <c r="G226" s="838">
        <v>45681</v>
      </c>
      <c r="H226" s="845"/>
      <c r="I226" s="845" t="s">
        <v>99</v>
      </c>
      <c r="J226" s="833"/>
      <c r="K226" s="832"/>
      <c r="L226" s="832"/>
      <c r="M226" s="833"/>
      <c r="N226" s="832"/>
      <c r="O226" s="832"/>
      <c r="P226" s="834">
        <v>45686</v>
      </c>
      <c r="Q226" s="833">
        <f t="shared" si="3"/>
        <v>5</v>
      </c>
      <c r="R226" s="836"/>
      <c r="S226" s="832"/>
    </row>
    <row r="227" spans="1:19" ht="57.6" x14ac:dyDescent="0.3">
      <c r="A227" s="832">
        <v>226</v>
      </c>
      <c r="B227" s="833">
        <v>1550</v>
      </c>
      <c r="C227" s="834">
        <v>45684</v>
      </c>
      <c r="D227" s="835" t="s">
        <v>355</v>
      </c>
      <c r="E227" s="836" t="s">
        <v>1</v>
      </c>
      <c r="F227" s="836" t="s">
        <v>6</v>
      </c>
      <c r="G227" s="838">
        <v>45684</v>
      </c>
      <c r="H227" s="832"/>
      <c r="I227" s="833" t="s">
        <v>174</v>
      </c>
      <c r="J227" s="833"/>
      <c r="K227" s="832"/>
      <c r="L227" s="832"/>
      <c r="M227" s="833"/>
      <c r="N227" s="832"/>
      <c r="O227" s="832"/>
      <c r="P227" s="834">
        <v>45686</v>
      </c>
      <c r="Q227" s="833">
        <f t="shared" si="3"/>
        <v>2</v>
      </c>
      <c r="R227" s="836"/>
      <c r="S227" s="832"/>
    </row>
    <row r="228" spans="1:19" ht="129.6" x14ac:dyDescent="0.3">
      <c r="A228" s="832">
        <v>227</v>
      </c>
      <c r="B228" s="833" t="s">
        <v>80</v>
      </c>
      <c r="C228" s="834">
        <v>45684</v>
      </c>
      <c r="D228" s="835" t="s">
        <v>356</v>
      </c>
      <c r="E228" s="836" t="s">
        <v>1</v>
      </c>
      <c r="F228" s="836" t="s">
        <v>10</v>
      </c>
      <c r="G228" s="838">
        <v>45684</v>
      </c>
      <c r="H228" s="832"/>
      <c r="I228" s="839" t="s">
        <v>125</v>
      </c>
      <c r="J228" s="833"/>
      <c r="K228" s="832"/>
      <c r="L228" s="832"/>
      <c r="M228" s="833"/>
      <c r="N228" s="832"/>
      <c r="O228" s="832"/>
      <c r="P228" s="834">
        <v>45686</v>
      </c>
      <c r="Q228" s="833">
        <f t="shared" si="3"/>
        <v>2</v>
      </c>
      <c r="R228" s="836"/>
      <c r="S228" s="832"/>
    </row>
    <row r="229" spans="1:19" ht="100.8" x14ac:dyDescent="0.3">
      <c r="A229" s="832">
        <v>228</v>
      </c>
      <c r="B229" s="833" t="s">
        <v>80</v>
      </c>
      <c r="C229" s="834">
        <v>45684</v>
      </c>
      <c r="D229" s="835" t="s">
        <v>357</v>
      </c>
      <c r="E229" s="836" t="s">
        <v>1</v>
      </c>
      <c r="F229" s="836" t="s">
        <v>10</v>
      </c>
      <c r="G229" s="838">
        <v>45684</v>
      </c>
      <c r="H229" s="832"/>
      <c r="I229" s="839" t="s">
        <v>174</v>
      </c>
      <c r="J229" s="833"/>
      <c r="K229" s="832"/>
      <c r="L229" s="832"/>
      <c r="M229" s="833"/>
      <c r="N229" s="832"/>
      <c r="O229" s="832"/>
      <c r="P229" s="834">
        <v>45686</v>
      </c>
      <c r="Q229" s="833">
        <f t="shared" si="3"/>
        <v>2</v>
      </c>
      <c r="R229" s="836"/>
      <c r="S229" s="832"/>
    </row>
    <row r="230" spans="1:19" ht="28.8" x14ac:dyDescent="0.3">
      <c r="A230" s="832">
        <v>229</v>
      </c>
      <c r="B230" s="833">
        <v>1550</v>
      </c>
      <c r="C230" s="834">
        <v>45685</v>
      </c>
      <c r="D230" s="835" t="s">
        <v>358</v>
      </c>
      <c r="E230" s="836" t="s">
        <v>1</v>
      </c>
      <c r="F230" s="836" t="s">
        <v>8</v>
      </c>
      <c r="G230" s="838">
        <v>45685</v>
      </c>
      <c r="H230" s="832"/>
      <c r="I230" s="839" t="s">
        <v>174</v>
      </c>
      <c r="J230" s="833"/>
      <c r="K230" s="832"/>
      <c r="L230" s="832"/>
      <c r="M230" s="833"/>
      <c r="N230" s="832"/>
      <c r="O230" s="832"/>
      <c r="P230" s="834">
        <v>45686</v>
      </c>
      <c r="Q230" s="833">
        <f t="shared" si="3"/>
        <v>1</v>
      </c>
      <c r="R230" s="836" t="s">
        <v>151</v>
      </c>
      <c r="S230" s="832"/>
    </row>
    <row r="231" spans="1:19" ht="28.8" x14ac:dyDescent="0.3">
      <c r="A231" s="832">
        <v>230</v>
      </c>
      <c r="B231" s="841">
        <v>1550</v>
      </c>
      <c r="C231" s="842">
        <v>45685</v>
      </c>
      <c r="D231" s="843" t="s">
        <v>359</v>
      </c>
      <c r="E231" s="836" t="s">
        <v>1</v>
      </c>
      <c r="F231" s="837" t="s">
        <v>4</v>
      </c>
      <c r="G231" s="844">
        <v>45685</v>
      </c>
      <c r="H231" s="845"/>
      <c r="I231" s="839" t="s">
        <v>125</v>
      </c>
      <c r="J231" s="845"/>
      <c r="K231" s="845"/>
      <c r="L231" s="845"/>
      <c r="M231" s="845"/>
      <c r="N231" s="845"/>
      <c r="O231" s="845"/>
      <c r="P231" s="842">
        <v>45686</v>
      </c>
      <c r="Q231" s="833">
        <f t="shared" si="3"/>
        <v>1</v>
      </c>
      <c r="R231" s="836"/>
      <c r="S231" s="845"/>
    </row>
    <row r="232" spans="1:19" ht="28.8" x14ac:dyDescent="0.3">
      <c r="A232" s="832">
        <v>231</v>
      </c>
      <c r="B232" s="841">
        <v>1550</v>
      </c>
      <c r="C232" s="842">
        <v>45686</v>
      </c>
      <c r="D232" s="843" t="s">
        <v>360</v>
      </c>
      <c r="E232" s="836" t="s">
        <v>3</v>
      </c>
      <c r="F232" s="837" t="s">
        <v>6</v>
      </c>
      <c r="G232" s="844">
        <v>45686</v>
      </c>
      <c r="H232" s="845"/>
      <c r="I232" s="839" t="s">
        <v>361</v>
      </c>
      <c r="J232" s="845"/>
      <c r="K232" s="845"/>
      <c r="L232" s="845"/>
      <c r="M232" s="845"/>
      <c r="N232" s="845"/>
      <c r="O232" s="845"/>
      <c r="P232" s="842">
        <v>45686</v>
      </c>
      <c r="Q232" s="833">
        <f t="shared" si="3"/>
        <v>0</v>
      </c>
      <c r="R232" s="836"/>
      <c r="S232" s="845"/>
    </row>
    <row r="233" spans="1:19" ht="43.2" x14ac:dyDescent="0.3">
      <c r="A233" s="832">
        <v>232</v>
      </c>
      <c r="B233" s="841">
        <v>1550</v>
      </c>
      <c r="C233" s="842">
        <v>45686</v>
      </c>
      <c r="D233" s="843" t="s">
        <v>362</v>
      </c>
      <c r="E233" s="836" t="s">
        <v>49</v>
      </c>
      <c r="F233" s="837" t="s">
        <v>8</v>
      </c>
      <c r="G233" s="844">
        <v>45686</v>
      </c>
      <c r="H233" s="845"/>
      <c r="I233" s="839" t="s">
        <v>266</v>
      </c>
      <c r="J233" s="845"/>
      <c r="K233" s="845"/>
      <c r="L233" s="845"/>
      <c r="M233" s="845"/>
      <c r="N233" s="845"/>
      <c r="O233" s="845"/>
      <c r="P233" s="842">
        <v>45686</v>
      </c>
      <c r="Q233" s="833">
        <f t="shared" si="3"/>
        <v>0</v>
      </c>
      <c r="R233" s="836" t="s">
        <v>363</v>
      </c>
      <c r="S233" s="845"/>
    </row>
    <row r="234" spans="1:19" ht="43.2" x14ac:dyDescent="0.3">
      <c r="A234" s="832">
        <v>233</v>
      </c>
      <c r="B234" s="841">
        <v>1550</v>
      </c>
      <c r="C234" s="842">
        <v>45686</v>
      </c>
      <c r="D234" s="848" t="s">
        <v>364</v>
      </c>
      <c r="E234" s="836" t="s">
        <v>49</v>
      </c>
      <c r="F234" s="836" t="s">
        <v>6</v>
      </c>
      <c r="G234" s="838">
        <v>45686</v>
      </c>
      <c r="H234" s="832"/>
      <c r="I234" s="839" t="s">
        <v>266</v>
      </c>
      <c r="J234" s="833"/>
      <c r="K234" s="832"/>
      <c r="L234" s="832"/>
      <c r="M234" s="833"/>
      <c r="N234" s="832"/>
      <c r="O234" s="832"/>
      <c r="P234" s="834">
        <v>45686</v>
      </c>
      <c r="Q234" s="833">
        <f t="shared" si="3"/>
        <v>0</v>
      </c>
      <c r="R234" s="836"/>
      <c r="S234" s="845"/>
    </row>
    <row r="235" spans="1:19" ht="43.2" x14ac:dyDescent="0.3">
      <c r="A235" s="832">
        <v>234</v>
      </c>
      <c r="B235" s="841">
        <v>1550</v>
      </c>
      <c r="C235" s="842">
        <v>45686</v>
      </c>
      <c r="D235" s="848" t="s">
        <v>365</v>
      </c>
      <c r="E235" s="836" t="s">
        <v>49</v>
      </c>
      <c r="F235" s="836" t="s">
        <v>6</v>
      </c>
      <c r="G235" s="838">
        <v>45686</v>
      </c>
      <c r="H235" s="832"/>
      <c r="I235" s="839" t="s">
        <v>266</v>
      </c>
      <c r="J235" s="833"/>
      <c r="K235" s="832"/>
      <c r="L235" s="832"/>
      <c r="M235" s="833"/>
      <c r="N235" s="832"/>
      <c r="O235" s="832"/>
      <c r="P235" s="834">
        <v>45686</v>
      </c>
      <c r="Q235" s="833">
        <f t="shared" si="3"/>
        <v>0</v>
      </c>
      <c r="R235" s="836"/>
      <c r="S235" s="845"/>
    </row>
    <row r="236" spans="1:19" ht="43.2" x14ac:dyDescent="0.3">
      <c r="A236" s="832">
        <v>235</v>
      </c>
      <c r="B236" s="841">
        <v>1550</v>
      </c>
      <c r="C236" s="842">
        <v>45686</v>
      </c>
      <c r="D236" s="843" t="s">
        <v>366</v>
      </c>
      <c r="E236" s="836" t="s">
        <v>49</v>
      </c>
      <c r="F236" s="837" t="s">
        <v>6</v>
      </c>
      <c r="G236" s="844">
        <v>45686</v>
      </c>
      <c r="H236" s="845"/>
      <c r="I236" s="839" t="s">
        <v>266</v>
      </c>
      <c r="J236" s="845"/>
      <c r="K236" s="845"/>
      <c r="L236" s="845"/>
      <c r="M236" s="845"/>
      <c r="N236" s="845"/>
      <c r="O236" s="845"/>
      <c r="P236" s="834">
        <v>45686</v>
      </c>
      <c r="Q236" s="833">
        <f t="shared" si="3"/>
        <v>0</v>
      </c>
      <c r="R236" s="836"/>
      <c r="S236" s="845"/>
    </row>
    <row r="237" spans="1:19" ht="28.8" x14ac:dyDescent="0.3">
      <c r="A237" s="832">
        <v>236</v>
      </c>
      <c r="B237" s="841" t="s">
        <v>80</v>
      </c>
      <c r="C237" s="842">
        <v>45686</v>
      </c>
      <c r="D237" s="843" t="s">
        <v>367</v>
      </c>
      <c r="E237" s="836" t="s">
        <v>17</v>
      </c>
      <c r="F237" s="837" t="s">
        <v>8</v>
      </c>
      <c r="G237" s="844">
        <v>45686</v>
      </c>
      <c r="H237" s="845"/>
      <c r="I237" s="849" t="s">
        <v>82</v>
      </c>
      <c r="J237" s="845"/>
      <c r="K237" s="845"/>
      <c r="L237" s="845"/>
      <c r="M237" s="845"/>
      <c r="N237" s="845"/>
      <c r="O237" s="845"/>
      <c r="P237" s="842">
        <v>45686</v>
      </c>
      <c r="Q237" s="833">
        <f t="shared" si="3"/>
        <v>0</v>
      </c>
      <c r="R237" s="836" t="s">
        <v>94</v>
      </c>
      <c r="S237" s="845"/>
    </row>
    <row r="238" spans="1:19" ht="43.2" x14ac:dyDescent="0.3">
      <c r="A238" s="832">
        <v>237</v>
      </c>
      <c r="B238" s="841" t="s">
        <v>80</v>
      </c>
      <c r="C238" s="842">
        <v>45686</v>
      </c>
      <c r="D238" s="843" t="s">
        <v>368</v>
      </c>
      <c r="E238" s="836" t="s">
        <v>49</v>
      </c>
      <c r="F238" s="836" t="s">
        <v>10</v>
      </c>
      <c r="G238" s="844">
        <v>45686</v>
      </c>
      <c r="H238" s="845"/>
      <c r="I238" s="839" t="s">
        <v>266</v>
      </c>
      <c r="J238" s="845"/>
      <c r="K238" s="845"/>
      <c r="L238" s="845"/>
      <c r="M238" s="845"/>
      <c r="N238" s="845"/>
      <c r="O238" s="845"/>
      <c r="P238" s="842">
        <v>45686</v>
      </c>
      <c r="Q238" s="833">
        <f t="shared" si="3"/>
        <v>0</v>
      </c>
      <c r="R238" s="836" t="s">
        <v>369</v>
      </c>
      <c r="S238" s="845"/>
    </row>
    <row r="239" spans="1:19" ht="43.2" x14ac:dyDescent="0.3">
      <c r="A239" s="832">
        <v>238</v>
      </c>
      <c r="B239" s="841" t="s">
        <v>80</v>
      </c>
      <c r="C239" s="842">
        <v>45686</v>
      </c>
      <c r="D239" s="843" t="s">
        <v>370</v>
      </c>
      <c r="E239" s="836" t="s">
        <v>49</v>
      </c>
      <c r="F239" s="836" t="s">
        <v>10</v>
      </c>
      <c r="G239" s="844">
        <v>45686</v>
      </c>
      <c r="H239" s="845"/>
      <c r="I239" s="839" t="s">
        <v>266</v>
      </c>
      <c r="J239" s="845"/>
      <c r="K239" s="845"/>
      <c r="L239" s="845"/>
      <c r="M239" s="845"/>
      <c r="N239" s="845"/>
      <c r="O239" s="845"/>
      <c r="P239" s="842">
        <v>45686</v>
      </c>
      <c r="Q239" s="833">
        <f t="shared" si="3"/>
        <v>0</v>
      </c>
      <c r="R239" s="836" t="s">
        <v>327</v>
      </c>
      <c r="S239" s="845"/>
    </row>
    <row r="240" spans="1:19" ht="43.2" x14ac:dyDescent="0.3">
      <c r="A240" s="832">
        <v>239</v>
      </c>
      <c r="B240" s="841" t="s">
        <v>80</v>
      </c>
      <c r="C240" s="842">
        <v>45686</v>
      </c>
      <c r="D240" s="843" t="s">
        <v>371</v>
      </c>
      <c r="E240" s="836" t="s">
        <v>49</v>
      </c>
      <c r="F240" s="836" t="s">
        <v>10</v>
      </c>
      <c r="G240" s="844">
        <v>45686</v>
      </c>
      <c r="H240" s="845"/>
      <c r="I240" s="839" t="s">
        <v>266</v>
      </c>
      <c r="J240" s="845"/>
      <c r="K240" s="845"/>
      <c r="L240" s="845"/>
      <c r="M240" s="845"/>
      <c r="N240" s="845"/>
      <c r="O240" s="845"/>
      <c r="P240" s="842">
        <v>45686</v>
      </c>
      <c r="Q240" s="833">
        <f t="shared" si="3"/>
        <v>0</v>
      </c>
      <c r="R240" s="836" t="s">
        <v>372</v>
      </c>
      <c r="S240" s="845"/>
    </row>
    <row r="241" spans="1:19" ht="28.8" x14ac:dyDescent="0.3">
      <c r="A241" s="832">
        <v>240</v>
      </c>
      <c r="B241" s="841">
        <v>1550</v>
      </c>
      <c r="C241" s="842">
        <v>45672</v>
      </c>
      <c r="D241" s="843" t="s">
        <v>373</v>
      </c>
      <c r="E241" s="837" t="s">
        <v>7</v>
      </c>
      <c r="F241" s="837" t="s">
        <v>8</v>
      </c>
      <c r="G241" s="844">
        <v>45672</v>
      </c>
      <c r="H241" s="845"/>
      <c r="I241" s="839" t="s">
        <v>99</v>
      </c>
      <c r="J241" s="845"/>
      <c r="K241" s="845"/>
      <c r="L241" s="845"/>
      <c r="M241" s="845"/>
      <c r="N241" s="845"/>
      <c r="O241" s="845"/>
      <c r="P241" s="842">
        <v>45685</v>
      </c>
      <c r="Q241" s="833">
        <f t="shared" si="3"/>
        <v>13</v>
      </c>
      <c r="R241" s="836" t="s">
        <v>205</v>
      </c>
      <c r="S241" s="833" t="s">
        <v>374</v>
      </c>
    </row>
    <row r="242" spans="1:19" ht="43.2" x14ac:dyDescent="0.3">
      <c r="A242" s="832">
        <v>241</v>
      </c>
      <c r="B242" s="841" t="s">
        <v>80</v>
      </c>
      <c r="C242" s="842">
        <v>45679</v>
      </c>
      <c r="D242" s="835" t="s">
        <v>375</v>
      </c>
      <c r="E242" s="837" t="s">
        <v>51</v>
      </c>
      <c r="F242" s="837" t="s">
        <v>10</v>
      </c>
      <c r="G242" s="844">
        <v>45679</v>
      </c>
      <c r="H242" s="845"/>
      <c r="I242" s="845" t="s">
        <v>99</v>
      </c>
      <c r="J242" s="845"/>
      <c r="K242" s="845"/>
      <c r="L242" s="845"/>
      <c r="M242" s="845"/>
      <c r="N242" s="845"/>
      <c r="O242" s="845"/>
      <c r="P242" s="842">
        <v>45685</v>
      </c>
      <c r="Q242" s="833">
        <f t="shared" si="3"/>
        <v>6</v>
      </c>
      <c r="R242" s="836"/>
      <c r="S242" s="845"/>
    </row>
    <row r="243" spans="1:19" ht="43.2" x14ac:dyDescent="0.3">
      <c r="A243" s="832">
        <v>242</v>
      </c>
      <c r="B243" s="841" t="s">
        <v>80</v>
      </c>
      <c r="C243" s="842">
        <v>45679</v>
      </c>
      <c r="D243" s="835" t="s">
        <v>376</v>
      </c>
      <c r="E243" s="837" t="s">
        <v>51</v>
      </c>
      <c r="F243" s="837" t="s">
        <v>10</v>
      </c>
      <c r="G243" s="844">
        <v>45679</v>
      </c>
      <c r="H243" s="845"/>
      <c r="I243" s="845" t="s">
        <v>99</v>
      </c>
      <c r="J243" s="845"/>
      <c r="K243" s="845"/>
      <c r="L243" s="845"/>
      <c r="M243" s="845"/>
      <c r="N243" s="845"/>
      <c r="O243" s="845"/>
      <c r="P243" s="842">
        <v>45685</v>
      </c>
      <c r="Q243" s="833">
        <f t="shared" si="3"/>
        <v>6</v>
      </c>
      <c r="R243" s="836"/>
      <c r="S243" s="845"/>
    </row>
    <row r="244" spans="1:19" ht="43.2" x14ac:dyDescent="0.3">
      <c r="A244" s="832">
        <v>243</v>
      </c>
      <c r="B244" s="841" t="s">
        <v>80</v>
      </c>
      <c r="C244" s="842">
        <v>45679</v>
      </c>
      <c r="D244" s="835" t="s">
        <v>377</v>
      </c>
      <c r="E244" s="837" t="s">
        <v>51</v>
      </c>
      <c r="F244" s="837" t="s">
        <v>10</v>
      </c>
      <c r="G244" s="844">
        <v>45679</v>
      </c>
      <c r="H244" s="845"/>
      <c r="I244" s="845" t="s">
        <v>99</v>
      </c>
      <c r="J244" s="845"/>
      <c r="K244" s="845"/>
      <c r="L244" s="845"/>
      <c r="M244" s="845"/>
      <c r="N244" s="845"/>
      <c r="O244" s="845"/>
      <c r="P244" s="842">
        <v>45685</v>
      </c>
      <c r="Q244" s="833">
        <f t="shared" si="3"/>
        <v>6</v>
      </c>
      <c r="R244" s="836"/>
      <c r="S244" s="845"/>
    </row>
    <row r="245" spans="1:19" ht="28.8" x14ac:dyDescent="0.3">
      <c r="A245" s="832">
        <v>244</v>
      </c>
      <c r="B245" s="841">
        <v>1550</v>
      </c>
      <c r="C245" s="842">
        <v>45680</v>
      </c>
      <c r="D245" s="843" t="s">
        <v>378</v>
      </c>
      <c r="E245" s="836" t="s">
        <v>1</v>
      </c>
      <c r="F245" s="837" t="s">
        <v>6</v>
      </c>
      <c r="G245" s="844">
        <v>45680</v>
      </c>
      <c r="H245" s="845"/>
      <c r="I245" s="845" t="s">
        <v>125</v>
      </c>
      <c r="J245" s="845"/>
      <c r="K245" s="845"/>
      <c r="L245" s="845"/>
      <c r="M245" s="845"/>
      <c r="N245" s="845"/>
      <c r="O245" s="845"/>
      <c r="P245" s="842">
        <v>45685</v>
      </c>
      <c r="Q245" s="833">
        <f t="shared" si="3"/>
        <v>5</v>
      </c>
      <c r="R245" s="836"/>
      <c r="S245" s="845"/>
    </row>
    <row r="246" spans="1:19" ht="28.8" x14ac:dyDescent="0.3">
      <c r="A246" s="832">
        <v>245</v>
      </c>
      <c r="B246" s="833">
        <v>1550</v>
      </c>
      <c r="C246" s="834">
        <v>45680</v>
      </c>
      <c r="D246" s="835" t="s">
        <v>379</v>
      </c>
      <c r="E246" s="836" t="s">
        <v>1</v>
      </c>
      <c r="F246" s="836" t="s">
        <v>4</v>
      </c>
      <c r="G246" s="838">
        <v>45680</v>
      </c>
      <c r="H246" s="832"/>
      <c r="I246" s="839" t="s">
        <v>125</v>
      </c>
      <c r="J246" s="833"/>
      <c r="K246" s="832"/>
      <c r="L246" s="832"/>
      <c r="M246" s="833"/>
      <c r="N246" s="832"/>
      <c r="O246" s="832"/>
      <c r="P246" s="834">
        <v>45685</v>
      </c>
      <c r="Q246" s="833">
        <f t="shared" si="3"/>
        <v>5</v>
      </c>
      <c r="R246" s="836"/>
      <c r="S246" s="832"/>
    </row>
    <row r="247" spans="1:19" x14ac:dyDescent="0.3">
      <c r="A247" s="832">
        <v>246</v>
      </c>
      <c r="B247" s="833">
        <v>1550</v>
      </c>
      <c r="C247" s="834">
        <v>45684</v>
      </c>
      <c r="D247" s="835" t="s">
        <v>380</v>
      </c>
      <c r="E247" s="836" t="s">
        <v>21</v>
      </c>
      <c r="F247" s="836" t="s">
        <v>4</v>
      </c>
      <c r="G247" s="838">
        <v>45684</v>
      </c>
      <c r="H247" s="832"/>
      <c r="I247" s="839" t="s">
        <v>174</v>
      </c>
      <c r="J247" s="833"/>
      <c r="K247" s="832"/>
      <c r="L247" s="832"/>
      <c r="M247" s="833"/>
      <c r="N247" s="832"/>
      <c r="O247" s="832"/>
      <c r="P247" s="834">
        <v>45685</v>
      </c>
      <c r="Q247" s="833">
        <f t="shared" si="3"/>
        <v>1</v>
      </c>
      <c r="R247" s="836"/>
      <c r="S247" s="832"/>
    </row>
    <row r="248" spans="1:19" ht="28.8" x14ac:dyDescent="0.3">
      <c r="A248" s="832">
        <v>247</v>
      </c>
      <c r="B248" s="833">
        <v>1550</v>
      </c>
      <c r="C248" s="834">
        <v>45684</v>
      </c>
      <c r="D248" s="835" t="s">
        <v>381</v>
      </c>
      <c r="E248" s="836" t="s">
        <v>23</v>
      </c>
      <c r="F248" s="836" t="s">
        <v>6</v>
      </c>
      <c r="G248" s="838">
        <v>45684</v>
      </c>
      <c r="H248" s="832"/>
      <c r="I248" s="839" t="s">
        <v>135</v>
      </c>
      <c r="J248" s="833"/>
      <c r="K248" s="832"/>
      <c r="L248" s="832"/>
      <c r="M248" s="833"/>
      <c r="N248" s="832"/>
      <c r="O248" s="832"/>
      <c r="P248" s="834">
        <v>45685</v>
      </c>
      <c r="Q248" s="833">
        <f t="shared" si="3"/>
        <v>1</v>
      </c>
      <c r="R248" s="836"/>
      <c r="S248" s="832"/>
    </row>
    <row r="249" spans="1:19" ht="72" x14ac:dyDescent="0.3">
      <c r="A249" s="832">
        <v>248</v>
      </c>
      <c r="B249" s="833" t="s">
        <v>80</v>
      </c>
      <c r="C249" s="834">
        <v>45684</v>
      </c>
      <c r="D249" s="835" t="s">
        <v>382</v>
      </c>
      <c r="E249" s="836" t="s">
        <v>24</v>
      </c>
      <c r="F249" s="836" t="s">
        <v>10</v>
      </c>
      <c r="G249" s="838">
        <v>45684</v>
      </c>
      <c r="H249" s="832"/>
      <c r="I249" s="839" t="s">
        <v>383</v>
      </c>
      <c r="J249" s="833"/>
      <c r="K249" s="832"/>
      <c r="L249" s="832"/>
      <c r="M249" s="833"/>
      <c r="N249" s="832"/>
      <c r="O249" s="832"/>
      <c r="P249" s="834">
        <v>45685</v>
      </c>
      <c r="Q249" s="833">
        <f t="shared" si="3"/>
        <v>1</v>
      </c>
      <c r="R249" s="836"/>
      <c r="S249" s="832"/>
    </row>
    <row r="250" spans="1:19" ht="28.8" x14ac:dyDescent="0.3">
      <c r="A250" s="832">
        <v>249</v>
      </c>
      <c r="B250" s="833">
        <v>1550</v>
      </c>
      <c r="C250" s="834">
        <v>45684</v>
      </c>
      <c r="D250" s="835" t="s">
        <v>384</v>
      </c>
      <c r="E250" s="836" t="s">
        <v>7</v>
      </c>
      <c r="F250" s="836" t="s">
        <v>8</v>
      </c>
      <c r="G250" s="838">
        <v>45685</v>
      </c>
      <c r="H250" s="832"/>
      <c r="I250" s="839" t="s">
        <v>174</v>
      </c>
      <c r="J250" s="833"/>
      <c r="K250" s="832"/>
      <c r="L250" s="832"/>
      <c r="M250" s="833"/>
      <c r="N250" s="832"/>
      <c r="O250" s="832"/>
      <c r="P250" s="834">
        <v>45685</v>
      </c>
      <c r="Q250" s="833">
        <f t="shared" si="3"/>
        <v>0</v>
      </c>
      <c r="R250" s="836" t="s">
        <v>205</v>
      </c>
      <c r="S250" s="832"/>
    </row>
    <row r="251" spans="1:19" ht="43.2" x14ac:dyDescent="0.3">
      <c r="A251" s="832">
        <v>250</v>
      </c>
      <c r="B251" s="833">
        <v>1550</v>
      </c>
      <c r="C251" s="834">
        <v>45685</v>
      </c>
      <c r="D251" s="835" t="s">
        <v>385</v>
      </c>
      <c r="E251" s="836" t="s">
        <v>49</v>
      </c>
      <c r="F251" s="836" t="s">
        <v>8</v>
      </c>
      <c r="G251" s="838">
        <v>45685</v>
      </c>
      <c r="H251" s="832"/>
      <c r="I251" s="839" t="s">
        <v>266</v>
      </c>
      <c r="J251" s="833"/>
      <c r="K251" s="832"/>
      <c r="L251" s="832"/>
      <c r="M251" s="833"/>
      <c r="N251" s="832"/>
      <c r="O251" s="832"/>
      <c r="P251" s="834">
        <v>45685</v>
      </c>
      <c r="Q251" s="833">
        <f t="shared" si="3"/>
        <v>0</v>
      </c>
      <c r="R251" s="836" t="s">
        <v>363</v>
      </c>
      <c r="S251" s="832"/>
    </row>
    <row r="252" spans="1:19" ht="43.2" x14ac:dyDescent="0.3">
      <c r="A252" s="832">
        <v>251</v>
      </c>
      <c r="B252" s="833">
        <v>1550</v>
      </c>
      <c r="C252" s="834">
        <v>45685</v>
      </c>
      <c r="D252" s="835" t="s">
        <v>386</v>
      </c>
      <c r="E252" s="836" t="s">
        <v>49</v>
      </c>
      <c r="F252" s="836" t="s">
        <v>8</v>
      </c>
      <c r="G252" s="838">
        <v>45685</v>
      </c>
      <c r="H252" s="832"/>
      <c r="I252" s="839" t="s">
        <v>266</v>
      </c>
      <c r="J252" s="833"/>
      <c r="K252" s="832"/>
      <c r="L252" s="832"/>
      <c r="M252" s="833"/>
      <c r="N252" s="832"/>
      <c r="O252" s="832"/>
      <c r="P252" s="834">
        <v>45685</v>
      </c>
      <c r="Q252" s="833">
        <f t="shared" si="3"/>
        <v>0</v>
      </c>
      <c r="R252" s="836" t="s">
        <v>363</v>
      </c>
      <c r="S252" s="832"/>
    </row>
    <row r="253" spans="1:19" ht="43.2" x14ac:dyDescent="0.3">
      <c r="A253" s="832">
        <v>252</v>
      </c>
      <c r="B253" s="833">
        <v>1550</v>
      </c>
      <c r="C253" s="834">
        <v>45685</v>
      </c>
      <c r="D253" s="835" t="s">
        <v>387</v>
      </c>
      <c r="E253" s="836" t="s">
        <v>49</v>
      </c>
      <c r="F253" s="836" t="s">
        <v>6</v>
      </c>
      <c r="G253" s="838">
        <v>45685</v>
      </c>
      <c r="H253" s="832"/>
      <c r="I253" s="839" t="s">
        <v>266</v>
      </c>
      <c r="J253" s="833"/>
      <c r="K253" s="832"/>
      <c r="L253" s="832"/>
      <c r="M253" s="833"/>
      <c r="N253" s="832"/>
      <c r="O253" s="832"/>
      <c r="P253" s="834">
        <v>45685</v>
      </c>
      <c r="Q253" s="833">
        <f t="shared" si="3"/>
        <v>0</v>
      </c>
      <c r="R253" s="836"/>
      <c r="S253" s="832"/>
    </row>
    <row r="254" spans="1:19" ht="43.2" x14ac:dyDescent="0.3">
      <c r="A254" s="832">
        <v>253</v>
      </c>
      <c r="B254" s="833">
        <v>1550</v>
      </c>
      <c r="C254" s="834">
        <v>45685</v>
      </c>
      <c r="D254" s="835" t="s">
        <v>388</v>
      </c>
      <c r="E254" s="836" t="s">
        <v>49</v>
      </c>
      <c r="F254" s="836" t="s">
        <v>4</v>
      </c>
      <c r="G254" s="838">
        <v>45685</v>
      </c>
      <c r="H254" s="832"/>
      <c r="I254" s="839" t="s">
        <v>266</v>
      </c>
      <c r="J254" s="833"/>
      <c r="K254" s="832"/>
      <c r="L254" s="832"/>
      <c r="M254" s="833"/>
      <c r="N254" s="832"/>
      <c r="O254" s="832"/>
      <c r="P254" s="834">
        <v>45685</v>
      </c>
      <c r="Q254" s="833">
        <f t="shared" si="3"/>
        <v>0</v>
      </c>
      <c r="R254" s="836"/>
      <c r="S254" s="832"/>
    </row>
    <row r="255" spans="1:19" ht="43.2" x14ac:dyDescent="0.3">
      <c r="A255" s="832">
        <v>254</v>
      </c>
      <c r="B255" s="833">
        <v>1550</v>
      </c>
      <c r="C255" s="834">
        <v>45685</v>
      </c>
      <c r="D255" s="835" t="s">
        <v>389</v>
      </c>
      <c r="E255" s="836" t="s">
        <v>49</v>
      </c>
      <c r="F255" s="836" t="s">
        <v>4</v>
      </c>
      <c r="G255" s="838">
        <v>45685</v>
      </c>
      <c r="H255" s="832"/>
      <c r="I255" s="839" t="s">
        <v>266</v>
      </c>
      <c r="J255" s="833"/>
      <c r="K255" s="832"/>
      <c r="L255" s="832"/>
      <c r="M255" s="833"/>
      <c r="N255" s="832"/>
      <c r="O255" s="832"/>
      <c r="P255" s="834">
        <v>45685</v>
      </c>
      <c r="Q255" s="833">
        <f t="shared" si="3"/>
        <v>0</v>
      </c>
      <c r="R255" s="836"/>
      <c r="S255" s="832"/>
    </row>
    <row r="256" spans="1:19" ht="43.2" x14ac:dyDescent="0.3">
      <c r="A256" s="832">
        <v>255</v>
      </c>
      <c r="B256" s="833">
        <v>1550</v>
      </c>
      <c r="C256" s="834">
        <v>45685</v>
      </c>
      <c r="D256" s="835" t="s">
        <v>390</v>
      </c>
      <c r="E256" s="836" t="s">
        <v>49</v>
      </c>
      <c r="F256" s="836" t="s">
        <v>4</v>
      </c>
      <c r="G256" s="838">
        <v>45685</v>
      </c>
      <c r="H256" s="832"/>
      <c r="I256" s="839" t="s">
        <v>266</v>
      </c>
      <c r="J256" s="833"/>
      <c r="K256" s="832"/>
      <c r="L256" s="832"/>
      <c r="M256" s="833"/>
      <c r="N256" s="832"/>
      <c r="O256" s="832"/>
      <c r="P256" s="834">
        <v>45685</v>
      </c>
      <c r="Q256" s="833">
        <f t="shared" si="3"/>
        <v>0</v>
      </c>
      <c r="R256" s="836"/>
      <c r="S256" s="832"/>
    </row>
    <row r="257" spans="1:19" ht="43.2" x14ac:dyDescent="0.3">
      <c r="A257" s="832">
        <v>256</v>
      </c>
      <c r="B257" s="833">
        <v>1550</v>
      </c>
      <c r="C257" s="834">
        <v>45685</v>
      </c>
      <c r="D257" s="848" t="s">
        <v>391</v>
      </c>
      <c r="E257" s="836" t="s">
        <v>49</v>
      </c>
      <c r="F257" s="836" t="s">
        <v>6</v>
      </c>
      <c r="G257" s="838">
        <v>45685</v>
      </c>
      <c r="H257" s="832"/>
      <c r="I257" s="839" t="s">
        <v>266</v>
      </c>
      <c r="J257" s="833"/>
      <c r="K257" s="832"/>
      <c r="L257" s="832"/>
      <c r="M257" s="833"/>
      <c r="N257" s="832"/>
      <c r="O257" s="832"/>
      <c r="P257" s="834">
        <v>45685</v>
      </c>
      <c r="Q257" s="833">
        <f t="shared" si="3"/>
        <v>0</v>
      </c>
      <c r="R257" s="836"/>
      <c r="S257" s="832"/>
    </row>
    <row r="258" spans="1:19" x14ac:dyDescent="0.3">
      <c r="A258" s="832">
        <v>257</v>
      </c>
      <c r="B258" s="833">
        <v>1550</v>
      </c>
      <c r="C258" s="834">
        <v>45685</v>
      </c>
      <c r="D258" s="835" t="s">
        <v>392</v>
      </c>
      <c r="E258" s="836" t="s">
        <v>21</v>
      </c>
      <c r="F258" s="836" t="s">
        <v>4</v>
      </c>
      <c r="G258" s="838">
        <v>45685</v>
      </c>
      <c r="H258" s="832"/>
      <c r="I258" s="839" t="s">
        <v>99</v>
      </c>
      <c r="J258" s="833" t="s">
        <v>393</v>
      </c>
      <c r="K258" s="846">
        <v>45685</v>
      </c>
      <c r="L258" s="832"/>
      <c r="M258" s="833"/>
      <c r="N258" s="832"/>
      <c r="O258" s="832"/>
      <c r="P258" s="834">
        <v>45685</v>
      </c>
      <c r="Q258" s="833">
        <f t="shared" ref="Q258:Q321" si="4">P258-G258</f>
        <v>0</v>
      </c>
      <c r="R258" s="836"/>
      <c r="S258" s="832"/>
    </row>
    <row r="259" spans="1:19" ht="43.2" x14ac:dyDescent="0.3">
      <c r="A259" s="832">
        <v>258</v>
      </c>
      <c r="B259" s="841">
        <v>1550</v>
      </c>
      <c r="C259" s="842">
        <v>45685</v>
      </c>
      <c r="D259" s="843" t="s">
        <v>394</v>
      </c>
      <c r="E259" s="836" t="s">
        <v>49</v>
      </c>
      <c r="F259" s="837" t="s">
        <v>8</v>
      </c>
      <c r="G259" s="844">
        <v>45685</v>
      </c>
      <c r="H259" s="845"/>
      <c r="I259" s="839" t="s">
        <v>266</v>
      </c>
      <c r="J259" s="845"/>
      <c r="K259" s="845"/>
      <c r="L259" s="845"/>
      <c r="M259" s="845"/>
      <c r="N259" s="845"/>
      <c r="O259" s="845"/>
      <c r="P259" s="842">
        <v>45685</v>
      </c>
      <c r="Q259" s="833">
        <f t="shared" si="4"/>
        <v>0</v>
      </c>
      <c r="R259" s="836" t="s">
        <v>267</v>
      </c>
      <c r="S259" s="845"/>
    </row>
    <row r="260" spans="1:19" ht="43.2" x14ac:dyDescent="0.3">
      <c r="A260" s="832">
        <v>259</v>
      </c>
      <c r="B260" s="841" t="s">
        <v>80</v>
      </c>
      <c r="C260" s="842">
        <v>45685</v>
      </c>
      <c r="D260" s="843" t="s">
        <v>395</v>
      </c>
      <c r="E260" s="836" t="s">
        <v>49</v>
      </c>
      <c r="F260" s="837" t="s">
        <v>10</v>
      </c>
      <c r="G260" s="844">
        <v>45685</v>
      </c>
      <c r="H260" s="845"/>
      <c r="I260" s="839" t="s">
        <v>266</v>
      </c>
      <c r="J260" s="845"/>
      <c r="K260" s="845"/>
      <c r="L260" s="845"/>
      <c r="M260" s="845"/>
      <c r="N260" s="845"/>
      <c r="O260" s="845"/>
      <c r="P260" s="842">
        <v>45685</v>
      </c>
      <c r="Q260" s="833">
        <f t="shared" si="4"/>
        <v>0</v>
      </c>
      <c r="R260" s="836" t="s">
        <v>214</v>
      </c>
      <c r="S260" s="845"/>
    </row>
    <row r="261" spans="1:19" ht="43.2" x14ac:dyDescent="0.3">
      <c r="A261" s="832">
        <v>260</v>
      </c>
      <c r="B261" s="841" t="s">
        <v>80</v>
      </c>
      <c r="C261" s="842">
        <v>45685</v>
      </c>
      <c r="D261" s="843" t="s">
        <v>396</v>
      </c>
      <c r="E261" s="836" t="s">
        <v>49</v>
      </c>
      <c r="F261" s="837" t="s">
        <v>10</v>
      </c>
      <c r="G261" s="844">
        <v>45685</v>
      </c>
      <c r="H261" s="845"/>
      <c r="I261" s="839" t="s">
        <v>266</v>
      </c>
      <c r="J261" s="845"/>
      <c r="K261" s="845"/>
      <c r="L261" s="845"/>
      <c r="M261" s="845"/>
      <c r="N261" s="845"/>
      <c r="O261" s="845"/>
      <c r="P261" s="842">
        <v>45685</v>
      </c>
      <c r="Q261" s="833">
        <f t="shared" si="4"/>
        <v>0</v>
      </c>
      <c r="R261" s="836" t="s">
        <v>303</v>
      </c>
      <c r="S261" s="845"/>
    </row>
    <row r="262" spans="1:19" ht="43.2" x14ac:dyDescent="0.3">
      <c r="A262" s="832">
        <v>261</v>
      </c>
      <c r="B262" s="841" t="s">
        <v>80</v>
      </c>
      <c r="C262" s="842">
        <v>45685</v>
      </c>
      <c r="D262" s="843" t="s">
        <v>397</v>
      </c>
      <c r="E262" s="836" t="s">
        <v>49</v>
      </c>
      <c r="F262" s="837" t="s">
        <v>10</v>
      </c>
      <c r="G262" s="844">
        <v>45685</v>
      </c>
      <c r="H262" s="845"/>
      <c r="I262" s="839" t="s">
        <v>266</v>
      </c>
      <c r="J262" s="845"/>
      <c r="K262" s="845"/>
      <c r="L262" s="845"/>
      <c r="M262" s="845"/>
      <c r="N262" s="845"/>
      <c r="O262" s="845"/>
      <c r="P262" s="842">
        <v>45685</v>
      </c>
      <c r="Q262" s="833">
        <f t="shared" si="4"/>
        <v>0</v>
      </c>
      <c r="R262" s="836" t="s">
        <v>303</v>
      </c>
      <c r="S262" s="845"/>
    </row>
    <row r="263" spans="1:19" ht="43.2" x14ac:dyDescent="0.3">
      <c r="A263" s="832">
        <v>262</v>
      </c>
      <c r="B263" s="841" t="s">
        <v>80</v>
      </c>
      <c r="C263" s="842">
        <v>45685</v>
      </c>
      <c r="D263" s="843" t="s">
        <v>398</v>
      </c>
      <c r="E263" s="836" t="s">
        <v>49</v>
      </c>
      <c r="F263" s="836" t="s">
        <v>10</v>
      </c>
      <c r="G263" s="844">
        <v>45685</v>
      </c>
      <c r="H263" s="845"/>
      <c r="I263" s="839" t="s">
        <v>266</v>
      </c>
      <c r="J263" s="845"/>
      <c r="K263" s="845"/>
      <c r="L263" s="845"/>
      <c r="M263" s="845"/>
      <c r="N263" s="845"/>
      <c r="O263" s="845"/>
      <c r="P263" s="842">
        <v>45685</v>
      </c>
      <c r="Q263" s="833">
        <f t="shared" si="4"/>
        <v>0</v>
      </c>
      <c r="R263" s="836" t="s">
        <v>310</v>
      </c>
      <c r="S263" s="845"/>
    </row>
    <row r="264" spans="1:19" ht="43.2" x14ac:dyDescent="0.3">
      <c r="A264" s="832">
        <v>263</v>
      </c>
      <c r="B264" s="841" t="s">
        <v>80</v>
      </c>
      <c r="C264" s="842">
        <v>45685</v>
      </c>
      <c r="D264" s="843" t="s">
        <v>399</v>
      </c>
      <c r="E264" s="836" t="s">
        <v>49</v>
      </c>
      <c r="F264" s="836" t="s">
        <v>10</v>
      </c>
      <c r="G264" s="844">
        <v>45685</v>
      </c>
      <c r="H264" s="845"/>
      <c r="I264" s="839" t="s">
        <v>266</v>
      </c>
      <c r="J264" s="845"/>
      <c r="K264" s="845"/>
      <c r="L264" s="845"/>
      <c r="M264" s="845"/>
      <c r="N264" s="845"/>
      <c r="O264" s="845"/>
      <c r="P264" s="842">
        <v>45685</v>
      </c>
      <c r="Q264" s="833">
        <f t="shared" si="4"/>
        <v>0</v>
      </c>
      <c r="R264" s="836" t="s">
        <v>310</v>
      </c>
      <c r="S264" s="845"/>
    </row>
    <row r="265" spans="1:19" ht="28.8" x14ac:dyDescent="0.3">
      <c r="A265" s="832">
        <v>264</v>
      </c>
      <c r="B265" s="833" t="s">
        <v>80</v>
      </c>
      <c r="C265" s="834">
        <v>45673</v>
      </c>
      <c r="D265" s="835" t="s">
        <v>400</v>
      </c>
      <c r="E265" s="836" t="s">
        <v>15</v>
      </c>
      <c r="F265" s="837" t="s">
        <v>10</v>
      </c>
      <c r="G265" s="838">
        <v>45673</v>
      </c>
      <c r="H265" s="845"/>
      <c r="I265" s="839" t="s">
        <v>99</v>
      </c>
      <c r="J265" s="833"/>
      <c r="K265" s="832"/>
      <c r="L265" s="832"/>
      <c r="M265" s="833"/>
      <c r="N265" s="832"/>
      <c r="O265" s="832"/>
      <c r="P265" s="834">
        <v>45684</v>
      </c>
      <c r="Q265" s="833">
        <f t="shared" si="4"/>
        <v>11</v>
      </c>
      <c r="R265" s="833"/>
      <c r="S265" s="832" t="s">
        <v>401</v>
      </c>
    </row>
    <row r="266" spans="1:19" ht="57.6" x14ac:dyDescent="0.3">
      <c r="A266" s="832">
        <v>265</v>
      </c>
      <c r="B266" s="841">
        <v>1550</v>
      </c>
      <c r="C266" s="842">
        <v>45679</v>
      </c>
      <c r="D266" s="843" t="s">
        <v>402</v>
      </c>
      <c r="E266" s="837" t="s">
        <v>1</v>
      </c>
      <c r="F266" s="837" t="s">
        <v>6</v>
      </c>
      <c r="G266" s="844">
        <v>45679</v>
      </c>
      <c r="H266" s="845"/>
      <c r="I266" s="839" t="s">
        <v>125</v>
      </c>
      <c r="J266" s="845"/>
      <c r="K266" s="845"/>
      <c r="L266" s="845"/>
      <c r="M266" s="845"/>
      <c r="N266" s="845"/>
      <c r="O266" s="845"/>
      <c r="P266" s="842">
        <v>45684</v>
      </c>
      <c r="Q266" s="833">
        <f t="shared" si="4"/>
        <v>5</v>
      </c>
      <c r="R266" s="836"/>
      <c r="S266" s="845"/>
    </row>
    <row r="267" spans="1:19" ht="57.6" x14ac:dyDescent="0.3">
      <c r="A267" s="832">
        <v>266</v>
      </c>
      <c r="B267" s="841">
        <v>1550</v>
      </c>
      <c r="C267" s="842">
        <v>45679</v>
      </c>
      <c r="D267" s="843" t="s">
        <v>403</v>
      </c>
      <c r="E267" s="836" t="s">
        <v>21</v>
      </c>
      <c r="F267" s="837" t="s">
        <v>6</v>
      </c>
      <c r="G267" s="844">
        <v>45679</v>
      </c>
      <c r="H267" s="845"/>
      <c r="I267" s="839" t="s">
        <v>125</v>
      </c>
      <c r="J267" s="845"/>
      <c r="K267" s="845"/>
      <c r="L267" s="845"/>
      <c r="M267" s="845"/>
      <c r="N267" s="845"/>
      <c r="O267" s="845"/>
      <c r="P267" s="842">
        <v>45684</v>
      </c>
      <c r="Q267" s="833">
        <f t="shared" si="4"/>
        <v>5</v>
      </c>
      <c r="R267" s="836"/>
      <c r="S267" s="845"/>
    </row>
    <row r="268" spans="1:19" ht="72" x14ac:dyDescent="0.3">
      <c r="A268" s="832">
        <v>267</v>
      </c>
      <c r="B268" s="841" t="s">
        <v>80</v>
      </c>
      <c r="C268" s="842">
        <v>45679</v>
      </c>
      <c r="D268" s="835" t="s">
        <v>404</v>
      </c>
      <c r="E268" s="837" t="s">
        <v>11</v>
      </c>
      <c r="F268" s="837" t="s">
        <v>10</v>
      </c>
      <c r="G268" s="844">
        <v>45679</v>
      </c>
      <c r="H268" s="845"/>
      <c r="I268" s="839" t="s">
        <v>106</v>
      </c>
      <c r="J268" s="845"/>
      <c r="K268" s="845"/>
      <c r="L268" s="845"/>
      <c r="M268" s="845"/>
      <c r="N268" s="845"/>
      <c r="O268" s="845"/>
      <c r="P268" s="842">
        <v>45684</v>
      </c>
      <c r="Q268" s="833">
        <f t="shared" si="4"/>
        <v>5</v>
      </c>
      <c r="R268" s="836"/>
      <c r="S268" s="845"/>
    </row>
    <row r="269" spans="1:19" ht="28.8" x14ac:dyDescent="0.3">
      <c r="A269" s="832">
        <v>268</v>
      </c>
      <c r="B269" s="841">
        <v>1550</v>
      </c>
      <c r="C269" s="842">
        <v>45680</v>
      </c>
      <c r="D269" s="843" t="s">
        <v>405</v>
      </c>
      <c r="E269" s="836" t="s">
        <v>1</v>
      </c>
      <c r="F269" s="837" t="s">
        <v>8</v>
      </c>
      <c r="G269" s="844">
        <v>45679</v>
      </c>
      <c r="H269" s="845"/>
      <c r="I269" s="845" t="s">
        <v>125</v>
      </c>
      <c r="J269" s="845"/>
      <c r="K269" s="845"/>
      <c r="L269" s="845"/>
      <c r="M269" s="845"/>
      <c r="N269" s="845"/>
      <c r="O269" s="845"/>
      <c r="P269" s="842">
        <v>45684</v>
      </c>
      <c r="Q269" s="833">
        <f t="shared" si="4"/>
        <v>5</v>
      </c>
      <c r="R269" s="836" t="s">
        <v>190</v>
      </c>
      <c r="S269" s="845"/>
    </row>
    <row r="270" spans="1:19" ht="28.8" x14ac:dyDescent="0.3">
      <c r="A270" s="832">
        <v>269</v>
      </c>
      <c r="B270" s="841">
        <v>1550</v>
      </c>
      <c r="C270" s="842">
        <v>45680</v>
      </c>
      <c r="D270" s="843" t="s">
        <v>406</v>
      </c>
      <c r="E270" s="836" t="s">
        <v>11</v>
      </c>
      <c r="F270" s="837" t="s">
        <v>6</v>
      </c>
      <c r="G270" s="844">
        <v>45680</v>
      </c>
      <c r="H270" s="845"/>
      <c r="I270" s="845" t="s">
        <v>407</v>
      </c>
      <c r="J270" s="845"/>
      <c r="K270" s="845"/>
      <c r="L270" s="845"/>
      <c r="M270" s="845"/>
      <c r="N270" s="845"/>
      <c r="O270" s="845"/>
      <c r="P270" s="842">
        <v>45684</v>
      </c>
      <c r="Q270" s="833">
        <f t="shared" si="4"/>
        <v>4</v>
      </c>
      <c r="R270" s="836"/>
      <c r="S270" s="845"/>
    </row>
    <row r="271" spans="1:19" ht="28.8" x14ac:dyDescent="0.3">
      <c r="A271" s="832">
        <v>270</v>
      </c>
      <c r="B271" s="841">
        <v>1550</v>
      </c>
      <c r="C271" s="842">
        <v>45680</v>
      </c>
      <c r="D271" s="843" t="s">
        <v>408</v>
      </c>
      <c r="E271" s="836" t="s">
        <v>1</v>
      </c>
      <c r="F271" s="837" t="s">
        <v>4</v>
      </c>
      <c r="G271" s="844">
        <v>45680</v>
      </c>
      <c r="H271" s="845"/>
      <c r="I271" s="845" t="s">
        <v>125</v>
      </c>
      <c r="J271" s="845"/>
      <c r="K271" s="845"/>
      <c r="L271" s="845"/>
      <c r="M271" s="845"/>
      <c r="N271" s="845"/>
      <c r="O271" s="845"/>
      <c r="P271" s="842">
        <v>45684</v>
      </c>
      <c r="Q271" s="833">
        <f t="shared" si="4"/>
        <v>4</v>
      </c>
      <c r="R271" s="836"/>
      <c r="S271" s="845"/>
    </row>
    <row r="272" spans="1:19" ht="43.2" x14ac:dyDescent="0.3">
      <c r="A272" s="832">
        <v>271</v>
      </c>
      <c r="B272" s="833">
        <v>1550</v>
      </c>
      <c r="C272" s="834">
        <v>45681</v>
      </c>
      <c r="D272" s="835" t="s">
        <v>409</v>
      </c>
      <c r="E272" s="836" t="s">
        <v>7</v>
      </c>
      <c r="F272" s="836" t="s">
        <v>6</v>
      </c>
      <c r="G272" s="838">
        <v>45681</v>
      </c>
      <c r="H272" s="832"/>
      <c r="I272" s="839" t="s">
        <v>129</v>
      </c>
      <c r="J272" s="833"/>
      <c r="K272" s="832"/>
      <c r="L272" s="832"/>
      <c r="M272" s="833"/>
      <c r="N272" s="832"/>
      <c r="O272" s="832"/>
      <c r="P272" s="834">
        <v>45684</v>
      </c>
      <c r="Q272" s="833">
        <f t="shared" si="4"/>
        <v>3</v>
      </c>
      <c r="R272" s="836"/>
      <c r="S272" s="832"/>
    </row>
    <row r="273" spans="1:19" ht="43.2" x14ac:dyDescent="0.3">
      <c r="A273" s="832">
        <v>272</v>
      </c>
      <c r="B273" s="833">
        <v>1550</v>
      </c>
      <c r="C273" s="834">
        <v>45684</v>
      </c>
      <c r="D273" s="835" t="s">
        <v>410</v>
      </c>
      <c r="E273" s="836" t="s">
        <v>49</v>
      </c>
      <c r="F273" s="836" t="s">
        <v>6</v>
      </c>
      <c r="G273" s="838">
        <v>45684</v>
      </c>
      <c r="H273" s="832"/>
      <c r="I273" s="839" t="s">
        <v>266</v>
      </c>
      <c r="J273" s="833"/>
      <c r="K273" s="832"/>
      <c r="L273" s="832"/>
      <c r="M273" s="833"/>
      <c r="N273" s="832"/>
      <c r="O273" s="832"/>
      <c r="P273" s="834">
        <v>45684</v>
      </c>
      <c r="Q273" s="833">
        <f t="shared" si="4"/>
        <v>0</v>
      </c>
      <c r="R273" s="836"/>
      <c r="S273" s="832"/>
    </row>
    <row r="274" spans="1:19" ht="43.2" x14ac:dyDescent="0.3">
      <c r="A274" s="832">
        <v>273</v>
      </c>
      <c r="B274" s="833">
        <v>1550</v>
      </c>
      <c r="C274" s="834">
        <v>45684</v>
      </c>
      <c r="D274" s="835" t="s">
        <v>411</v>
      </c>
      <c r="E274" s="836" t="s">
        <v>49</v>
      </c>
      <c r="F274" s="836" t="s">
        <v>8</v>
      </c>
      <c r="G274" s="838">
        <v>45684</v>
      </c>
      <c r="H274" s="832"/>
      <c r="I274" s="839" t="s">
        <v>266</v>
      </c>
      <c r="J274" s="833"/>
      <c r="K274" s="832"/>
      <c r="L274" s="832"/>
      <c r="M274" s="833"/>
      <c r="N274" s="832"/>
      <c r="O274" s="832"/>
      <c r="P274" s="834">
        <v>45684</v>
      </c>
      <c r="Q274" s="833">
        <f t="shared" si="4"/>
        <v>0</v>
      </c>
      <c r="R274" s="836" t="s">
        <v>136</v>
      </c>
      <c r="S274" s="832"/>
    </row>
    <row r="275" spans="1:19" ht="86.4" x14ac:dyDescent="0.3">
      <c r="A275" s="832">
        <v>274</v>
      </c>
      <c r="B275" s="833" t="s">
        <v>80</v>
      </c>
      <c r="C275" s="834">
        <v>45684</v>
      </c>
      <c r="D275" s="835" t="s">
        <v>412</v>
      </c>
      <c r="E275" s="836" t="s">
        <v>3</v>
      </c>
      <c r="F275" s="836" t="s">
        <v>10</v>
      </c>
      <c r="G275" s="838">
        <v>45684</v>
      </c>
      <c r="H275" s="832"/>
      <c r="I275" s="849" t="s">
        <v>82</v>
      </c>
      <c r="J275" s="833"/>
      <c r="K275" s="832"/>
      <c r="L275" s="832"/>
      <c r="M275" s="833"/>
      <c r="N275" s="832"/>
      <c r="O275" s="832"/>
      <c r="P275" s="834">
        <v>45684</v>
      </c>
      <c r="Q275" s="833">
        <f t="shared" si="4"/>
        <v>0</v>
      </c>
      <c r="R275" s="836"/>
      <c r="S275" s="832"/>
    </row>
    <row r="276" spans="1:19" ht="43.2" x14ac:dyDescent="0.3">
      <c r="A276" s="832">
        <v>275</v>
      </c>
      <c r="B276" s="833" t="s">
        <v>80</v>
      </c>
      <c r="C276" s="834">
        <v>45684</v>
      </c>
      <c r="D276" s="835" t="s">
        <v>413</v>
      </c>
      <c r="E276" s="836" t="s">
        <v>49</v>
      </c>
      <c r="F276" s="836" t="s">
        <v>10</v>
      </c>
      <c r="G276" s="838">
        <v>45684</v>
      </c>
      <c r="H276" s="832"/>
      <c r="I276" s="839" t="s">
        <v>266</v>
      </c>
      <c r="J276" s="833"/>
      <c r="K276" s="832"/>
      <c r="L276" s="832"/>
      <c r="M276" s="833"/>
      <c r="N276" s="832"/>
      <c r="O276" s="832"/>
      <c r="P276" s="834">
        <v>45684</v>
      </c>
      <c r="Q276" s="833">
        <f t="shared" si="4"/>
        <v>0</v>
      </c>
      <c r="R276" s="836"/>
      <c r="S276" s="832"/>
    </row>
    <row r="277" spans="1:19" ht="43.2" x14ac:dyDescent="0.3">
      <c r="A277" s="832">
        <v>276</v>
      </c>
      <c r="B277" s="833" t="s">
        <v>80</v>
      </c>
      <c r="C277" s="834">
        <v>45684</v>
      </c>
      <c r="D277" s="835" t="s">
        <v>414</v>
      </c>
      <c r="E277" s="836" t="s">
        <v>49</v>
      </c>
      <c r="F277" s="836" t="s">
        <v>10</v>
      </c>
      <c r="G277" s="838">
        <v>45684</v>
      </c>
      <c r="H277" s="832"/>
      <c r="I277" s="839" t="s">
        <v>266</v>
      </c>
      <c r="J277" s="833"/>
      <c r="K277" s="832"/>
      <c r="L277" s="832"/>
      <c r="M277" s="833"/>
      <c r="N277" s="832"/>
      <c r="O277" s="832"/>
      <c r="P277" s="834">
        <v>45684</v>
      </c>
      <c r="Q277" s="833">
        <f t="shared" si="4"/>
        <v>0</v>
      </c>
      <c r="R277" s="836"/>
      <c r="S277" s="832"/>
    </row>
    <row r="278" spans="1:19" ht="129.6" x14ac:dyDescent="0.3">
      <c r="A278" s="832">
        <v>277</v>
      </c>
      <c r="B278" s="841" t="s">
        <v>80</v>
      </c>
      <c r="C278" s="842">
        <v>45674</v>
      </c>
      <c r="D278" s="835" t="s">
        <v>415</v>
      </c>
      <c r="E278" s="836" t="s">
        <v>1</v>
      </c>
      <c r="F278" s="837" t="s">
        <v>10</v>
      </c>
      <c r="G278" s="844">
        <v>45674</v>
      </c>
      <c r="H278" s="832"/>
      <c r="I278" s="839" t="s">
        <v>125</v>
      </c>
      <c r="J278" s="833"/>
      <c r="K278" s="832"/>
      <c r="L278" s="832"/>
      <c r="M278" s="833"/>
      <c r="N278" s="832"/>
      <c r="O278" s="832"/>
      <c r="P278" s="834">
        <v>45681</v>
      </c>
      <c r="Q278" s="833">
        <f t="shared" si="4"/>
        <v>7</v>
      </c>
      <c r="R278" s="836"/>
      <c r="S278" s="832"/>
    </row>
    <row r="279" spans="1:19" ht="72" x14ac:dyDescent="0.3">
      <c r="A279" s="832">
        <v>278</v>
      </c>
      <c r="B279" s="841">
        <v>1550</v>
      </c>
      <c r="C279" s="842">
        <v>45678</v>
      </c>
      <c r="D279" s="843" t="s">
        <v>416</v>
      </c>
      <c r="E279" s="837" t="s">
        <v>12</v>
      </c>
      <c r="F279" s="837" t="s">
        <v>6</v>
      </c>
      <c r="G279" s="844">
        <v>45678</v>
      </c>
      <c r="H279" s="845"/>
      <c r="I279" s="839" t="s">
        <v>159</v>
      </c>
      <c r="J279" s="845"/>
      <c r="K279" s="845"/>
      <c r="L279" s="845"/>
      <c r="M279" s="845"/>
      <c r="N279" s="845"/>
      <c r="O279" s="845"/>
      <c r="P279" s="842">
        <v>45681</v>
      </c>
      <c r="Q279" s="833">
        <f t="shared" si="4"/>
        <v>3</v>
      </c>
      <c r="R279" s="836"/>
      <c r="S279" s="845"/>
    </row>
    <row r="280" spans="1:19" ht="28.8" x14ac:dyDescent="0.3">
      <c r="A280" s="832">
        <v>279</v>
      </c>
      <c r="B280" s="833">
        <v>1550</v>
      </c>
      <c r="C280" s="834">
        <v>45680</v>
      </c>
      <c r="D280" s="835" t="s">
        <v>417</v>
      </c>
      <c r="E280" s="836" t="s">
        <v>3</v>
      </c>
      <c r="F280" s="836" t="s">
        <v>4</v>
      </c>
      <c r="G280" s="838">
        <v>45680</v>
      </c>
      <c r="H280" s="832"/>
      <c r="I280" s="839" t="s">
        <v>125</v>
      </c>
      <c r="J280" s="833"/>
      <c r="K280" s="832"/>
      <c r="L280" s="832"/>
      <c r="M280" s="833"/>
      <c r="N280" s="832"/>
      <c r="O280" s="832"/>
      <c r="P280" s="834">
        <v>45681</v>
      </c>
      <c r="Q280" s="833">
        <f t="shared" si="4"/>
        <v>1</v>
      </c>
      <c r="R280" s="836"/>
      <c r="S280" s="832"/>
    </row>
    <row r="281" spans="1:19" ht="43.2" x14ac:dyDescent="0.3">
      <c r="A281" s="832">
        <v>280</v>
      </c>
      <c r="B281" s="833">
        <v>1550</v>
      </c>
      <c r="C281" s="834">
        <v>45681</v>
      </c>
      <c r="D281" s="835" t="s">
        <v>418</v>
      </c>
      <c r="E281" s="836" t="s">
        <v>49</v>
      </c>
      <c r="F281" s="836" t="s">
        <v>6</v>
      </c>
      <c r="G281" s="838">
        <v>45681</v>
      </c>
      <c r="H281" s="832"/>
      <c r="I281" s="839" t="s">
        <v>266</v>
      </c>
      <c r="J281" s="833"/>
      <c r="K281" s="832"/>
      <c r="L281" s="832"/>
      <c r="M281" s="833"/>
      <c r="N281" s="832"/>
      <c r="O281" s="832"/>
      <c r="P281" s="834">
        <v>45681</v>
      </c>
      <c r="Q281" s="833">
        <f t="shared" si="4"/>
        <v>0</v>
      </c>
      <c r="R281" s="836"/>
      <c r="S281" s="832"/>
    </row>
    <row r="282" spans="1:19" ht="43.2" x14ac:dyDescent="0.3">
      <c r="A282" s="832">
        <v>281</v>
      </c>
      <c r="B282" s="833">
        <v>1550</v>
      </c>
      <c r="C282" s="834">
        <v>45681</v>
      </c>
      <c r="D282" s="835" t="s">
        <v>419</v>
      </c>
      <c r="E282" s="836" t="s">
        <v>25</v>
      </c>
      <c r="F282" s="836" t="s">
        <v>6</v>
      </c>
      <c r="G282" s="838">
        <v>45681</v>
      </c>
      <c r="H282" s="832"/>
      <c r="I282" s="839" t="s">
        <v>135</v>
      </c>
      <c r="J282" s="833"/>
      <c r="K282" s="832"/>
      <c r="L282" s="832"/>
      <c r="M282" s="833"/>
      <c r="N282" s="832"/>
      <c r="O282" s="832"/>
      <c r="P282" s="834">
        <v>45681</v>
      </c>
      <c r="Q282" s="833">
        <f t="shared" si="4"/>
        <v>0</v>
      </c>
      <c r="R282" s="836"/>
      <c r="S282" s="832"/>
    </row>
    <row r="283" spans="1:19" ht="43.2" x14ac:dyDescent="0.3">
      <c r="A283" s="832">
        <v>282</v>
      </c>
      <c r="B283" s="833">
        <v>1550</v>
      </c>
      <c r="C283" s="834">
        <v>45681</v>
      </c>
      <c r="D283" s="848" t="s">
        <v>420</v>
      </c>
      <c r="E283" s="836" t="s">
        <v>49</v>
      </c>
      <c r="F283" s="836" t="s">
        <v>6</v>
      </c>
      <c r="G283" s="838">
        <v>45681</v>
      </c>
      <c r="H283" s="832"/>
      <c r="I283" s="839" t="s">
        <v>266</v>
      </c>
      <c r="J283" s="833"/>
      <c r="K283" s="832"/>
      <c r="L283" s="832"/>
      <c r="M283" s="833"/>
      <c r="N283" s="832"/>
      <c r="O283" s="832"/>
      <c r="P283" s="834">
        <v>45681</v>
      </c>
      <c r="Q283" s="833">
        <f t="shared" si="4"/>
        <v>0</v>
      </c>
      <c r="R283" s="836"/>
      <c r="S283" s="832"/>
    </row>
    <row r="284" spans="1:19" ht="43.2" x14ac:dyDescent="0.3">
      <c r="A284" s="832">
        <v>283</v>
      </c>
      <c r="B284" s="833">
        <v>1550</v>
      </c>
      <c r="C284" s="834">
        <v>45681</v>
      </c>
      <c r="D284" s="835" t="s">
        <v>421</v>
      </c>
      <c r="E284" s="836" t="s">
        <v>49</v>
      </c>
      <c r="F284" s="836" t="s">
        <v>6</v>
      </c>
      <c r="G284" s="838">
        <v>45681</v>
      </c>
      <c r="H284" s="832"/>
      <c r="I284" s="839" t="s">
        <v>266</v>
      </c>
      <c r="J284" s="833"/>
      <c r="K284" s="832"/>
      <c r="L284" s="832"/>
      <c r="M284" s="833"/>
      <c r="N284" s="832"/>
      <c r="O284" s="832"/>
      <c r="P284" s="834">
        <v>45681</v>
      </c>
      <c r="Q284" s="833">
        <f t="shared" si="4"/>
        <v>0</v>
      </c>
      <c r="R284" s="836"/>
      <c r="S284" s="832"/>
    </row>
    <row r="285" spans="1:19" ht="43.2" x14ac:dyDescent="0.3">
      <c r="A285" s="832">
        <v>284</v>
      </c>
      <c r="B285" s="833">
        <v>1550</v>
      </c>
      <c r="C285" s="834">
        <v>45681</v>
      </c>
      <c r="D285" s="835" t="s">
        <v>422</v>
      </c>
      <c r="E285" s="836" t="s">
        <v>49</v>
      </c>
      <c r="F285" s="836" t="s">
        <v>6</v>
      </c>
      <c r="G285" s="838">
        <v>45681</v>
      </c>
      <c r="H285" s="832"/>
      <c r="I285" s="839" t="s">
        <v>266</v>
      </c>
      <c r="J285" s="833"/>
      <c r="K285" s="832"/>
      <c r="L285" s="832"/>
      <c r="M285" s="833"/>
      <c r="N285" s="832"/>
      <c r="O285" s="832"/>
      <c r="P285" s="834">
        <v>45681</v>
      </c>
      <c r="Q285" s="833">
        <f t="shared" si="4"/>
        <v>0</v>
      </c>
      <c r="R285" s="836"/>
      <c r="S285" s="832"/>
    </row>
    <row r="286" spans="1:19" ht="115.2" x14ac:dyDescent="0.3">
      <c r="A286" s="832">
        <v>285</v>
      </c>
      <c r="B286" s="833" t="s">
        <v>80</v>
      </c>
      <c r="C286" s="834">
        <v>45681</v>
      </c>
      <c r="D286" s="835" t="s">
        <v>423</v>
      </c>
      <c r="E286" s="836" t="s">
        <v>25</v>
      </c>
      <c r="F286" s="837" t="s">
        <v>10</v>
      </c>
      <c r="G286" s="838">
        <v>45681</v>
      </c>
      <c r="H286" s="832"/>
      <c r="I286" s="839" t="s">
        <v>135</v>
      </c>
      <c r="J286" s="833"/>
      <c r="K286" s="832"/>
      <c r="L286" s="832"/>
      <c r="M286" s="833"/>
      <c r="N286" s="832"/>
      <c r="O286" s="832"/>
      <c r="P286" s="834">
        <v>45681</v>
      </c>
      <c r="Q286" s="833">
        <f t="shared" si="4"/>
        <v>0</v>
      </c>
      <c r="R286" s="836"/>
      <c r="S286" s="832"/>
    </row>
    <row r="287" spans="1:19" ht="43.2" x14ac:dyDescent="0.3">
      <c r="A287" s="832">
        <v>286</v>
      </c>
      <c r="B287" s="833" t="s">
        <v>80</v>
      </c>
      <c r="C287" s="834">
        <v>45681</v>
      </c>
      <c r="D287" s="835" t="s">
        <v>322</v>
      </c>
      <c r="E287" s="836" t="s">
        <v>49</v>
      </c>
      <c r="F287" s="837" t="s">
        <v>10</v>
      </c>
      <c r="G287" s="838">
        <v>45681</v>
      </c>
      <c r="H287" s="832"/>
      <c r="I287" s="839" t="s">
        <v>266</v>
      </c>
      <c r="J287" s="833"/>
      <c r="K287" s="832"/>
      <c r="L287" s="832"/>
      <c r="M287" s="833"/>
      <c r="N287" s="832"/>
      <c r="O287" s="832"/>
      <c r="P287" s="834">
        <v>45681</v>
      </c>
      <c r="Q287" s="833">
        <f t="shared" si="4"/>
        <v>0</v>
      </c>
      <c r="R287" s="836"/>
      <c r="S287" s="832"/>
    </row>
    <row r="288" spans="1:19" ht="43.2" x14ac:dyDescent="0.3">
      <c r="A288" s="832">
        <v>287</v>
      </c>
      <c r="B288" s="833" t="s">
        <v>80</v>
      </c>
      <c r="C288" s="834">
        <v>45681</v>
      </c>
      <c r="D288" s="835" t="s">
        <v>424</v>
      </c>
      <c r="E288" s="836" t="s">
        <v>49</v>
      </c>
      <c r="F288" s="837" t="s">
        <v>10</v>
      </c>
      <c r="G288" s="838">
        <v>45681</v>
      </c>
      <c r="H288" s="832"/>
      <c r="I288" s="839" t="s">
        <v>266</v>
      </c>
      <c r="J288" s="833"/>
      <c r="K288" s="832"/>
      <c r="L288" s="832"/>
      <c r="M288" s="833"/>
      <c r="N288" s="832"/>
      <c r="O288" s="832"/>
      <c r="P288" s="834">
        <v>45681</v>
      </c>
      <c r="Q288" s="833">
        <f t="shared" si="4"/>
        <v>0</v>
      </c>
      <c r="R288" s="836"/>
      <c r="S288" s="832"/>
    </row>
    <row r="289" spans="1:19" ht="43.2" x14ac:dyDescent="0.3">
      <c r="A289" s="832">
        <v>288</v>
      </c>
      <c r="B289" s="833" t="s">
        <v>80</v>
      </c>
      <c r="C289" s="834">
        <v>45663</v>
      </c>
      <c r="D289" s="843" t="s">
        <v>425</v>
      </c>
      <c r="E289" s="836" t="s">
        <v>3</v>
      </c>
      <c r="F289" s="836" t="s">
        <v>10</v>
      </c>
      <c r="G289" s="846">
        <v>45663</v>
      </c>
      <c r="H289" s="845"/>
      <c r="I289" s="849" t="s">
        <v>82</v>
      </c>
      <c r="J289" s="845"/>
      <c r="K289" s="845"/>
      <c r="L289" s="845"/>
      <c r="M289" s="845"/>
      <c r="N289" s="845"/>
      <c r="O289" s="845"/>
      <c r="P289" s="834">
        <v>45680</v>
      </c>
      <c r="Q289" s="833">
        <f t="shared" si="4"/>
        <v>17</v>
      </c>
      <c r="R289" s="836"/>
      <c r="S289" s="845"/>
    </row>
    <row r="290" spans="1:19" ht="43.2" x14ac:dyDescent="0.3">
      <c r="A290" s="832">
        <v>289</v>
      </c>
      <c r="B290" s="833" t="s">
        <v>80</v>
      </c>
      <c r="C290" s="834">
        <v>45667</v>
      </c>
      <c r="D290" s="835" t="s">
        <v>426</v>
      </c>
      <c r="E290" s="836" t="s">
        <v>48</v>
      </c>
      <c r="F290" s="836" t="s">
        <v>10</v>
      </c>
      <c r="G290" s="838">
        <v>45667</v>
      </c>
      <c r="H290" s="845"/>
      <c r="I290" s="839" t="s">
        <v>99</v>
      </c>
      <c r="J290" s="845"/>
      <c r="K290" s="845"/>
      <c r="L290" s="845"/>
      <c r="M290" s="845"/>
      <c r="N290" s="845"/>
      <c r="O290" s="845"/>
      <c r="P290" s="834">
        <v>45680</v>
      </c>
      <c r="Q290" s="833">
        <f t="shared" si="4"/>
        <v>13</v>
      </c>
      <c r="R290" s="836"/>
      <c r="S290" s="832" t="s">
        <v>427</v>
      </c>
    </row>
    <row r="291" spans="1:19" ht="43.2" x14ac:dyDescent="0.3">
      <c r="A291" s="832">
        <v>290</v>
      </c>
      <c r="B291" s="833" t="s">
        <v>80</v>
      </c>
      <c r="C291" s="834">
        <v>45667</v>
      </c>
      <c r="D291" s="835" t="s">
        <v>428</v>
      </c>
      <c r="E291" s="836" t="s">
        <v>48</v>
      </c>
      <c r="F291" s="836" t="s">
        <v>10</v>
      </c>
      <c r="G291" s="838">
        <v>45667</v>
      </c>
      <c r="H291" s="845"/>
      <c r="I291" s="839" t="s">
        <v>99</v>
      </c>
      <c r="J291" s="845"/>
      <c r="K291" s="845"/>
      <c r="L291" s="845"/>
      <c r="M291" s="845"/>
      <c r="N291" s="845"/>
      <c r="O291" s="845"/>
      <c r="P291" s="834">
        <v>45680</v>
      </c>
      <c r="Q291" s="833">
        <f t="shared" si="4"/>
        <v>13</v>
      </c>
      <c r="R291" s="836"/>
      <c r="S291" s="832" t="s">
        <v>427</v>
      </c>
    </row>
    <row r="292" spans="1:19" ht="43.2" x14ac:dyDescent="0.3">
      <c r="A292" s="832">
        <v>291</v>
      </c>
      <c r="B292" s="833" t="s">
        <v>80</v>
      </c>
      <c r="C292" s="834">
        <v>45667</v>
      </c>
      <c r="D292" s="835" t="s">
        <v>429</v>
      </c>
      <c r="E292" s="836" t="s">
        <v>48</v>
      </c>
      <c r="F292" s="836" t="s">
        <v>10</v>
      </c>
      <c r="G292" s="838">
        <v>45667</v>
      </c>
      <c r="H292" s="845"/>
      <c r="I292" s="839" t="s">
        <v>99</v>
      </c>
      <c r="J292" s="845"/>
      <c r="K292" s="845"/>
      <c r="L292" s="845"/>
      <c r="M292" s="845"/>
      <c r="N292" s="845"/>
      <c r="O292" s="845"/>
      <c r="P292" s="834">
        <v>45680</v>
      </c>
      <c r="Q292" s="833">
        <f t="shared" si="4"/>
        <v>13</v>
      </c>
      <c r="R292" s="836"/>
      <c r="S292" s="832" t="s">
        <v>427</v>
      </c>
    </row>
    <row r="293" spans="1:19" ht="43.2" x14ac:dyDescent="0.3">
      <c r="A293" s="832">
        <v>292</v>
      </c>
      <c r="B293" s="833" t="s">
        <v>80</v>
      </c>
      <c r="C293" s="834">
        <v>45671</v>
      </c>
      <c r="D293" s="835" t="s">
        <v>430</v>
      </c>
      <c r="E293" s="836" t="s">
        <v>3</v>
      </c>
      <c r="F293" s="836" t="s">
        <v>10</v>
      </c>
      <c r="G293" s="838">
        <v>45671</v>
      </c>
      <c r="H293" s="832"/>
      <c r="I293" s="849" t="s">
        <v>82</v>
      </c>
      <c r="J293" s="833"/>
      <c r="K293" s="832"/>
      <c r="L293" s="832"/>
      <c r="M293" s="833"/>
      <c r="N293" s="832"/>
      <c r="O293" s="832"/>
      <c r="P293" s="834">
        <v>45680</v>
      </c>
      <c r="Q293" s="833">
        <f t="shared" si="4"/>
        <v>9</v>
      </c>
      <c r="R293" s="836"/>
      <c r="S293" s="840"/>
    </row>
    <row r="294" spans="1:19" ht="43.2" x14ac:dyDescent="0.3">
      <c r="A294" s="832">
        <v>293</v>
      </c>
      <c r="B294" s="833" t="s">
        <v>80</v>
      </c>
      <c r="C294" s="834">
        <v>45673</v>
      </c>
      <c r="D294" s="835" t="s">
        <v>431</v>
      </c>
      <c r="E294" s="836" t="s">
        <v>48</v>
      </c>
      <c r="F294" s="837" t="s">
        <v>10</v>
      </c>
      <c r="G294" s="838">
        <v>45673</v>
      </c>
      <c r="H294" s="845"/>
      <c r="I294" s="839" t="s">
        <v>99</v>
      </c>
      <c r="J294" s="833"/>
      <c r="K294" s="832"/>
      <c r="L294" s="832"/>
      <c r="M294" s="833"/>
      <c r="N294" s="832"/>
      <c r="O294" s="832"/>
      <c r="P294" s="834">
        <v>45680</v>
      </c>
      <c r="Q294" s="833">
        <f t="shared" si="4"/>
        <v>7</v>
      </c>
      <c r="R294" s="833"/>
      <c r="S294" s="832" t="s">
        <v>432</v>
      </c>
    </row>
    <row r="295" spans="1:19" ht="43.2" x14ac:dyDescent="0.3">
      <c r="A295" s="832">
        <v>294</v>
      </c>
      <c r="B295" s="833" t="s">
        <v>80</v>
      </c>
      <c r="C295" s="834">
        <v>45673</v>
      </c>
      <c r="D295" s="835" t="s">
        <v>433</v>
      </c>
      <c r="E295" s="836" t="s">
        <v>48</v>
      </c>
      <c r="F295" s="837" t="s">
        <v>10</v>
      </c>
      <c r="G295" s="838">
        <v>45673</v>
      </c>
      <c r="H295" s="845"/>
      <c r="I295" s="839" t="s">
        <v>99</v>
      </c>
      <c r="J295" s="833"/>
      <c r="K295" s="832"/>
      <c r="L295" s="832"/>
      <c r="M295" s="833"/>
      <c r="N295" s="832"/>
      <c r="O295" s="832"/>
      <c r="P295" s="834">
        <v>45680</v>
      </c>
      <c r="Q295" s="833">
        <f t="shared" si="4"/>
        <v>7</v>
      </c>
      <c r="R295" s="833"/>
      <c r="S295" s="832" t="s">
        <v>432</v>
      </c>
    </row>
    <row r="296" spans="1:19" ht="43.2" x14ac:dyDescent="0.3">
      <c r="A296" s="832">
        <v>295</v>
      </c>
      <c r="B296" s="833" t="s">
        <v>80</v>
      </c>
      <c r="C296" s="834">
        <v>45673</v>
      </c>
      <c r="D296" s="835" t="s">
        <v>434</v>
      </c>
      <c r="E296" s="836" t="s">
        <v>48</v>
      </c>
      <c r="F296" s="837" t="s">
        <v>10</v>
      </c>
      <c r="G296" s="838">
        <v>45673</v>
      </c>
      <c r="H296" s="845"/>
      <c r="I296" s="839" t="s">
        <v>99</v>
      </c>
      <c r="J296" s="833"/>
      <c r="K296" s="832"/>
      <c r="L296" s="832"/>
      <c r="M296" s="833"/>
      <c r="N296" s="832"/>
      <c r="O296" s="832"/>
      <c r="P296" s="834">
        <v>45680</v>
      </c>
      <c r="Q296" s="833">
        <f t="shared" si="4"/>
        <v>7</v>
      </c>
      <c r="R296" s="833"/>
      <c r="S296" s="832" t="s">
        <v>432</v>
      </c>
    </row>
    <row r="297" spans="1:19" ht="57.6" x14ac:dyDescent="0.3">
      <c r="A297" s="832">
        <v>296</v>
      </c>
      <c r="B297" s="833">
        <v>1550</v>
      </c>
      <c r="C297" s="834">
        <v>45673</v>
      </c>
      <c r="D297" s="835" t="s">
        <v>435</v>
      </c>
      <c r="E297" s="836" t="s">
        <v>1</v>
      </c>
      <c r="F297" s="836" t="s">
        <v>6</v>
      </c>
      <c r="G297" s="838">
        <v>45673</v>
      </c>
      <c r="H297" s="832"/>
      <c r="I297" s="839" t="s">
        <v>125</v>
      </c>
      <c r="J297" s="833"/>
      <c r="K297" s="832"/>
      <c r="L297" s="832"/>
      <c r="M297" s="833"/>
      <c r="N297" s="832"/>
      <c r="O297" s="832"/>
      <c r="P297" s="834">
        <v>45680</v>
      </c>
      <c r="Q297" s="833">
        <f t="shared" si="4"/>
        <v>7</v>
      </c>
      <c r="R297" s="833"/>
      <c r="S297" s="832"/>
    </row>
    <row r="298" spans="1:19" ht="28.8" x14ac:dyDescent="0.3">
      <c r="A298" s="832">
        <v>297</v>
      </c>
      <c r="B298" s="841">
        <v>1550</v>
      </c>
      <c r="C298" s="842">
        <v>45674</v>
      </c>
      <c r="D298" s="843" t="s">
        <v>436</v>
      </c>
      <c r="E298" s="837" t="s">
        <v>1</v>
      </c>
      <c r="F298" s="837" t="s">
        <v>4</v>
      </c>
      <c r="G298" s="844">
        <v>45674</v>
      </c>
      <c r="H298" s="845"/>
      <c r="I298" s="845" t="s">
        <v>125</v>
      </c>
      <c r="J298" s="845"/>
      <c r="K298" s="845"/>
      <c r="L298" s="845"/>
      <c r="M298" s="845"/>
      <c r="N298" s="845"/>
      <c r="O298" s="845"/>
      <c r="P298" s="842">
        <v>45680</v>
      </c>
      <c r="Q298" s="833">
        <f t="shared" si="4"/>
        <v>6</v>
      </c>
      <c r="R298" s="836"/>
      <c r="S298" s="845"/>
    </row>
    <row r="299" spans="1:19" ht="43.2" x14ac:dyDescent="0.3">
      <c r="A299" s="832">
        <v>298</v>
      </c>
      <c r="B299" s="833" t="s">
        <v>80</v>
      </c>
      <c r="C299" s="834">
        <v>45677</v>
      </c>
      <c r="D299" s="835" t="s">
        <v>437</v>
      </c>
      <c r="E299" s="836" t="s">
        <v>1</v>
      </c>
      <c r="F299" s="837" t="s">
        <v>10</v>
      </c>
      <c r="G299" s="844">
        <v>45677</v>
      </c>
      <c r="H299" s="832"/>
      <c r="I299" s="839" t="s">
        <v>99</v>
      </c>
      <c r="J299" s="833"/>
      <c r="K299" s="832"/>
      <c r="L299" s="832"/>
      <c r="M299" s="833"/>
      <c r="N299" s="832"/>
      <c r="O299" s="832"/>
      <c r="P299" s="834">
        <v>45680</v>
      </c>
      <c r="Q299" s="833">
        <f t="shared" si="4"/>
        <v>3</v>
      </c>
      <c r="R299" s="836"/>
      <c r="S299" s="832" t="s">
        <v>438</v>
      </c>
    </row>
    <row r="300" spans="1:19" ht="28.8" x14ac:dyDescent="0.3">
      <c r="A300" s="832">
        <v>299</v>
      </c>
      <c r="B300" s="841">
        <v>1550</v>
      </c>
      <c r="C300" s="842">
        <v>45678</v>
      </c>
      <c r="D300" s="843" t="s">
        <v>439</v>
      </c>
      <c r="E300" s="837" t="s">
        <v>1</v>
      </c>
      <c r="F300" s="837" t="s">
        <v>4</v>
      </c>
      <c r="G300" s="844">
        <v>45678</v>
      </c>
      <c r="H300" s="845"/>
      <c r="I300" s="845" t="s">
        <v>174</v>
      </c>
      <c r="J300" s="845"/>
      <c r="K300" s="845"/>
      <c r="L300" s="845"/>
      <c r="M300" s="845"/>
      <c r="N300" s="845"/>
      <c r="O300" s="845"/>
      <c r="P300" s="842">
        <v>45680</v>
      </c>
      <c r="Q300" s="833">
        <f t="shared" si="4"/>
        <v>2</v>
      </c>
      <c r="R300" s="836"/>
      <c r="S300" s="845"/>
    </row>
    <row r="301" spans="1:19" ht="28.8" x14ac:dyDescent="0.3">
      <c r="A301" s="832">
        <v>300</v>
      </c>
      <c r="B301" s="841">
        <v>1550</v>
      </c>
      <c r="C301" s="842">
        <v>45678</v>
      </c>
      <c r="D301" s="843" t="s">
        <v>440</v>
      </c>
      <c r="E301" s="836" t="s">
        <v>1</v>
      </c>
      <c r="F301" s="837" t="s">
        <v>4</v>
      </c>
      <c r="G301" s="844">
        <v>45678</v>
      </c>
      <c r="H301" s="845"/>
      <c r="I301" s="845" t="s">
        <v>125</v>
      </c>
      <c r="J301" s="845"/>
      <c r="K301" s="845"/>
      <c r="L301" s="845"/>
      <c r="M301" s="845"/>
      <c r="N301" s="845"/>
      <c r="O301" s="845"/>
      <c r="P301" s="842">
        <v>45680</v>
      </c>
      <c r="Q301" s="833">
        <f t="shared" si="4"/>
        <v>2</v>
      </c>
      <c r="R301" s="836"/>
      <c r="S301" s="845"/>
    </row>
    <row r="302" spans="1:19" x14ac:dyDescent="0.3">
      <c r="A302" s="832">
        <v>301</v>
      </c>
      <c r="B302" s="841">
        <v>1550</v>
      </c>
      <c r="C302" s="834">
        <v>45679</v>
      </c>
      <c r="D302" s="835" t="s">
        <v>441</v>
      </c>
      <c r="E302" s="836" t="s">
        <v>24</v>
      </c>
      <c r="F302" s="836" t="s">
        <v>4</v>
      </c>
      <c r="G302" s="838">
        <v>45679</v>
      </c>
      <c r="H302" s="832"/>
      <c r="I302" s="839" t="s">
        <v>129</v>
      </c>
      <c r="J302" s="833"/>
      <c r="K302" s="832"/>
      <c r="L302" s="832"/>
      <c r="M302" s="833"/>
      <c r="N302" s="832"/>
      <c r="O302" s="832"/>
      <c r="P302" s="834">
        <v>45680</v>
      </c>
      <c r="Q302" s="833">
        <f t="shared" si="4"/>
        <v>1</v>
      </c>
      <c r="R302" s="836"/>
      <c r="S302" s="832"/>
    </row>
    <row r="303" spans="1:19" ht="72" x14ac:dyDescent="0.3">
      <c r="A303" s="832">
        <v>302</v>
      </c>
      <c r="B303" s="841">
        <v>1550</v>
      </c>
      <c r="C303" s="842">
        <v>45679</v>
      </c>
      <c r="D303" s="843" t="s">
        <v>442</v>
      </c>
      <c r="E303" s="836" t="s">
        <v>7</v>
      </c>
      <c r="F303" s="837" t="s">
        <v>6</v>
      </c>
      <c r="G303" s="844">
        <v>45679</v>
      </c>
      <c r="H303" s="845"/>
      <c r="I303" s="839" t="s">
        <v>125</v>
      </c>
      <c r="J303" s="845"/>
      <c r="K303" s="845"/>
      <c r="L303" s="845"/>
      <c r="M303" s="845"/>
      <c r="N303" s="845"/>
      <c r="O303" s="845"/>
      <c r="P303" s="842">
        <v>45680</v>
      </c>
      <c r="Q303" s="833">
        <f t="shared" si="4"/>
        <v>1</v>
      </c>
      <c r="R303" s="836"/>
      <c r="S303" s="845"/>
    </row>
    <row r="304" spans="1:19" ht="28.8" x14ac:dyDescent="0.3">
      <c r="A304" s="832">
        <v>303</v>
      </c>
      <c r="B304" s="841">
        <v>1550</v>
      </c>
      <c r="C304" s="842">
        <v>45679</v>
      </c>
      <c r="D304" s="843" t="s">
        <v>443</v>
      </c>
      <c r="E304" s="836" t="s">
        <v>1</v>
      </c>
      <c r="F304" s="837" t="s">
        <v>6</v>
      </c>
      <c r="G304" s="844">
        <v>45679</v>
      </c>
      <c r="H304" s="845"/>
      <c r="I304" s="839" t="s">
        <v>125</v>
      </c>
      <c r="J304" s="845"/>
      <c r="K304" s="845"/>
      <c r="L304" s="845"/>
      <c r="M304" s="845"/>
      <c r="N304" s="845"/>
      <c r="O304" s="845"/>
      <c r="P304" s="842">
        <v>45680</v>
      </c>
      <c r="Q304" s="833">
        <f t="shared" si="4"/>
        <v>1</v>
      </c>
      <c r="R304" s="836"/>
      <c r="S304" s="845"/>
    </row>
    <row r="305" spans="1:19" ht="28.8" x14ac:dyDescent="0.3">
      <c r="A305" s="832">
        <v>304</v>
      </c>
      <c r="B305" s="841" t="s">
        <v>80</v>
      </c>
      <c r="C305" s="842">
        <v>45679</v>
      </c>
      <c r="D305" s="835" t="s">
        <v>444</v>
      </c>
      <c r="E305" s="837" t="s">
        <v>50</v>
      </c>
      <c r="F305" s="837" t="s">
        <v>10</v>
      </c>
      <c r="G305" s="844">
        <v>45679</v>
      </c>
      <c r="H305" s="845"/>
      <c r="I305" s="845" t="s">
        <v>266</v>
      </c>
      <c r="J305" s="845"/>
      <c r="K305" s="845"/>
      <c r="L305" s="845"/>
      <c r="M305" s="845"/>
      <c r="N305" s="845"/>
      <c r="O305" s="845"/>
      <c r="P305" s="842">
        <v>45680</v>
      </c>
      <c r="Q305" s="833">
        <f t="shared" si="4"/>
        <v>1</v>
      </c>
      <c r="R305" s="836"/>
      <c r="S305" s="845"/>
    </row>
    <row r="306" spans="1:19" ht="28.8" x14ac:dyDescent="0.3">
      <c r="A306" s="832">
        <v>305</v>
      </c>
      <c r="B306" s="841">
        <v>1550</v>
      </c>
      <c r="C306" s="842">
        <v>45679</v>
      </c>
      <c r="D306" s="843" t="s">
        <v>445</v>
      </c>
      <c r="E306" s="836" t="s">
        <v>33</v>
      </c>
      <c r="F306" s="837" t="s">
        <v>8</v>
      </c>
      <c r="G306" s="844">
        <v>45679</v>
      </c>
      <c r="H306" s="845"/>
      <c r="I306" s="839" t="s">
        <v>99</v>
      </c>
      <c r="J306" s="845"/>
      <c r="K306" s="845"/>
      <c r="L306" s="845"/>
      <c r="M306" s="845"/>
      <c r="N306" s="845"/>
      <c r="O306" s="845"/>
      <c r="P306" s="842">
        <v>45680</v>
      </c>
      <c r="Q306" s="833">
        <f t="shared" si="4"/>
        <v>1</v>
      </c>
      <c r="R306" s="836" t="s">
        <v>446</v>
      </c>
      <c r="S306" s="845"/>
    </row>
    <row r="307" spans="1:19" ht="28.8" x14ac:dyDescent="0.3">
      <c r="A307" s="832">
        <v>306</v>
      </c>
      <c r="B307" s="841">
        <v>1550</v>
      </c>
      <c r="C307" s="842">
        <v>45680</v>
      </c>
      <c r="D307" s="843" t="s">
        <v>447</v>
      </c>
      <c r="E307" s="836" t="s">
        <v>3</v>
      </c>
      <c r="F307" s="837" t="s">
        <v>8</v>
      </c>
      <c r="G307" s="844">
        <v>45679</v>
      </c>
      <c r="H307" s="845"/>
      <c r="I307" s="845" t="s">
        <v>174</v>
      </c>
      <c r="J307" s="845"/>
      <c r="K307" s="845"/>
      <c r="L307" s="845"/>
      <c r="M307" s="845"/>
      <c r="N307" s="845"/>
      <c r="O307" s="845"/>
      <c r="P307" s="842">
        <v>45680</v>
      </c>
      <c r="Q307" s="833">
        <f t="shared" si="4"/>
        <v>1</v>
      </c>
      <c r="R307" s="836" t="s">
        <v>94</v>
      </c>
      <c r="S307" s="845"/>
    </row>
    <row r="308" spans="1:19" ht="43.2" x14ac:dyDescent="0.3">
      <c r="A308" s="832">
        <v>307</v>
      </c>
      <c r="B308" s="841">
        <v>1550</v>
      </c>
      <c r="C308" s="842">
        <v>45680</v>
      </c>
      <c r="D308" s="843" t="s">
        <v>448</v>
      </c>
      <c r="E308" s="836" t="s">
        <v>49</v>
      </c>
      <c r="F308" s="837" t="s">
        <v>4</v>
      </c>
      <c r="G308" s="844">
        <v>45680</v>
      </c>
      <c r="H308" s="845"/>
      <c r="I308" s="845" t="s">
        <v>266</v>
      </c>
      <c r="J308" s="845"/>
      <c r="K308" s="845"/>
      <c r="L308" s="845"/>
      <c r="M308" s="845"/>
      <c r="N308" s="845"/>
      <c r="O308" s="845"/>
      <c r="P308" s="842">
        <v>45680</v>
      </c>
      <c r="Q308" s="833">
        <f t="shared" si="4"/>
        <v>0</v>
      </c>
      <c r="R308" s="836"/>
      <c r="S308" s="845"/>
    </row>
    <row r="309" spans="1:19" ht="43.2" x14ac:dyDescent="0.3">
      <c r="A309" s="832">
        <v>308</v>
      </c>
      <c r="B309" s="841">
        <v>1550</v>
      </c>
      <c r="C309" s="842">
        <v>45680</v>
      </c>
      <c r="D309" s="843" t="s">
        <v>449</v>
      </c>
      <c r="E309" s="836" t="s">
        <v>49</v>
      </c>
      <c r="F309" s="837" t="s">
        <v>4</v>
      </c>
      <c r="G309" s="844">
        <v>45680</v>
      </c>
      <c r="H309" s="845"/>
      <c r="I309" s="845" t="s">
        <v>266</v>
      </c>
      <c r="J309" s="845"/>
      <c r="K309" s="845"/>
      <c r="L309" s="845"/>
      <c r="M309" s="845"/>
      <c r="N309" s="845"/>
      <c r="O309" s="845"/>
      <c r="P309" s="842">
        <v>45680</v>
      </c>
      <c r="Q309" s="833">
        <f t="shared" si="4"/>
        <v>0</v>
      </c>
      <c r="R309" s="836"/>
      <c r="S309" s="845"/>
    </row>
    <row r="310" spans="1:19" ht="43.2" x14ac:dyDescent="0.3">
      <c r="A310" s="832">
        <v>309</v>
      </c>
      <c r="B310" s="833">
        <v>1550</v>
      </c>
      <c r="C310" s="834">
        <v>45680</v>
      </c>
      <c r="D310" s="832" t="s">
        <v>450</v>
      </c>
      <c r="E310" s="836" t="s">
        <v>49</v>
      </c>
      <c r="F310" s="837" t="s">
        <v>4</v>
      </c>
      <c r="G310" s="844">
        <v>45680</v>
      </c>
      <c r="H310" s="845"/>
      <c r="I310" s="845" t="s">
        <v>266</v>
      </c>
      <c r="J310" s="845"/>
      <c r="K310" s="845"/>
      <c r="L310" s="845"/>
      <c r="M310" s="845"/>
      <c r="N310" s="845"/>
      <c r="O310" s="845"/>
      <c r="P310" s="842">
        <v>45680</v>
      </c>
      <c r="Q310" s="833">
        <f t="shared" si="4"/>
        <v>0</v>
      </c>
      <c r="R310" s="836"/>
      <c r="S310" s="832"/>
    </row>
    <row r="311" spans="1:19" ht="43.2" x14ac:dyDescent="0.3">
      <c r="A311" s="832">
        <v>310</v>
      </c>
      <c r="B311" s="833">
        <v>1550</v>
      </c>
      <c r="C311" s="834">
        <v>45680</v>
      </c>
      <c r="D311" s="835" t="s">
        <v>451</v>
      </c>
      <c r="E311" s="836" t="s">
        <v>12</v>
      </c>
      <c r="F311" s="836" t="s">
        <v>6</v>
      </c>
      <c r="G311" s="838">
        <v>45680</v>
      </c>
      <c r="H311" s="832"/>
      <c r="I311" s="839" t="s">
        <v>159</v>
      </c>
      <c r="J311" s="833"/>
      <c r="K311" s="832"/>
      <c r="L311" s="832"/>
      <c r="M311" s="833"/>
      <c r="N311" s="832"/>
      <c r="O311" s="832"/>
      <c r="P311" s="834">
        <v>45680</v>
      </c>
      <c r="Q311" s="833">
        <f t="shared" si="4"/>
        <v>0</v>
      </c>
      <c r="R311" s="836"/>
      <c r="S311" s="832"/>
    </row>
    <row r="312" spans="1:19" ht="100.8" x14ac:dyDescent="0.3">
      <c r="A312" s="832">
        <v>311</v>
      </c>
      <c r="B312" s="833" t="s">
        <v>80</v>
      </c>
      <c r="C312" s="834">
        <v>45680</v>
      </c>
      <c r="D312" s="843" t="s">
        <v>452</v>
      </c>
      <c r="E312" s="836" t="s">
        <v>9</v>
      </c>
      <c r="F312" s="836" t="s">
        <v>10</v>
      </c>
      <c r="G312" s="838">
        <v>45680</v>
      </c>
      <c r="H312" s="832"/>
      <c r="I312" s="839" t="s">
        <v>453</v>
      </c>
      <c r="J312" s="833"/>
      <c r="K312" s="832"/>
      <c r="L312" s="832"/>
      <c r="M312" s="833"/>
      <c r="N312" s="832"/>
      <c r="O312" s="832"/>
      <c r="P312" s="834">
        <v>45680</v>
      </c>
      <c r="Q312" s="833">
        <f t="shared" si="4"/>
        <v>0</v>
      </c>
      <c r="R312" s="836"/>
      <c r="S312" s="832"/>
    </row>
    <row r="313" spans="1:19" ht="100.8" x14ac:dyDescent="0.3">
      <c r="A313" s="832">
        <v>312</v>
      </c>
      <c r="B313" s="833" t="s">
        <v>80</v>
      </c>
      <c r="C313" s="834">
        <v>45680</v>
      </c>
      <c r="D313" s="843" t="s">
        <v>454</v>
      </c>
      <c r="E313" s="836" t="s">
        <v>1</v>
      </c>
      <c r="F313" s="837" t="s">
        <v>10</v>
      </c>
      <c r="G313" s="838">
        <v>45680</v>
      </c>
      <c r="H313" s="832"/>
      <c r="I313" s="839" t="s">
        <v>174</v>
      </c>
      <c r="J313" s="833"/>
      <c r="K313" s="832"/>
      <c r="L313" s="832"/>
      <c r="M313" s="833"/>
      <c r="N313" s="832"/>
      <c r="O313" s="832"/>
      <c r="P313" s="834">
        <v>45680</v>
      </c>
      <c r="Q313" s="833">
        <f t="shared" si="4"/>
        <v>0</v>
      </c>
      <c r="R313" s="836"/>
      <c r="S313" s="832"/>
    </row>
    <row r="314" spans="1:19" ht="57.6" x14ac:dyDescent="0.3">
      <c r="A314" s="832">
        <v>313</v>
      </c>
      <c r="B314" s="833" t="s">
        <v>80</v>
      </c>
      <c r="C314" s="834">
        <v>45680</v>
      </c>
      <c r="D314" s="843" t="s">
        <v>455</v>
      </c>
      <c r="E314" s="836" t="s">
        <v>17</v>
      </c>
      <c r="F314" s="837" t="s">
        <v>10</v>
      </c>
      <c r="G314" s="838">
        <v>45680</v>
      </c>
      <c r="H314" s="832"/>
      <c r="I314" s="849" t="s">
        <v>82</v>
      </c>
      <c r="J314" s="833"/>
      <c r="K314" s="832"/>
      <c r="L314" s="832"/>
      <c r="M314" s="833"/>
      <c r="N314" s="832"/>
      <c r="O314" s="832"/>
      <c r="P314" s="834">
        <v>45680</v>
      </c>
      <c r="Q314" s="833">
        <f t="shared" si="4"/>
        <v>0</v>
      </c>
      <c r="R314" s="836"/>
      <c r="S314" s="832"/>
    </row>
    <row r="315" spans="1:19" ht="28.8" x14ac:dyDescent="0.3">
      <c r="A315" s="832">
        <v>314</v>
      </c>
      <c r="B315" s="841">
        <v>1550</v>
      </c>
      <c r="C315" s="842">
        <v>45666</v>
      </c>
      <c r="D315" s="843" t="s">
        <v>456</v>
      </c>
      <c r="E315" s="837" t="s">
        <v>17</v>
      </c>
      <c r="F315" s="837" t="s">
        <v>8</v>
      </c>
      <c r="G315" s="844">
        <v>45667</v>
      </c>
      <c r="H315" s="845"/>
      <c r="I315" s="849" t="s">
        <v>82</v>
      </c>
      <c r="J315" s="845"/>
      <c r="K315" s="845"/>
      <c r="L315" s="845"/>
      <c r="M315" s="845"/>
      <c r="N315" s="845"/>
      <c r="O315" s="845"/>
      <c r="P315" s="842">
        <v>45679</v>
      </c>
      <c r="Q315" s="833">
        <f t="shared" si="4"/>
        <v>12</v>
      </c>
      <c r="R315" s="836"/>
      <c r="S315" s="843"/>
    </row>
    <row r="316" spans="1:19" ht="28.8" x14ac:dyDescent="0.3">
      <c r="A316" s="832">
        <v>315</v>
      </c>
      <c r="B316" s="833">
        <v>1550</v>
      </c>
      <c r="C316" s="834">
        <v>45671</v>
      </c>
      <c r="D316" s="835" t="s">
        <v>457</v>
      </c>
      <c r="E316" s="836" t="s">
        <v>1</v>
      </c>
      <c r="F316" s="836" t="s">
        <v>8</v>
      </c>
      <c r="G316" s="838">
        <v>45671</v>
      </c>
      <c r="H316" s="832"/>
      <c r="I316" s="839" t="s">
        <v>125</v>
      </c>
      <c r="J316" s="833"/>
      <c r="K316" s="832"/>
      <c r="L316" s="832"/>
      <c r="M316" s="833"/>
      <c r="N316" s="832"/>
      <c r="O316" s="832"/>
      <c r="P316" s="834">
        <v>45679</v>
      </c>
      <c r="Q316" s="833">
        <f t="shared" si="4"/>
        <v>8</v>
      </c>
      <c r="R316" s="836" t="s">
        <v>160</v>
      </c>
      <c r="S316" s="832"/>
    </row>
    <row r="317" spans="1:19" ht="28.8" x14ac:dyDescent="0.3">
      <c r="A317" s="832">
        <v>316</v>
      </c>
      <c r="B317" s="833">
        <v>1550</v>
      </c>
      <c r="C317" s="834">
        <v>45672</v>
      </c>
      <c r="D317" s="851" t="s">
        <v>458</v>
      </c>
      <c r="E317" s="836" t="s">
        <v>3</v>
      </c>
      <c r="F317" s="836" t="s">
        <v>8</v>
      </c>
      <c r="G317" s="838">
        <v>45672</v>
      </c>
      <c r="H317" s="832"/>
      <c r="I317" s="849" t="s">
        <v>82</v>
      </c>
      <c r="J317" s="833"/>
      <c r="K317" s="832"/>
      <c r="L317" s="832"/>
      <c r="M317" s="833"/>
      <c r="N317" s="832"/>
      <c r="O317" s="832"/>
      <c r="P317" s="834">
        <v>45679</v>
      </c>
      <c r="Q317" s="833">
        <f t="shared" si="4"/>
        <v>7</v>
      </c>
      <c r="R317" s="836" t="s">
        <v>94</v>
      </c>
      <c r="S317" s="832"/>
    </row>
    <row r="318" spans="1:19" ht="100.8" x14ac:dyDescent="0.3">
      <c r="A318" s="832">
        <v>317</v>
      </c>
      <c r="B318" s="833" t="s">
        <v>80</v>
      </c>
      <c r="C318" s="834">
        <v>45673</v>
      </c>
      <c r="D318" s="835" t="s">
        <v>459</v>
      </c>
      <c r="E318" s="836" t="s">
        <v>1</v>
      </c>
      <c r="F318" s="836" t="s">
        <v>10</v>
      </c>
      <c r="G318" s="844">
        <v>45673</v>
      </c>
      <c r="H318" s="832"/>
      <c r="I318" s="839" t="s">
        <v>125</v>
      </c>
      <c r="J318" s="833"/>
      <c r="K318" s="832"/>
      <c r="L318" s="832"/>
      <c r="M318" s="833"/>
      <c r="N318" s="832"/>
      <c r="O318" s="832"/>
      <c r="P318" s="834">
        <v>45679</v>
      </c>
      <c r="Q318" s="833">
        <f t="shared" si="4"/>
        <v>6</v>
      </c>
      <c r="R318" s="833"/>
      <c r="S318" s="832"/>
    </row>
    <row r="319" spans="1:19" ht="115.2" x14ac:dyDescent="0.3">
      <c r="A319" s="832">
        <v>318</v>
      </c>
      <c r="B319" s="833" t="s">
        <v>80</v>
      </c>
      <c r="C319" s="834">
        <v>45673</v>
      </c>
      <c r="D319" s="835" t="s">
        <v>460</v>
      </c>
      <c r="E319" s="836" t="s">
        <v>1</v>
      </c>
      <c r="F319" s="836" t="s">
        <v>10</v>
      </c>
      <c r="G319" s="844">
        <v>45673</v>
      </c>
      <c r="H319" s="832"/>
      <c r="I319" s="839" t="s">
        <v>125</v>
      </c>
      <c r="J319" s="833"/>
      <c r="K319" s="832"/>
      <c r="L319" s="832"/>
      <c r="M319" s="833"/>
      <c r="N319" s="832"/>
      <c r="O319" s="832"/>
      <c r="P319" s="834">
        <v>45679</v>
      </c>
      <c r="Q319" s="833">
        <f t="shared" si="4"/>
        <v>6</v>
      </c>
      <c r="R319" s="833"/>
      <c r="S319" s="832"/>
    </row>
    <row r="320" spans="1:19" ht="43.2" x14ac:dyDescent="0.3">
      <c r="A320" s="832">
        <v>319</v>
      </c>
      <c r="B320" s="841">
        <v>1550</v>
      </c>
      <c r="C320" s="842">
        <v>45673</v>
      </c>
      <c r="D320" s="843" t="s">
        <v>461</v>
      </c>
      <c r="E320" s="837" t="s">
        <v>51</v>
      </c>
      <c r="F320" s="837" t="s">
        <v>8</v>
      </c>
      <c r="G320" s="838">
        <v>45673</v>
      </c>
      <c r="H320" s="845"/>
      <c r="I320" s="845" t="s">
        <v>99</v>
      </c>
      <c r="J320" s="845"/>
      <c r="K320" s="845"/>
      <c r="L320" s="845"/>
      <c r="M320" s="845"/>
      <c r="N320" s="845"/>
      <c r="O320" s="845"/>
      <c r="P320" s="842">
        <v>45679</v>
      </c>
      <c r="Q320" s="833">
        <f t="shared" si="4"/>
        <v>6</v>
      </c>
      <c r="R320" s="833"/>
      <c r="S320" s="845"/>
    </row>
    <row r="321" spans="1:19" ht="43.2" x14ac:dyDescent="0.3">
      <c r="A321" s="832">
        <v>320</v>
      </c>
      <c r="B321" s="841">
        <v>1550</v>
      </c>
      <c r="C321" s="842">
        <v>45673</v>
      </c>
      <c r="D321" s="843" t="s">
        <v>462</v>
      </c>
      <c r="E321" s="837" t="s">
        <v>51</v>
      </c>
      <c r="F321" s="837" t="s">
        <v>8</v>
      </c>
      <c r="G321" s="838">
        <v>45673</v>
      </c>
      <c r="H321" s="845"/>
      <c r="I321" s="845" t="s">
        <v>99</v>
      </c>
      <c r="J321" s="845"/>
      <c r="K321" s="845"/>
      <c r="L321" s="845"/>
      <c r="M321" s="845"/>
      <c r="N321" s="845"/>
      <c r="O321" s="845"/>
      <c r="P321" s="842">
        <v>45679</v>
      </c>
      <c r="Q321" s="833">
        <f t="shared" si="4"/>
        <v>6</v>
      </c>
      <c r="R321" s="833"/>
      <c r="S321" s="845"/>
    </row>
    <row r="322" spans="1:19" ht="43.2" x14ac:dyDescent="0.3">
      <c r="A322" s="832">
        <v>321</v>
      </c>
      <c r="B322" s="833" t="s">
        <v>80</v>
      </c>
      <c r="C322" s="834">
        <v>45673</v>
      </c>
      <c r="D322" s="835" t="s">
        <v>463</v>
      </c>
      <c r="E322" s="837" t="s">
        <v>51</v>
      </c>
      <c r="F322" s="837" t="s">
        <v>10</v>
      </c>
      <c r="G322" s="838">
        <v>45673</v>
      </c>
      <c r="H322" s="845"/>
      <c r="I322" s="845" t="s">
        <v>99</v>
      </c>
      <c r="J322" s="833"/>
      <c r="K322" s="832"/>
      <c r="L322" s="832"/>
      <c r="M322" s="833"/>
      <c r="N322" s="832"/>
      <c r="O322" s="832"/>
      <c r="P322" s="834">
        <v>45679</v>
      </c>
      <c r="Q322" s="833">
        <f t="shared" ref="Q322:Q385" si="5">P322-G322</f>
        <v>6</v>
      </c>
      <c r="R322" s="833"/>
      <c r="S322" s="832"/>
    </row>
    <row r="323" spans="1:19" ht="43.2" x14ac:dyDescent="0.3">
      <c r="A323" s="832">
        <v>322</v>
      </c>
      <c r="B323" s="833" t="s">
        <v>80</v>
      </c>
      <c r="C323" s="834">
        <v>45673</v>
      </c>
      <c r="D323" s="835" t="s">
        <v>464</v>
      </c>
      <c r="E323" s="837" t="s">
        <v>51</v>
      </c>
      <c r="F323" s="837" t="s">
        <v>10</v>
      </c>
      <c r="G323" s="838">
        <v>45673</v>
      </c>
      <c r="H323" s="845"/>
      <c r="I323" s="845" t="s">
        <v>99</v>
      </c>
      <c r="J323" s="833"/>
      <c r="K323" s="832"/>
      <c r="L323" s="832"/>
      <c r="M323" s="833"/>
      <c r="N323" s="832"/>
      <c r="O323" s="832"/>
      <c r="P323" s="834">
        <v>45679</v>
      </c>
      <c r="Q323" s="833">
        <f t="shared" si="5"/>
        <v>6</v>
      </c>
      <c r="R323" s="833"/>
      <c r="S323" s="832"/>
    </row>
    <row r="324" spans="1:19" ht="100.8" x14ac:dyDescent="0.3">
      <c r="A324" s="832">
        <v>323</v>
      </c>
      <c r="B324" s="841" t="s">
        <v>80</v>
      </c>
      <c r="C324" s="842">
        <v>45674</v>
      </c>
      <c r="D324" s="835" t="s">
        <v>465</v>
      </c>
      <c r="E324" s="836" t="s">
        <v>1</v>
      </c>
      <c r="F324" s="837" t="s">
        <v>10</v>
      </c>
      <c r="G324" s="844">
        <v>45674</v>
      </c>
      <c r="H324" s="832"/>
      <c r="I324" s="839" t="s">
        <v>125</v>
      </c>
      <c r="J324" s="833"/>
      <c r="K324" s="832"/>
      <c r="L324" s="832"/>
      <c r="M324" s="833"/>
      <c r="N324" s="832"/>
      <c r="O324" s="832"/>
      <c r="P324" s="834">
        <v>45679</v>
      </c>
      <c r="Q324" s="833">
        <f t="shared" si="5"/>
        <v>5</v>
      </c>
      <c r="R324" s="836"/>
      <c r="S324" s="832"/>
    </row>
    <row r="325" spans="1:19" ht="43.2" x14ac:dyDescent="0.3">
      <c r="A325" s="832">
        <v>324</v>
      </c>
      <c r="B325" s="841">
        <v>1550</v>
      </c>
      <c r="C325" s="842">
        <v>45674</v>
      </c>
      <c r="D325" s="843" t="s">
        <v>466</v>
      </c>
      <c r="E325" s="837" t="s">
        <v>51</v>
      </c>
      <c r="F325" s="837" t="s">
        <v>8</v>
      </c>
      <c r="G325" s="844">
        <v>45674</v>
      </c>
      <c r="H325" s="845"/>
      <c r="I325" s="845" t="s">
        <v>99</v>
      </c>
      <c r="J325" s="845"/>
      <c r="K325" s="845"/>
      <c r="L325" s="845"/>
      <c r="M325" s="845"/>
      <c r="N325" s="845"/>
      <c r="O325" s="845"/>
      <c r="P325" s="842">
        <v>45679</v>
      </c>
      <c r="Q325" s="833">
        <f t="shared" si="5"/>
        <v>5</v>
      </c>
      <c r="R325" s="836" t="s">
        <v>205</v>
      </c>
      <c r="S325" s="845"/>
    </row>
    <row r="326" spans="1:19" ht="28.8" x14ac:dyDescent="0.3">
      <c r="A326" s="832">
        <v>325</v>
      </c>
      <c r="B326" s="841">
        <v>1550</v>
      </c>
      <c r="C326" s="842">
        <v>45674</v>
      </c>
      <c r="D326" s="843" t="s">
        <v>467</v>
      </c>
      <c r="E326" s="837" t="s">
        <v>1</v>
      </c>
      <c r="F326" s="837" t="s">
        <v>8</v>
      </c>
      <c r="G326" s="844">
        <v>45674</v>
      </c>
      <c r="H326" s="845"/>
      <c r="I326" s="839" t="s">
        <v>125</v>
      </c>
      <c r="J326" s="845"/>
      <c r="K326" s="845"/>
      <c r="L326" s="845"/>
      <c r="M326" s="845"/>
      <c r="N326" s="845"/>
      <c r="O326" s="845"/>
      <c r="P326" s="842">
        <v>45679</v>
      </c>
      <c r="Q326" s="833">
        <f t="shared" si="5"/>
        <v>5</v>
      </c>
      <c r="R326" s="836" t="s">
        <v>205</v>
      </c>
      <c r="S326" s="845"/>
    </row>
    <row r="327" spans="1:19" ht="43.2" x14ac:dyDescent="0.3">
      <c r="A327" s="832">
        <v>326</v>
      </c>
      <c r="B327" s="841">
        <v>1550</v>
      </c>
      <c r="C327" s="842">
        <v>45674</v>
      </c>
      <c r="D327" s="843" t="s">
        <v>468</v>
      </c>
      <c r="E327" s="837" t="s">
        <v>51</v>
      </c>
      <c r="F327" s="837" t="s">
        <v>8</v>
      </c>
      <c r="G327" s="844">
        <v>45674</v>
      </c>
      <c r="H327" s="845"/>
      <c r="I327" s="845" t="s">
        <v>99</v>
      </c>
      <c r="J327" s="845"/>
      <c r="K327" s="845"/>
      <c r="L327" s="845"/>
      <c r="M327" s="845"/>
      <c r="N327" s="845"/>
      <c r="O327" s="845"/>
      <c r="P327" s="842">
        <v>45679</v>
      </c>
      <c r="Q327" s="833">
        <f t="shared" si="5"/>
        <v>5</v>
      </c>
      <c r="R327" s="836" t="s">
        <v>94</v>
      </c>
      <c r="S327" s="845"/>
    </row>
    <row r="328" spans="1:19" ht="43.2" x14ac:dyDescent="0.3">
      <c r="A328" s="832">
        <v>327</v>
      </c>
      <c r="B328" s="841" t="s">
        <v>80</v>
      </c>
      <c r="C328" s="842">
        <v>45674</v>
      </c>
      <c r="D328" s="835" t="s">
        <v>469</v>
      </c>
      <c r="E328" s="837" t="s">
        <v>51</v>
      </c>
      <c r="F328" s="837" t="s">
        <v>10</v>
      </c>
      <c r="G328" s="844">
        <v>45674</v>
      </c>
      <c r="H328" s="845"/>
      <c r="I328" s="845" t="s">
        <v>99</v>
      </c>
      <c r="J328" s="833"/>
      <c r="K328" s="832"/>
      <c r="L328" s="832"/>
      <c r="M328" s="833"/>
      <c r="N328" s="832"/>
      <c r="O328" s="832"/>
      <c r="P328" s="834">
        <v>45679</v>
      </c>
      <c r="Q328" s="833">
        <f t="shared" si="5"/>
        <v>5</v>
      </c>
      <c r="R328" s="836"/>
      <c r="S328" s="840"/>
    </row>
    <row r="329" spans="1:19" ht="43.2" x14ac:dyDescent="0.3">
      <c r="A329" s="832">
        <v>328</v>
      </c>
      <c r="B329" s="841" t="s">
        <v>80</v>
      </c>
      <c r="C329" s="842">
        <v>45674</v>
      </c>
      <c r="D329" s="835" t="s">
        <v>470</v>
      </c>
      <c r="E329" s="837" t="s">
        <v>51</v>
      </c>
      <c r="F329" s="837" t="s">
        <v>10</v>
      </c>
      <c r="G329" s="844">
        <v>45674</v>
      </c>
      <c r="H329" s="845"/>
      <c r="I329" s="845" t="s">
        <v>99</v>
      </c>
      <c r="J329" s="833"/>
      <c r="K329" s="832"/>
      <c r="L329" s="832"/>
      <c r="M329" s="833"/>
      <c r="N329" s="832"/>
      <c r="O329" s="832"/>
      <c r="P329" s="834">
        <v>45679</v>
      </c>
      <c r="Q329" s="833">
        <f t="shared" si="5"/>
        <v>5</v>
      </c>
      <c r="R329" s="836"/>
      <c r="S329" s="832"/>
    </row>
    <row r="330" spans="1:19" ht="43.2" x14ac:dyDescent="0.3">
      <c r="A330" s="832">
        <v>329</v>
      </c>
      <c r="B330" s="841" t="s">
        <v>80</v>
      </c>
      <c r="C330" s="842">
        <v>45674</v>
      </c>
      <c r="D330" s="835" t="s">
        <v>471</v>
      </c>
      <c r="E330" s="837" t="s">
        <v>51</v>
      </c>
      <c r="F330" s="837" t="s">
        <v>10</v>
      </c>
      <c r="G330" s="844">
        <v>45674</v>
      </c>
      <c r="H330" s="845"/>
      <c r="I330" s="845" t="s">
        <v>99</v>
      </c>
      <c r="J330" s="833"/>
      <c r="K330" s="832"/>
      <c r="L330" s="832"/>
      <c r="M330" s="833"/>
      <c r="N330" s="832"/>
      <c r="O330" s="832"/>
      <c r="P330" s="834">
        <v>45679</v>
      </c>
      <c r="Q330" s="833">
        <f t="shared" si="5"/>
        <v>5</v>
      </c>
      <c r="R330" s="836"/>
      <c r="S330" s="832"/>
    </row>
    <row r="331" spans="1:19" ht="43.2" x14ac:dyDescent="0.3">
      <c r="A331" s="832">
        <v>330</v>
      </c>
      <c r="B331" s="833">
        <v>1550</v>
      </c>
      <c r="C331" s="834">
        <v>45677</v>
      </c>
      <c r="D331" s="835" t="s">
        <v>472</v>
      </c>
      <c r="E331" s="836" t="s">
        <v>51</v>
      </c>
      <c r="F331" s="836" t="s">
        <v>8</v>
      </c>
      <c r="G331" s="838">
        <v>45677</v>
      </c>
      <c r="H331" s="832"/>
      <c r="I331" s="845" t="s">
        <v>99</v>
      </c>
      <c r="J331" s="833"/>
      <c r="K331" s="832"/>
      <c r="L331" s="832"/>
      <c r="M331" s="833"/>
      <c r="N331" s="832"/>
      <c r="O331" s="832"/>
      <c r="P331" s="834">
        <v>45679</v>
      </c>
      <c r="Q331" s="833">
        <f t="shared" si="5"/>
        <v>2</v>
      </c>
      <c r="R331" s="836"/>
      <c r="S331" s="832"/>
    </row>
    <row r="332" spans="1:19" ht="43.2" x14ac:dyDescent="0.3">
      <c r="A332" s="832">
        <v>331</v>
      </c>
      <c r="B332" s="833">
        <v>1550</v>
      </c>
      <c r="C332" s="834">
        <v>45677</v>
      </c>
      <c r="D332" s="835" t="s">
        <v>473</v>
      </c>
      <c r="E332" s="836" t="s">
        <v>51</v>
      </c>
      <c r="F332" s="836" t="s">
        <v>6</v>
      </c>
      <c r="G332" s="838">
        <v>45677</v>
      </c>
      <c r="H332" s="832"/>
      <c r="I332" s="845" t="s">
        <v>99</v>
      </c>
      <c r="J332" s="833"/>
      <c r="K332" s="832"/>
      <c r="L332" s="832"/>
      <c r="M332" s="833"/>
      <c r="N332" s="832"/>
      <c r="O332" s="832"/>
      <c r="P332" s="834">
        <v>45679</v>
      </c>
      <c r="Q332" s="833">
        <f t="shared" si="5"/>
        <v>2</v>
      </c>
      <c r="R332" s="836"/>
      <c r="S332" s="832"/>
    </row>
    <row r="333" spans="1:19" ht="43.2" x14ac:dyDescent="0.3">
      <c r="A333" s="832">
        <v>332</v>
      </c>
      <c r="B333" s="833" t="s">
        <v>80</v>
      </c>
      <c r="C333" s="834">
        <v>45677</v>
      </c>
      <c r="D333" s="835" t="s">
        <v>474</v>
      </c>
      <c r="E333" s="837" t="s">
        <v>51</v>
      </c>
      <c r="F333" s="837" t="s">
        <v>10</v>
      </c>
      <c r="G333" s="844">
        <v>45677</v>
      </c>
      <c r="H333" s="845"/>
      <c r="I333" s="845" t="s">
        <v>99</v>
      </c>
      <c r="J333" s="833"/>
      <c r="K333" s="832"/>
      <c r="L333" s="832"/>
      <c r="M333" s="833"/>
      <c r="N333" s="832"/>
      <c r="O333" s="832"/>
      <c r="P333" s="834">
        <v>45679</v>
      </c>
      <c r="Q333" s="833">
        <f t="shared" si="5"/>
        <v>2</v>
      </c>
      <c r="R333" s="836"/>
      <c r="S333" s="832"/>
    </row>
    <row r="334" spans="1:19" ht="43.2" x14ac:dyDescent="0.3">
      <c r="A334" s="832">
        <v>333</v>
      </c>
      <c r="B334" s="833" t="s">
        <v>80</v>
      </c>
      <c r="C334" s="834">
        <v>45677</v>
      </c>
      <c r="D334" s="835" t="s">
        <v>475</v>
      </c>
      <c r="E334" s="837" t="s">
        <v>51</v>
      </c>
      <c r="F334" s="837" t="s">
        <v>10</v>
      </c>
      <c r="G334" s="844">
        <v>45677</v>
      </c>
      <c r="H334" s="845"/>
      <c r="I334" s="845" t="s">
        <v>99</v>
      </c>
      <c r="J334" s="833"/>
      <c r="K334" s="832"/>
      <c r="L334" s="832"/>
      <c r="M334" s="833"/>
      <c r="N334" s="832"/>
      <c r="O334" s="832"/>
      <c r="P334" s="834">
        <v>45679</v>
      </c>
      <c r="Q334" s="833">
        <f t="shared" si="5"/>
        <v>2</v>
      </c>
      <c r="R334" s="836"/>
      <c r="S334" s="832"/>
    </row>
    <row r="335" spans="1:19" ht="43.2" x14ac:dyDescent="0.3">
      <c r="A335" s="832">
        <v>334</v>
      </c>
      <c r="B335" s="833" t="s">
        <v>80</v>
      </c>
      <c r="C335" s="834">
        <v>45677</v>
      </c>
      <c r="D335" s="835" t="s">
        <v>476</v>
      </c>
      <c r="E335" s="837" t="s">
        <v>51</v>
      </c>
      <c r="F335" s="837" t="s">
        <v>10</v>
      </c>
      <c r="G335" s="844">
        <v>45677</v>
      </c>
      <c r="H335" s="845"/>
      <c r="I335" s="845" t="s">
        <v>99</v>
      </c>
      <c r="J335" s="833"/>
      <c r="K335" s="832"/>
      <c r="L335" s="832"/>
      <c r="M335" s="833"/>
      <c r="N335" s="832"/>
      <c r="O335" s="832"/>
      <c r="P335" s="834">
        <v>45679</v>
      </c>
      <c r="Q335" s="833">
        <f t="shared" si="5"/>
        <v>2</v>
      </c>
      <c r="R335" s="836"/>
      <c r="S335" s="832"/>
    </row>
    <row r="336" spans="1:19" ht="43.2" x14ac:dyDescent="0.3">
      <c r="A336" s="832">
        <v>335</v>
      </c>
      <c r="B336" s="833" t="s">
        <v>80</v>
      </c>
      <c r="C336" s="834">
        <v>45677</v>
      </c>
      <c r="D336" s="835" t="s">
        <v>477</v>
      </c>
      <c r="E336" s="837" t="s">
        <v>51</v>
      </c>
      <c r="F336" s="837" t="s">
        <v>10</v>
      </c>
      <c r="G336" s="844">
        <v>45677</v>
      </c>
      <c r="H336" s="845"/>
      <c r="I336" s="845" t="s">
        <v>99</v>
      </c>
      <c r="J336" s="845"/>
      <c r="K336" s="845"/>
      <c r="L336" s="845"/>
      <c r="M336" s="845"/>
      <c r="N336" s="845"/>
      <c r="O336" s="845"/>
      <c r="P336" s="834">
        <v>45679</v>
      </c>
      <c r="Q336" s="833">
        <f t="shared" si="5"/>
        <v>2</v>
      </c>
      <c r="R336" s="836"/>
      <c r="S336" s="845"/>
    </row>
    <row r="337" spans="1:19" ht="43.2" x14ac:dyDescent="0.3">
      <c r="A337" s="832">
        <v>336</v>
      </c>
      <c r="B337" s="833">
        <v>1550</v>
      </c>
      <c r="C337" s="834">
        <v>45678</v>
      </c>
      <c r="D337" s="835" t="s">
        <v>478</v>
      </c>
      <c r="E337" s="836" t="s">
        <v>51</v>
      </c>
      <c r="F337" s="836" t="s">
        <v>8</v>
      </c>
      <c r="G337" s="838">
        <v>45678</v>
      </c>
      <c r="H337" s="832"/>
      <c r="I337" s="845" t="s">
        <v>99</v>
      </c>
      <c r="J337" s="833"/>
      <c r="K337" s="832"/>
      <c r="L337" s="832"/>
      <c r="M337" s="833"/>
      <c r="N337" s="832"/>
      <c r="O337" s="832"/>
      <c r="P337" s="834">
        <v>45679</v>
      </c>
      <c r="Q337" s="833">
        <f t="shared" si="5"/>
        <v>1</v>
      </c>
      <c r="R337" s="836" t="s">
        <v>479</v>
      </c>
      <c r="S337" s="832"/>
    </row>
    <row r="338" spans="1:19" ht="43.2" x14ac:dyDescent="0.3">
      <c r="A338" s="832">
        <v>337</v>
      </c>
      <c r="B338" s="833">
        <v>1550</v>
      </c>
      <c r="C338" s="834">
        <v>45678</v>
      </c>
      <c r="D338" s="835" t="s">
        <v>480</v>
      </c>
      <c r="E338" s="836" t="s">
        <v>51</v>
      </c>
      <c r="F338" s="836" t="s">
        <v>8</v>
      </c>
      <c r="G338" s="838">
        <v>45678</v>
      </c>
      <c r="H338" s="832"/>
      <c r="I338" s="845" t="s">
        <v>99</v>
      </c>
      <c r="J338" s="833"/>
      <c r="K338" s="832"/>
      <c r="L338" s="832"/>
      <c r="M338" s="833"/>
      <c r="N338" s="832"/>
      <c r="O338" s="832"/>
      <c r="P338" s="834">
        <v>45679</v>
      </c>
      <c r="Q338" s="833">
        <f t="shared" si="5"/>
        <v>1</v>
      </c>
      <c r="R338" s="836" t="s">
        <v>479</v>
      </c>
      <c r="S338" s="832"/>
    </row>
    <row r="339" spans="1:19" ht="43.2" x14ac:dyDescent="0.3">
      <c r="A339" s="832">
        <v>338</v>
      </c>
      <c r="B339" s="833">
        <v>1550</v>
      </c>
      <c r="C339" s="834">
        <v>45678</v>
      </c>
      <c r="D339" s="835" t="s">
        <v>481</v>
      </c>
      <c r="E339" s="836" t="s">
        <v>51</v>
      </c>
      <c r="F339" s="836" t="s">
        <v>8</v>
      </c>
      <c r="G339" s="838">
        <v>45678</v>
      </c>
      <c r="H339" s="832"/>
      <c r="I339" s="845" t="s">
        <v>99</v>
      </c>
      <c r="J339" s="833"/>
      <c r="K339" s="832"/>
      <c r="L339" s="832"/>
      <c r="M339" s="833"/>
      <c r="N339" s="832"/>
      <c r="O339" s="832"/>
      <c r="P339" s="834">
        <v>45679</v>
      </c>
      <c r="Q339" s="833">
        <f t="shared" si="5"/>
        <v>1</v>
      </c>
      <c r="R339" s="836" t="s">
        <v>479</v>
      </c>
      <c r="S339" s="832"/>
    </row>
    <row r="340" spans="1:19" ht="43.2" x14ac:dyDescent="0.3">
      <c r="A340" s="832">
        <v>339</v>
      </c>
      <c r="B340" s="833">
        <v>1550</v>
      </c>
      <c r="C340" s="834">
        <v>45678</v>
      </c>
      <c r="D340" s="835" t="s">
        <v>482</v>
      </c>
      <c r="E340" s="836" t="s">
        <v>51</v>
      </c>
      <c r="F340" s="836" t="s">
        <v>8</v>
      </c>
      <c r="G340" s="838">
        <v>45678</v>
      </c>
      <c r="H340" s="832"/>
      <c r="I340" s="845" t="s">
        <v>99</v>
      </c>
      <c r="J340" s="833"/>
      <c r="K340" s="832"/>
      <c r="L340" s="832"/>
      <c r="M340" s="833"/>
      <c r="N340" s="832"/>
      <c r="O340" s="832"/>
      <c r="P340" s="834">
        <v>45679</v>
      </c>
      <c r="Q340" s="833">
        <f t="shared" si="5"/>
        <v>1</v>
      </c>
      <c r="R340" s="836" t="s">
        <v>479</v>
      </c>
      <c r="S340" s="832"/>
    </row>
    <row r="341" spans="1:19" ht="43.2" x14ac:dyDescent="0.3">
      <c r="A341" s="832">
        <v>340</v>
      </c>
      <c r="B341" s="833" t="s">
        <v>80</v>
      </c>
      <c r="C341" s="834">
        <v>45678</v>
      </c>
      <c r="D341" s="835" t="s">
        <v>483</v>
      </c>
      <c r="E341" s="837" t="s">
        <v>51</v>
      </c>
      <c r="F341" s="837" t="s">
        <v>10</v>
      </c>
      <c r="G341" s="844">
        <v>45678</v>
      </c>
      <c r="H341" s="845"/>
      <c r="I341" s="845" t="s">
        <v>99</v>
      </c>
      <c r="J341" s="833"/>
      <c r="K341" s="832"/>
      <c r="L341" s="832"/>
      <c r="M341" s="833"/>
      <c r="N341" s="832"/>
      <c r="O341" s="832"/>
      <c r="P341" s="842">
        <v>45679</v>
      </c>
      <c r="Q341" s="833">
        <f t="shared" si="5"/>
        <v>1</v>
      </c>
      <c r="R341" s="836"/>
      <c r="S341" s="832"/>
    </row>
    <row r="342" spans="1:19" ht="43.2" x14ac:dyDescent="0.3">
      <c r="A342" s="832">
        <v>341</v>
      </c>
      <c r="B342" s="833" t="s">
        <v>80</v>
      </c>
      <c r="C342" s="834">
        <v>45678</v>
      </c>
      <c r="D342" s="835" t="s">
        <v>484</v>
      </c>
      <c r="E342" s="837" t="s">
        <v>51</v>
      </c>
      <c r="F342" s="837" t="s">
        <v>10</v>
      </c>
      <c r="G342" s="844"/>
      <c r="H342" s="845"/>
      <c r="I342" s="845" t="s">
        <v>99</v>
      </c>
      <c r="J342" s="833"/>
      <c r="K342" s="832"/>
      <c r="L342" s="832"/>
      <c r="M342" s="833"/>
      <c r="N342" s="832"/>
      <c r="O342" s="832"/>
      <c r="P342" s="842">
        <v>45679</v>
      </c>
      <c r="Q342" s="833">
        <f t="shared" si="5"/>
        <v>45679</v>
      </c>
      <c r="R342" s="836"/>
      <c r="S342" s="832"/>
    </row>
    <row r="343" spans="1:19" ht="43.2" x14ac:dyDescent="0.3">
      <c r="A343" s="832">
        <v>342</v>
      </c>
      <c r="B343" s="833" t="s">
        <v>80</v>
      </c>
      <c r="C343" s="834">
        <v>45678</v>
      </c>
      <c r="D343" s="835" t="s">
        <v>485</v>
      </c>
      <c r="E343" s="837" t="s">
        <v>51</v>
      </c>
      <c r="F343" s="837" t="s">
        <v>10</v>
      </c>
      <c r="G343" s="844">
        <v>45678</v>
      </c>
      <c r="H343" s="845"/>
      <c r="I343" s="845" t="s">
        <v>99</v>
      </c>
      <c r="J343" s="833"/>
      <c r="K343" s="832"/>
      <c r="L343" s="832"/>
      <c r="M343" s="833"/>
      <c r="N343" s="832"/>
      <c r="O343" s="832"/>
      <c r="P343" s="842">
        <v>45679</v>
      </c>
      <c r="Q343" s="833">
        <f t="shared" si="5"/>
        <v>1</v>
      </c>
      <c r="R343" s="836"/>
      <c r="S343" s="832"/>
    </row>
    <row r="344" spans="1:19" ht="43.2" x14ac:dyDescent="0.3">
      <c r="A344" s="832">
        <v>343</v>
      </c>
      <c r="B344" s="833" t="s">
        <v>80</v>
      </c>
      <c r="C344" s="834">
        <v>45678</v>
      </c>
      <c r="D344" s="835" t="s">
        <v>486</v>
      </c>
      <c r="E344" s="837" t="s">
        <v>51</v>
      </c>
      <c r="F344" s="837" t="s">
        <v>10</v>
      </c>
      <c r="G344" s="844">
        <v>45678</v>
      </c>
      <c r="H344" s="845"/>
      <c r="I344" s="845" t="s">
        <v>99</v>
      </c>
      <c r="J344" s="833"/>
      <c r="K344" s="832"/>
      <c r="L344" s="832"/>
      <c r="M344" s="833"/>
      <c r="N344" s="832"/>
      <c r="O344" s="832"/>
      <c r="P344" s="842">
        <v>45679</v>
      </c>
      <c r="Q344" s="833">
        <f t="shared" si="5"/>
        <v>1</v>
      </c>
      <c r="R344" s="836"/>
      <c r="S344" s="832"/>
    </row>
    <row r="345" spans="1:19" ht="43.2" x14ac:dyDescent="0.3">
      <c r="A345" s="832">
        <v>344</v>
      </c>
      <c r="B345" s="833" t="s">
        <v>80</v>
      </c>
      <c r="C345" s="834">
        <v>45678</v>
      </c>
      <c r="D345" s="835" t="s">
        <v>487</v>
      </c>
      <c r="E345" s="837" t="s">
        <v>51</v>
      </c>
      <c r="F345" s="837" t="s">
        <v>10</v>
      </c>
      <c r="G345" s="844">
        <v>45678</v>
      </c>
      <c r="H345" s="845"/>
      <c r="I345" s="845" t="s">
        <v>99</v>
      </c>
      <c r="J345" s="833"/>
      <c r="K345" s="832"/>
      <c r="L345" s="832"/>
      <c r="M345" s="833"/>
      <c r="N345" s="832"/>
      <c r="O345" s="832"/>
      <c r="P345" s="842">
        <v>45679</v>
      </c>
      <c r="Q345" s="833">
        <f t="shared" si="5"/>
        <v>1</v>
      </c>
      <c r="R345" s="836"/>
      <c r="S345" s="832"/>
    </row>
    <row r="346" spans="1:19" ht="43.2" x14ac:dyDescent="0.3">
      <c r="A346" s="832">
        <v>345</v>
      </c>
      <c r="B346" s="833" t="s">
        <v>80</v>
      </c>
      <c r="C346" s="834">
        <v>45678</v>
      </c>
      <c r="D346" s="835" t="s">
        <v>488</v>
      </c>
      <c r="E346" s="837" t="s">
        <v>51</v>
      </c>
      <c r="F346" s="837" t="s">
        <v>10</v>
      </c>
      <c r="G346" s="844">
        <v>45678</v>
      </c>
      <c r="H346" s="845"/>
      <c r="I346" s="845" t="s">
        <v>99</v>
      </c>
      <c r="J346" s="833"/>
      <c r="K346" s="832"/>
      <c r="L346" s="832"/>
      <c r="M346" s="833"/>
      <c r="N346" s="832"/>
      <c r="O346" s="832"/>
      <c r="P346" s="842">
        <v>45679</v>
      </c>
      <c r="Q346" s="833">
        <f t="shared" si="5"/>
        <v>1</v>
      </c>
      <c r="R346" s="836"/>
      <c r="S346" s="832"/>
    </row>
    <row r="347" spans="1:19" ht="62.25" customHeight="1" x14ac:dyDescent="0.3">
      <c r="A347" s="832">
        <v>346</v>
      </c>
      <c r="B347" s="833">
        <v>1550</v>
      </c>
      <c r="C347" s="834">
        <v>45679</v>
      </c>
      <c r="D347" s="835" t="s">
        <v>489</v>
      </c>
      <c r="E347" s="836" t="s">
        <v>1</v>
      </c>
      <c r="F347" s="836" t="s">
        <v>4</v>
      </c>
      <c r="G347" s="838">
        <v>45679</v>
      </c>
      <c r="H347" s="832"/>
      <c r="I347" s="839" t="s">
        <v>125</v>
      </c>
      <c r="J347" s="833"/>
      <c r="K347" s="832"/>
      <c r="L347" s="832"/>
      <c r="M347" s="833"/>
      <c r="N347" s="832"/>
      <c r="O347" s="832"/>
      <c r="P347" s="834">
        <v>45679</v>
      </c>
      <c r="Q347" s="833">
        <f t="shared" si="5"/>
        <v>0</v>
      </c>
      <c r="R347" s="836"/>
      <c r="S347" s="832"/>
    </row>
    <row r="348" spans="1:19" ht="28.8" x14ac:dyDescent="0.3">
      <c r="A348" s="832">
        <v>347</v>
      </c>
      <c r="B348" s="833">
        <v>1550</v>
      </c>
      <c r="C348" s="834">
        <v>45679</v>
      </c>
      <c r="D348" s="835" t="s">
        <v>490</v>
      </c>
      <c r="E348" s="836" t="s">
        <v>33</v>
      </c>
      <c r="F348" s="836" t="s">
        <v>4</v>
      </c>
      <c r="G348" s="838">
        <v>45679</v>
      </c>
      <c r="H348" s="832"/>
      <c r="I348" s="845" t="s">
        <v>99</v>
      </c>
      <c r="J348" s="833"/>
      <c r="K348" s="832"/>
      <c r="L348" s="832"/>
      <c r="M348" s="833"/>
      <c r="N348" s="832"/>
      <c r="O348" s="832"/>
      <c r="P348" s="834">
        <v>45679</v>
      </c>
      <c r="Q348" s="833">
        <f t="shared" si="5"/>
        <v>0</v>
      </c>
      <c r="R348" s="836"/>
      <c r="S348" s="832"/>
    </row>
    <row r="349" spans="1:19" ht="115.2" x14ac:dyDescent="0.3">
      <c r="A349" s="832">
        <v>348</v>
      </c>
      <c r="B349" s="841" t="s">
        <v>80</v>
      </c>
      <c r="C349" s="842">
        <v>45679</v>
      </c>
      <c r="D349" s="835" t="s">
        <v>491</v>
      </c>
      <c r="E349" s="837" t="s">
        <v>3</v>
      </c>
      <c r="F349" s="837" t="s">
        <v>10</v>
      </c>
      <c r="G349" s="844">
        <v>45679</v>
      </c>
      <c r="H349" s="845"/>
      <c r="I349" s="845" t="s">
        <v>174</v>
      </c>
      <c r="J349" s="845"/>
      <c r="K349" s="845"/>
      <c r="L349" s="845"/>
      <c r="M349" s="845"/>
      <c r="N349" s="845"/>
      <c r="O349" s="845"/>
      <c r="P349" s="842">
        <v>45679</v>
      </c>
      <c r="Q349" s="833">
        <f t="shared" si="5"/>
        <v>0</v>
      </c>
      <c r="R349" s="836"/>
      <c r="S349" s="845"/>
    </row>
    <row r="350" spans="1:19" ht="115.2" x14ac:dyDescent="0.3">
      <c r="A350" s="832">
        <v>349</v>
      </c>
      <c r="B350" s="841" t="s">
        <v>80</v>
      </c>
      <c r="C350" s="842">
        <v>45679</v>
      </c>
      <c r="D350" s="835" t="s">
        <v>492</v>
      </c>
      <c r="E350" s="837" t="s">
        <v>1</v>
      </c>
      <c r="F350" s="837" t="s">
        <v>10</v>
      </c>
      <c r="G350" s="844">
        <v>45679</v>
      </c>
      <c r="H350" s="845"/>
      <c r="I350" s="845" t="s">
        <v>174</v>
      </c>
      <c r="J350" s="845"/>
      <c r="K350" s="845"/>
      <c r="L350" s="845"/>
      <c r="M350" s="845"/>
      <c r="N350" s="845"/>
      <c r="O350" s="845"/>
      <c r="P350" s="842">
        <v>45679</v>
      </c>
      <c r="Q350" s="833">
        <f t="shared" si="5"/>
        <v>0</v>
      </c>
      <c r="R350" s="836"/>
      <c r="S350" s="845"/>
    </row>
    <row r="351" spans="1:19" ht="43.2" x14ac:dyDescent="0.3">
      <c r="A351" s="832">
        <v>350</v>
      </c>
      <c r="B351" s="841" t="s">
        <v>80</v>
      </c>
      <c r="C351" s="842">
        <v>45679</v>
      </c>
      <c r="D351" s="835" t="s">
        <v>493</v>
      </c>
      <c r="E351" s="837" t="s">
        <v>49</v>
      </c>
      <c r="F351" s="837" t="s">
        <v>10</v>
      </c>
      <c r="G351" s="844">
        <v>45679</v>
      </c>
      <c r="H351" s="845"/>
      <c r="I351" s="845" t="s">
        <v>266</v>
      </c>
      <c r="J351" s="845"/>
      <c r="K351" s="845"/>
      <c r="L351" s="845"/>
      <c r="M351" s="845"/>
      <c r="N351" s="845"/>
      <c r="O351" s="845"/>
      <c r="P351" s="842">
        <v>45679</v>
      </c>
      <c r="Q351" s="833">
        <f t="shared" si="5"/>
        <v>0</v>
      </c>
      <c r="R351" s="836"/>
      <c r="S351" s="845"/>
    </row>
    <row r="352" spans="1:19" ht="43.2" x14ac:dyDescent="0.3">
      <c r="A352" s="832">
        <v>351</v>
      </c>
      <c r="B352" s="833" t="s">
        <v>80</v>
      </c>
      <c r="C352" s="834">
        <v>45667</v>
      </c>
      <c r="D352" s="835" t="s">
        <v>494</v>
      </c>
      <c r="E352" s="836" t="s">
        <v>48</v>
      </c>
      <c r="F352" s="836" t="s">
        <v>10</v>
      </c>
      <c r="G352" s="838">
        <v>45667</v>
      </c>
      <c r="H352" s="832"/>
      <c r="I352" s="839" t="s">
        <v>99</v>
      </c>
      <c r="J352" s="833"/>
      <c r="K352" s="832"/>
      <c r="L352" s="832"/>
      <c r="M352" s="833"/>
      <c r="N352" s="832"/>
      <c r="O352" s="832"/>
      <c r="P352" s="834">
        <v>45678</v>
      </c>
      <c r="Q352" s="833">
        <f t="shared" si="5"/>
        <v>11</v>
      </c>
      <c r="R352" s="836"/>
      <c r="S352" s="832" t="s">
        <v>427</v>
      </c>
    </row>
    <row r="353" spans="1:19" ht="43.2" x14ac:dyDescent="0.3">
      <c r="A353" s="832">
        <v>352</v>
      </c>
      <c r="B353" s="833" t="s">
        <v>80</v>
      </c>
      <c r="C353" s="834">
        <v>45671</v>
      </c>
      <c r="D353" s="835" t="s">
        <v>495</v>
      </c>
      <c r="E353" s="836" t="s">
        <v>11</v>
      </c>
      <c r="F353" s="836" t="s">
        <v>10</v>
      </c>
      <c r="G353" s="838">
        <v>45671</v>
      </c>
      <c r="H353" s="832"/>
      <c r="I353" s="839" t="s">
        <v>106</v>
      </c>
      <c r="J353" s="833"/>
      <c r="K353" s="832"/>
      <c r="L353" s="832"/>
      <c r="M353" s="833"/>
      <c r="N353" s="832"/>
      <c r="O353" s="832"/>
      <c r="P353" s="834">
        <v>45678</v>
      </c>
      <c r="Q353" s="833">
        <f t="shared" si="5"/>
        <v>7</v>
      </c>
      <c r="R353" s="836"/>
      <c r="S353" s="832"/>
    </row>
    <row r="354" spans="1:19" ht="43.2" x14ac:dyDescent="0.3">
      <c r="A354" s="832">
        <v>353</v>
      </c>
      <c r="B354" s="833" t="s">
        <v>80</v>
      </c>
      <c r="C354" s="834">
        <v>45671</v>
      </c>
      <c r="D354" s="835" t="s">
        <v>496</v>
      </c>
      <c r="E354" s="837" t="s">
        <v>51</v>
      </c>
      <c r="F354" s="837" t="s">
        <v>10</v>
      </c>
      <c r="G354" s="838">
        <v>45671</v>
      </c>
      <c r="H354" s="845"/>
      <c r="I354" s="845" t="s">
        <v>99</v>
      </c>
      <c r="J354" s="833"/>
      <c r="K354" s="832"/>
      <c r="L354" s="832"/>
      <c r="M354" s="833"/>
      <c r="N354" s="832"/>
      <c r="O354" s="832"/>
      <c r="P354" s="834">
        <v>45678</v>
      </c>
      <c r="Q354" s="833">
        <f t="shared" si="5"/>
        <v>7</v>
      </c>
      <c r="R354" s="836"/>
      <c r="S354" s="832"/>
    </row>
    <row r="355" spans="1:19" ht="129.6" x14ac:dyDescent="0.3">
      <c r="A355" s="832">
        <v>354</v>
      </c>
      <c r="B355" s="833" t="s">
        <v>80</v>
      </c>
      <c r="C355" s="834">
        <v>45672</v>
      </c>
      <c r="D355" s="835" t="s">
        <v>497</v>
      </c>
      <c r="E355" s="836" t="s">
        <v>1</v>
      </c>
      <c r="F355" s="837" t="s">
        <v>10</v>
      </c>
      <c r="G355" s="838">
        <v>45672</v>
      </c>
      <c r="H355" s="845"/>
      <c r="I355" s="845" t="s">
        <v>125</v>
      </c>
      <c r="J355" s="845"/>
      <c r="K355" s="845"/>
      <c r="L355" s="845"/>
      <c r="M355" s="845"/>
      <c r="N355" s="845"/>
      <c r="O355" s="845"/>
      <c r="P355" s="834">
        <v>45678</v>
      </c>
      <c r="Q355" s="833">
        <f t="shared" si="5"/>
        <v>6</v>
      </c>
      <c r="R355" s="833"/>
      <c r="S355" s="845"/>
    </row>
    <row r="356" spans="1:19" ht="43.2" x14ac:dyDescent="0.3">
      <c r="A356" s="832">
        <v>355</v>
      </c>
      <c r="B356" s="841">
        <v>1550</v>
      </c>
      <c r="C356" s="842">
        <v>45672</v>
      </c>
      <c r="D356" s="843" t="s">
        <v>498</v>
      </c>
      <c r="E356" s="837" t="s">
        <v>12</v>
      </c>
      <c r="F356" s="837" t="s">
        <v>6</v>
      </c>
      <c r="G356" s="844">
        <v>45672</v>
      </c>
      <c r="H356" s="845"/>
      <c r="I356" s="845" t="s">
        <v>159</v>
      </c>
      <c r="J356" s="845"/>
      <c r="K356" s="845"/>
      <c r="L356" s="845"/>
      <c r="M356" s="845"/>
      <c r="N356" s="845"/>
      <c r="O356" s="845"/>
      <c r="P356" s="842">
        <v>45678</v>
      </c>
      <c r="Q356" s="833">
        <f t="shared" si="5"/>
        <v>6</v>
      </c>
      <c r="R356" s="836"/>
      <c r="S356" s="843"/>
    </row>
    <row r="357" spans="1:19" ht="72" x14ac:dyDescent="0.3">
      <c r="A357" s="832">
        <v>356</v>
      </c>
      <c r="B357" s="833">
        <v>1550</v>
      </c>
      <c r="C357" s="834">
        <v>45672</v>
      </c>
      <c r="D357" s="835" t="s">
        <v>499</v>
      </c>
      <c r="E357" s="836" t="s">
        <v>1</v>
      </c>
      <c r="F357" s="836" t="s">
        <v>6</v>
      </c>
      <c r="G357" s="838">
        <v>45672</v>
      </c>
      <c r="H357" s="832"/>
      <c r="I357" s="839" t="s">
        <v>125</v>
      </c>
      <c r="J357" s="833"/>
      <c r="K357" s="832"/>
      <c r="L357" s="832"/>
      <c r="M357" s="833"/>
      <c r="N357" s="832"/>
      <c r="O357" s="832"/>
      <c r="P357" s="834">
        <v>45678</v>
      </c>
      <c r="Q357" s="833">
        <f t="shared" si="5"/>
        <v>6</v>
      </c>
      <c r="R357" s="833"/>
      <c r="S357" s="832"/>
    </row>
    <row r="358" spans="1:19" ht="43.2" x14ac:dyDescent="0.3">
      <c r="A358" s="832">
        <v>357</v>
      </c>
      <c r="B358" s="833">
        <v>1550</v>
      </c>
      <c r="C358" s="834">
        <v>45672</v>
      </c>
      <c r="D358" s="835" t="s">
        <v>500</v>
      </c>
      <c r="E358" s="836" t="s">
        <v>51</v>
      </c>
      <c r="F358" s="836" t="s">
        <v>6</v>
      </c>
      <c r="G358" s="838">
        <v>45672</v>
      </c>
      <c r="H358" s="832"/>
      <c r="I358" s="845" t="s">
        <v>99</v>
      </c>
      <c r="J358" s="833"/>
      <c r="K358" s="832"/>
      <c r="L358" s="832"/>
      <c r="M358" s="833"/>
      <c r="N358" s="832"/>
      <c r="O358" s="832"/>
      <c r="P358" s="834">
        <v>45678</v>
      </c>
      <c r="Q358" s="833">
        <f t="shared" si="5"/>
        <v>6</v>
      </c>
      <c r="R358" s="833"/>
      <c r="S358" s="832"/>
    </row>
    <row r="359" spans="1:19" ht="43.2" x14ac:dyDescent="0.3">
      <c r="A359" s="832">
        <v>358</v>
      </c>
      <c r="B359" s="833">
        <v>1550</v>
      </c>
      <c r="C359" s="834">
        <v>45672</v>
      </c>
      <c r="D359" s="835" t="s">
        <v>501</v>
      </c>
      <c r="E359" s="836" t="s">
        <v>51</v>
      </c>
      <c r="F359" s="836" t="s">
        <v>8</v>
      </c>
      <c r="G359" s="838">
        <v>45672</v>
      </c>
      <c r="H359" s="832"/>
      <c r="I359" s="845" t="s">
        <v>99</v>
      </c>
      <c r="J359" s="833"/>
      <c r="K359" s="832"/>
      <c r="L359" s="832"/>
      <c r="M359" s="833"/>
      <c r="N359" s="832"/>
      <c r="O359" s="832"/>
      <c r="P359" s="834">
        <v>45678</v>
      </c>
      <c r="Q359" s="833">
        <f t="shared" si="5"/>
        <v>6</v>
      </c>
      <c r="R359" s="833"/>
      <c r="S359" s="832"/>
    </row>
    <row r="360" spans="1:19" ht="43.2" x14ac:dyDescent="0.3">
      <c r="A360" s="832">
        <v>359</v>
      </c>
      <c r="B360" s="833">
        <v>1550</v>
      </c>
      <c r="C360" s="834">
        <v>45672</v>
      </c>
      <c r="D360" s="852" t="s">
        <v>502</v>
      </c>
      <c r="E360" s="836" t="s">
        <v>51</v>
      </c>
      <c r="F360" s="836" t="s">
        <v>4</v>
      </c>
      <c r="G360" s="838">
        <v>45672</v>
      </c>
      <c r="H360" s="832"/>
      <c r="I360" s="845" t="s">
        <v>99</v>
      </c>
      <c r="J360" s="833"/>
      <c r="K360" s="832"/>
      <c r="L360" s="832"/>
      <c r="M360" s="833"/>
      <c r="N360" s="832"/>
      <c r="O360" s="832"/>
      <c r="P360" s="834">
        <v>45678</v>
      </c>
      <c r="Q360" s="833">
        <f t="shared" si="5"/>
        <v>6</v>
      </c>
      <c r="R360" s="833"/>
      <c r="S360" s="840"/>
    </row>
    <row r="361" spans="1:19" ht="43.2" x14ac:dyDescent="0.3">
      <c r="A361" s="832">
        <v>360</v>
      </c>
      <c r="B361" s="833" t="s">
        <v>80</v>
      </c>
      <c r="C361" s="834">
        <v>45672</v>
      </c>
      <c r="D361" s="835" t="s">
        <v>503</v>
      </c>
      <c r="E361" s="837" t="s">
        <v>51</v>
      </c>
      <c r="F361" s="837" t="s">
        <v>10</v>
      </c>
      <c r="G361" s="838">
        <v>45672</v>
      </c>
      <c r="H361" s="845"/>
      <c r="I361" s="845" t="s">
        <v>99</v>
      </c>
      <c r="J361" s="845"/>
      <c r="K361" s="845"/>
      <c r="L361" s="845"/>
      <c r="M361" s="845"/>
      <c r="N361" s="845"/>
      <c r="O361" s="845"/>
      <c r="P361" s="834">
        <v>45678</v>
      </c>
      <c r="Q361" s="833">
        <f t="shared" si="5"/>
        <v>6</v>
      </c>
      <c r="R361" s="833"/>
      <c r="S361" s="845"/>
    </row>
    <row r="362" spans="1:19" ht="43.2" x14ac:dyDescent="0.3">
      <c r="A362" s="832">
        <v>361</v>
      </c>
      <c r="B362" s="833" t="s">
        <v>80</v>
      </c>
      <c r="C362" s="834">
        <v>45672</v>
      </c>
      <c r="D362" s="835" t="s">
        <v>504</v>
      </c>
      <c r="E362" s="837" t="s">
        <v>51</v>
      </c>
      <c r="F362" s="837" t="s">
        <v>10</v>
      </c>
      <c r="G362" s="838">
        <v>45672</v>
      </c>
      <c r="H362" s="845"/>
      <c r="I362" s="845" t="s">
        <v>99</v>
      </c>
      <c r="J362" s="845"/>
      <c r="K362" s="845"/>
      <c r="L362" s="845"/>
      <c r="M362" s="845"/>
      <c r="N362" s="845"/>
      <c r="O362" s="845"/>
      <c r="P362" s="834">
        <v>45678</v>
      </c>
      <c r="Q362" s="833">
        <f t="shared" si="5"/>
        <v>6</v>
      </c>
      <c r="R362" s="833"/>
      <c r="S362" s="845"/>
    </row>
    <row r="363" spans="1:19" ht="43.2" x14ac:dyDescent="0.3">
      <c r="A363" s="832">
        <v>362</v>
      </c>
      <c r="B363" s="833" t="s">
        <v>80</v>
      </c>
      <c r="C363" s="834">
        <v>45672</v>
      </c>
      <c r="D363" s="835" t="s">
        <v>505</v>
      </c>
      <c r="E363" s="837" t="s">
        <v>51</v>
      </c>
      <c r="F363" s="837" t="s">
        <v>10</v>
      </c>
      <c r="G363" s="838">
        <v>45672</v>
      </c>
      <c r="H363" s="845"/>
      <c r="I363" s="845" t="s">
        <v>99</v>
      </c>
      <c r="J363" s="833"/>
      <c r="K363" s="832"/>
      <c r="L363" s="832"/>
      <c r="M363" s="833"/>
      <c r="N363" s="832"/>
      <c r="O363" s="832"/>
      <c r="P363" s="834">
        <v>45678</v>
      </c>
      <c r="Q363" s="833">
        <f t="shared" si="5"/>
        <v>6</v>
      </c>
      <c r="R363" s="833"/>
      <c r="S363" s="832"/>
    </row>
    <row r="364" spans="1:19" ht="100.8" x14ac:dyDescent="0.3">
      <c r="A364" s="832">
        <v>363</v>
      </c>
      <c r="B364" s="833" t="s">
        <v>80</v>
      </c>
      <c r="C364" s="834">
        <v>45673</v>
      </c>
      <c r="D364" s="835" t="s">
        <v>506</v>
      </c>
      <c r="E364" s="836" t="s">
        <v>1</v>
      </c>
      <c r="F364" s="836" t="s">
        <v>10</v>
      </c>
      <c r="G364" s="844">
        <v>45673</v>
      </c>
      <c r="H364" s="832"/>
      <c r="I364" s="839" t="s">
        <v>125</v>
      </c>
      <c r="J364" s="833"/>
      <c r="K364" s="832"/>
      <c r="L364" s="832"/>
      <c r="M364" s="833"/>
      <c r="N364" s="832"/>
      <c r="O364" s="832"/>
      <c r="P364" s="834">
        <v>45678</v>
      </c>
      <c r="Q364" s="833">
        <f t="shared" si="5"/>
        <v>5</v>
      </c>
      <c r="R364" s="833"/>
      <c r="S364" s="832"/>
    </row>
    <row r="365" spans="1:19" x14ac:dyDescent="0.3">
      <c r="A365" s="832">
        <v>364</v>
      </c>
      <c r="B365" s="833">
        <v>1550</v>
      </c>
      <c r="C365" s="834">
        <v>45673</v>
      </c>
      <c r="D365" s="835" t="s">
        <v>507</v>
      </c>
      <c r="E365" s="836" t="s">
        <v>24</v>
      </c>
      <c r="F365" s="836" t="s">
        <v>4</v>
      </c>
      <c r="G365" s="838">
        <v>45673</v>
      </c>
      <c r="H365" s="832"/>
      <c r="I365" s="839" t="s">
        <v>174</v>
      </c>
      <c r="J365" s="833"/>
      <c r="K365" s="832"/>
      <c r="L365" s="832"/>
      <c r="M365" s="833"/>
      <c r="N365" s="832"/>
      <c r="O365" s="832"/>
      <c r="P365" s="834">
        <v>45678</v>
      </c>
      <c r="Q365" s="833">
        <f t="shared" si="5"/>
        <v>5</v>
      </c>
      <c r="R365" s="833"/>
      <c r="S365" s="832"/>
    </row>
    <row r="366" spans="1:19" ht="33" customHeight="1" x14ac:dyDescent="0.3">
      <c r="A366" s="832">
        <v>365</v>
      </c>
      <c r="B366" s="841">
        <v>1550</v>
      </c>
      <c r="C366" s="842">
        <v>45673</v>
      </c>
      <c r="D366" s="843" t="s">
        <v>508</v>
      </c>
      <c r="E366" s="836" t="s">
        <v>49</v>
      </c>
      <c r="F366" s="837" t="s">
        <v>6</v>
      </c>
      <c r="G366" s="844">
        <v>45673</v>
      </c>
      <c r="H366" s="845"/>
      <c r="I366" s="845" t="s">
        <v>266</v>
      </c>
      <c r="J366" s="845"/>
      <c r="K366" s="845"/>
      <c r="L366" s="845"/>
      <c r="M366" s="845"/>
      <c r="N366" s="845"/>
      <c r="O366" s="845"/>
      <c r="P366" s="842">
        <v>45678</v>
      </c>
      <c r="Q366" s="833">
        <f t="shared" si="5"/>
        <v>5</v>
      </c>
      <c r="R366" s="833"/>
      <c r="S366" s="845"/>
    </row>
    <row r="367" spans="1:19" ht="28.8" x14ac:dyDescent="0.3">
      <c r="A367" s="832">
        <v>366</v>
      </c>
      <c r="B367" s="841">
        <v>1550</v>
      </c>
      <c r="C367" s="842">
        <v>45673</v>
      </c>
      <c r="D367" s="843" t="s">
        <v>509</v>
      </c>
      <c r="E367" s="837" t="s">
        <v>1</v>
      </c>
      <c r="F367" s="837" t="s">
        <v>4</v>
      </c>
      <c r="G367" s="844">
        <v>45673</v>
      </c>
      <c r="H367" s="845"/>
      <c r="I367" s="845" t="s">
        <v>125</v>
      </c>
      <c r="J367" s="845"/>
      <c r="K367" s="845"/>
      <c r="L367" s="845"/>
      <c r="M367" s="845"/>
      <c r="N367" s="845"/>
      <c r="O367" s="845"/>
      <c r="P367" s="842">
        <v>45678</v>
      </c>
      <c r="Q367" s="833">
        <f t="shared" si="5"/>
        <v>5</v>
      </c>
      <c r="R367" s="833"/>
      <c r="S367" s="845"/>
    </row>
    <row r="368" spans="1:19" ht="43.2" x14ac:dyDescent="0.3">
      <c r="A368" s="832">
        <v>367</v>
      </c>
      <c r="B368" s="833" t="s">
        <v>80</v>
      </c>
      <c r="C368" s="834">
        <v>45673</v>
      </c>
      <c r="D368" s="835" t="s">
        <v>510</v>
      </c>
      <c r="E368" s="837" t="s">
        <v>51</v>
      </c>
      <c r="F368" s="837" t="s">
        <v>10</v>
      </c>
      <c r="G368" s="838">
        <v>45673</v>
      </c>
      <c r="H368" s="845"/>
      <c r="I368" s="845" t="s">
        <v>99</v>
      </c>
      <c r="J368" s="833"/>
      <c r="K368" s="832"/>
      <c r="L368" s="832"/>
      <c r="M368" s="833"/>
      <c r="N368" s="832"/>
      <c r="O368" s="832"/>
      <c r="P368" s="834">
        <v>45678</v>
      </c>
      <c r="Q368" s="833">
        <f t="shared" si="5"/>
        <v>5</v>
      </c>
      <c r="R368" s="833"/>
      <c r="S368" s="832"/>
    </row>
    <row r="369" spans="1:19" ht="115.2" x14ac:dyDescent="0.3">
      <c r="A369" s="832">
        <v>368</v>
      </c>
      <c r="B369" s="841" t="s">
        <v>80</v>
      </c>
      <c r="C369" s="842">
        <v>45674</v>
      </c>
      <c r="D369" s="835" t="s">
        <v>511</v>
      </c>
      <c r="E369" s="836" t="s">
        <v>1</v>
      </c>
      <c r="F369" s="837" t="s">
        <v>10</v>
      </c>
      <c r="G369" s="844">
        <v>45674</v>
      </c>
      <c r="H369" s="832"/>
      <c r="I369" s="839" t="s">
        <v>125</v>
      </c>
      <c r="J369" s="833"/>
      <c r="K369" s="832"/>
      <c r="L369" s="832"/>
      <c r="M369" s="833"/>
      <c r="N369" s="832"/>
      <c r="O369" s="832"/>
      <c r="P369" s="834">
        <v>45678</v>
      </c>
      <c r="Q369" s="833">
        <f t="shared" si="5"/>
        <v>4</v>
      </c>
      <c r="R369" s="836"/>
      <c r="S369" s="832"/>
    </row>
    <row r="370" spans="1:19" ht="43.2" x14ac:dyDescent="0.3">
      <c r="A370" s="832">
        <v>369</v>
      </c>
      <c r="B370" s="841" t="s">
        <v>80</v>
      </c>
      <c r="C370" s="842">
        <v>45674</v>
      </c>
      <c r="D370" s="835" t="s">
        <v>512</v>
      </c>
      <c r="E370" s="837" t="s">
        <v>51</v>
      </c>
      <c r="F370" s="837" t="s">
        <v>10</v>
      </c>
      <c r="G370" s="844">
        <v>45674</v>
      </c>
      <c r="H370" s="845"/>
      <c r="I370" s="845" t="s">
        <v>99</v>
      </c>
      <c r="J370" s="833"/>
      <c r="K370" s="846"/>
      <c r="L370" s="832"/>
      <c r="M370" s="833"/>
      <c r="N370" s="846"/>
      <c r="O370" s="832"/>
      <c r="P370" s="834">
        <v>45678</v>
      </c>
      <c r="Q370" s="833">
        <f t="shared" si="5"/>
        <v>4</v>
      </c>
      <c r="R370" s="836"/>
      <c r="S370" s="832"/>
    </row>
    <row r="371" spans="1:19" ht="43.2" x14ac:dyDescent="0.3">
      <c r="A371" s="832">
        <v>370</v>
      </c>
      <c r="B371" s="841" t="s">
        <v>80</v>
      </c>
      <c r="C371" s="842">
        <v>45674</v>
      </c>
      <c r="D371" s="835" t="s">
        <v>513</v>
      </c>
      <c r="E371" s="837" t="s">
        <v>51</v>
      </c>
      <c r="F371" s="837" t="s">
        <v>10</v>
      </c>
      <c r="G371" s="844">
        <v>45674</v>
      </c>
      <c r="H371" s="845"/>
      <c r="I371" s="845" t="s">
        <v>99</v>
      </c>
      <c r="J371" s="833"/>
      <c r="K371" s="832"/>
      <c r="L371" s="832"/>
      <c r="M371" s="833"/>
      <c r="N371" s="832"/>
      <c r="O371" s="832"/>
      <c r="P371" s="834">
        <v>45678</v>
      </c>
      <c r="Q371" s="833">
        <f t="shared" si="5"/>
        <v>4</v>
      </c>
      <c r="R371" s="836"/>
      <c r="S371" s="832"/>
    </row>
    <row r="372" spans="1:19" ht="43.2" x14ac:dyDescent="0.3">
      <c r="A372" s="832">
        <v>371</v>
      </c>
      <c r="B372" s="833">
        <v>1550</v>
      </c>
      <c r="C372" s="834">
        <v>45677</v>
      </c>
      <c r="D372" s="835" t="s">
        <v>514</v>
      </c>
      <c r="E372" s="836" t="s">
        <v>51</v>
      </c>
      <c r="F372" s="836" t="s">
        <v>8</v>
      </c>
      <c r="G372" s="838">
        <v>45677</v>
      </c>
      <c r="H372" s="832"/>
      <c r="I372" s="845" t="s">
        <v>99</v>
      </c>
      <c r="J372" s="845"/>
      <c r="K372" s="845"/>
      <c r="L372" s="845"/>
      <c r="M372" s="845"/>
      <c r="N372" s="845"/>
      <c r="O372" s="845"/>
      <c r="P372" s="842">
        <v>45678</v>
      </c>
      <c r="Q372" s="833">
        <f t="shared" si="5"/>
        <v>1</v>
      </c>
      <c r="R372" s="836"/>
      <c r="S372" s="845"/>
    </row>
    <row r="373" spans="1:19" ht="57.6" x14ac:dyDescent="0.3">
      <c r="A373" s="832">
        <v>372</v>
      </c>
      <c r="B373" s="833">
        <v>1550</v>
      </c>
      <c r="C373" s="834">
        <v>45677</v>
      </c>
      <c r="D373" s="835" t="s">
        <v>515</v>
      </c>
      <c r="E373" s="836" t="s">
        <v>51</v>
      </c>
      <c r="F373" s="836" t="s">
        <v>6</v>
      </c>
      <c r="G373" s="838">
        <v>45677</v>
      </c>
      <c r="H373" s="832"/>
      <c r="I373" s="845" t="s">
        <v>99</v>
      </c>
      <c r="J373" s="833"/>
      <c r="K373" s="832"/>
      <c r="L373" s="832"/>
      <c r="M373" s="833"/>
      <c r="N373" s="832"/>
      <c r="O373" s="832"/>
      <c r="P373" s="834">
        <v>45678</v>
      </c>
      <c r="Q373" s="833">
        <f t="shared" si="5"/>
        <v>1</v>
      </c>
      <c r="R373" s="836"/>
      <c r="S373" s="832"/>
    </row>
    <row r="374" spans="1:19" ht="28.8" x14ac:dyDescent="0.3">
      <c r="A374" s="832">
        <v>373</v>
      </c>
      <c r="B374" s="833">
        <v>1550</v>
      </c>
      <c r="C374" s="834">
        <v>45677</v>
      </c>
      <c r="D374" s="835" t="s">
        <v>516</v>
      </c>
      <c r="E374" s="836" t="s">
        <v>1</v>
      </c>
      <c r="F374" s="836" t="s">
        <v>8</v>
      </c>
      <c r="G374" s="838">
        <v>45677</v>
      </c>
      <c r="H374" s="832"/>
      <c r="I374" s="839" t="s">
        <v>125</v>
      </c>
      <c r="J374" s="833"/>
      <c r="K374" s="832"/>
      <c r="L374" s="832"/>
      <c r="M374" s="833"/>
      <c r="N374" s="832"/>
      <c r="O374" s="832"/>
      <c r="P374" s="834">
        <v>45678</v>
      </c>
      <c r="Q374" s="833">
        <f t="shared" si="5"/>
        <v>1</v>
      </c>
      <c r="R374" s="836"/>
      <c r="S374" s="832"/>
    </row>
    <row r="375" spans="1:19" ht="57.6" x14ac:dyDescent="0.3">
      <c r="A375" s="832">
        <v>374</v>
      </c>
      <c r="B375" s="833">
        <v>1550</v>
      </c>
      <c r="C375" s="834">
        <v>45677</v>
      </c>
      <c r="D375" s="835" t="s">
        <v>517</v>
      </c>
      <c r="E375" s="836" t="s">
        <v>1</v>
      </c>
      <c r="F375" s="836" t="s">
        <v>6</v>
      </c>
      <c r="G375" s="838">
        <v>45677</v>
      </c>
      <c r="H375" s="832"/>
      <c r="I375" s="839" t="s">
        <v>125</v>
      </c>
      <c r="J375" s="833"/>
      <c r="K375" s="832"/>
      <c r="L375" s="832"/>
      <c r="M375" s="833"/>
      <c r="N375" s="832"/>
      <c r="O375" s="832"/>
      <c r="P375" s="834">
        <v>45678</v>
      </c>
      <c r="Q375" s="833">
        <f t="shared" si="5"/>
        <v>1</v>
      </c>
      <c r="R375" s="836"/>
      <c r="S375" s="832"/>
    </row>
    <row r="376" spans="1:19" ht="28.8" x14ac:dyDescent="0.3">
      <c r="A376" s="832">
        <v>375</v>
      </c>
      <c r="B376" s="841">
        <v>1550</v>
      </c>
      <c r="C376" s="842">
        <v>45678</v>
      </c>
      <c r="D376" s="843" t="s">
        <v>518</v>
      </c>
      <c r="E376" s="836" t="s">
        <v>24</v>
      </c>
      <c r="F376" s="837" t="s">
        <v>4</v>
      </c>
      <c r="G376" s="844">
        <v>45678</v>
      </c>
      <c r="H376" s="845"/>
      <c r="I376" s="839" t="s">
        <v>383</v>
      </c>
      <c r="J376" s="845"/>
      <c r="K376" s="845"/>
      <c r="L376" s="845"/>
      <c r="M376" s="845"/>
      <c r="N376" s="845"/>
      <c r="O376" s="845"/>
      <c r="P376" s="842">
        <v>45678</v>
      </c>
      <c r="Q376" s="833">
        <f t="shared" si="5"/>
        <v>0</v>
      </c>
      <c r="R376" s="836"/>
      <c r="S376" s="845"/>
    </row>
    <row r="377" spans="1:19" ht="43.2" x14ac:dyDescent="0.3">
      <c r="A377" s="832">
        <v>376</v>
      </c>
      <c r="B377" s="841">
        <v>1550</v>
      </c>
      <c r="C377" s="842">
        <v>45678</v>
      </c>
      <c r="D377" s="843" t="s">
        <v>519</v>
      </c>
      <c r="E377" s="837" t="s">
        <v>7</v>
      </c>
      <c r="F377" s="837" t="s">
        <v>4</v>
      </c>
      <c r="G377" s="844">
        <v>45678</v>
      </c>
      <c r="H377" s="845"/>
      <c r="I377" s="845" t="s">
        <v>125</v>
      </c>
      <c r="J377" s="845"/>
      <c r="K377" s="845"/>
      <c r="L377" s="845"/>
      <c r="M377" s="845"/>
      <c r="N377" s="845"/>
      <c r="O377" s="845"/>
      <c r="P377" s="842">
        <v>45678</v>
      </c>
      <c r="Q377" s="833">
        <f t="shared" si="5"/>
        <v>0</v>
      </c>
      <c r="R377" s="836"/>
      <c r="S377" s="845"/>
    </row>
    <row r="378" spans="1:19" ht="28.8" x14ac:dyDescent="0.3">
      <c r="A378" s="832">
        <v>377</v>
      </c>
      <c r="B378" s="841">
        <v>1550</v>
      </c>
      <c r="C378" s="842">
        <v>45678</v>
      </c>
      <c r="D378" s="843" t="s">
        <v>520</v>
      </c>
      <c r="E378" s="837" t="s">
        <v>1</v>
      </c>
      <c r="F378" s="837" t="s">
        <v>4</v>
      </c>
      <c r="G378" s="844">
        <v>45678</v>
      </c>
      <c r="H378" s="845"/>
      <c r="I378" s="845" t="s">
        <v>129</v>
      </c>
      <c r="J378" s="845"/>
      <c r="K378" s="845"/>
      <c r="L378" s="845"/>
      <c r="M378" s="845"/>
      <c r="N378" s="845"/>
      <c r="O378" s="845"/>
      <c r="P378" s="842">
        <v>45678</v>
      </c>
      <c r="Q378" s="833">
        <f t="shared" si="5"/>
        <v>0</v>
      </c>
      <c r="R378" s="836"/>
      <c r="S378" s="845"/>
    </row>
    <row r="379" spans="1:19" ht="43.2" x14ac:dyDescent="0.3">
      <c r="A379" s="832">
        <v>378</v>
      </c>
      <c r="B379" s="841">
        <v>1550</v>
      </c>
      <c r="C379" s="842">
        <v>45678</v>
      </c>
      <c r="D379" s="848" t="s">
        <v>521</v>
      </c>
      <c r="E379" s="837" t="s">
        <v>49</v>
      </c>
      <c r="F379" s="837" t="s">
        <v>6</v>
      </c>
      <c r="G379" s="844">
        <v>45678</v>
      </c>
      <c r="H379" s="845"/>
      <c r="I379" s="845" t="s">
        <v>266</v>
      </c>
      <c r="J379" s="845"/>
      <c r="K379" s="845"/>
      <c r="L379" s="845"/>
      <c r="M379" s="845"/>
      <c r="N379" s="845"/>
      <c r="O379" s="845"/>
      <c r="P379" s="842">
        <v>45678</v>
      </c>
      <c r="Q379" s="833">
        <f t="shared" si="5"/>
        <v>0</v>
      </c>
      <c r="R379" s="836"/>
      <c r="S379" s="845"/>
    </row>
    <row r="380" spans="1:19" ht="43.2" x14ac:dyDescent="0.3">
      <c r="A380" s="832">
        <v>379</v>
      </c>
      <c r="B380" s="841">
        <v>1550</v>
      </c>
      <c r="C380" s="842">
        <v>45678</v>
      </c>
      <c r="D380" s="848" t="s">
        <v>522</v>
      </c>
      <c r="E380" s="837" t="s">
        <v>49</v>
      </c>
      <c r="F380" s="837" t="s">
        <v>6</v>
      </c>
      <c r="G380" s="844">
        <v>45678</v>
      </c>
      <c r="H380" s="845"/>
      <c r="I380" s="845" t="s">
        <v>266</v>
      </c>
      <c r="J380" s="845"/>
      <c r="K380" s="845"/>
      <c r="L380" s="845"/>
      <c r="M380" s="845"/>
      <c r="N380" s="845"/>
      <c r="O380" s="845"/>
      <c r="P380" s="842">
        <v>45678</v>
      </c>
      <c r="Q380" s="833">
        <f t="shared" si="5"/>
        <v>0</v>
      </c>
      <c r="R380" s="836"/>
      <c r="S380" s="845"/>
    </row>
    <row r="381" spans="1:19" ht="43.2" x14ac:dyDescent="0.3">
      <c r="A381" s="832">
        <v>380</v>
      </c>
      <c r="B381" s="841">
        <v>1550</v>
      </c>
      <c r="C381" s="842">
        <v>45678</v>
      </c>
      <c r="D381" s="848" t="s">
        <v>523</v>
      </c>
      <c r="E381" s="837" t="s">
        <v>49</v>
      </c>
      <c r="F381" s="837" t="s">
        <v>6</v>
      </c>
      <c r="G381" s="844">
        <v>45678</v>
      </c>
      <c r="H381" s="845"/>
      <c r="I381" s="845" t="s">
        <v>266</v>
      </c>
      <c r="J381" s="845"/>
      <c r="K381" s="845"/>
      <c r="L381" s="845"/>
      <c r="M381" s="845"/>
      <c r="N381" s="845"/>
      <c r="O381" s="845"/>
      <c r="P381" s="842">
        <v>45678</v>
      </c>
      <c r="Q381" s="833">
        <f t="shared" si="5"/>
        <v>0</v>
      </c>
      <c r="R381" s="836"/>
      <c r="S381" s="845"/>
    </row>
    <row r="382" spans="1:19" ht="74.25" customHeight="1" x14ac:dyDescent="0.3">
      <c r="A382" s="832">
        <v>381</v>
      </c>
      <c r="B382" s="841">
        <v>1550</v>
      </c>
      <c r="C382" s="842">
        <v>45678</v>
      </c>
      <c r="D382" s="848" t="s">
        <v>524</v>
      </c>
      <c r="E382" s="837" t="s">
        <v>49</v>
      </c>
      <c r="F382" s="837" t="s">
        <v>6</v>
      </c>
      <c r="G382" s="844">
        <v>45678</v>
      </c>
      <c r="H382" s="845"/>
      <c r="I382" s="845" t="s">
        <v>266</v>
      </c>
      <c r="J382" s="845"/>
      <c r="K382" s="845"/>
      <c r="L382" s="845"/>
      <c r="M382" s="845"/>
      <c r="N382" s="845"/>
      <c r="O382" s="845"/>
      <c r="P382" s="842">
        <v>45678</v>
      </c>
      <c r="Q382" s="833">
        <f t="shared" si="5"/>
        <v>0</v>
      </c>
      <c r="R382" s="836"/>
      <c r="S382" s="832"/>
    </row>
    <row r="383" spans="1:19" ht="57.6" x14ac:dyDescent="0.3">
      <c r="A383" s="832">
        <v>382</v>
      </c>
      <c r="B383" s="833">
        <v>1550</v>
      </c>
      <c r="C383" s="834">
        <v>45678</v>
      </c>
      <c r="D383" s="835" t="s">
        <v>525</v>
      </c>
      <c r="E383" s="837" t="s">
        <v>9</v>
      </c>
      <c r="F383" s="836" t="s">
        <v>6</v>
      </c>
      <c r="G383" s="838">
        <v>45678</v>
      </c>
      <c r="H383" s="832"/>
      <c r="I383" s="839" t="s">
        <v>453</v>
      </c>
      <c r="J383" s="833"/>
      <c r="K383" s="832"/>
      <c r="L383" s="832"/>
      <c r="M383" s="833"/>
      <c r="N383" s="832"/>
      <c r="O383" s="832"/>
      <c r="P383" s="834">
        <v>45678</v>
      </c>
      <c r="Q383" s="833">
        <f t="shared" si="5"/>
        <v>0</v>
      </c>
      <c r="R383" s="836"/>
      <c r="S383" s="832"/>
    </row>
    <row r="384" spans="1:19" ht="43.2" x14ac:dyDescent="0.3">
      <c r="A384" s="832">
        <v>383</v>
      </c>
      <c r="B384" s="841">
        <v>1550</v>
      </c>
      <c r="C384" s="842">
        <v>45678</v>
      </c>
      <c r="D384" s="843" t="s">
        <v>526</v>
      </c>
      <c r="E384" s="836" t="s">
        <v>49</v>
      </c>
      <c r="F384" s="837" t="s">
        <v>4</v>
      </c>
      <c r="G384" s="844">
        <v>45678</v>
      </c>
      <c r="H384" s="845"/>
      <c r="I384" s="845" t="s">
        <v>266</v>
      </c>
      <c r="J384" s="845"/>
      <c r="K384" s="845"/>
      <c r="L384" s="845"/>
      <c r="M384" s="845"/>
      <c r="N384" s="845"/>
      <c r="O384" s="845"/>
      <c r="P384" s="842">
        <v>45678</v>
      </c>
      <c r="Q384" s="833">
        <f t="shared" si="5"/>
        <v>0</v>
      </c>
      <c r="R384" s="836"/>
      <c r="S384" s="845"/>
    </row>
    <row r="385" spans="1:19" ht="43.2" x14ac:dyDescent="0.3">
      <c r="A385" s="832">
        <v>384</v>
      </c>
      <c r="B385" s="841">
        <v>1550</v>
      </c>
      <c r="C385" s="842">
        <v>45678</v>
      </c>
      <c r="D385" s="843" t="s">
        <v>527</v>
      </c>
      <c r="E385" s="837" t="s">
        <v>49</v>
      </c>
      <c r="F385" s="837" t="s">
        <v>8</v>
      </c>
      <c r="G385" s="844">
        <v>45678</v>
      </c>
      <c r="H385" s="845"/>
      <c r="I385" s="845" t="s">
        <v>266</v>
      </c>
      <c r="J385" s="845"/>
      <c r="K385" s="845"/>
      <c r="L385" s="845"/>
      <c r="M385" s="845"/>
      <c r="N385" s="845"/>
      <c r="O385" s="845"/>
      <c r="P385" s="842">
        <v>45678</v>
      </c>
      <c r="Q385" s="833">
        <f t="shared" si="5"/>
        <v>0</v>
      </c>
      <c r="R385" s="836" t="s">
        <v>528</v>
      </c>
      <c r="S385" s="845"/>
    </row>
    <row r="386" spans="1:19" ht="43.2" x14ac:dyDescent="0.3">
      <c r="A386" s="832">
        <v>385</v>
      </c>
      <c r="B386" s="841">
        <v>1550</v>
      </c>
      <c r="C386" s="842">
        <v>45678</v>
      </c>
      <c r="D386" s="843" t="s">
        <v>529</v>
      </c>
      <c r="E386" s="837" t="s">
        <v>49</v>
      </c>
      <c r="F386" s="837" t="s">
        <v>6</v>
      </c>
      <c r="G386" s="844">
        <v>45678</v>
      </c>
      <c r="H386" s="845"/>
      <c r="I386" s="845" t="s">
        <v>266</v>
      </c>
      <c r="J386" s="845"/>
      <c r="K386" s="845"/>
      <c r="L386" s="845"/>
      <c r="M386" s="845"/>
      <c r="N386" s="845"/>
      <c r="O386" s="845"/>
      <c r="P386" s="842">
        <v>45678</v>
      </c>
      <c r="Q386" s="833">
        <f t="shared" ref="Q386:Q449" si="6">P386-G386</f>
        <v>0</v>
      </c>
      <c r="R386" s="836"/>
      <c r="S386" s="845"/>
    </row>
    <row r="387" spans="1:19" ht="43.2" x14ac:dyDescent="0.3">
      <c r="A387" s="832">
        <v>386</v>
      </c>
      <c r="B387" s="833" t="s">
        <v>80</v>
      </c>
      <c r="C387" s="834">
        <v>45678</v>
      </c>
      <c r="D387" s="835" t="s">
        <v>530</v>
      </c>
      <c r="E387" s="837" t="s">
        <v>49</v>
      </c>
      <c r="F387" s="837" t="s">
        <v>10</v>
      </c>
      <c r="G387" s="844">
        <v>45678</v>
      </c>
      <c r="H387" s="845"/>
      <c r="I387" s="845" t="s">
        <v>266</v>
      </c>
      <c r="J387" s="845"/>
      <c r="K387" s="845"/>
      <c r="L387" s="845"/>
      <c r="M387" s="845"/>
      <c r="N387" s="845"/>
      <c r="O387" s="845"/>
      <c r="P387" s="842">
        <v>45678</v>
      </c>
      <c r="Q387" s="833">
        <f t="shared" si="6"/>
        <v>0</v>
      </c>
      <c r="R387" s="836"/>
      <c r="S387" s="845"/>
    </row>
    <row r="388" spans="1:19" ht="43.2" x14ac:dyDescent="0.3">
      <c r="A388" s="832">
        <v>387</v>
      </c>
      <c r="B388" s="833" t="s">
        <v>80</v>
      </c>
      <c r="C388" s="834">
        <v>45678</v>
      </c>
      <c r="D388" s="835" t="s">
        <v>531</v>
      </c>
      <c r="E388" s="837" t="s">
        <v>49</v>
      </c>
      <c r="F388" s="837" t="s">
        <v>10</v>
      </c>
      <c r="G388" s="844">
        <v>45678</v>
      </c>
      <c r="H388" s="832"/>
      <c r="I388" s="845" t="s">
        <v>266</v>
      </c>
      <c r="J388" s="833"/>
      <c r="K388" s="832"/>
      <c r="L388" s="832"/>
      <c r="M388" s="833"/>
      <c r="N388" s="832"/>
      <c r="O388" s="832"/>
      <c r="P388" s="834">
        <v>45678</v>
      </c>
      <c r="Q388" s="833">
        <f t="shared" si="6"/>
        <v>0</v>
      </c>
      <c r="R388" s="836"/>
      <c r="S388" s="840"/>
    </row>
    <row r="389" spans="1:19" ht="43.2" x14ac:dyDescent="0.3">
      <c r="A389" s="832">
        <v>388</v>
      </c>
      <c r="B389" s="833" t="s">
        <v>80</v>
      </c>
      <c r="C389" s="834">
        <v>45667</v>
      </c>
      <c r="D389" s="840" t="s">
        <v>532</v>
      </c>
      <c r="E389" s="836" t="s">
        <v>30</v>
      </c>
      <c r="F389" s="837" t="s">
        <v>10</v>
      </c>
      <c r="G389" s="838">
        <v>45667</v>
      </c>
      <c r="H389" s="832"/>
      <c r="I389" s="839" t="s">
        <v>533</v>
      </c>
      <c r="J389" s="833"/>
      <c r="K389" s="832"/>
      <c r="L389" s="832"/>
      <c r="M389" s="833"/>
      <c r="N389" s="832"/>
      <c r="O389" s="832"/>
      <c r="P389" s="834">
        <v>45677</v>
      </c>
      <c r="Q389" s="833">
        <f t="shared" si="6"/>
        <v>10</v>
      </c>
      <c r="R389" s="836"/>
      <c r="S389" s="832"/>
    </row>
    <row r="390" spans="1:19" ht="100.8" x14ac:dyDescent="0.3">
      <c r="A390" s="832">
        <v>389</v>
      </c>
      <c r="B390" s="833" t="s">
        <v>80</v>
      </c>
      <c r="C390" s="834">
        <v>45670</v>
      </c>
      <c r="D390" s="835" t="s">
        <v>534</v>
      </c>
      <c r="E390" s="836" t="s">
        <v>54</v>
      </c>
      <c r="F390" s="837" t="s">
        <v>10</v>
      </c>
      <c r="G390" s="838">
        <v>45670</v>
      </c>
      <c r="H390" s="832"/>
      <c r="I390" s="839" t="s">
        <v>253</v>
      </c>
      <c r="J390" s="833"/>
      <c r="K390" s="832"/>
      <c r="L390" s="832"/>
      <c r="M390" s="833"/>
      <c r="N390" s="832"/>
      <c r="O390" s="832"/>
      <c r="P390" s="834">
        <v>45677</v>
      </c>
      <c r="Q390" s="833">
        <f t="shared" si="6"/>
        <v>7</v>
      </c>
      <c r="R390" s="836"/>
      <c r="S390" s="832"/>
    </row>
    <row r="391" spans="1:19" ht="100.8" x14ac:dyDescent="0.3">
      <c r="A391" s="832">
        <v>390</v>
      </c>
      <c r="B391" s="833" t="s">
        <v>80</v>
      </c>
      <c r="C391" s="834">
        <v>45672</v>
      </c>
      <c r="D391" s="835" t="s">
        <v>535</v>
      </c>
      <c r="E391" s="837" t="s">
        <v>1</v>
      </c>
      <c r="F391" s="837" t="s">
        <v>10</v>
      </c>
      <c r="G391" s="838">
        <v>45672</v>
      </c>
      <c r="H391" s="845"/>
      <c r="I391" s="845" t="s">
        <v>125</v>
      </c>
      <c r="J391" s="845"/>
      <c r="K391" s="845"/>
      <c r="L391" s="845"/>
      <c r="M391" s="845"/>
      <c r="N391" s="845"/>
      <c r="O391" s="845"/>
      <c r="P391" s="834">
        <v>45677</v>
      </c>
      <c r="Q391" s="833">
        <f t="shared" si="6"/>
        <v>5</v>
      </c>
      <c r="R391" s="833"/>
      <c r="S391" s="845"/>
    </row>
    <row r="392" spans="1:19" ht="43.2" x14ac:dyDescent="0.3">
      <c r="A392" s="832">
        <v>391</v>
      </c>
      <c r="B392" s="841">
        <v>1550</v>
      </c>
      <c r="C392" s="842">
        <v>45672</v>
      </c>
      <c r="D392" s="843" t="s">
        <v>536</v>
      </c>
      <c r="E392" s="836" t="s">
        <v>51</v>
      </c>
      <c r="F392" s="837" t="s">
        <v>6</v>
      </c>
      <c r="G392" s="844">
        <v>45672</v>
      </c>
      <c r="H392" s="845"/>
      <c r="I392" s="845" t="s">
        <v>99</v>
      </c>
      <c r="J392" s="845"/>
      <c r="K392" s="845"/>
      <c r="L392" s="845"/>
      <c r="M392" s="845"/>
      <c r="N392" s="845"/>
      <c r="O392" s="845"/>
      <c r="P392" s="842">
        <v>45677</v>
      </c>
      <c r="Q392" s="833">
        <f t="shared" si="6"/>
        <v>5</v>
      </c>
      <c r="R392" s="833"/>
      <c r="S392" s="845"/>
    </row>
    <row r="393" spans="1:19" ht="43.2" x14ac:dyDescent="0.3">
      <c r="A393" s="832">
        <v>392</v>
      </c>
      <c r="B393" s="833">
        <v>1550</v>
      </c>
      <c r="C393" s="834">
        <v>45672</v>
      </c>
      <c r="D393" s="835" t="s">
        <v>537</v>
      </c>
      <c r="E393" s="836" t="s">
        <v>51</v>
      </c>
      <c r="F393" s="836" t="s">
        <v>6</v>
      </c>
      <c r="G393" s="838">
        <v>45672</v>
      </c>
      <c r="H393" s="832"/>
      <c r="I393" s="845" t="s">
        <v>99</v>
      </c>
      <c r="J393" s="833"/>
      <c r="K393" s="832"/>
      <c r="L393" s="832"/>
      <c r="M393" s="833"/>
      <c r="N393" s="832"/>
      <c r="O393" s="832"/>
      <c r="P393" s="834">
        <v>45677</v>
      </c>
      <c r="Q393" s="833">
        <f t="shared" si="6"/>
        <v>5</v>
      </c>
      <c r="R393" s="833"/>
      <c r="S393" s="832"/>
    </row>
    <row r="394" spans="1:19" ht="43.2" x14ac:dyDescent="0.3">
      <c r="A394" s="832">
        <v>393</v>
      </c>
      <c r="B394" s="833" t="s">
        <v>80</v>
      </c>
      <c r="C394" s="834">
        <v>45672</v>
      </c>
      <c r="D394" s="835" t="s">
        <v>538</v>
      </c>
      <c r="E394" s="837" t="s">
        <v>51</v>
      </c>
      <c r="F394" s="837" t="s">
        <v>10</v>
      </c>
      <c r="G394" s="838">
        <v>45672</v>
      </c>
      <c r="H394" s="845"/>
      <c r="I394" s="845" t="s">
        <v>99</v>
      </c>
      <c r="J394" s="833"/>
      <c r="K394" s="832"/>
      <c r="L394" s="832"/>
      <c r="M394" s="833"/>
      <c r="N394" s="832"/>
      <c r="O394" s="832"/>
      <c r="P394" s="834">
        <v>45677</v>
      </c>
      <c r="Q394" s="833">
        <f t="shared" si="6"/>
        <v>5</v>
      </c>
      <c r="R394" s="833"/>
      <c r="S394" s="832"/>
    </row>
    <row r="395" spans="1:19" ht="43.2" x14ac:dyDescent="0.3">
      <c r="A395" s="832">
        <v>394</v>
      </c>
      <c r="B395" s="833" t="s">
        <v>80</v>
      </c>
      <c r="C395" s="834">
        <v>45672</v>
      </c>
      <c r="D395" s="835" t="s">
        <v>539</v>
      </c>
      <c r="E395" s="837" t="s">
        <v>51</v>
      </c>
      <c r="F395" s="837" t="s">
        <v>10</v>
      </c>
      <c r="G395" s="838">
        <v>45672</v>
      </c>
      <c r="H395" s="845"/>
      <c r="I395" s="845" t="s">
        <v>99</v>
      </c>
      <c r="J395" s="833"/>
      <c r="K395" s="832"/>
      <c r="L395" s="832"/>
      <c r="M395" s="833"/>
      <c r="N395" s="832"/>
      <c r="O395" s="832"/>
      <c r="P395" s="834">
        <v>45677</v>
      </c>
      <c r="Q395" s="833">
        <f t="shared" si="6"/>
        <v>5</v>
      </c>
      <c r="R395" s="833"/>
      <c r="S395" s="832"/>
    </row>
    <row r="396" spans="1:19" ht="43.2" x14ac:dyDescent="0.3">
      <c r="A396" s="832">
        <v>395</v>
      </c>
      <c r="B396" s="833" t="s">
        <v>80</v>
      </c>
      <c r="C396" s="834">
        <v>45672</v>
      </c>
      <c r="D396" s="835" t="s">
        <v>540</v>
      </c>
      <c r="E396" s="837" t="s">
        <v>51</v>
      </c>
      <c r="F396" s="837" t="s">
        <v>10</v>
      </c>
      <c r="G396" s="838">
        <v>45672</v>
      </c>
      <c r="H396" s="845"/>
      <c r="I396" s="845" t="s">
        <v>99</v>
      </c>
      <c r="J396" s="833"/>
      <c r="K396" s="832"/>
      <c r="L396" s="832"/>
      <c r="M396" s="833"/>
      <c r="N396" s="832"/>
      <c r="O396" s="832"/>
      <c r="P396" s="834">
        <v>45677</v>
      </c>
      <c r="Q396" s="833">
        <f t="shared" si="6"/>
        <v>5</v>
      </c>
      <c r="R396" s="833"/>
      <c r="S396" s="832"/>
    </row>
    <row r="397" spans="1:19" ht="43.2" x14ac:dyDescent="0.3">
      <c r="A397" s="832">
        <v>396</v>
      </c>
      <c r="B397" s="833" t="s">
        <v>80</v>
      </c>
      <c r="C397" s="834">
        <v>45672</v>
      </c>
      <c r="D397" s="835" t="s">
        <v>541</v>
      </c>
      <c r="E397" s="837" t="s">
        <v>51</v>
      </c>
      <c r="F397" s="837" t="s">
        <v>10</v>
      </c>
      <c r="G397" s="838">
        <v>45672</v>
      </c>
      <c r="H397" s="845"/>
      <c r="I397" s="845" t="s">
        <v>99</v>
      </c>
      <c r="J397" s="833"/>
      <c r="K397" s="832"/>
      <c r="L397" s="832"/>
      <c r="M397" s="833"/>
      <c r="N397" s="832"/>
      <c r="O397" s="832"/>
      <c r="P397" s="834">
        <v>45677</v>
      </c>
      <c r="Q397" s="833">
        <f t="shared" si="6"/>
        <v>5</v>
      </c>
      <c r="R397" s="833"/>
      <c r="S397" s="832"/>
    </row>
    <row r="398" spans="1:19" ht="43.2" x14ac:dyDescent="0.3">
      <c r="A398" s="832">
        <v>397</v>
      </c>
      <c r="B398" s="833" t="s">
        <v>80</v>
      </c>
      <c r="C398" s="834">
        <v>45672</v>
      </c>
      <c r="D398" s="835" t="s">
        <v>542</v>
      </c>
      <c r="E398" s="837" t="s">
        <v>51</v>
      </c>
      <c r="F398" s="837" t="s">
        <v>10</v>
      </c>
      <c r="G398" s="838">
        <v>45672</v>
      </c>
      <c r="H398" s="845"/>
      <c r="I398" s="845" t="s">
        <v>99</v>
      </c>
      <c r="J398" s="833"/>
      <c r="K398" s="832"/>
      <c r="L398" s="832"/>
      <c r="M398" s="833"/>
      <c r="N398" s="832"/>
      <c r="O398" s="832"/>
      <c r="P398" s="834">
        <v>45677</v>
      </c>
      <c r="Q398" s="833">
        <f t="shared" si="6"/>
        <v>5</v>
      </c>
      <c r="R398" s="833"/>
      <c r="S398" s="832"/>
    </row>
    <row r="399" spans="1:19" ht="43.2" x14ac:dyDescent="0.3">
      <c r="A399" s="832">
        <v>398</v>
      </c>
      <c r="B399" s="833" t="s">
        <v>80</v>
      </c>
      <c r="C399" s="834">
        <v>45672</v>
      </c>
      <c r="D399" s="835" t="s">
        <v>543</v>
      </c>
      <c r="E399" s="837" t="s">
        <v>51</v>
      </c>
      <c r="F399" s="837" t="s">
        <v>10</v>
      </c>
      <c r="G399" s="838">
        <v>45672</v>
      </c>
      <c r="H399" s="845"/>
      <c r="I399" s="845" t="s">
        <v>99</v>
      </c>
      <c r="J399" s="833"/>
      <c r="K399" s="832"/>
      <c r="L399" s="832"/>
      <c r="M399" s="833"/>
      <c r="N399" s="832"/>
      <c r="O399" s="832"/>
      <c r="P399" s="834">
        <v>45677</v>
      </c>
      <c r="Q399" s="833">
        <f t="shared" si="6"/>
        <v>5</v>
      </c>
      <c r="R399" s="833"/>
      <c r="S399" s="832"/>
    </row>
    <row r="400" spans="1:19" ht="43.2" x14ac:dyDescent="0.3">
      <c r="A400" s="832">
        <v>399</v>
      </c>
      <c r="B400" s="841">
        <v>1550</v>
      </c>
      <c r="C400" s="842">
        <v>45677</v>
      </c>
      <c r="D400" s="835" t="s">
        <v>544</v>
      </c>
      <c r="E400" s="837" t="s">
        <v>49</v>
      </c>
      <c r="F400" s="837" t="s">
        <v>8</v>
      </c>
      <c r="G400" s="844">
        <v>45677</v>
      </c>
      <c r="H400" s="845"/>
      <c r="I400" s="845" t="s">
        <v>266</v>
      </c>
      <c r="J400" s="845"/>
      <c r="K400" s="845"/>
      <c r="L400" s="845"/>
      <c r="M400" s="845"/>
      <c r="N400" s="845"/>
      <c r="O400" s="845"/>
      <c r="P400" s="842">
        <v>45677</v>
      </c>
      <c r="Q400" s="833">
        <f t="shared" si="6"/>
        <v>0</v>
      </c>
      <c r="R400" s="836"/>
      <c r="S400" s="845"/>
    </row>
    <row r="401" spans="1:19" ht="43.2" x14ac:dyDescent="0.3">
      <c r="A401" s="832">
        <v>400</v>
      </c>
      <c r="B401" s="833">
        <v>1550</v>
      </c>
      <c r="C401" s="834">
        <v>45677</v>
      </c>
      <c r="D401" s="835" t="s">
        <v>545</v>
      </c>
      <c r="E401" s="836" t="s">
        <v>49</v>
      </c>
      <c r="F401" s="836" t="s">
        <v>6</v>
      </c>
      <c r="G401" s="838">
        <v>45677</v>
      </c>
      <c r="H401" s="832"/>
      <c r="I401" s="839" t="s">
        <v>266</v>
      </c>
      <c r="J401" s="845"/>
      <c r="K401" s="845"/>
      <c r="L401" s="845"/>
      <c r="M401" s="845"/>
      <c r="N401" s="845"/>
      <c r="O401" s="845"/>
      <c r="P401" s="842">
        <v>45677</v>
      </c>
      <c r="Q401" s="833">
        <f t="shared" si="6"/>
        <v>0</v>
      </c>
      <c r="R401" s="836"/>
      <c r="S401" s="845"/>
    </row>
    <row r="402" spans="1:19" ht="43.2" x14ac:dyDescent="0.3">
      <c r="A402" s="832">
        <v>401</v>
      </c>
      <c r="B402" s="833">
        <v>1550</v>
      </c>
      <c r="C402" s="834">
        <v>45677</v>
      </c>
      <c r="D402" s="835" t="s">
        <v>546</v>
      </c>
      <c r="E402" s="836" t="s">
        <v>49</v>
      </c>
      <c r="F402" s="836" t="s">
        <v>6</v>
      </c>
      <c r="G402" s="838">
        <v>45677</v>
      </c>
      <c r="H402" s="832"/>
      <c r="I402" s="839" t="s">
        <v>266</v>
      </c>
      <c r="J402" s="845"/>
      <c r="K402" s="845"/>
      <c r="L402" s="845"/>
      <c r="M402" s="845"/>
      <c r="N402" s="845"/>
      <c r="O402" s="845"/>
      <c r="P402" s="842">
        <v>45677</v>
      </c>
      <c r="Q402" s="833">
        <f t="shared" si="6"/>
        <v>0</v>
      </c>
      <c r="R402" s="836"/>
      <c r="S402" s="845"/>
    </row>
    <row r="403" spans="1:19" ht="43.2" x14ac:dyDescent="0.3">
      <c r="A403" s="832">
        <v>402</v>
      </c>
      <c r="B403" s="833" t="s">
        <v>80</v>
      </c>
      <c r="C403" s="834">
        <v>45677</v>
      </c>
      <c r="D403" s="835" t="s">
        <v>547</v>
      </c>
      <c r="E403" s="836" t="s">
        <v>48</v>
      </c>
      <c r="F403" s="837" t="s">
        <v>10</v>
      </c>
      <c r="G403" s="844">
        <v>45677</v>
      </c>
      <c r="H403" s="832"/>
      <c r="I403" s="839" t="s">
        <v>99</v>
      </c>
      <c r="J403" s="833"/>
      <c r="K403" s="832"/>
      <c r="L403" s="832"/>
      <c r="M403" s="836"/>
      <c r="N403" s="840"/>
      <c r="O403" s="840"/>
      <c r="P403" s="834">
        <v>45677</v>
      </c>
      <c r="Q403" s="833">
        <f t="shared" si="6"/>
        <v>0</v>
      </c>
      <c r="R403" s="836"/>
      <c r="S403" s="832" t="s">
        <v>548</v>
      </c>
    </row>
    <row r="404" spans="1:19" ht="86.4" x14ac:dyDescent="0.3">
      <c r="A404" s="832">
        <v>403</v>
      </c>
      <c r="B404" s="833" t="s">
        <v>80</v>
      </c>
      <c r="C404" s="834">
        <v>45677</v>
      </c>
      <c r="D404" s="835" t="s">
        <v>549</v>
      </c>
      <c r="E404" s="836" t="s">
        <v>54</v>
      </c>
      <c r="F404" s="837" t="s">
        <v>10</v>
      </c>
      <c r="G404" s="844">
        <v>45677</v>
      </c>
      <c r="H404" s="832"/>
      <c r="I404" s="839" t="s">
        <v>253</v>
      </c>
      <c r="J404" s="833"/>
      <c r="K404" s="832"/>
      <c r="L404" s="832"/>
      <c r="M404" s="833"/>
      <c r="N404" s="832"/>
      <c r="O404" s="832"/>
      <c r="P404" s="834">
        <v>45677</v>
      </c>
      <c r="Q404" s="833">
        <f t="shared" si="6"/>
        <v>0</v>
      </c>
      <c r="R404" s="836"/>
      <c r="S404" s="832"/>
    </row>
    <row r="405" spans="1:19" ht="43.2" x14ac:dyDescent="0.3">
      <c r="A405" s="832">
        <v>404</v>
      </c>
      <c r="B405" s="833" t="s">
        <v>80</v>
      </c>
      <c r="C405" s="834">
        <v>45677</v>
      </c>
      <c r="D405" s="835" t="s">
        <v>550</v>
      </c>
      <c r="E405" s="836" t="s">
        <v>49</v>
      </c>
      <c r="F405" s="837" t="s">
        <v>10</v>
      </c>
      <c r="G405" s="844">
        <v>45677</v>
      </c>
      <c r="H405" s="832"/>
      <c r="I405" s="839" t="s">
        <v>266</v>
      </c>
      <c r="J405" s="833"/>
      <c r="K405" s="832"/>
      <c r="L405" s="832"/>
      <c r="M405" s="833"/>
      <c r="N405" s="832"/>
      <c r="O405" s="832"/>
      <c r="P405" s="834">
        <v>45677</v>
      </c>
      <c r="Q405" s="833">
        <f t="shared" si="6"/>
        <v>0</v>
      </c>
      <c r="R405" s="836"/>
      <c r="S405" s="832"/>
    </row>
    <row r="406" spans="1:19" ht="28.8" x14ac:dyDescent="0.3">
      <c r="A406" s="832">
        <v>405</v>
      </c>
      <c r="B406" s="833">
        <v>1550</v>
      </c>
      <c r="C406" s="834">
        <v>45674</v>
      </c>
      <c r="D406" s="835" t="s">
        <v>551</v>
      </c>
      <c r="E406" s="836" t="s">
        <v>1</v>
      </c>
      <c r="F406" s="836" t="s">
        <v>4</v>
      </c>
      <c r="G406" s="838">
        <v>45674</v>
      </c>
      <c r="H406" s="832"/>
      <c r="I406" s="839" t="s">
        <v>125</v>
      </c>
      <c r="J406" s="833"/>
      <c r="K406" s="832"/>
      <c r="L406" s="832"/>
      <c r="M406" s="833"/>
      <c r="N406" s="832"/>
      <c r="O406" s="832"/>
      <c r="P406" s="834">
        <v>45675</v>
      </c>
      <c r="Q406" s="833">
        <f t="shared" si="6"/>
        <v>1</v>
      </c>
      <c r="R406" s="833"/>
      <c r="S406" s="832"/>
    </row>
    <row r="407" spans="1:19" ht="28.8" x14ac:dyDescent="0.3">
      <c r="A407" s="832">
        <v>406</v>
      </c>
      <c r="B407" s="841">
        <v>1550</v>
      </c>
      <c r="C407" s="842">
        <v>45674</v>
      </c>
      <c r="D407" s="843" t="s">
        <v>552</v>
      </c>
      <c r="E407" s="836" t="s">
        <v>1</v>
      </c>
      <c r="F407" s="837" t="s">
        <v>4</v>
      </c>
      <c r="G407" s="844">
        <v>45674</v>
      </c>
      <c r="H407" s="845"/>
      <c r="I407" s="845" t="s">
        <v>125</v>
      </c>
      <c r="J407" s="845"/>
      <c r="K407" s="845"/>
      <c r="L407" s="845"/>
      <c r="M407" s="845"/>
      <c r="N407" s="845"/>
      <c r="O407" s="845"/>
      <c r="P407" s="842">
        <v>45675</v>
      </c>
      <c r="Q407" s="833">
        <f t="shared" si="6"/>
        <v>1</v>
      </c>
      <c r="R407" s="833"/>
      <c r="S407" s="845"/>
    </row>
    <row r="408" spans="1:19" ht="28.8" x14ac:dyDescent="0.3">
      <c r="A408" s="832">
        <v>407</v>
      </c>
      <c r="B408" s="841" t="s">
        <v>80</v>
      </c>
      <c r="C408" s="842">
        <v>45666</v>
      </c>
      <c r="D408" s="840" t="s">
        <v>553</v>
      </c>
      <c r="E408" s="836" t="s">
        <v>3</v>
      </c>
      <c r="F408" s="837" t="s">
        <v>10</v>
      </c>
      <c r="G408" s="844">
        <v>45666</v>
      </c>
      <c r="H408" s="832">
        <v>10000250212</v>
      </c>
      <c r="I408" s="839" t="s">
        <v>135</v>
      </c>
      <c r="J408" s="833"/>
      <c r="K408" s="832"/>
      <c r="L408" s="832"/>
      <c r="M408" s="833"/>
      <c r="N408" s="832"/>
      <c r="O408" s="832"/>
      <c r="P408" s="834">
        <v>45674</v>
      </c>
      <c r="Q408" s="833">
        <f t="shared" si="6"/>
        <v>8</v>
      </c>
      <c r="R408" s="836"/>
      <c r="S408" s="832"/>
    </row>
    <row r="409" spans="1:19" ht="28.8" x14ac:dyDescent="0.3">
      <c r="A409" s="832">
        <v>408</v>
      </c>
      <c r="B409" s="841" t="s">
        <v>80</v>
      </c>
      <c r="C409" s="842">
        <v>45666</v>
      </c>
      <c r="D409" s="840" t="s">
        <v>554</v>
      </c>
      <c r="E409" s="837" t="s">
        <v>3</v>
      </c>
      <c r="F409" s="837" t="s">
        <v>10</v>
      </c>
      <c r="G409" s="844">
        <v>45666</v>
      </c>
      <c r="H409" s="845">
        <v>10000250391</v>
      </c>
      <c r="I409" s="845" t="s">
        <v>135</v>
      </c>
      <c r="J409" s="833"/>
      <c r="K409" s="832"/>
      <c r="L409" s="832"/>
      <c r="M409" s="833"/>
      <c r="N409" s="832"/>
      <c r="O409" s="832"/>
      <c r="P409" s="834">
        <v>45674</v>
      </c>
      <c r="Q409" s="833">
        <f t="shared" si="6"/>
        <v>8</v>
      </c>
      <c r="R409" s="836"/>
      <c r="S409" s="832"/>
    </row>
    <row r="410" spans="1:19" ht="57.6" x14ac:dyDescent="0.3">
      <c r="A410" s="832">
        <v>409</v>
      </c>
      <c r="B410" s="841" t="s">
        <v>80</v>
      </c>
      <c r="C410" s="842">
        <v>45666</v>
      </c>
      <c r="D410" s="840" t="s">
        <v>555</v>
      </c>
      <c r="E410" s="837" t="s">
        <v>3</v>
      </c>
      <c r="F410" s="837" t="s">
        <v>10</v>
      </c>
      <c r="G410" s="844">
        <v>45666</v>
      </c>
      <c r="H410" s="845">
        <v>10000250395</v>
      </c>
      <c r="I410" s="845" t="s">
        <v>135</v>
      </c>
      <c r="J410" s="845"/>
      <c r="K410" s="845"/>
      <c r="L410" s="845"/>
      <c r="M410" s="845"/>
      <c r="N410" s="845"/>
      <c r="O410" s="845"/>
      <c r="P410" s="834">
        <v>45674</v>
      </c>
      <c r="Q410" s="833">
        <f t="shared" si="6"/>
        <v>8</v>
      </c>
      <c r="R410" s="836"/>
      <c r="S410" s="845"/>
    </row>
    <row r="411" spans="1:19" ht="72" x14ac:dyDescent="0.3">
      <c r="A411" s="832">
        <v>410</v>
      </c>
      <c r="B411" s="841" t="s">
        <v>80</v>
      </c>
      <c r="C411" s="842">
        <v>45666</v>
      </c>
      <c r="D411" s="840" t="s">
        <v>556</v>
      </c>
      <c r="E411" s="836" t="s">
        <v>12</v>
      </c>
      <c r="F411" s="837" t="s">
        <v>10</v>
      </c>
      <c r="G411" s="844">
        <v>45666</v>
      </c>
      <c r="H411" s="845"/>
      <c r="I411" s="845" t="s">
        <v>159</v>
      </c>
      <c r="J411" s="845"/>
      <c r="K411" s="845"/>
      <c r="L411" s="845"/>
      <c r="M411" s="845"/>
      <c r="N411" s="845"/>
      <c r="O411" s="845"/>
      <c r="P411" s="834">
        <v>45674</v>
      </c>
      <c r="Q411" s="833">
        <f t="shared" si="6"/>
        <v>8</v>
      </c>
      <c r="R411" s="836"/>
      <c r="S411" s="845"/>
    </row>
    <row r="412" spans="1:19" ht="86.4" x14ac:dyDescent="0.3">
      <c r="A412" s="832">
        <v>411</v>
      </c>
      <c r="B412" s="833" t="s">
        <v>80</v>
      </c>
      <c r="C412" s="834">
        <v>45670</v>
      </c>
      <c r="D412" s="835" t="s">
        <v>557</v>
      </c>
      <c r="E412" s="836" t="s">
        <v>3</v>
      </c>
      <c r="F412" s="837" t="s">
        <v>10</v>
      </c>
      <c r="G412" s="838">
        <v>45670</v>
      </c>
      <c r="H412" s="839">
        <v>10000251298</v>
      </c>
      <c r="I412" s="839" t="s">
        <v>135</v>
      </c>
      <c r="J412" s="833"/>
      <c r="K412" s="832"/>
      <c r="L412" s="832"/>
      <c r="M412" s="833"/>
      <c r="N412" s="832"/>
      <c r="O412" s="832"/>
      <c r="P412" s="834">
        <v>45674</v>
      </c>
      <c r="Q412" s="833">
        <f t="shared" si="6"/>
        <v>4</v>
      </c>
      <c r="R412" s="836"/>
      <c r="S412" s="832"/>
    </row>
    <row r="413" spans="1:19" ht="43.2" x14ac:dyDescent="0.3">
      <c r="A413" s="832">
        <v>412</v>
      </c>
      <c r="B413" s="833" t="s">
        <v>80</v>
      </c>
      <c r="C413" s="834">
        <v>45671</v>
      </c>
      <c r="D413" s="835" t="s">
        <v>558</v>
      </c>
      <c r="E413" s="837" t="s">
        <v>51</v>
      </c>
      <c r="F413" s="837" t="s">
        <v>10</v>
      </c>
      <c r="G413" s="838">
        <v>45671</v>
      </c>
      <c r="H413" s="845"/>
      <c r="I413" s="845" t="s">
        <v>99</v>
      </c>
      <c r="J413" s="833"/>
      <c r="K413" s="832"/>
      <c r="L413" s="832"/>
      <c r="M413" s="833"/>
      <c r="N413" s="832"/>
      <c r="O413" s="832"/>
      <c r="P413" s="834">
        <v>45674</v>
      </c>
      <c r="Q413" s="833">
        <f t="shared" si="6"/>
        <v>3</v>
      </c>
      <c r="R413" s="836"/>
      <c r="S413" s="840"/>
    </row>
    <row r="414" spans="1:19" ht="43.2" x14ac:dyDescent="0.3">
      <c r="A414" s="832">
        <v>413</v>
      </c>
      <c r="B414" s="833" t="s">
        <v>80</v>
      </c>
      <c r="C414" s="834">
        <v>45671</v>
      </c>
      <c r="D414" s="835" t="s">
        <v>559</v>
      </c>
      <c r="E414" s="837" t="s">
        <v>51</v>
      </c>
      <c r="F414" s="837" t="s">
        <v>10</v>
      </c>
      <c r="G414" s="838">
        <v>45671</v>
      </c>
      <c r="H414" s="845"/>
      <c r="I414" s="845" t="s">
        <v>99</v>
      </c>
      <c r="J414" s="833"/>
      <c r="K414" s="832"/>
      <c r="L414" s="832"/>
      <c r="M414" s="833"/>
      <c r="N414" s="832"/>
      <c r="O414" s="832"/>
      <c r="P414" s="834">
        <v>45674</v>
      </c>
      <c r="Q414" s="833">
        <f t="shared" si="6"/>
        <v>3</v>
      </c>
      <c r="R414" s="836"/>
      <c r="S414" s="832"/>
    </row>
    <row r="415" spans="1:19" ht="43.2" x14ac:dyDescent="0.3">
      <c r="A415" s="832">
        <v>414</v>
      </c>
      <c r="B415" s="833" t="s">
        <v>80</v>
      </c>
      <c r="C415" s="834">
        <v>45671</v>
      </c>
      <c r="D415" s="835" t="s">
        <v>560</v>
      </c>
      <c r="E415" s="837" t="s">
        <v>51</v>
      </c>
      <c r="F415" s="837" t="s">
        <v>10</v>
      </c>
      <c r="G415" s="838">
        <v>45671</v>
      </c>
      <c r="H415" s="845"/>
      <c r="I415" s="845" t="s">
        <v>99</v>
      </c>
      <c r="J415" s="833"/>
      <c r="K415" s="832"/>
      <c r="L415" s="832"/>
      <c r="M415" s="833"/>
      <c r="N415" s="832"/>
      <c r="O415" s="832"/>
      <c r="P415" s="834">
        <v>45674</v>
      </c>
      <c r="Q415" s="833">
        <f t="shared" si="6"/>
        <v>3</v>
      </c>
      <c r="R415" s="836"/>
      <c r="S415" s="832"/>
    </row>
    <row r="416" spans="1:19" ht="43.2" x14ac:dyDescent="0.3">
      <c r="A416" s="832">
        <v>415</v>
      </c>
      <c r="B416" s="833" t="s">
        <v>80</v>
      </c>
      <c r="C416" s="834">
        <v>45671</v>
      </c>
      <c r="D416" s="835" t="s">
        <v>561</v>
      </c>
      <c r="E416" s="837" t="s">
        <v>51</v>
      </c>
      <c r="F416" s="837" t="s">
        <v>10</v>
      </c>
      <c r="G416" s="838">
        <v>45671</v>
      </c>
      <c r="H416" s="845"/>
      <c r="I416" s="845" t="s">
        <v>99</v>
      </c>
      <c r="J416" s="833"/>
      <c r="K416" s="832"/>
      <c r="L416" s="832"/>
      <c r="M416" s="833"/>
      <c r="N416" s="832"/>
      <c r="O416" s="832"/>
      <c r="P416" s="834">
        <v>45674</v>
      </c>
      <c r="Q416" s="833">
        <f t="shared" si="6"/>
        <v>3</v>
      </c>
      <c r="R416" s="836"/>
      <c r="S416" s="832"/>
    </row>
    <row r="417" spans="1:19" ht="43.2" x14ac:dyDescent="0.3">
      <c r="A417" s="832">
        <v>416</v>
      </c>
      <c r="B417" s="833" t="s">
        <v>80</v>
      </c>
      <c r="C417" s="834">
        <v>45671</v>
      </c>
      <c r="D417" s="835" t="s">
        <v>562</v>
      </c>
      <c r="E417" s="837" t="s">
        <v>51</v>
      </c>
      <c r="F417" s="837" t="s">
        <v>10</v>
      </c>
      <c r="G417" s="838">
        <v>45671</v>
      </c>
      <c r="H417" s="845"/>
      <c r="I417" s="845" t="s">
        <v>99</v>
      </c>
      <c r="J417" s="833"/>
      <c r="K417" s="832"/>
      <c r="L417" s="832"/>
      <c r="M417" s="833"/>
      <c r="N417" s="832"/>
      <c r="O417" s="832"/>
      <c r="P417" s="834">
        <v>45674</v>
      </c>
      <c r="Q417" s="833">
        <f t="shared" si="6"/>
        <v>3</v>
      </c>
      <c r="R417" s="836"/>
      <c r="S417" s="832"/>
    </row>
    <row r="418" spans="1:19" ht="43.2" x14ac:dyDescent="0.3">
      <c r="A418" s="832">
        <v>417</v>
      </c>
      <c r="B418" s="841">
        <v>1550</v>
      </c>
      <c r="C418" s="842">
        <v>45672</v>
      </c>
      <c r="D418" s="843" t="s">
        <v>563</v>
      </c>
      <c r="E418" s="837" t="s">
        <v>51</v>
      </c>
      <c r="F418" s="837" t="s">
        <v>6</v>
      </c>
      <c r="G418" s="844">
        <v>45672</v>
      </c>
      <c r="H418" s="845"/>
      <c r="I418" s="845" t="s">
        <v>99</v>
      </c>
      <c r="J418" s="845"/>
      <c r="K418" s="845"/>
      <c r="L418" s="845"/>
      <c r="M418" s="845"/>
      <c r="N418" s="845"/>
      <c r="O418" s="845"/>
      <c r="P418" s="842">
        <v>45674</v>
      </c>
      <c r="Q418" s="833">
        <f t="shared" si="6"/>
        <v>2</v>
      </c>
      <c r="R418" s="836"/>
      <c r="S418" s="845"/>
    </row>
    <row r="419" spans="1:19" ht="43.2" x14ac:dyDescent="0.3">
      <c r="A419" s="832">
        <v>418</v>
      </c>
      <c r="B419" s="833" t="s">
        <v>80</v>
      </c>
      <c r="C419" s="834">
        <v>45672</v>
      </c>
      <c r="D419" s="835" t="s">
        <v>564</v>
      </c>
      <c r="E419" s="837" t="s">
        <v>51</v>
      </c>
      <c r="F419" s="837" t="s">
        <v>10</v>
      </c>
      <c r="G419" s="838">
        <v>45672</v>
      </c>
      <c r="H419" s="845"/>
      <c r="I419" s="845" t="s">
        <v>99</v>
      </c>
      <c r="J419" s="833"/>
      <c r="K419" s="832"/>
      <c r="L419" s="832"/>
      <c r="M419" s="833"/>
      <c r="N419" s="832"/>
      <c r="O419" s="832"/>
      <c r="P419" s="834">
        <v>45674</v>
      </c>
      <c r="Q419" s="833">
        <f t="shared" si="6"/>
        <v>2</v>
      </c>
      <c r="R419" s="833"/>
      <c r="S419" s="832"/>
    </row>
    <row r="420" spans="1:19" ht="43.2" x14ac:dyDescent="0.3">
      <c r="A420" s="832">
        <v>419</v>
      </c>
      <c r="B420" s="833" t="s">
        <v>80</v>
      </c>
      <c r="C420" s="834">
        <v>45672</v>
      </c>
      <c r="D420" s="835" t="s">
        <v>565</v>
      </c>
      <c r="E420" s="837" t="s">
        <v>51</v>
      </c>
      <c r="F420" s="837" t="s">
        <v>10</v>
      </c>
      <c r="G420" s="838">
        <v>45672</v>
      </c>
      <c r="H420" s="845"/>
      <c r="I420" s="845" t="s">
        <v>99</v>
      </c>
      <c r="J420" s="833"/>
      <c r="K420" s="832"/>
      <c r="L420" s="832"/>
      <c r="M420" s="833"/>
      <c r="N420" s="832"/>
      <c r="O420" s="832"/>
      <c r="P420" s="834">
        <v>45674</v>
      </c>
      <c r="Q420" s="833">
        <f t="shared" si="6"/>
        <v>2</v>
      </c>
      <c r="R420" s="833"/>
      <c r="S420" s="832"/>
    </row>
    <row r="421" spans="1:19" ht="115.2" x14ac:dyDescent="0.3">
      <c r="A421" s="832">
        <v>420</v>
      </c>
      <c r="B421" s="833" t="s">
        <v>80</v>
      </c>
      <c r="C421" s="834">
        <v>45672</v>
      </c>
      <c r="D421" s="835" t="s">
        <v>566</v>
      </c>
      <c r="E421" s="837" t="s">
        <v>1</v>
      </c>
      <c r="F421" s="837" t="s">
        <v>10</v>
      </c>
      <c r="G421" s="838">
        <v>45672</v>
      </c>
      <c r="H421" s="845"/>
      <c r="I421" s="845" t="s">
        <v>125</v>
      </c>
      <c r="J421" s="845"/>
      <c r="K421" s="845"/>
      <c r="L421" s="845"/>
      <c r="M421" s="845"/>
      <c r="N421" s="845"/>
      <c r="O421" s="845"/>
      <c r="P421" s="834">
        <v>45674</v>
      </c>
      <c r="Q421" s="833">
        <f t="shared" si="6"/>
        <v>2</v>
      </c>
      <c r="R421" s="833"/>
      <c r="S421" s="845"/>
    </row>
    <row r="422" spans="1:19" ht="86.4" x14ac:dyDescent="0.3">
      <c r="A422" s="832">
        <v>421</v>
      </c>
      <c r="B422" s="833" t="s">
        <v>80</v>
      </c>
      <c r="C422" s="834">
        <v>45672</v>
      </c>
      <c r="D422" s="835" t="s">
        <v>567</v>
      </c>
      <c r="E422" s="836" t="s">
        <v>3</v>
      </c>
      <c r="F422" s="837" t="s">
        <v>10</v>
      </c>
      <c r="G422" s="838">
        <v>45672</v>
      </c>
      <c r="H422" s="832">
        <v>10000252139</v>
      </c>
      <c r="I422" s="839" t="s">
        <v>135</v>
      </c>
      <c r="J422" s="833"/>
      <c r="K422" s="832"/>
      <c r="L422" s="832"/>
      <c r="M422" s="833"/>
      <c r="N422" s="832"/>
      <c r="O422" s="832"/>
      <c r="P422" s="834">
        <v>45674</v>
      </c>
      <c r="Q422" s="833">
        <f t="shared" si="6"/>
        <v>2</v>
      </c>
      <c r="R422" s="833"/>
      <c r="S422" s="840"/>
    </row>
    <row r="423" spans="1:19" ht="86.4" x14ac:dyDescent="0.3">
      <c r="A423" s="832">
        <v>422</v>
      </c>
      <c r="B423" s="833">
        <v>1550</v>
      </c>
      <c r="C423" s="834">
        <v>45673</v>
      </c>
      <c r="D423" s="835" t="s">
        <v>568</v>
      </c>
      <c r="E423" s="836" t="s">
        <v>1</v>
      </c>
      <c r="F423" s="836" t="s">
        <v>6</v>
      </c>
      <c r="G423" s="838">
        <v>45673</v>
      </c>
      <c r="H423" s="832"/>
      <c r="I423" s="839" t="s">
        <v>125</v>
      </c>
      <c r="J423" s="833"/>
      <c r="K423" s="832"/>
      <c r="L423" s="832"/>
      <c r="M423" s="833"/>
      <c r="N423" s="832"/>
      <c r="O423" s="832"/>
      <c r="P423" s="834">
        <v>45674</v>
      </c>
      <c r="Q423" s="833">
        <f t="shared" si="6"/>
        <v>1</v>
      </c>
      <c r="R423" s="833"/>
      <c r="S423" s="832"/>
    </row>
    <row r="424" spans="1:19" ht="28.8" x14ac:dyDescent="0.3">
      <c r="A424" s="832">
        <v>423</v>
      </c>
      <c r="B424" s="833">
        <v>1550</v>
      </c>
      <c r="C424" s="834">
        <v>45674</v>
      </c>
      <c r="D424" s="835" t="s">
        <v>569</v>
      </c>
      <c r="E424" s="836" t="s">
        <v>33</v>
      </c>
      <c r="F424" s="836" t="s">
        <v>4</v>
      </c>
      <c r="G424" s="838">
        <v>45674</v>
      </c>
      <c r="H424" s="832"/>
      <c r="I424" s="845" t="s">
        <v>99</v>
      </c>
      <c r="J424" s="833"/>
      <c r="K424" s="832"/>
      <c r="L424" s="832"/>
      <c r="M424" s="833"/>
      <c r="N424" s="832"/>
      <c r="O424" s="832"/>
      <c r="P424" s="834">
        <v>45674</v>
      </c>
      <c r="Q424" s="833">
        <f t="shared" si="6"/>
        <v>0</v>
      </c>
      <c r="R424" s="833"/>
      <c r="S424" s="832"/>
    </row>
    <row r="425" spans="1:19" ht="28.8" x14ac:dyDescent="0.3">
      <c r="A425" s="832">
        <v>424</v>
      </c>
      <c r="B425" s="841">
        <v>1550</v>
      </c>
      <c r="C425" s="842">
        <v>45674</v>
      </c>
      <c r="D425" s="843" t="s">
        <v>570</v>
      </c>
      <c r="E425" s="837" t="s">
        <v>1</v>
      </c>
      <c r="F425" s="837" t="s">
        <v>4</v>
      </c>
      <c r="G425" s="844">
        <v>45674</v>
      </c>
      <c r="H425" s="845"/>
      <c r="I425" s="845" t="s">
        <v>125</v>
      </c>
      <c r="J425" s="845"/>
      <c r="K425" s="845"/>
      <c r="L425" s="845"/>
      <c r="M425" s="845"/>
      <c r="N425" s="845"/>
      <c r="O425" s="845"/>
      <c r="P425" s="842">
        <v>45674</v>
      </c>
      <c r="Q425" s="833">
        <f t="shared" si="6"/>
        <v>0</v>
      </c>
      <c r="R425" s="833"/>
      <c r="S425" s="845"/>
    </row>
    <row r="426" spans="1:19" ht="28.8" x14ac:dyDescent="0.3">
      <c r="A426" s="832">
        <v>425</v>
      </c>
      <c r="B426" s="841">
        <v>1550</v>
      </c>
      <c r="C426" s="842">
        <v>45674</v>
      </c>
      <c r="D426" s="843" t="s">
        <v>571</v>
      </c>
      <c r="E426" s="837" t="s">
        <v>50</v>
      </c>
      <c r="F426" s="837" t="s">
        <v>8</v>
      </c>
      <c r="G426" s="844">
        <v>45674</v>
      </c>
      <c r="H426" s="845"/>
      <c r="I426" s="845" t="s">
        <v>572</v>
      </c>
      <c r="J426" s="837" t="s">
        <v>262</v>
      </c>
      <c r="K426" s="844">
        <v>45674</v>
      </c>
      <c r="L426" s="837" t="s">
        <v>572</v>
      </c>
      <c r="M426" s="845"/>
      <c r="N426" s="845"/>
      <c r="O426" s="845"/>
      <c r="P426" s="842">
        <v>45674</v>
      </c>
      <c r="Q426" s="833">
        <f t="shared" si="6"/>
        <v>0</v>
      </c>
      <c r="R426" s="836" t="s">
        <v>205</v>
      </c>
      <c r="S426" s="845"/>
    </row>
    <row r="427" spans="1:19" ht="43.2" x14ac:dyDescent="0.3">
      <c r="A427" s="832">
        <v>426</v>
      </c>
      <c r="B427" s="841">
        <v>1550</v>
      </c>
      <c r="C427" s="842">
        <v>45674</v>
      </c>
      <c r="D427" s="843" t="s">
        <v>573</v>
      </c>
      <c r="E427" s="837" t="s">
        <v>49</v>
      </c>
      <c r="F427" s="837" t="s">
        <v>8</v>
      </c>
      <c r="G427" s="844">
        <v>45674</v>
      </c>
      <c r="H427" s="845"/>
      <c r="I427" s="845" t="s">
        <v>266</v>
      </c>
      <c r="J427" s="845"/>
      <c r="K427" s="845"/>
      <c r="L427" s="845"/>
      <c r="M427" s="845"/>
      <c r="N427" s="845"/>
      <c r="O427" s="845"/>
      <c r="P427" s="842">
        <v>45674</v>
      </c>
      <c r="Q427" s="833">
        <f t="shared" si="6"/>
        <v>0</v>
      </c>
      <c r="R427" s="836" t="s">
        <v>160</v>
      </c>
      <c r="S427" s="845"/>
    </row>
    <row r="428" spans="1:19" ht="43.2" x14ac:dyDescent="0.3">
      <c r="A428" s="832">
        <v>427</v>
      </c>
      <c r="B428" s="841" t="s">
        <v>301</v>
      </c>
      <c r="C428" s="842">
        <v>45674</v>
      </c>
      <c r="D428" s="835" t="s">
        <v>574</v>
      </c>
      <c r="E428" s="837" t="s">
        <v>49</v>
      </c>
      <c r="F428" s="837" t="s">
        <v>10</v>
      </c>
      <c r="G428" s="844">
        <v>45674</v>
      </c>
      <c r="H428" s="845"/>
      <c r="I428" s="845" t="s">
        <v>266</v>
      </c>
      <c r="J428" s="845"/>
      <c r="K428" s="845"/>
      <c r="L428" s="845"/>
      <c r="M428" s="845"/>
      <c r="N428" s="845"/>
      <c r="O428" s="845"/>
      <c r="P428" s="842">
        <v>45674</v>
      </c>
      <c r="Q428" s="833">
        <f t="shared" si="6"/>
        <v>0</v>
      </c>
      <c r="R428" s="836"/>
      <c r="S428" s="845"/>
    </row>
    <row r="429" spans="1:19" ht="43.2" x14ac:dyDescent="0.3">
      <c r="A429" s="832">
        <v>428</v>
      </c>
      <c r="B429" s="841" t="s">
        <v>301</v>
      </c>
      <c r="C429" s="842">
        <v>45674</v>
      </c>
      <c r="D429" s="835" t="s">
        <v>575</v>
      </c>
      <c r="E429" s="837" t="s">
        <v>49</v>
      </c>
      <c r="F429" s="837" t="s">
        <v>10</v>
      </c>
      <c r="G429" s="844">
        <v>45674</v>
      </c>
      <c r="H429" s="845"/>
      <c r="I429" s="845" t="s">
        <v>266</v>
      </c>
      <c r="J429" s="845"/>
      <c r="K429" s="845"/>
      <c r="L429" s="845"/>
      <c r="M429" s="845"/>
      <c r="N429" s="845"/>
      <c r="O429" s="845"/>
      <c r="P429" s="842">
        <v>45674</v>
      </c>
      <c r="Q429" s="833">
        <f t="shared" si="6"/>
        <v>0</v>
      </c>
      <c r="R429" s="836"/>
      <c r="S429" s="845"/>
    </row>
    <row r="430" spans="1:19" ht="43.2" x14ac:dyDescent="0.3">
      <c r="A430" s="832">
        <v>429</v>
      </c>
      <c r="B430" s="841" t="s">
        <v>301</v>
      </c>
      <c r="C430" s="842">
        <v>45674</v>
      </c>
      <c r="D430" s="835" t="s">
        <v>576</v>
      </c>
      <c r="E430" s="837" t="s">
        <v>49</v>
      </c>
      <c r="F430" s="837" t="s">
        <v>10</v>
      </c>
      <c r="G430" s="844">
        <v>45674</v>
      </c>
      <c r="H430" s="845"/>
      <c r="I430" s="845" t="s">
        <v>266</v>
      </c>
      <c r="J430" s="845"/>
      <c r="K430" s="845"/>
      <c r="L430" s="845"/>
      <c r="M430" s="845"/>
      <c r="N430" s="845"/>
      <c r="O430" s="845"/>
      <c r="P430" s="842">
        <v>45674</v>
      </c>
      <c r="Q430" s="833">
        <f t="shared" si="6"/>
        <v>0</v>
      </c>
      <c r="R430" s="836"/>
      <c r="S430" s="845"/>
    </row>
    <row r="431" spans="1:19" ht="43.2" x14ac:dyDescent="0.3">
      <c r="A431" s="832">
        <v>430</v>
      </c>
      <c r="B431" s="841" t="s">
        <v>301</v>
      </c>
      <c r="C431" s="842">
        <v>45674</v>
      </c>
      <c r="D431" s="835" t="s">
        <v>577</v>
      </c>
      <c r="E431" s="837" t="s">
        <v>49</v>
      </c>
      <c r="F431" s="837" t="s">
        <v>10</v>
      </c>
      <c r="G431" s="844">
        <v>45674</v>
      </c>
      <c r="H431" s="845"/>
      <c r="I431" s="845" t="s">
        <v>266</v>
      </c>
      <c r="J431" s="845"/>
      <c r="K431" s="845"/>
      <c r="L431" s="845"/>
      <c r="M431" s="845"/>
      <c r="N431" s="845"/>
      <c r="O431" s="845"/>
      <c r="P431" s="842">
        <v>45674</v>
      </c>
      <c r="Q431" s="833">
        <f t="shared" si="6"/>
        <v>0</v>
      </c>
      <c r="R431" s="836"/>
      <c r="S431" s="845"/>
    </row>
    <row r="432" spans="1:19" ht="43.2" x14ac:dyDescent="0.3">
      <c r="A432" s="832">
        <v>431</v>
      </c>
      <c r="B432" s="841" t="s">
        <v>301</v>
      </c>
      <c r="C432" s="842">
        <v>45674</v>
      </c>
      <c r="D432" s="835" t="s">
        <v>578</v>
      </c>
      <c r="E432" s="837" t="s">
        <v>49</v>
      </c>
      <c r="F432" s="837" t="s">
        <v>10</v>
      </c>
      <c r="G432" s="844">
        <v>45674</v>
      </c>
      <c r="H432" s="845"/>
      <c r="I432" s="845" t="s">
        <v>266</v>
      </c>
      <c r="J432" s="845"/>
      <c r="K432" s="845"/>
      <c r="L432" s="845"/>
      <c r="M432" s="845"/>
      <c r="N432" s="845"/>
      <c r="O432" s="845"/>
      <c r="P432" s="842">
        <v>45674</v>
      </c>
      <c r="Q432" s="833">
        <f t="shared" si="6"/>
        <v>0</v>
      </c>
      <c r="R432" s="836"/>
      <c r="S432" s="845"/>
    </row>
    <row r="433" spans="1:19" ht="43.2" x14ac:dyDescent="0.3">
      <c r="A433" s="832">
        <v>432</v>
      </c>
      <c r="B433" s="841" t="s">
        <v>301</v>
      </c>
      <c r="C433" s="842">
        <v>45674</v>
      </c>
      <c r="D433" s="835" t="s">
        <v>579</v>
      </c>
      <c r="E433" s="837" t="s">
        <v>49</v>
      </c>
      <c r="F433" s="837" t="s">
        <v>10</v>
      </c>
      <c r="G433" s="844">
        <v>45674</v>
      </c>
      <c r="H433" s="845"/>
      <c r="I433" s="845" t="s">
        <v>266</v>
      </c>
      <c r="J433" s="833"/>
      <c r="K433" s="846"/>
      <c r="L433" s="832"/>
      <c r="M433" s="833"/>
      <c r="N433" s="832"/>
      <c r="O433" s="832"/>
      <c r="P433" s="842">
        <v>45674</v>
      </c>
      <c r="Q433" s="833">
        <f t="shared" si="6"/>
        <v>0</v>
      </c>
      <c r="R433" s="836"/>
      <c r="S433" s="832"/>
    </row>
    <row r="434" spans="1:19" ht="43.2" x14ac:dyDescent="0.3">
      <c r="A434" s="832">
        <v>433</v>
      </c>
      <c r="B434" s="841" t="s">
        <v>301</v>
      </c>
      <c r="C434" s="842">
        <v>45674</v>
      </c>
      <c r="D434" s="835" t="s">
        <v>580</v>
      </c>
      <c r="E434" s="837" t="s">
        <v>49</v>
      </c>
      <c r="F434" s="837" t="s">
        <v>10</v>
      </c>
      <c r="G434" s="844">
        <v>45674</v>
      </c>
      <c r="H434" s="845"/>
      <c r="I434" s="845" t="s">
        <v>266</v>
      </c>
      <c r="J434" s="833"/>
      <c r="K434" s="832"/>
      <c r="L434" s="832"/>
      <c r="M434" s="833"/>
      <c r="N434" s="832"/>
      <c r="O434" s="832"/>
      <c r="P434" s="842">
        <v>45674</v>
      </c>
      <c r="Q434" s="833">
        <f t="shared" si="6"/>
        <v>0</v>
      </c>
      <c r="R434" s="836"/>
      <c r="S434" s="832"/>
    </row>
    <row r="435" spans="1:19" ht="43.2" x14ac:dyDescent="0.3">
      <c r="A435" s="832">
        <v>434</v>
      </c>
      <c r="B435" s="841" t="s">
        <v>301</v>
      </c>
      <c r="C435" s="842">
        <v>45674</v>
      </c>
      <c r="D435" s="835" t="s">
        <v>581</v>
      </c>
      <c r="E435" s="837" t="s">
        <v>49</v>
      </c>
      <c r="F435" s="837" t="s">
        <v>10</v>
      </c>
      <c r="G435" s="844">
        <v>45674</v>
      </c>
      <c r="H435" s="845"/>
      <c r="I435" s="845" t="s">
        <v>266</v>
      </c>
      <c r="J435" s="833"/>
      <c r="K435" s="832"/>
      <c r="L435" s="832"/>
      <c r="M435" s="833"/>
      <c r="N435" s="832"/>
      <c r="O435" s="832"/>
      <c r="P435" s="842">
        <v>45674</v>
      </c>
      <c r="Q435" s="833">
        <f t="shared" si="6"/>
        <v>0</v>
      </c>
      <c r="R435" s="836"/>
      <c r="S435" s="832"/>
    </row>
    <row r="436" spans="1:19" ht="43.2" x14ac:dyDescent="0.3">
      <c r="A436" s="832">
        <v>435</v>
      </c>
      <c r="B436" s="841" t="s">
        <v>301</v>
      </c>
      <c r="C436" s="842">
        <v>45674</v>
      </c>
      <c r="D436" s="835" t="s">
        <v>582</v>
      </c>
      <c r="E436" s="837" t="s">
        <v>49</v>
      </c>
      <c r="F436" s="837" t="s">
        <v>10</v>
      </c>
      <c r="G436" s="844">
        <v>45674</v>
      </c>
      <c r="H436" s="845"/>
      <c r="I436" s="845" t="s">
        <v>266</v>
      </c>
      <c r="J436" s="833"/>
      <c r="K436" s="846"/>
      <c r="L436" s="832"/>
      <c r="M436" s="833"/>
      <c r="N436" s="832"/>
      <c r="O436" s="832"/>
      <c r="P436" s="842">
        <v>45674</v>
      </c>
      <c r="Q436" s="833">
        <f t="shared" si="6"/>
        <v>0</v>
      </c>
      <c r="R436" s="836"/>
      <c r="S436" s="840"/>
    </row>
    <row r="437" spans="1:19" ht="43.2" x14ac:dyDescent="0.3">
      <c r="A437" s="832">
        <v>436</v>
      </c>
      <c r="B437" s="841" t="s">
        <v>301</v>
      </c>
      <c r="C437" s="842">
        <v>45674</v>
      </c>
      <c r="D437" s="835" t="s">
        <v>583</v>
      </c>
      <c r="E437" s="837" t="s">
        <v>49</v>
      </c>
      <c r="F437" s="837" t="s">
        <v>10</v>
      </c>
      <c r="G437" s="844">
        <v>45674</v>
      </c>
      <c r="H437" s="845"/>
      <c r="I437" s="845" t="s">
        <v>266</v>
      </c>
      <c r="J437" s="833"/>
      <c r="K437" s="832"/>
      <c r="L437" s="832"/>
      <c r="M437" s="833"/>
      <c r="N437" s="832"/>
      <c r="O437" s="832"/>
      <c r="P437" s="842">
        <v>45674</v>
      </c>
      <c r="Q437" s="833">
        <f t="shared" si="6"/>
        <v>0</v>
      </c>
      <c r="R437" s="836"/>
      <c r="S437" s="832"/>
    </row>
    <row r="438" spans="1:19" ht="43.2" x14ac:dyDescent="0.3">
      <c r="A438" s="832">
        <v>437</v>
      </c>
      <c r="B438" s="841" t="s">
        <v>80</v>
      </c>
      <c r="C438" s="842">
        <v>45664</v>
      </c>
      <c r="D438" s="840" t="s">
        <v>584</v>
      </c>
      <c r="E438" s="836" t="s">
        <v>3</v>
      </c>
      <c r="F438" s="836" t="s">
        <v>10</v>
      </c>
      <c r="G438" s="846">
        <v>45664</v>
      </c>
      <c r="H438" s="832"/>
      <c r="I438" s="849" t="s">
        <v>82</v>
      </c>
      <c r="J438" s="833"/>
      <c r="K438" s="832"/>
      <c r="L438" s="832"/>
      <c r="M438" s="833"/>
      <c r="N438" s="832"/>
      <c r="O438" s="832"/>
      <c r="P438" s="842">
        <v>45673</v>
      </c>
      <c r="Q438" s="833">
        <f t="shared" si="6"/>
        <v>9</v>
      </c>
      <c r="R438" s="836"/>
      <c r="S438" s="832"/>
    </row>
    <row r="439" spans="1:19" ht="72" x14ac:dyDescent="0.3">
      <c r="A439" s="832">
        <v>438</v>
      </c>
      <c r="B439" s="833">
        <v>1550</v>
      </c>
      <c r="C439" s="834">
        <v>45672</v>
      </c>
      <c r="D439" s="835" t="s">
        <v>585</v>
      </c>
      <c r="E439" s="836" t="s">
        <v>1</v>
      </c>
      <c r="F439" s="836" t="s">
        <v>6</v>
      </c>
      <c r="G439" s="838">
        <v>45672</v>
      </c>
      <c r="H439" s="840"/>
      <c r="I439" s="839" t="s">
        <v>125</v>
      </c>
      <c r="J439" s="833"/>
      <c r="K439" s="832"/>
      <c r="L439" s="832"/>
      <c r="M439" s="833"/>
      <c r="N439" s="832"/>
      <c r="O439" s="832"/>
      <c r="P439" s="834">
        <v>45673</v>
      </c>
      <c r="Q439" s="833">
        <f t="shared" si="6"/>
        <v>1</v>
      </c>
      <c r="R439" s="833"/>
      <c r="S439" s="832"/>
    </row>
    <row r="440" spans="1:19" ht="43.2" x14ac:dyDescent="0.3">
      <c r="A440" s="832">
        <v>439</v>
      </c>
      <c r="B440" s="833" t="s">
        <v>80</v>
      </c>
      <c r="C440" s="834">
        <v>45672</v>
      </c>
      <c r="D440" s="835" t="s">
        <v>586</v>
      </c>
      <c r="E440" s="837" t="s">
        <v>51</v>
      </c>
      <c r="F440" s="837" t="s">
        <v>10</v>
      </c>
      <c r="G440" s="838">
        <v>45672</v>
      </c>
      <c r="H440" s="845"/>
      <c r="I440" s="845" t="s">
        <v>99</v>
      </c>
      <c r="J440" s="845"/>
      <c r="K440" s="845"/>
      <c r="L440" s="844"/>
      <c r="M440" s="845"/>
      <c r="N440" s="845"/>
      <c r="O440" s="845"/>
      <c r="P440" s="834">
        <v>45673</v>
      </c>
      <c r="Q440" s="833">
        <f t="shared" si="6"/>
        <v>1</v>
      </c>
      <c r="R440" s="833"/>
      <c r="S440" s="845"/>
    </row>
    <row r="441" spans="1:19" ht="129.6" x14ac:dyDescent="0.3">
      <c r="A441" s="832">
        <v>440</v>
      </c>
      <c r="B441" s="833" t="s">
        <v>80</v>
      </c>
      <c r="C441" s="834">
        <v>45672</v>
      </c>
      <c r="D441" s="835" t="s">
        <v>587</v>
      </c>
      <c r="E441" s="836" t="s">
        <v>1</v>
      </c>
      <c r="F441" s="837" t="s">
        <v>10</v>
      </c>
      <c r="G441" s="838">
        <v>45672</v>
      </c>
      <c r="H441" s="845"/>
      <c r="I441" s="845" t="s">
        <v>174</v>
      </c>
      <c r="J441" s="845"/>
      <c r="K441" s="845"/>
      <c r="L441" s="845"/>
      <c r="M441" s="845"/>
      <c r="N441" s="845"/>
      <c r="O441" s="845"/>
      <c r="P441" s="834">
        <v>45673</v>
      </c>
      <c r="Q441" s="833">
        <f t="shared" si="6"/>
        <v>1</v>
      </c>
      <c r="R441" s="833"/>
      <c r="S441" s="845"/>
    </row>
    <row r="442" spans="1:19" ht="43.2" x14ac:dyDescent="0.3">
      <c r="A442" s="832">
        <v>441</v>
      </c>
      <c r="B442" s="833">
        <v>1550</v>
      </c>
      <c r="C442" s="834">
        <v>45673</v>
      </c>
      <c r="D442" s="835" t="s">
        <v>588</v>
      </c>
      <c r="E442" s="836" t="s">
        <v>49</v>
      </c>
      <c r="F442" s="836" t="s">
        <v>6</v>
      </c>
      <c r="G442" s="838">
        <v>45673</v>
      </c>
      <c r="H442" s="832"/>
      <c r="I442" s="839" t="s">
        <v>266</v>
      </c>
      <c r="J442" s="833"/>
      <c r="K442" s="832"/>
      <c r="L442" s="832"/>
      <c r="M442" s="833"/>
      <c r="N442" s="832"/>
      <c r="O442" s="832"/>
      <c r="P442" s="834">
        <v>45673</v>
      </c>
      <c r="Q442" s="833">
        <f t="shared" si="6"/>
        <v>0</v>
      </c>
      <c r="R442" s="833"/>
      <c r="S442" s="832"/>
    </row>
    <row r="443" spans="1:19" ht="28.8" x14ac:dyDescent="0.3">
      <c r="A443" s="832">
        <v>442</v>
      </c>
      <c r="B443" s="833">
        <v>1550</v>
      </c>
      <c r="C443" s="834">
        <v>45673</v>
      </c>
      <c r="D443" s="835" t="s">
        <v>589</v>
      </c>
      <c r="E443" s="836" t="s">
        <v>1</v>
      </c>
      <c r="F443" s="836" t="s">
        <v>4</v>
      </c>
      <c r="G443" s="838">
        <v>45673</v>
      </c>
      <c r="H443" s="832"/>
      <c r="I443" s="839" t="s">
        <v>125</v>
      </c>
      <c r="J443" s="833"/>
      <c r="K443" s="832"/>
      <c r="L443" s="832"/>
      <c r="M443" s="833"/>
      <c r="N443" s="832"/>
      <c r="O443" s="832"/>
      <c r="P443" s="834">
        <v>45673</v>
      </c>
      <c r="Q443" s="833">
        <f t="shared" si="6"/>
        <v>0</v>
      </c>
      <c r="R443" s="833"/>
      <c r="S443" s="832"/>
    </row>
    <row r="444" spans="1:19" ht="43.2" x14ac:dyDescent="0.3">
      <c r="A444" s="832">
        <v>443</v>
      </c>
      <c r="B444" s="833">
        <v>1550</v>
      </c>
      <c r="C444" s="834">
        <v>45673</v>
      </c>
      <c r="D444" s="832" t="s">
        <v>590</v>
      </c>
      <c r="E444" s="836" t="s">
        <v>49</v>
      </c>
      <c r="F444" s="836" t="s">
        <v>8</v>
      </c>
      <c r="G444" s="838">
        <v>45673</v>
      </c>
      <c r="H444" s="832"/>
      <c r="I444" s="839" t="s">
        <v>266</v>
      </c>
      <c r="J444" s="833"/>
      <c r="K444" s="832"/>
      <c r="L444" s="832"/>
      <c r="M444" s="833"/>
      <c r="N444" s="832"/>
      <c r="O444" s="832"/>
      <c r="P444" s="834">
        <v>45673</v>
      </c>
      <c r="Q444" s="833">
        <f t="shared" si="6"/>
        <v>0</v>
      </c>
      <c r="R444" s="833"/>
      <c r="S444" s="832"/>
    </row>
    <row r="445" spans="1:19" ht="28.8" x14ac:dyDescent="0.3">
      <c r="A445" s="832">
        <v>444</v>
      </c>
      <c r="B445" s="841">
        <v>1550</v>
      </c>
      <c r="C445" s="842">
        <v>45673</v>
      </c>
      <c r="D445" s="843" t="s">
        <v>591</v>
      </c>
      <c r="E445" s="837" t="s">
        <v>1</v>
      </c>
      <c r="F445" s="837" t="s">
        <v>8</v>
      </c>
      <c r="G445" s="838">
        <v>45673</v>
      </c>
      <c r="H445" s="845"/>
      <c r="I445" s="839" t="s">
        <v>125</v>
      </c>
      <c r="J445" s="845"/>
      <c r="K445" s="845"/>
      <c r="L445" s="845"/>
      <c r="M445" s="845"/>
      <c r="N445" s="845"/>
      <c r="O445" s="845"/>
      <c r="P445" s="842">
        <v>45673</v>
      </c>
      <c r="Q445" s="833">
        <f t="shared" si="6"/>
        <v>0</v>
      </c>
      <c r="R445" s="833"/>
      <c r="S445" s="845"/>
    </row>
    <row r="446" spans="1:19" ht="43.2" x14ac:dyDescent="0.3">
      <c r="A446" s="832">
        <v>445</v>
      </c>
      <c r="B446" s="833" t="s">
        <v>80</v>
      </c>
      <c r="C446" s="834">
        <v>45673</v>
      </c>
      <c r="D446" s="835" t="s">
        <v>592</v>
      </c>
      <c r="E446" s="836" t="s">
        <v>49</v>
      </c>
      <c r="F446" s="836" t="s">
        <v>10</v>
      </c>
      <c r="G446" s="844">
        <v>45673</v>
      </c>
      <c r="H446" s="832"/>
      <c r="I446" s="839" t="s">
        <v>266</v>
      </c>
      <c r="J446" s="833"/>
      <c r="K446" s="832"/>
      <c r="L446" s="832"/>
      <c r="M446" s="833"/>
      <c r="N446" s="832"/>
      <c r="O446" s="832"/>
      <c r="P446" s="834">
        <v>45673</v>
      </c>
      <c r="Q446" s="833">
        <f t="shared" si="6"/>
        <v>0</v>
      </c>
      <c r="R446" s="833"/>
      <c r="S446" s="832"/>
    </row>
    <row r="447" spans="1:19" ht="43.2" x14ac:dyDescent="0.3">
      <c r="A447" s="832">
        <v>446</v>
      </c>
      <c r="B447" s="833" t="s">
        <v>80</v>
      </c>
      <c r="C447" s="834">
        <v>45673</v>
      </c>
      <c r="D447" s="835" t="s">
        <v>593</v>
      </c>
      <c r="E447" s="836" t="s">
        <v>49</v>
      </c>
      <c r="F447" s="836" t="s">
        <v>10</v>
      </c>
      <c r="G447" s="844">
        <v>45673</v>
      </c>
      <c r="H447" s="832"/>
      <c r="I447" s="839" t="s">
        <v>266</v>
      </c>
      <c r="J447" s="833"/>
      <c r="K447" s="832"/>
      <c r="L447" s="832"/>
      <c r="M447" s="833"/>
      <c r="N447" s="832"/>
      <c r="O447" s="832"/>
      <c r="P447" s="834">
        <v>45673</v>
      </c>
      <c r="Q447" s="833">
        <f t="shared" si="6"/>
        <v>0</v>
      </c>
      <c r="R447" s="833"/>
      <c r="S447" s="832"/>
    </row>
    <row r="448" spans="1:19" ht="72" x14ac:dyDescent="0.3">
      <c r="A448" s="832">
        <v>447</v>
      </c>
      <c r="B448" s="833" t="s">
        <v>80</v>
      </c>
      <c r="C448" s="834">
        <v>45673</v>
      </c>
      <c r="D448" s="835" t="s">
        <v>594</v>
      </c>
      <c r="E448" s="836" t="s">
        <v>46</v>
      </c>
      <c r="F448" s="836" t="s">
        <v>10</v>
      </c>
      <c r="G448" s="844">
        <v>45673</v>
      </c>
      <c r="H448" s="832"/>
      <c r="I448" s="839" t="s">
        <v>99</v>
      </c>
      <c r="J448" s="833"/>
      <c r="K448" s="832"/>
      <c r="L448" s="832"/>
      <c r="M448" s="833"/>
      <c r="N448" s="832"/>
      <c r="O448" s="832"/>
      <c r="P448" s="834">
        <v>45673</v>
      </c>
      <c r="Q448" s="833">
        <f t="shared" si="6"/>
        <v>0</v>
      </c>
      <c r="R448" s="833"/>
      <c r="S448" s="832"/>
    </row>
    <row r="449" spans="1:19" ht="43.2" x14ac:dyDescent="0.3">
      <c r="A449" s="832">
        <v>448</v>
      </c>
      <c r="B449" s="833" t="s">
        <v>80</v>
      </c>
      <c r="C449" s="834">
        <v>45673</v>
      </c>
      <c r="D449" s="835" t="s">
        <v>595</v>
      </c>
      <c r="E449" s="836" t="s">
        <v>14</v>
      </c>
      <c r="F449" s="836" t="s">
        <v>10</v>
      </c>
      <c r="G449" s="844">
        <v>45673</v>
      </c>
      <c r="H449" s="832"/>
      <c r="I449" s="839" t="s">
        <v>253</v>
      </c>
      <c r="J449" s="833"/>
      <c r="K449" s="832"/>
      <c r="L449" s="832"/>
      <c r="M449" s="833"/>
      <c r="N449" s="832"/>
      <c r="O449" s="832"/>
      <c r="P449" s="834">
        <v>45673</v>
      </c>
      <c r="Q449" s="833">
        <f t="shared" si="6"/>
        <v>0</v>
      </c>
      <c r="R449" s="833"/>
      <c r="S449" s="832"/>
    </row>
    <row r="450" spans="1:19" ht="28.8" x14ac:dyDescent="0.3">
      <c r="A450" s="832">
        <v>449</v>
      </c>
      <c r="B450" s="833" t="s">
        <v>80</v>
      </c>
      <c r="C450" s="834">
        <v>45673</v>
      </c>
      <c r="D450" s="835" t="s">
        <v>596</v>
      </c>
      <c r="E450" s="836" t="s">
        <v>1</v>
      </c>
      <c r="F450" s="836" t="s">
        <v>10</v>
      </c>
      <c r="G450" s="844">
        <v>45673</v>
      </c>
      <c r="H450" s="832"/>
      <c r="I450" s="839" t="s">
        <v>266</v>
      </c>
      <c r="J450" s="833"/>
      <c r="K450" s="832"/>
      <c r="L450" s="832"/>
      <c r="M450" s="833"/>
      <c r="N450" s="832"/>
      <c r="O450" s="832"/>
      <c r="P450" s="834">
        <v>45673</v>
      </c>
      <c r="Q450" s="833">
        <f t="shared" ref="Q450:Q513" si="7">P450-G450</f>
        <v>0</v>
      </c>
      <c r="R450" s="833"/>
      <c r="S450" s="832"/>
    </row>
    <row r="451" spans="1:19" ht="43.2" x14ac:dyDescent="0.3">
      <c r="A451" s="832">
        <v>450</v>
      </c>
      <c r="B451" s="833" t="s">
        <v>80</v>
      </c>
      <c r="C451" s="834">
        <v>45660</v>
      </c>
      <c r="D451" s="843" t="s">
        <v>597</v>
      </c>
      <c r="E451" s="836" t="s">
        <v>51</v>
      </c>
      <c r="F451" s="836" t="s">
        <v>10</v>
      </c>
      <c r="G451" s="846">
        <v>45660</v>
      </c>
      <c r="H451" s="832"/>
      <c r="I451" s="839" t="s">
        <v>99</v>
      </c>
      <c r="J451" s="833"/>
      <c r="K451" s="832"/>
      <c r="L451" s="832"/>
      <c r="M451" s="833"/>
      <c r="N451" s="832"/>
      <c r="O451" s="832"/>
      <c r="P451" s="834">
        <v>45672</v>
      </c>
      <c r="Q451" s="833">
        <f t="shared" si="7"/>
        <v>12</v>
      </c>
      <c r="R451" s="836"/>
      <c r="S451" s="832"/>
    </row>
    <row r="452" spans="1:19" ht="115.2" x14ac:dyDescent="0.3">
      <c r="A452" s="832">
        <v>451</v>
      </c>
      <c r="B452" s="833" t="s">
        <v>80</v>
      </c>
      <c r="C452" s="834">
        <v>45663</v>
      </c>
      <c r="D452" s="843" t="s">
        <v>598</v>
      </c>
      <c r="E452" s="836" t="s">
        <v>17</v>
      </c>
      <c r="F452" s="836" t="s">
        <v>10</v>
      </c>
      <c r="G452" s="846">
        <v>45663</v>
      </c>
      <c r="H452" s="832"/>
      <c r="I452" s="849" t="s">
        <v>82</v>
      </c>
      <c r="J452" s="833"/>
      <c r="K452" s="832"/>
      <c r="L452" s="832"/>
      <c r="M452" s="833"/>
      <c r="N452" s="832"/>
      <c r="O452" s="832"/>
      <c r="P452" s="834">
        <v>45672</v>
      </c>
      <c r="Q452" s="833">
        <f t="shared" si="7"/>
        <v>9</v>
      </c>
      <c r="R452" s="836"/>
      <c r="S452" s="832"/>
    </row>
    <row r="453" spans="1:19" ht="43.2" x14ac:dyDescent="0.3">
      <c r="A453" s="832">
        <v>452</v>
      </c>
      <c r="B453" s="833" t="s">
        <v>80</v>
      </c>
      <c r="C453" s="834">
        <v>45663</v>
      </c>
      <c r="D453" s="843" t="s">
        <v>599</v>
      </c>
      <c r="E453" s="836" t="s">
        <v>51</v>
      </c>
      <c r="F453" s="836" t="s">
        <v>10</v>
      </c>
      <c r="G453" s="846">
        <v>45663</v>
      </c>
      <c r="H453" s="832"/>
      <c r="I453" s="839" t="s">
        <v>99</v>
      </c>
      <c r="J453" s="833"/>
      <c r="K453" s="832"/>
      <c r="L453" s="832"/>
      <c r="M453" s="833"/>
      <c r="N453" s="832"/>
      <c r="O453" s="832"/>
      <c r="P453" s="834">
        <v>45672</v>
      </c>
      <c r="Q453" s="833">
        <f t="shared" si="7"/>
        <v>9</v>
      </c>
      <c r="R453" s="836"/>
      <c r="S453" s="832"/>
    </row>
    <row r="454" spans="1:19" ht="43.2" x14ac:dyDescent="0.3">
      <c r="A454" s="832">
        <v>453</v>
      </c>
      <c r="B454" s="833" t="s">
        <v>80</v>
      </c>
      <c r="C454" s="834">
        <v>45663</v>
      </c>
      <c r="D454" s="843" t="s">
        <v>600</v>
      </c>
      <c r="E454" s="836" t="s">
        <v>51</v>
      </c>
      <c r="F454" s="836" t="s">
        <v>10</v>
      </c>
      <c r="G454" s="846">
        <v>45663</v>
      </c>
      <c r="H454" s="832"/>
      <c r="I454" s="839" t="s">
        <v>99</v>
      </c>
      <c r="J454" s="833"/>
      <c r="K454" s="832"/>
      <c r="L454" s="832"/>
      <c r="M454" s="833"/>
      <c r="N454" s="832"/>
      <c r="O454" s="832"/>
      <c r="P454" s="834">
        <v>45672</v>
      </c>
      <c r="Q454" s="833">
        <f t="shared" si="7"/>
        <v>9</v>
      </c>
      <c r="R454" s="836"/>
      <c r="S454" s="832"/>
    </row>
    <row r="455" spans="1:19" ht="43.2" x14ac:dyDescent="0.3">
      <c r="A455" s="832">
        <v>454</v>
      </c>
      <c r="B455" s="833" t="s">
        <v>80</v>
      </c>
      <c r="C455" s="834">
        <v>45663</v>
      </c>
      <c r="D455" s="843" t="s">
        <v>601</v>
      </c>
      <c r="E455" s="836" t="s">
        <v>51</v>
      </c>
      <c r="F455" s="836" t="s">
        <v>10</v>
      </c>
      <c r="G455" s="846">
        <v>45663</v>
      </c>
      <c r="H455" s="832"/>
      <c r="I455" s="839" t="s">
        <v>99</v>
      </c>
      <c r="J455" s="845"/>
      <c r="K455" s="845"/>
      <c r="L455" s="845"/>
      <c r="M455" s="845"/>
      <c r="N455" s="845"/>
      <c r="O455" s="845"/>
      <c r="P455" s="834">
        <v>45672</v>
      </c>
      <c r="Q455" s="833">
        <f t="shared" si="7"/>
        <v>9</v>
      </c>
      <c r="R455" s="836"/>
      <c r="S455" s="845"/>
    </row>
    <row r="456" spans="1:19" ht="43.2" x14ac:dyDescent="0.3">
      <c r="A456" s="832">
        <v>455</v>
      </c>
      <c r="B456" s="833" t="s">
        <v>80</v>
      </c>
      <c r="C456" s="834">
        <v>45663</v>
      </c>
      <c r="D456" s="843" t="s">
        <v>602</v>
      </c>
      <c r="E456" s="836" t="s">
        <v>51</v>
      </c>
      <c r="F456" s="836" t="s">
        <v>10</v>
      </c>
      <c r="G456" s="846">
        <v>45663</v>
      </c>
      <c r="H456" s="832"/>
      <c r="I456" s="839" t="s">
        <v>99</v>
      </c>
      <c r="J456" s="833"/>
      <c r="K456" s="832"/>
      <c r="L456" s="832"/>
      <c r="M456" s="833"/>
      <c r="N456" s="832"/>
      <c r="O456" s="832"/>
      <c r="P456" s="834">
        <v>45672</v>
      </c>
      <c r="Q456" s="833">
        <f t="shared" si="7"/>
        <v>9</v>
      </c>
      <c r="R456" s="836"/>
      <c r="S456" s="832"/>
    </row>
    <row r="457" spans="1:19" ht="43.2" x14ac:dyDescent="0.3">
      <c r="A457" s="832">
        <v>456</v>
      </c>
      <c r="B457" s="841">
        <v>1550</v>
      </c>
      <c r="C457" s="842">
        <v>45664</v>
      </c>
      <c r="D457" s="843" t="s">
        <v>603</v>
      </c>
      <c r="E457" s="837" t="s">
        <v>51</v>
      </c>
      <c r="F457" s="837" t="s">
        <v>8</v>
      </c>
      <c r="G457" s="844">
        <v>45664</v>
      </c>
      <c r="H457" s="845"/>
      <c r="I457" s="845" t="s">
        <v>99</v>
      </c>
      <c r="J457" s="845"/>
      <c r="K457" s="845"/>
      <c r="L457" s="845"/>
      <c r="M457" s="845"/>
      <c r="N457" s="845"/>
      <c r="O457" s="845"/>
      <c r="P457" s="842">
        <v>45672</v>
      </c>
      <c r="Q457" s="833">
        <f t="shared" si="7"/>
        <v>8</v>
      </c>
      <c r="R457" s="836" t="s">
        <v>604</v>
      </c>
      <c r="S457" s="845"/>
    </row>
    <row r="458" spans="1:19" ht="43.2" x14ac:dyDescent="0.3">
      <c r="A458" s="832">
        <v>457</v>
      </c>
      <c r="B458" s="841">
        <v>1550</v>
      </c>
      <c r="C458" s="842">
        <v>45664</v>
      </c>
      <c r="D458" s="843" t="s">
        <v>605</v>
      </c>
      <c r="E458" s="837" t="s">
        <v>51</v>
      </c>
      <c r="F458" s="837" t="s">
        <v>6</v>
      </c>
      <c r="G458" s="844">
        <v>45664</v>
      </c>
      <c r="H458" s="845"/>
      <c r="I458" s="845" t="s">
        <v>99</v>
      </c>
      <c r="J458" s="845"/>
      <c r="K458" s="845"/>
      <c r="L458" s="845"/>
      <c r="M458" s="845"/>
      <c r="N458" s="845"/>
      <c r="O458" s="845"/>
      <c r="P458" s="842">
        <v>45672</v>
      </c>
      <c r="Q458" s="833">
        <f t="shared" si="7"/>
        <v>8</v>
      </c>
      <c r="R458" s="836"/>
      <c r="S458" s="845"/>
    </row>
    <row r="459" spans="1:19" ht="43.2" x14ac:dyDescent="0.3">
      <c r="A459" s="832">
        <v>458</v>
      </c>
      <c r="B459" s="841" t="s">
        <v>80</v>
      </c>
      <c r="C459" s="842">
        <v>45664</v>
      </c>
      <c r="D459" s="840" t="s">
        <v>606</v>
      </c>
      <c r="E459" s="836" t="s">
        <v>51</v>
      </c>
      <c r="F459" s="836" t="s">
        <v>10</v>
      </c>
      <c r="G459" s="846">
        <v>45664</v>
      </c>
      <c r="H459" s="832"/>
      <c r="I459" s="839" t="s">
        <v>99</v>
      </c>
      <c r="J459" s="845"/>
      <c r="K459" s="845"/>
      <c r="L459" s="845"/>
      <c r="M459" s="845"/>
      <c r="N459" s="845"/>
      <c r="O459" s="845"/>
      <c r="P459" s="842">
        <v>45672</v>
      </c>
      <c r="Q459" s="833">
        <f t="shared" si="7"/>
        <v>8</v>
      </c>
      <c r="R459" s="836"/>
      <c r="S459" s="845"/>
    </row>
    <row r="460" spans="1:19" ht="43.2" x14ac:dyDescent="0.3">
      <c r="A460" s="832">
        <v>459</v>
      </c>
      <c r="B460" s="841" t="s">
        <v>80</v>
      </c>
      <c r="C460" s="842">
        <v>45664</v>
      </c>
      <c r="D460" s="840" t="s">
        <v>607</v>
      </c>
      <c r="E460" s="836" t="s">
        <v>51</v>
      </c>
      <c r="F460" s="836" t="s">
        <v>10</v>
      </c>
      <c r="G460" s="846">
        <v>45664</v>
      </c>
      <c r="H460" s="832"/>
      <c r="I460" s="839" t="s">
        <v>99</v>
      </c>
      <c r="J460" s="833"/>
      <c r="K460" s="832"/>
      <c r="L460" s="832"/>
      <c r="M460" s="833"/>
      <c r="N460" s="832"/>
      <c r="O460" s="832"/>
      <c r="P460" s="842">
        <v>45672</v>
      </c>
      <c r="Q460" s="833">
        <f t="shared" si="7"/>
        <v>8</v>
      </c>
      <c r="R460" s="836"/>
      <c r="S460" s="832"/>
    </row>
    <row r="461" spans="1:19" ht="43.2" x14ac:dyDescent="0.3">
      <c r="A461" s="832">
        <v>460</v>
      </c>
      <c r="B461" s="841" t="s">
        <v>80</v>
      </c>
      <c r="C461" s="842">
        <v>45664</v>
      </c>
      <c r="D461" s="840" t="s">
        <v>608</v>
      </c>
      <c r="E461" s="836" t="s">
        <v>51</v>
      </c>
      <c r="F461" s="836" t="s">
        <v>10</v>
      </c>
      <c r="G461" s="846">
        <v>45664</v>
      </c>
      <c r="H461" s="832"/>
      <c r="I461" s="839" t="s">
        <v>99</v>
      </c>
      <c r="J461" s="833"/>
      <c r="K461" s="832"/>
      <c r="L461" s="832"/>
      <c r="M461" s="833"/>
      <c r="N461" s="832"/>
      <c r="O461" s="832"/>
      <c r="P461" s="842">
        <v>45672</v>
      </c>
      <c r="Q461" s="833">
        <f t="shared" si="7"/>
        <v>8</v>
      </c>
      <c r="R461" s="836"/>
      <c r="S461" s="832"/>
    </row>
    <row r="462" spans="1:19" ht="43.2" x14ac:dyDescent="0.3">
      <c r="A462" s="832">
        <v>461</v>
      </c>
      <c r="B462" s="841" t="s">
        <v>80</v>
      </c>
      <c r="C462" s="842">
        <v>45664</v>
      </c>
      <c r="D462" s="840" t="s">
        <v>609</v>
      </c>
      <c r="E462" s="836" t="s">
        <v>51</v>
      </c>
      <c r="F462" s="836" t="s">
        <v>10</v>
      </c>
      <c r="G462" s="846">
        <v>45664</v>
      </c>
      <c r="H462" s="832"/>
      <c r="I462" s="839" t="s">
        <v>99</v>
      </c>
      <c r="J462" s="833"/>
      <c r="K462" s="832"/>
      <c r="L462" s="832"/>
      <c r="M462" s="833"/>
      <c r="N462" s="832"/>
      <c r="O462" s="832"/>
      <c r="P462" s="842">
        <v>45672</v>
      </c>
      <c r="Q462" s="833">
        <f t="shared" si="7"/>
        <v>8</v>
      </c>
      <c r="R462" s="836"/>
      <c r="S462" s="832"/>
    </row>
    <row r="463" spans="1:19" ht="43.2" x14ac:dyDescent="0.3">
      <c r="A463" s="832">
        <v>462</v>
      </c>
      <c r="B463" s="841" t="s">
        <v>80</v>
      </c>
      <c r="C463" s="842">
        <v>45664</v>
      </c>
      <c r="D463" s="840" t="s">
        <v>610</v>
      </c>
      <c r="E463" s="836" t="s">
        <v>51</v>
      </c>
      <c r="F463" s="836" t="s">
        <v>10</v>
      </c>
      <c r="G463" s="846">
        <v>45664</v>
      </c>
      <c r="H463" s="832"/>
      <c r="I463" s="839" t="s">
        <v>99</v>
      </c>
      <c r="J463" s="833"/>
      <c r="K463" s="832"/>
      <c r="L463" s="832"/>
      <c r="M463" s="833"/>
      <c r="N463" s="832"/>
      <c r="O463" s="832"/>
      <c r="P463" s="842">
        <v>45672</v>
      </c>
      <c r="Q463" s="833">
        <f t="shared" si="7"/>
        <v>8</v>
      </c>
      <c r="R463" s="836"/>
      <c r="S463" s="832"/>
    </row>
    <row r="464" spans="1:19" ht="43.2" x14ac:dyDescent="0.3">
      <c r="A464" s="832">
        <v>463</v>
      </c>
      <c r="B464" s="833">
        <v>1550</v>
      </c>
      <c r="C464" s="834">
        <v>45664</v>
      </c>
      <c r="D464" s="835" t="s">
        <v>611</v>
      </c>
      <c r="E464" s="836" t="s">
        <v>51</v>
      </c>
      <c r="F464" s="836" t="s">
        <v>8</v>
      </c>
      <c r="G464" s="838">
        <v>45664</v>
      </c>
      <c r="H464" s="832"/>
      <c r="I464" s="839" t="s">
        <v>99</v>
      </c>
      <c r="J464" s="833"/>
      <c r="K464" s="832"/>
      <c r="L464" s="832"/>
      <c r="M464" s="833"/>
      <c r="N464" s="832"/>
      <c r="O464" s="832"/>
      <c r="P464" s="834">
        <v>45672</v>
      </c>
      <c r="Q464" s="833">
        <f t="shared" si="7"/>
        <v>8</v>
      </c>
      <c r="R464" s="836"/>
      <c r="S464" s="832"/>
    </row>
    <row r="465" spans="1:19" ht="43.2" x14ac:dyDescent="0.3">
      <c r="A465" s="832">
        <v>464</v>
      </c>
      <c r="B465" s="833">
        <v>1550</v>
      </c>
      <c r="C465" s="834">
        <v>45665</v>
      </c>
      <c r="D465" s="840" t="s">
        <v>612</v>
      </c>
      <c r="E465" s="836" t="s">
        <v>51</v>
      </c>
      <c r="F465" s="836" t="s">
        <v>6</v>
      </c>
      <c r="G465" s="846">
        <v>45665</v>
      </c>
      <c r="H465" s="832"/>
      <c r="I465" s="839" t="s">
        <v>99</v>
      </c>
      <c r="J465" s="833"/>
      <c r="K465" s="832"/>
      <c r="L465" s="832"/>
      <c r="M465" s="833"/>
      <c r="N465" s="832"/>
      <c r="O465" s="832"/>
      <c r="P465" s="834">
        <v>45672</v>
      </c>
      <c r="Q465" s="833">
        <f t="shared" si="7"/>
        <v>7</v>
      </c>
      <c r="R465" s="836"/>
      <c r="S465" s="832"/>
    </row>
    <row r="466" spans="1:19" ht="43.2" x14ac:dyDescent="0.3">
      <c r="A466" s="832">
        <v>465</v>
      </c>
      <c r="B466" s="833" t="s">
        <v>80</v>
      </c>
      <c r="C466" s="834">
        <v>45665</v>
      </c>
      <c r="D466" s="840" t="s">
        <v>613</v>
      </c>
      <c r="E466" s="836" t="s">
        <v>51</v>
      </c>
      <c r="F466" s="836" t="s">
        <v>10</v>
      </c>
      <c r="G466" s="846">
        <v>45665</v>
      </c>
      <c r="H466" s="832"/>
      <c r="I466" s="839" t="s">
        <v>99</v>
      </c>
      <c r="J466" s="833"/>
      <c r="K466" s="832"/>
      <c r="L466" s="832"/>
      <c r="M466" s="833"/>
      <c r="N466" s="832"/>
      <c r="O466" s="832"/>
      <c r="P466" s="834">
        <v>45672</v>
      </c>
      <c r="Q466" s="833">
        <f t="shared" si="7"/>
        <v>7</v>
      </c>
      <c r="R466" s="836"/>
      <c r="S466" s="832"/>
    </row>
    <row r="467" spans="1:19" ht="43.2" x14ac:dyDescent="0.3">
      <c r="A467" s="832">
        <v>466</v>
      </c>
      <c r="B467" s="833" t="s">
        <v>80</v>
      </c>
      <c r="C467" s="834">
        <v>45665</v>
      </c>
      <c r="D467" s="840" t="s">
        <v>614</v>
      </c>
      <c r="E467" s="836" t="s">
        <v>51</v>
      </c>
      <c r="F467" s="836" t="s">
        <v>10</v>
      </c>
      <c r="G467" s="846">
        <v>45665</v>
      </c>
      <c r="H467" s="832"/>
      <c r="I467" s="839" t="s">
        <v>99</v>
      </c>
      <c r="J467" s="845"/>
      <c r="K467" s="845"/>
      <c r="L467" s="845"/>
      <c r="M467" s="845"/>
      <c r="N467" s="845"/>
      <c r="O467" s="845"/>
      <c r="P467" s="834">
        <v>45672</v>
      </c>
      <c r="Q467" s="833">
        <f t="shared" si="7"/>
        <v>7</v>
      </c>
      <c r="R467" s="836"/>
      <c r="S467" s="845"/>
    </row>
    <row r="468" spans="1:19" ht="43.2" x14ac:dyDescent="0.3">
      <c r="A468" s="832">
        <v>467</v>
      </c>
      <c r="B468" s="833" t="s">
        <v>80</v>
      </c>
      <c r="C468" s="834">
        <v>45665</v>
      </c>
      <c r="D468" s="840" t="s">
        <v>615</v>
      </c>
      <c r="E468" s="836" t="s">
        <v>51</v>
      </c>
      <c r="F468" s="836" t="s">
        <v>10</v>
      </c>
      <c r="G468" s="846">
        <v>45665</v>
      </c>
      <c r="H468" s="832"/>
      <c r="I468" s="839" t="s">
        <v>99</v>
      </c>
      <c r="J468" s="833"/>
      <c r="K468" s="832"/>
      <c r="L468" s="832"/>
      <c r="M468" s="833"/>
      <c r="N468" s="832"/>
      <c r="O468" s="832"/>
      <c r="P468" s="834">
        <v>45672</v>
      </c>
      <c r="Q468" s="833">
        <f t="shared" si="7"/>
        <v>7</v>
      </c>
      <c r="R468" s="836"/>
      <c r="S468" s="832"/>
    </row>
    <row r="469" spans="1:19" ht="43.2" x14ac:dyDescent="0.3">
      <c r="A469" s="832">
        <v>468</v>
      </c>
      <c r="B469" s="833" t="s">
        <v>80</v>
      </c>
      <c r="C469" s="834">
        <v>45665</v>
      </c>
      <c r="D469" s="840" t="s">
        <v>616</v>
      </c>
      <c r="E469" s="836" t="s">
        <v>51</v>
      </c>
      <c r="F469" s="836" t="s">
        <v>10</v>
      </c>
      <c r="G469" s="846">
        <v>45665</v>
      </c>
      <c r="H469" s="832"/>
      <c r="I469" s="839" t="s">
        <v>99</v>
      </c>
      <c r="J469" s="833"/>
      <c r="K469" s="832"/>
      <c r="L469" s="832"/>
      <c r="M469" s="833"/>
      <c r="N469" s="832"/>
      <c r="O469" s="832"/>
      <c r="P469" s="834">
        <v>45672</v>
      </c>
      <c r="Q469" s="833">
        <f t="shared" si="7"/>
        <v>7</v>
      </c>
      <c r="R469" s="836"/>
      <c r="S469" s="832"/>
    </row>
    <row r="470" spans="1:19" ht="43.2" x14ac:dyDescent="0.3">
      <c r="A470" s="832">
        <v>469</v>
      </c>
      <c r="B470" s="833" t="s">
        <v>80</v>
      </c>
      <c r="C470" s="834">
        <v>45665</v>
      </c>
      <c r="D470" s="840" t="s">
        <v>617</v>
      </c>
      <c r="E470" s="836" t="s">
        <v>51</v>
      </c>
      <c r="F470" s="836" t="s">
        <v>10</v>
      </c>
      <c r="G470" s="846">
        <v>45665</v>
      </c>
      <c r="H470" s="832"/>
      <c r="I470" s="839" t="s">
        <v>99</v>
      </c>
      <c r="J470" s="833"/>
      <c r="K470" s="832"/>
      <c r="L470" s="832"/>
      <c r="M470" s="833"/>
      <c r="N470" s="832"/>
      <c r="O470" s="832"/>
      <c r="P470" s="834">
        <v>45672</v>
      </c>
      <c r="Q470" s="833">
        <f t="shared" si="7"/>
        <v>7</v>
      </c>
      <c r="R470" s="836"/>
      <c r="S470" s="832"/>
    </row>
    <row r="471" spans="1:19" ht="172.8" x14ac:dyDescent="0.3">
      <c r="A471" s="832">
        <v>470</v>
      </c>
      <c r="B471" s="833" t="s">
        <v>80</v>
      </c>
      <c r="C471" s="834">
        <v>45665</v>
      </c>
      <c r="D471" s="840" t="s">
        <v>618</v>
      </c>
      <c r="E471" s="836" t="s">
        <v>1</v>
      </c>
      <c r="F471" s="836" t="s">
        <v>10</v>
      </c>
      <c r="G471" s="846">
        <v>45665</v>
      </c>
      <c r="H471" s="832"/>
      <c r="I471" s="839" t="s">
        <v>125</v>
      </c>
      <c r="J471" s="833"/>
      <c r="K471" s="832"/>
      <c r="L471" s="832"/>
      <c r="M471" s="833"/>
      <c r="N471" s="832"/>
      <c r="O471" s="832"/>
      <c r="P471" s="834">
        <v>45672</v>
      </c>
      <c r="Q471" s="833">
        <f t="shared" si="7"/>
        <v>7</v>
      </c>
      <c r="R471" s="836"/>
      <c r="S471" s="832"/>
    </row>
    <row r="472" spans="1:19" ht="57.6" x14ac:dyDescent="0.3">
      <c r="A472" s="832">
        <v>471</v>
      </c>
      <c r="B472" s="833" t="s">
        <v>80</v>
      </c>
      <c r="C472" s="834">
        <v>45665</v>
      </c>
      <c r="D472" s="840" t="s">
        <v>619</v>
      </c>
      <c r="E472" s="836" t="s">
        <v>17</v>
      </c>
      <c r="F472" s="836" t="s">
        <v>10</v>
      </c>
      <c r="G472" s="846">
        <v>45665</v>
      </c>
      <c r="H472" s="832"/>
      <c r="I472" s="849" t="s">
        <v>82</v>
      </c>
      <c r="J472" s="833"/>
      <c r="K472" s="832"/>
      <c r="L472" s="832"/>
      <c r="M472" s="833"/>
      <c r="N472" s="832"/>
      <c r="O472" s="832"/>
      <c r="P472" s="834">
        <v>45672</v>
      </c>
      <c r="Q472" s="833">
        <f t="shared" si="7"/>
        <v>7</v>
      </c>
      <c r="R472" s="836"/>
      <c r="S472" s="832"/>
    </row>
    <row r="473" spans="1:19" ht="43.2" x14ac:dyDescent="0.3">
      <c r="A473" s="832">
        <v>472</v>
      </c>
      <c r="B473" s="833" t="s">
        <v>80</v>
      </c>
      <c r="C473" s="834">
        <v>45665</v>
      </c>
      <c r="D473" s="840" t="s">
        <v>620</v>
      </c>
      <c r="E473" s="836" t="s">
        <v>51</v>
      </c>
      <c r="F473" s="836" t="s">
        <v>10</v>
      </c>
      <c r="G473" s="846">
        <v>45665</v>
      </c>
      <c r="H473" s="832"/>
      <c r="I473" s="839" t="s">
        <v>99</v>
      </c>
      <c r="J473" s="833"/>
      <c r="K473" s="832"/>
      <c r="L473" s="832"/>
      <c r="M473" s="833"/>
      <c r="N473" s="832"/>
      <c r="O473" s="832"/>
      <c r="P473" s="834">
        <v>45672</v>
      </c>
      <c r="Q473" s="833">
        <f t="shared" si="7"/>
        <v>7</v>
      </c>
      <c r="R473" s="836"/>
      <c r="S473" s="832"/>
    </row>
    <row r="474" spans="1:19" ht="43.2" x14ac:dyDescent="0.3">
      <c r="A474" s="832">
        <v>473</v>
      </c>
      <c r="B474" s="841">
        <v>1550</v>
      </c>
      <c r="C474" s="842">
        <v>45666</v>
      </c>
      <c r="D474" s="843" t="s">
        <v>621</v>
      </c>
      <c r="E474" s="836" t="s">
        <v>51</v>
      </c>
      <c r="F474" s="836" t="s">
        <v>6</v>
      </c>
      <c r="G474" s="846">
        <v>45666</v>
      </c>
      <c r="H474" s="832"/>
      <c r="I474" s="839" t="s">
        <v>99</v>
      </c>
      <c r="J474" s="833"/>
      <c r="K474" s="832"/>
      <c r="L474" s="832"/>
      <c r="M474" s="833"/>
      <c r="N474" s="832"/>
      <c r="O474" s="832"/>
      <c r="P474" s="834">
        <v>45672</v>
      </c>
      <c r="Q474" s="833">
        <f t="shared" si="7"/>
        <v>6</v>
      </c>
      <c r="R474" s="836"/>
      <c r="S474" s="845"/>
    </row>
    <row r="475" spans="1:19" ht="43.2" x14ac:dyDescent="0.3">
      <c r="A475" s="832">
        <v>474</v>
      </c>
      <c r="B475" s="841">
        <v>1550</v>
      </c>
      <c r="C475" s="842">
        <v>45666</v>
      </c>
      <c r="D475" s="843" t="s">
        <v>622</v>
      </c>
      <c r="E475" s="837" t="s">
        <v>51</v>
      </c>
      <c r="F475" s="837" t="s">
        <v>8</v>
      </c>
      <c r="G475" s="844">
        <v>45667</v>
      </c>
      <c r="H475" s="845"/>
      <c r="I475" s="845" t="s">
        <v>99</v>
      </c>
      <c r="J475" s="845"/>
      <c r="K475" s="845"/>
      <c r="L475" s="845"/>
      <c r="M475" s="845"/>
      <c r="N475" s="845"/>
      <c r="O475" s="845"/>
      <c r="P475" s="842">
        <v>45672</v>
      </c>
      <c r="Q475" s="833">
        <f t="shared" si="7"/>
        <v>5</v>
      </c>
      <c r="R475" s="836"/>
      <c r="S475" s="845"/>
    </row>
    <row r="476" spans="1:19" ht="115.2" x14ac:dyDescent="0.3">
      <c r="A476" s="832">
        <v>475</v>
      </c>
      <c r="B476" s="841" t="s">
        <v>301</v>
      </c>
      <c r="C476" s="842">
        <v>45666</v>
      </c>
      <c r="D476" s="840" t="s">
        <v>623</v>
      </c>
      <c r="E476" s="836" t="s">
        <v>1</v>
      </c>
      <c r="F476" s="837" t="s">
        <v>10</v>
      </c>
      <c r="G476" s="844">
        <v>45666</v>
      </c>
      <c r="H476" s="832"/>
      <c r="I476" s="839" t="s">
        <v>125</v>
      </c>
      <c r="J476" s="833"/>
      <c r="K476" s="832"/>
      <c r="L476" s="832"/>
      <c r="M476" s="833"/>
      <c r="N476" s="832"/>
      <c r="O476" s="832"/>
      <c r="P476" s="834">
        <v>45672</v>
      </c>
      <c r="Q476" s="833">
        <f t="shared" si="7"/>
        <v>6</v>
      </c>
      <c r="R476" s="836"/>
      <c r="S476" s="832"/>
    </row>
    <row r="477" spans="1:19" ht="43.2" x14ac:dyDescent="0.3">
      <c r="A477" s="832">
        <v>476</v>
      </c>
      <c r="B477" s="841" t="s">
        <v>80</v>
      </c>
      <c r="C477" s="842">
        <v>45666</v>
      </c>
      <c r="D477" s="840" t="s">
        <v>624</v>
      </c>
      <c r="E477" s="837" t="s">
        <v>51</v>
      </c>
      <c r="F477" s="837" t="s">
        <v>10</v>
      </c>
      <c r="G477" s="844">
        <v>45666</v>
      </c>
      <c r="H477" s="845"/>
      <c r="I477" s="845" t="s">
        <v>99</v>
      </c>
      <c r="J477" s="833"/>
      <c r="K477" s="832"/>
      <c r="L477" s="832"/>
      <c r="M477" s="833"/>
      <c r="N477" s="832"/>
      <c r="O477" s="832"/>
      <c r="P477" s="834">
        <v>45672</v>
      </c>
      <c r="Q477" s="833">
        <f t="shared" si="7"/>
        <v>6</v>
      </c>
      <c r="R477" s="836"/>
      <c r="S477" s="832"/>
    </row>
    <row r="478" spans="1:19" ht="43.2" x14ac:dyDescent="0.3">
      <c r="A478" s="832">
        <v>477</v>
      </c>
      <c r="B478" s="841" t="s">
        <v>80</v>
      </c>
      <c r="C478" s="842">
        <v>45666</v>
      </c>
      <c r="D478" s="840" t="s">
        <v>625</v>
      </c>
      <c r="E478" s="837" t="s">
        <v>51</v>
      </c>
      <c r="F478" s="837" t="s">
        <v>10</v>
      </c>
      <c r="G478" s="844">
        <v>45666</v>
      </c>
      <c r="H478" s="845"/>
      <c r="I478" s="845" t="s">
        <v>99</v>
      </c>
      <c r="J478" s="833"/>
      <c r="K478" s="832"/>
      <c r="L478" s="832"/>
      <c r="M478" s="833"/>
      <c r="N478" s="832"/>
      <c r="O478" s="832"/>
      <c r="P478" s="834">
        <v>45672</v>
      </c>
      <c r="Q478" s="833">
        <f t="shared" si="7"/>
        <v>6</v>
      </c>
      <c r="R478" s="836"/>
      <c r="S478" s="832"/>
    </row>
    <row r="479" spans="1:19" ht="129.6" x14ac:dyDescent="0.3">
      <c r="A479" s="832">
        <v>478</v>
      </c>
      <c r="B479" s="841" t="s">
        <v>80</v>
      </c>
      <c r="C479" s="842">
        <v>45666</v>
      </c>
      <c r="D479" s="840" t="s">
        <v>626</v>
      </c>
      <c r="E479" s="836" t="s">
        <v>1</v>
      </c>
      <c r="F479" s="837" t="s">
        <v>10</v>
      </c>
      <c r="G479" s="844">
        <v>45666</v>
      </c>
      <c r="H479" s="845"/>
      <c r="I479" s="845" t="s">
        <v>125</v>
      </c>
      <c r="J479" s="845"/>
      <c r="K479" s="845"/>
      <c r="L479" s="845"/>
      <c r="M479" s="845"/>
      <c r="N479" s="845"/>
      <c r="O479" s="845"/>
      <c r="P479" s="834">
        <v>45672</v>
      </c>
      <c r="Q479" s="833">
        <f t="shared" si="7"/>
        <v>6</v>
      </c>
      <c r="R479" s="836"/>
      <c r="S479" s="845"/>
    </row>
    <row r="480" spans="1:19" ht="43.2" x14ac:dyDescent="0.3">
      <c r="A480" s="832">
        <v>479</v>
      </c>
      <c r="B480" s="841" t="s">
        <v>80</v>
      </c>
      <c r="C480" s="842">
        <v>45666</v>
      </c>
      <c r="D480" s="840" t="s">
        <v>627</v>
      </c>
      <c r="E480" s="837" t="s">
        <v>51</v>
      </c>
      <c r="F480" s="837" t="s">
        <v>10</v>
      </c>
      <c r="G480" s="844">
        <v>45666</v>
      </c>
      <c r="H480" s="845"/>
      <c r="I480" s="845" t="s">
        <v>99</v>
      </c>
      <c r="J480" s="845"/>
      <c r="K480" s="845"/>
      <c r="L480" s="845"/>
      <c r="M480" s="845"/>
      <c r="N480" s="845"/>
      <c r="O480" s="845"/>
      <c r="P480" s="834">
        <v>45672</v>
      </c>
      <c r="Q480" s="833">
        <f t="shared" si="7"/>
        <v>6</v>
      </c>
      <c r="R480" s="836"/>
      <c r="S480" s="845"/>
    </row>
    <row r="481" spans="1:19" ht="43.2" x14ac:dyDescent="0.3">
      <c r="A481" s="832">
        <v>480</v>
      </c>
      <c r="B481" s="841">
        <v>1550</v>
      </c>
      <c r="C481" s="842">
        <v>45667</v>
      </c>
      <c r="D481" s="843" t="s">
        <v>628</v>
      </c>
      <c r="E481" s="836" t="s">
        <v>51</v>
      </c>
      <c r="F481" s="837" t="s">
        <v>8</v>
      </c>
      <c r="G481" s="844">
        <v>45667</v>
      </c>
      <c r="H481" s="845"/>
      <c r="I481" s="845" t="s">
        <v>99</v>
      </c>
      <c r="J481" s="845"/>
      <c r="K481" s="845"/>
      <c r="L481" s="845"/>
      <c r="M481" s="845"/>
      <c r="N481" s="845"/>
      <c r="O481" s="845"/>
      <c r="P481" s="842">
        <v>45672</v>
      </c>
      <c r="Q481" s="833">
        <f t="shared" si="7"/>
        <v>5</v>
      </c>
      <c r="R481" s="836"/>
      <c r="S481" s="845"/>
    </row>
    <row r="482" spans="1:19" ht="28.8" x14ac:dyDescent="0.3">
      <c r="A482" s="832">
        <v>481</v>
      </c>
      <c r="B482" s="833">
        <v>1550</v>
      </c>
      <c r="C482" s="834">
        <v>45667</v>
      </c>
      <c r="D482" s="840" t="s">
        <v>629</v>
      </c>
      <c r="E482" s="836" t="s">
        <v>1</v>
      </c>
      <c r="F482" s="836" t="s">
        <v>8</v>
      </c>
      <c r="G482" s="838">
        <v>45667</v>
      </c>
      <c r="H482" s="832"/>
      <c r="I482" s="839" t="s">
        <v>129</v>
      </c>
      <c r="J482" s="833"/>
      <c r="K482" s="832"/>
      <c r="L482" s="832"/>
      <c r="M482" s="833"/>
      <c r="N482" s="832"/>
      <c r="O482" s="832"/>
      <c r="P482" s="834">
        <v>45672</v>
      </c>
      <c r="Q482" s="833">
        <f t="shared" si="7"/>
        <v>5</v>
      </c>
      <c r="R482" s="836" t="s">
        <v>151</v>
      </c>
      <c r="S482" s="832"/>
    </row>
    <row r="483" spans="1:19" ht="43.2" x14ac:dyDescent="0.3">
      <c r="A483" s="832">
        <v>482</v>
      </c>
      <c r="B483" s="833">
        <v>1550</v>
      </c>
      <c r="C483" s="834">
        <v>45667</v>
      </c>
      <c r="D483" s="835" t="s">
        <v>630</v>
      </c>
      <c r="E483" s="836" t="s">
        <v>51</v>
      </c>
      <c r="F483" s="836" t="s">
        <v>8</v>
      </c>
      <c r="G483" s="838">
        <v>45667</v>
      </c>
      <c r="H483" s="832"/>
      <c r="I483" s="845" t="s">
        <v>99</v>
      </c>
      <c r="J483" s="833"/>
      <c r="K483" s="832"/>
      <c r="L483" s="832"/>
      <c r="M483" s="833"/>
      <c r="N483" s="832"/>
      <c r="O483" s="832"/>
      <c r="P483" s="834">
        <v>45672</v>
      </c>
      <c r="Q483" s="833">
        <f t="shared" si="7"/>
        <v>5</v>
      </c>
      <c r="R483" s="836"/>
      <c r="S483" s="832"/>
    </row>
    <row r="484" spans="1:19" ht="43.2" x14ac:dyDescent="0.3">
      <c r="A484" s="832">
        <v>483</v>
      </c>
      <c r="B484" s="833" t="s">
        <v>80</v>
      </c>
      <c r="C484" s="834">
        <v>45667</v>
      </c>
      <c r="D484" s="840" t="s">
        <v>631</v>
      </c>
      <c r="E484" s="837" t="s">
        <v>51</v>
      </c>
      <c r="F484" s="837" t="s">
        <v>10</v>
      </c>
      <c r="G484" s="838">
        <v>45667</v>
      </c>
      <c r="H484" s="845"/>
      <c r="I484" s="845" t="s">
        <v>99</v>
      </c>
      <c r="J484" s="833"/>
      <c r="K484" s="832"/>
      <c r="L484" s="832"/>
      <c r="M484" s="833"/>
      <c r="N484" s="832"/>
      <c r="O484" s="832"/>
      <c r="P484" s="834">
        <v>45672</v>
      </c>
      <c r="Q484" s="833">
        <f t="shared" si="7"/>
        <v>5</v>
      </c>
      <c r="R484" s="836"/>
      <c r="S484" s="832"/>
    </row>
    <row r="485" spans="1:19" ht="43.2" x14ac:dyDescent="0.3">
      <c r="A485" s="832">
        <v>484</v>
      </c>
      <c r="B485" s="833" t="s">
        <v>80</v>
      </c>
      <c r="C485" s="834">
        <v>45667</v>
      </c>
      <c r="D485" s="840" t="s">
        <v>632</v>
      </c>
      <c r="E485" s="837" t="s">
        <v>51</v>
      </c>
      <c r="F485" s="837" t="s">
        <v>10</v>
      </c>
      <c r="G485" s="838">
        <v>45667</v>
      </c>
      <c r="H485" s="845"/>
      <c r="I485" s="845" t="s">
        <v>99</v>
      </c>
      <c r="J485" s="833"/>
      <c r="K485" s="832"/>
      <c r="L485" s="832"/>
      <c r="M485" s="833"/>
      <c r="N485" s="832"/>
      <c r="O485" s="832"/>
      <c r="P485" s="834">
        <v>45672</v>
      </c>
      <c r="Q485" s="833">
        <f t="shared" si="7"/>
        <v>5</v>
      </c>
      <c r="R485" s="836"/>
      <c r="S485" s="832"/>
    </row>
    <row r="486" spans="1:19" ht="43.2" x14ac:dyDescent="0.3">
      <c r="A486" s="832">
        <v>485</v>
      </c>
      <c r="B486" s="833" t="s">
        <v>80</v>
      </c>
      <c r="C486" s="834">
        <v>45667</v>
      </c>
      <c r="D486" s="840" t="s">
        <v>633</v>
      </c>
      <c r="E486" s="837" t="s">
        <v>51</v>
      </c>
      <c r="F486" s="837" t="s">
        <v>10</v>
      </c>
      <c r="G486" s="838">
        <v>45667</v>
      </c>
      <c r="H486" s="845"/>
      <c r="I486" s="845" t="s">
        <v>99</v>
      </c>
      <c r="J486" s="833"/>
      <c r="K486" s="832"/>
      <c r="L486" s="832"/>
      <c r="M486" s="833"/>
      <c r="N486" s="832"/>
      <c r="O486" s="832"/>
      <c r="P486" s="834">
        <v>45672</v>
      </c>
      <c r="Q486" s="833">
        <f t="shared" si="7"/>
        <v>5</v>
      </c>
      <c r="R486" s="836"/>
      <c r="S486" s="832"/>
    </row>
    <row r="487" spans="1:19" ht="43.2" x14ac:dyDescent="0.3">
      <c r="A487" s="832">
        <v>486</v>
      </c>
      <c r="B487" s="833" t="s">
        <v>80</v>
      </c>
      <c r="C487" s="834">
        <v>45667</v>
      </c>
      <c r="D487" s="840" t="s">
        <v>634</v>
      </c>
      <c r="E487" s="837" t="s">
        <v>51</v>
      </c>
      <c r="F487" s="837" t="s">
        <v>10</v>
      </c>
      <c r="G487" s="838">
        <v>45667</v>
      </c>
      <c r="H487" s="845"/>
      <c r="I487" s="845" t="s">
        <v>99</v>
      </c>
      <c r="J487" s="833"/>
      <c r="K487" s="832"/>
      <c r="L487" s="832"/>
      <c r="M487" s="833"/>
      <c r="N487" s="832"/>
      <c r="O487" s="832"/>
      <c r="P487" s="834">
        <v>45672</v>
      </c>
      <c r="Q487" s="833">
        <f t="shared" si="7"/>
        <v>5</v>
      </c>
      <c r="R487" s="836"/>
      <c r="S487" s="832"/>
    </row>
    <row r="488" spans="1:19" ht="43.2" x14ac:dyDescent="0.3">
      <c r="A488" s="832">
        <v>487</v>
      </c>
      <c r="B488" s="833">
        <v>1550</v>
      </c>
      <c r="C488" s="834">
        <v>45670</v>
      </c>
      <c r="D488" s="835" t="s">
        <v>635</v>
      </c>
      <c r="E488" s="836" t="s">
        <v>51</v>
      </c>
      <c r="F488" s="836" t="s">
        <v>8</v>
      </c>
      <c r="G488" s="838">
        <v>45670</v>
      </c>
      <c r="H488" s="832"/>
      <c r="I488" s="839" t="s">
        <v>99</v>
      </c>
      <c r="J488" s="833"/>
      <c r="K488" s="832"/>
      <c r="L488" s="832"/>
      <c r="M488" s="833"/>
      <c r="N488" s="832"/>
      <c r="O488" s="832"/>
      <c r="P488" s="834">
        <v>45672</v>
      </c>
      <c r="Q488" s="833">
        <f t="shared" si="7"/>
        <v>2</v>
      </c>
      <c r="R488" s="836"/>
      <c r="S488" s="832"/>
    </row>
    <row r="489" spans="1:19" ht="43.2" x14ac:dyDescent="0.3">
      <c r="A489" s="832">
        <v>488</v>
      </c>
      <c r="B489" s="833">
        <v>1550</v>
      </c>
      <c r="C489" s="834">
        <v>45670</v>
      </c>
      <c r="D489" s="835" t="s">
        <v>636</v>
      </c>
      <c r="E489" s="836" t="s">
        <v>21</v>
      </c>
      <c r="F489" s="836" t="s">
        <v>6</v>
      </c>
      <c r="G489" s="838">
        <v>45670</v>
      </c>
      <c r="H489" s="832"/>
      <c r="I489" s="839" t="s">
        <v>258</v>
      </c>
      <c r="J489" s="833"/>
      <c r="K489" s="832"/>
      <c r="L489" s="832"/>
      <c r="M489" s="833"/>
      <c r="N489" s="832"/>
      <c r="O489" s="832"/>
      <c r="P489" s="834">
        <v>45672</v>
      </c>
      <c r="Q489" s="833">
        <f t="shared" si="7"/>
        <v>2</v>
      </c>
      <c r="R489" s="836"/>
      <c r="S489" s="832"/>
    </row>
    <row r="490" spans="1:19" ht="43.2" x14ac:dyDescent="0.3">
      <c r="A490" s="832">
        <v>489</v>
      </c>
      <c r="B490" s="833">
        <v>1550</v>
      </c>
      <c r="C490" s="834">
        <v>45670</v>
      </c>
      <c r="D490" s="835" t="s">
        <v>637</v>
      </c>
      <c r="E490" s="836" t="s">
        <v>51</v>
      </c>
      <c r="F490" s="836" t="s">
        <v>8</v>
      </c>
      <c r="G490" s="838">
        <v>45670</v>
      </c>
      <c r="H490" s="832"/>
      <c r="I490" s="839" t="s">
        <v>99</v>
      </c>
      <c r="J490" s="833"/>
      <c r="K490" s="832"/>
      <c r="L490" s="832"/>
      <c r="M490" s="833"/>
      <c r="N490" s="832"/>
      <c r="O490" s="832"/>
      <c r="P490" s="834">
        <v>45672</v>
      </c>
      <c r="Q490" s="833">
        <f t="shared" si="7"/>
        <v>2</v>
      </c>
      <c r="R490" s="836"/>
      <c r="S490" s="832"/>
    </row>
    <row r="491" spans="1:19" ht="43.2" x14ac:dyDescent="0.3">
      <c r="A491" s="832">
        <v>490</v>
      </c>
      <c r="B491" s="833" t="s">
        <v>80</v>
      </c>
      <c r="C491" s="834">
        <v>45670</v>
      </c>
      <c r="D491" s="835" t="s">
        <v>638</v>
      </c>
      <c r="E491" s="837" t="s">
        <v>51</v>
      </c>
      <c r="F491" s="837" t="s">
        <v>10</v>
      </c>
      <c r="G491" s="838">
        <v>45670</v>
      </c>
      <c r="H491" s="845"/>
      <c r="I491" s="845" t="s">
        <v>99</v>
      </c>
      <c r="J491" s="833"/>
      <c r="K491" s="832"/>
      <c r="L491" s="832"/>
      <c r="M491" s="833"/>
      <c r="N491" s="832"/>
      <c r="O491" s="832"/>
      <c r="P491" s="834">
        <v>45672</v>
      </c>
      <c r="Q491" s="833">
        <f t="shared" si="7"/>
        <v>2</v>
      </c>
      <c r="R491" s="836"/>
      <c r="S491" s="832"/>
    </row>
    <row r="492" spans="1:19" ht="86.4" x14ac:dyDescent="0.3">
      <c r="A492" s="832">
        <v>491</v>
      </c>
      <c r="B492" s="833" t="s">
        <v>80</v>
      </c>
      <c r="C492" s="834">
        <v>45670</v>
      </c>
      <c r="D492" s="835" t="s">
        <v>639</v>
      </c>
      <c r="E492" s="836" t="s">
        <v>17</v>
      </c>
      <c r="F492" s="837" t="s">
        <v>10</v>
      </c>
      <c r="G492" s="838">
        <v>45670</v>
      </c>
      <c r="H492" s="832"/>
      <c r="I492" s="849" t="s">
        <v>82</v>
      </c>
      <c r="J492" s="833"/>
      <c r="K492" s="832"/>
      <c r="L492" s="832"/>
      <c r="M492" s="833"/>
      <c r="N492" s="832"/>
      <c r="O492" s="832"/>
      <c r="P492" s="834">
        <v>45672</v>
      </c>
      <c r="Q492" s="833">
        <f t="shared" si="7"/>
        <v>2</v>
      </c>
      <c r="R492" s="836"/>
      <c r="S492" s="832"/>
    </row>
    <row r="493" spans="1:19" ht="43.2" x14ac:dyDescent="0.3">
      <c r="A493" s="832">
        <v>492</v>
      </c>
      <c r="B493" s="833" t="s">
        <v>80</v>
      </c>
      <c r="C493" s="834">
        <v>45670</v>
      </c>
      <c r="D493" s="835" t="s">
        <v>640</v>
      </c>
      <c r="E493" s="837" t="s">
        <v>51</v>
      </c>
      <c r="F493" s="837" t="s">
        <v>10</v>
      </c>
      <c r="G493" s="838">
        <v>45670</v>
      </c>
      <c r="H493" s="845"/>
      <c r="I493" s="845" t="s">
        <v>99</v>
      </c>
      <c r="J493" s="833"/>
      <c r="K493" s="832"/>
      <c r="L493" s="832"/>
      <c r="M493" s="833"/>
      <c r="N493" s="832"/>
      <c r="O493" s="832"/>
      <c r="P493" s="834">
        <v>45672</v>
      </c>
      <c r="Q493" s="833">
        <f t="shared" si="7"/>
        <v>2</v>
      </c>
      <c r="R493" s="836"/>
      <c r="S493" s="832"/>
    </row>
    <row r="494" spans="1:19" ht="43.2" x14ac:dyDescent="0.3">
      <c r="A494" s="832">
        <v>493</v>
      </c>
      <c r="B494" s="833" t="s">
        <v>80</v>
      </c>
      <c r="C494" s="834">
        <v>45670</v>
      </c>
      <c r="D494" s="835" t="s">
        <v>641</v>
      </c>
      <c r="E494" s="837" t="s">
        <v>51</v>
      </c>
      <c r="F494" s="837" t="s">
        <v>10</v>
      </c>
      <c r="G494" s="838">
        <v>45670</v>
      </c>
      <c r="H494" s="845"/>
      <c r="I494" s="845" t="s">
        <v>99</v>
      </c>
      <c r="J494" s="845"/>
      <c r="K494" s="845"/>
      <c r="L494" s="845"/>
      <c r="M494" s="845"/>
      <c r="N494" s="845"/>
      <c r="O494" s="845"/>
      <c r="P494" s="834">
        <v>45672</v>
      </c>
      <c r="Q494" s="833">
        <f t="shared" si="7"/>
        <v>2</v>
      </c>
      <c r="R494" s="836"/>
      <c r="S494" s="845"/>
    </row>
    <row r="495" spans="1:19" ht="43.2" x14ac:dyDescent="0.3">
      <c r="A495" s="832">
        <v>494</v>
      </c>
      <c r="B495" s="833" t="s">
        <v>80</v>
      </c>
      <c r="C495" s="834">
        <v>45670</v>
      </c>
      <c r="D495" s="835" t="s">
        <v>642</v>
      </c>
      <c r="E495" s="837" t="s">
        <v>51</v>
      </c>
      <c r="F495" s="837" t="s">
        <v>10</v>
      </c>
      <c r="G495" s="838">
        <v>45670</v>
      </c>
      <c r="H495" s="845"/>
      <c r="I495" s="845" t="s">
        <v>99</v>
      </c>
      <c r="J495" s="845"/>
      <c r="K495" s="845"/>
      <c r="L495" s="845"/>
      <c r="M495" s="845"/>
      <c r="N495" s="845"/>
      <c r="O495" s="845"/>
      <c r="P495" s="834">
        <v>45672</v>
      </c>
      <c r="Q495" s="833">
        <f t="shared" si="7"/>
        <v>2</v>
      </c>
      <c r="R495" s="836"/>
      <c r="S495" s="845"/>
    </row>
    <row r="496" spans="1:19" ht="43.2" x14ac:dyDescent="0.3">
      <c r="A496" s="832">
        <v>495</v>
      </c>
      <c r="B496" s="833" t="s">
        <v>80</v>
      </c>
      <c r="C496" s="834">
        <v>45670</v>
      </c>
      <c r="D496" s="835" t="s">
        <v>643</v>
      </c>
      <c r="E496" s="837" t="s">
        <v>51</v>
      </c>
      <c r="F496" s="837" t="s">
        <v>10</v>
      </c>
      <c r="G496" s="838">
        <v>45670</v>
      </c>
      <c r="H496" s="845"/>
      <c r="I496" s="845" t="s">
        <v>99</v>
      </c>
      <c r="J496" s="845"/>
      <c r="K496" s="845"/>
      <c r="L496" s="845"/>
      <c r="M496" s="845"/>
      <c r="N496" s="845"/>
      <c r="O496" s="845"/>
      <c r="P496" s="834">
        <v>45672</v>
      </c>
      <c r="Q496" s="833">
        <f t="shared" si="7"/>
        <v>2</v>
      </c>
      <c r="R496" s="836"/>
      <c r="S496" s="845"/>
    </row>
    <row r="497" spans="1:19" ht="115.2" x14ac:dyDescent="0.3">
      <c r="A497" s="832">
        <v>496</v>
      </c>
      <c r="B497" s="833" t="s">
        <v>80</v>
      </c>
      <c r="C497" s="834">
        <v>45670</v>
      </c>
      <c r="D497" s="835" t="s">
        <v>644</v>
      </c>
      <c r="E497" s="836" t="s">
        <v>1</v>
      </c>
      <c r="F497" s="837" t="s">
        <v>10</v>
      </c>
      <c r="G497" s="838">
        <v>45670</v>
      </c>
      <c r="H497" s="845"/>
      <c r="I497" s="845" t="s">
        <v>125</v>
      </c>
      <c r="J497" s="845"/>
      <c r="K497" s="845"/>
      <c r="L497" s="845"/>
      <c r="M497" s="845"/>
      <c r="N497" s="845"/>
      <c r="O497" s="845"/>
      <c r="P497" s="834">
        <v>45672</v>
      </c>
      <c r="Q497" s="833">
        <f t="shared" si="7"/>
        <v>2</v>
      </c>
      <c r="R497" s="836"/>
      <c r="S497" s="845"/>
    </row>
    <row r="498" spans="1:19" ht="43.2" x14ac:dyDescent="0.3">
      <c r="A498" s="832">
        <v>497</v>
      </c>
      <c r="B498" s="833" t="s">
        <v>80</v>
      </c>
      <c r="C498" s="834">
        <v>45670</v>
      </c>
      <c r="D498" s="835" t="s">
        <v>645</v>
      </c>
      <c r="E498" s="837" t="s">
        <v>51</v>
      </c>
      <c r="F498" s="837" t="s">
        <v>10</v>
      </c>
      <c r="G498" s="838">
        <v>45670</v>
      </c>
      <c r="H498" s="845"/>
      <c r="I498" s="845" t="s">
        <v>99</v>
      </c>
      <c r="J498" s="845"/>
      <c r="K498" s="845"/>
      <c r="L498" s="845"/>
      <c r="M498" s="845"/>
      <c r="N498" s="845"/>
      <c r="O498" s="845"/>
      <c r="P498" s="834">
        <v>45672</v>
      </c>
      <c r="Q498" s="833">
        <f t="shared" si="7"/>
        <v>2</v>
      </c>
      <c r="R498" s="836"/>
      <c r="S498" s="845"/>
    </row>
    <row r="499" spans="1:19" ht="43.2" x14ac:dyDescent="0.3">
      <c r="A499" s="832">
        <v>498</v>
      </c>
      <c r="B499" s="833" t="s">
        <v>80</v>
      </c>
      <c r="C499" s="834">
        <v>45670</v>
      </c>
      <c r="D499" s="835" t="s">
        <v>646</v>
      </c>
      <c r="E499" s="837" t="s">
        <v>51</v>
      </c>
      <c r="F499" s="837" t="s">
        <v>10</v>
      </c>
      <c r="G499" s="838">
        <v>45670</v>
      </c>
      <c r="H499" s="845"/>
      <c r="I499" s="845" t="s">
        <v>99</v>
      </c>
      <c r="J499" s="833"/>
      <c r="K499" s="832"/>
      <c r="L499" s="832"/>
      <c r="M499" s="833"/>
      <c r="N499" s="832"/>
      <c r="O499" s="832"/>
      <c r="P499" s="834">
        <v>45672</v>
      </c>
      <c r="Q499" s="833">
        <f t="shared" si="7"/>
        <v>2</v>
      </c>
      <c r="R499" s="836"/>
      <c r="S499" s="832"/>
    </row>
    <row r="500" spans="1:19" ht="43.2" x14ac:dyDescent="0.3">
      <c r="A500" s="832">
        <v>499</v>
      </c>
      <c r="B500" s="833" t="s">
        <v>80</v>
      </c>
      <c r="C500" s="834">
        <v>45670</v>
      </c>
      <c r="D500" s="835" t="s">
        <v>647</v>
      </c>
      <c r="E500" s="837" t="s">
        <v>51</v>
      </c>
      <c r="F500" s="837" t="s">
        <v>10</v>
      </c>
      <c r="G500" s="838">
        <v>45670</v>
      </c>
      <c r="H500" s="845"/>
      <c r="I500" s="845" t="s">
        <v>99</v>
      </c>
      <c r="J500" s="833"/>
      <c r="K500" s="832"/>
      <c r="L500" s="832"/>
      <c r="M500" s="833"/>
      <c r="N500" s="832"/>
      <c r="O500" s="832"/>
      <c r="P500" s="834">
        <v>45672</v>
      </c>
      <c r="Q500" s="833">
        <f t="shared" si="7"/>
        <v>2</v>
      </c>
      <c r="R500" s="836"/>
      <c r="S500" s="832"/>
    </row>
    <row r="501" spans="1:19" ht="43.2" x14ac:dyDescent="0.3">
      <c r="A501" s="832">
        <v>500</v>
      </c>
      <c r="B501" s="833" t="s">
        <v>80</v>
      </c>
      <c r="C501" s="834">
        <v>45670</v>
      </c>
      <c r="D501" s="835" t="s">
        <v>648</v>
      </c>
      <c r="E501" s="837" t="s">
        <v>51</v>
      </c>
      <c r="F501" s="837" t="s">
        <v>10</v>
      </c>
      <c r="G501" s="838">
        <v>45670</v>
      </c>
      <c r="H501" s="845"/>
      <c r="I501" s="845" t="s">
        <v>99</v>
      </c>
      <c r="J501" s="833"/>
      <c r="K501" s="832"/>
      <c r="L501" s="832"/>
      <c r="M501" s="833"/>
      <c r="N501" s="832"/>
      <c r="O501" s="832"/>
      <c r="P501" s="834">
        <v>45672</v>
      </c>
      <c r="Q501" s="833">
        <f t="shared" si="7"/>
        <v>2</v>
      </c>
      <c r="R501" s="836"/>
      <c r="S501" s="832"/>
    </row>
    <row r="502" spans="1:19" ht="72" x14ac:dyDescent="0.3">
      <c r="A502" s="832">
        <v>501</v>
      </c>
      <c r="B502" s="833" t="s">
        <v>80</v>
      </c>
      <c r="C502" s="834">
        <v>45670</v>
      </c>
      <c r="D502" s="835" t="s">
        <v>649</v>
      </c>
      <c r="E502" s="836" t="s">
        <v>12</v>
      </c>
      <c r="F502" s="837" t="s">
        <v>10</v>
      </c>
      <c r="G502" s="838">
        <v>45670</v>
      </c>
      <c r="H502" s="832"/>
      <c r="I502" s="845" t="s">
        <v>159</v>
      </c>
      <c r="J502" s="833"/>
      <c r="K502" s="832"/>
      <c r="L502" s="832"/>
      <c r="M502" s="833"/>
      <c r="N502" s="832"/>
      <c r="O502" s="832"/>
      <c r="P502" s="834">
        <v>45672</v>
      </c>
      <c r="Q502" s="833">
        <f t="shared" si="7"/>
        <v>2</v>
      </c>
      <c r="R502" s="836"/>
      <c r="S502" s="832"/>
    </row>
    <row r="503" spans="1:19" ht="72" x14ac:dyDescent="0.3">
      <c r="A503" s="832">
        <v>502</v>
      </c>
      <c r="B503" s="833" t="s">
        <v>80</v>
      </c>
      <c r="C503" s="834">
        <v>45670</v>
      </c>
      <c r="D503" s="835" t="s">
        <v>650</v>
      </c>
      <c r="E503" s="836" t="s">
        <v>12</v>
      </c>
      <c r="F503" s="837" t="s">
        <v>10</v>
      </c>
      <c r="G503" s="838">
        <v>45670</v>
      </c>
      <c r="H503" s="832"/>
      <c r="I503" s="845" t="s">
        <v>159</v>
      </c>
      <c r="J503" s="833"/>
      <c r="K503" s="832"/>
      <c r="L503" s="832"/>
      <c r="M503" s="833"/>
      <c r="N503" s="832"/>
      <c r="O503" s="832"/>
      <c r="P503" s="834">
        <v>45672</v>
      </c>
      <c r="Q503" s="833">
        <f t="shared" si="7"/>
        <v>2</v>
      </c>
      <c r="R503" s="836"/>
      <c r="S503" s="832"/>
    </row>
    <row r="504" spans="1:19" ht="23.25" customHeight="1" x14ac:dyDescent="0.3">
      <c r="A504" s="832">
        <v>503</v>
      </c>
      <c r="B504" s="833" t="s">
        <v>80</v>
      </c>
      <c r="C504" s="834">
        <v>45671</v>
      </c>
      <c r="D504" s="835" t="s">
        <v>651</v>
      </c>
      <c r="E504" s="836" t="s">
        <v>1</v>
      </c>
      <c r="F504" s="836" t="s">
        <v>10</v>
      </c>
      <c r="G504" s="838">
        <v>45671</v>
      </c>
      <c r="H504" s="832"/>
      <c r="I504" s="839" t="s">
        <v>174</v>
      </c>
      <c r="J504" s="833"/>
      <c r="K504" s="832"/>
      <c r="L504" s="832"/>
      <c r="M504" s="833"/>
      <c r="N504" s="832"/>
      <c r="O504" s="832"/>
      <c r="P504" s="834">
        <v>45672</v>
      </c>
      <c r="Q504" s="833">
        <f t="shared" si="7"/>
        <v>1</v>
      </c>
      <c r="R504" s="836"/>
      <c r="S504" s="832"/>
    </row>
    <row r="505" spans="1:19" ht="72" x14ac:dyDescent="0.3">
      <c r="A505" s="832">
        <v>504</v>
      </c>
      <c r="B505" s="833">
        <v>1550</v>
      </c>
      <c r="C505" s="834">
        <v>45671</v>
      </c>
      <c r="D505" s="835" t="s">
        <v>652</v>
      </c>
      <c r="E505" s="836" t="s">
        <v>1</v>
      </c>
      <c r="F505" s="836" t="s">
        <v>6</v>
      </c>
      <c r="G505" s="838">
        <v>45671</v>
      </c>
      <c r="H505" s="832"/>
      <c r="I505" s="839" t="s">
        <v>125</v>
      </c>
      <c r="J505" s="833"/>
      <c r="K505" s="832"/>
      <c r="L505" s="832"/>
      <c r="M505" s="833"/>
      <c r="N505" s="832"/>
      <c r="O505" s="832"/>
      <c r="P505" s="834">
        <v>45672</v>
      </c>
      <c r="Q505" s="833">
        <f t="shared" si="7"/>
        <v>1</v>
      </c>
      <c r="R505" s="836"/>
      <c r="S505" s="832"/>
    </row>
    <row r="506" spans="1:19" x14ac:dyDescent="0.3">
      <c r="A506" s="832">
        <v>505</v>
      </c>
      <c r="B506" s="833" t="s">
        <v>80</v>
      </c>
      <c r="C506" s="834">
        <v>45671</v>
      </c>
      <c r="D506" s="835" t="s">
        <v>653</v>
      </c>
      <c r="E506" s="836" t="s">
        <v>23</v>
      </c>
      <c r="F506" s="836" t="s">
        <v>10</v>
      </c>
      <c r="G506" s="838">
        <v>45671</v>
      </c>
      <c r="H506" s="832"/>
      <c r="I506" s="839" t="s">
        <v>135</v>
      </c>
      <c r="J506" s="833"/>
      <c r="K506" s="832"/>
      <c r="L506" s="832"/>
      <c r="M506" s="833"/>
      <c r="N506" s="832"/>
      <c r="O506" s="832"/>
      <c r="P506" s="834">
        <v>45672</v>
      </c>
      <c r="Q506" s="833">
        <f t="shared" si="7"/>
        <v>1</v>
      </c>
      <c r="R506" s="836"/>
      <c r="S506" s="832"/>
    </row>
    <row r="507" spans="1:19" ht="72" x14ac:dyDescent="0.3">
      <c r="A507" s="832">
        <v>506</v>
      </c>
      <c r="B507" s="841">
        <v>1550</v>
      </c>
      <c r="C507" s="842">
        <v>45672</v>
      </c>
      <c r="D507" s="843" t="s">
        <v>654</v>
      </c>
      <c r="E507" s="837" t="s">
        <v>21</v>
      </c>
      <c r="F507" s="837" t="s">
        <v>6</v>
      </c>
      <c r="G507" s="844">
        <v>45672</v>
      </c>
      <c r="H507" s="845"/>
      <c r="I507" s="845" t="s">
        <v>361</v>
      </c>
      <c r="J507" s="845"/>
      <c r="K507" s="845"/>
      <c r="L507" s="845"/>
      <c r="M507" s="845"/>
      <c r="N507" s="845"/>
      <c r="O507" s="845"/>
      <c r="P507" s="842">
        <v>45672</v>
      </c>
      <c r="Q507" s="833">
        <f t="shared" si="7"/>
        <v>0</v>
      </c>
      <c r="R507" s="836"/>
      <c r="S507" s="845"/>
    </row>
    <row r="508" spans="1:19" ht="57.6" x14ac:dyDescent="0.3">
      <c r="A508" s="832">
        <v>507</v>
      </c>
      <c r="B508" s="833" t="s">
        <v>80</v>
      </c>
      <c r="C508" s="834">
        <v>45672</v>
      </c>
      <c r="D508" s="835" t="s">
        <v>655</v>
      </c>
      <c r="E508" s="836" t="s">
        <v>25</v>
      </c>
      <c r="F508" s="837" t="s">
        <v>10</v>
      </c>
      <c r="G508" s="838">
        <v>45672</v>
      </c>
      <c r="H508" s="832"/>
      <c r="I508" s="839" t="s">
        <v>135</v>
      </c>
      <c r="J508" s="833"/>
      <c r="K508" s="832"/>
      <c r="L508" s="832"/>
      <c r="M508" s="833"/>
      <c r="N508" s="832"/>
      <c r="O508" s="832"/>
      <c r="P508" s="834">
        <v>45672</v>
      </c>
      <c r="Q508" s="833">
        <f t="shared" si="7"/>
        <v>0</v>
      </c>
      <c r="R508" s="833"/>
      <c r="S508" s="832"/>
    </row>
    <row r="509" spans="1:19" ht="57.6" x14ac:dyDescent="0.3">
      <c r="A509" s="832">
        <v>508</v>
      </c>
      <c r="B509" s="841">
        <v>1550</v>
      </c>
      <c r="C509" s="842">
        <v>45666</v>
      </c>
      <c r="D509" s="840" t="s">
        <v>656</v>
      </c>
      <c r="E509" s="836" t="s">
        <v>7</v>
      </c>
      <c r="F509" s="837" t="s">
        <v>10</v>
      </c>
      <c r="G509" s="844">
        <v>45666</v>
      </c>
      <c r="H509" s="832"/>
      <c r="I509" s="839" t="s">
        <v>129</v>
      </c>
      <c r="J509" s="833"/>
      <c r="K509" s="832"/>
      <c r="L509" s="832"/>
      <c r="M509" s="833"/>
      <c r="N509" s="832"/>
      <c r="O509" s="832"/>
      <c r="P509" s="834">
        <v>45671</v>
      </c>
      <c r="Q509" s="833">
        <f t="shared" si="7"/>
        <v>5</v>
      </c>
      <c r="R509" s="836"/>
      <c r="S509" s="832"/>
    </row>
    <row r="510" spans="1:19" ht="43.2" x14ac:dyDescent="0.3">
      <c r="A510" s="832">
        <v>509</v>
      </c>
      <c r="B510" s="833" t="s">
        <v>80</v>
      </c>
      <c r="C510" s="834">
        <v>45667</v>
      </c>
      <c r="D510" s="840" t="s">
        <v>657</v>
      </c>
      <c r="E510" s="836" t="s">
        <v>17</v>
      </c>
      <c r="F510" s="837" t="s">
        <v>10</v>
      </c>
      <c r="G510" s="838">
        <v>45667</v>
      </c>
      <c r="H510" s="832"/>
      <c r="I510" s="849" t="s">
        <v>82</v>
      </c>
      <c r="J510" s="833"/>
      <c r="K510" s="832"/>
      <c r="L510" s="832"/>
      <c r="M510" s="833"/>
      <c r="N510" s="832"/>
      <c r="O510" s="832"/>
      <c r="P510" s="834">
        <v>45671</v>
      </c>
      <c r="Q510" s="833">
        <f t="shared" si="7"/>
        <v>4</v>
      </c>
      <c r="R510" s="836"/>
      <c r="S510" s="832"/>
    </row>
    <row r="511" spans="1:19" ht="57.6" x14ac:dyDescent="0.3">
      <c r="A511" s="832">
        <v>510</v>
      </c>
      <c r="B511" s="833" t="s">
        <v>80</v>
      </c>
      <c r="C511" s="834">
        <v>45670</v>
      </c>
      <c r="D511" s="835" t="s">
        <v>658</v>
      </c>
      <c r="E511" s="836" t="s">
        <v>17</v>
      </c>
      <c r="F511" s="837" t="s">
        <v>10</v>
      </c>
      <c r="G511" s="838">
        <v>45670</v>
      </c>
      <c r="H511" s="832"/>
      <c r="I511" s="849" t="s">
        <v>82</v>
      </c>
      <c r="J511" s="833"/>
      <c r="K511" s="832"/>
      <c r="L511" s="832"/>
      <c r="M511" s="833"/>
      <c r="N511" s="832"/>
      <c r="O511" s="832"/>
      <c r="P511" s="834">
        <v>45671</v>
      </c>
      <c r="Q511" s="833">
        <f t="shared" si="7"/>
        <v>1</v>
      </c>
      <c r="R511" s="836"/>
      <c r="S511" s="832"/>
    </row>
    <row r="512" spans="1:19" ht="57.6" x14ac:dyDescent="0.3">
      <c r="A512" s="832">
        <v>511</v>
      </c>
      <c r="B512" s="833" t="s">
        <v>80</v>
      </c>
      <c r="C512" s="834">
        <v>45670</v>
      </c>
      <c r="D512" s="835" t="s">
        <v>659</v>
      </c>
      <c r="E512" s="836" t="s">
        <v>17</v>
      </c>
      <c r="F512" s="837" t="s">
        <v>10</v>
      </c>
      <c r="G512" s="838">
        <v>45670</v>
      </c>
      <c r="H512" s="832"/>
      <c r="I512" s="849" t="s">
        <v>82</v>
      </c>
      <c r="J512" s="833"/>
      <c r="K512" s="832"/>
      <c r="L512" s="832"/>
      <c r="M512" s="833"/>
      <c r="N512" s="832"/>
      <c r="O512" s="832"/>
      <c r="P512" s="834">
        <v>45671</v>
      </c>
      <c r="Q512" s="833">
        <f t="shared" si="7"/>
        <v>1</v>
      </c>
      <c r="R512" s="836"/>
      <c r="S512" s="832"/>
    </row>
    <row r="513" spans="1:19" ht="86.4" x14ac:dyDescent="0.3">
      <c r="A513" s="832">
        <v>512</v>
      </c>
      <c r="B513" s="833">
        <v>1550</v>
      </c>
      <c r="C513" s="834">
        <v>45671</v>
      </c>
      <c r="D513" s="835" t="s">
        <v>660</v>
      </c>
      <c r="E513" s="836" t="s">
        <v>7</v>
      </c>
      <c r="F513" s="836" t="s">
        <v>6</v>
      </c>
      <c r="G513" s="838">
        <v>45671</v>
      </c>
      <c r="H513" s="832"/>
      <c r="I513" s="839" t="s">
        <v>125</v>
      </c>
      <c r="J513" s="833"/>
      <c r="K513" s="832"/>
      <c r="L513" s="832"/>
      <c r="M513" s="833"/>
      <c r="N513" s="832"/>
      <c r="O513" s="832"/>
      <c r="P513" s="834">
        <v>45671</v>
      </c>
      <c r="Q513" s="833">
        <f t="shared" si="7"/>
        <v>0</v>
      </c>
      <c r="R513" s="836"/>
      <c r="S513" s="832"/>
    </row>
    <row r="514" spans="1:19" ht="43.2" x14ac:dyDescent="0.3">
      <c r="A514" s="832">
        <v>513</v>
      </c>
      <c r="B514" s="833">
        <v>1550</v>
      </c>
      <c r="C514" s="834">
        <v>45671</v>
      </c>
      <c r="D514" s="835" t="s">
        <v>661</v>
      </c>
      <c r="E514" s="836" t="s">
        <v>49</v>
      </c>
      <c r="F514" s="836" t="s">
        <v>8</v>
      </c>
      <c r="G514" s="838">
        <v>45671</v>
      </c>
      <c r="H514" s="832"/>
      <c r="I514" s="839" t="s">
        <v>266</v>
      </c>
      <c r="J514" s="833"/>
      <c r="K514" s="832"/>
      <c r="L514" s="832"/>
      <c r="M514" s="833"/>
      <c r="N514" s="832"/>
      <c r="O514" s="832"/>
      <c r="P514" s="834">
        <v>45671</v>
      </c>
      <c r="Q514" s="833">
        <f t="shared" ref="Q514:Q577" si="8">P514-G514</f>
        <v>0</v>
      </c>
      <c r="R514" s="836"/>
      <c r="S514" s="832"/>
    </row>
    <row r="515" spans="1:19" ht="72" x14ac:dyDescent="0.3">
      <c r="A515" s="832">
        <v>514</v>
      </c>
      <c r="B515" s="833" t="s">
        <v>80</v>
      </c>
      <c r="C515" s="834">
        <v>45660</v>
      </c>
      <c r="D515" s="843" t="s">
        <v>662</v>
      </c>
      <c r="E515" s="836" t="s">
        <v>11</v>
      </c>
      <c r="F515" s="836" t="s">
        <v>10</v>
      </c>
      <c r="G515" s="846">
        <v>45660</v>
      </c>
      <c r="H515" s="845"/>
      <c r="I515" s="845" t="s">
        <v>106</v>
      </c>
      <c r="J515" s="845"/>
      <c r="K515" s="845"/>
      <c r="L515" s="845"/>
      <c r="M515" s="845"/>
      <c r="N515" s="845"/>
      <c r="O515" s="845"/>
      <c r="P515" s="834">
        <v>45670</v>
      </c>
      <c r="Q515" s="833">
        <f t="shared" si="8"/>
        <v>10</v>
      </c>
      <c r="R515" s="836"/>
      <c r="S515" s="845"/>
    </row>
    <row r="516" spans="1:19" ht="86.4" x14ac:dyDescent="0.3">
      <c r="A516" s="832">
        <v>515</v>
      </c>
      <c r="B516" s="833" t="s">
        <v>80</v>
      </c>
      <c r="C516" s="834">
        <v>45663</v>
      </c>
      <c r="D516" s="843" t="s">
        <v>663</v>
      </c>
      <c r="E516" s="836" t="s">
        <v>11</v>
      </c>
      <c r="F516" s="836" t="s">
        <v>10</v>
      </c>
      <c r="G516" s="846">
        <v>45663</v>
      </c>
      <c r="H516" s="832"/>
      <c r="I516" s="839" t="s">
        <v>106</v>
      </c>
      <c r="J516" s="833"/>
      <c r="K516" s="832"/>
      <c r="L516" s="832"/>
      <c r="M516" s="833"/>
      <c r="N516" s="832"/>
      <c r="O516" s="832"/>
      <c r="P516" s="834">
        <v>45670</v>
      </c>
      <c r="Q516" s="833">
        <f t="shared" si="8"/>
        <v>7</v>
      </c>
      <c r="R516" s="836"/>
      <c r="S516" s="832"/>
    </row>
    <row r="517" spans="1:19" ht="57.6" x14ac:dyDescent="0.3">
      <c r="A517" s="832">
        <v>516</v>
      </c>
      <c r="B517" s="841" t="s">
        <v>80</v>
      </c>
      <c r="C517" s="842">
        <v>45666</v>
      </c>
      <c r="D517" s="840" t="s">
        <v>664</v>
      </c>
      <c r="E517" s="836" t="s">
        <v>17</v>
      </c>
      <c r="F517" s="837" t="s">
        <v>10</v>
      </c>
      <c r="G517" s="844">
        <v>45666</v>
      </c>
      <c r="H517" s="832"/>
      <c r="I517" s="849" t="s">
        <v>82</v>
      </c>
      <c r="J517" s="833"/>
      <c r="K517" s="832"/>
      <c r="L517" s="832"/>
      <c r="M517" s="833"/>
      <c r="N517" s="832"/>
      <c r="O517" s="832"/>
      <c r="P517" s="834">
        <v>45670</v>
      </c>
      <c r="Q517" s="833">
        <f t="shared" si="8"/>
        <v>4</v>
      </c>
      <c r="R517" s="836"/>
      <c r="S517" s="832"/>
    </row>
    <row r="518" spans="1:19" ht="44.25" customHeight="1" x14ac:dyDescent="0.3">
      <c r="A518" s="832">
        <v>517</v>
      </c>
      <c r="B518" s="841" t="s">
        <v>80</v>
      </c>
      <c r="C518" s="842">
        <v>45666</v>
      </c>
      <c r="D518" s="840" t="s">
        <v>665</v>
      </c>
      <c r="E518" s="836" t="s">
        <v>1</v>
      </c>
      <c r="F518" s="837" t="s">
        <v>10</v>
      </c>
      <c r="G518" s="844">
        <v>45666</v>
      </c>
      <c r="H518" s="845"/>
      <c r="I518" s="845" t="s">
        <v>125</v>
      </c>
      <c r="J518" s="845"/>
      <c r="K518" s="845"/>
      <c r="L518" s="845"/>
      <c r="M518" s="845"/>
      <c r="N518" s="845"/>
      <c r="O518" s="845"/>
      <c r="P518" s="834">
        <v>45670</v>
      </c>
      <c r="Q518" s="833">
        <f t="shared" si="8"/>
        <v>4</v>
      </c>
      <c r="R518" s="836"/>
      <c r="S518" s="845"/>
    </row>
    <row r="519" spans="1:19" ht="28.8" x14ac:dyDescent="0.3">
      <c r="A519" s="832">
        <v>518</v>
      </c>
      <c r="B519" s="833">
        <v>1550</v>
      </c>
      <c r="C519" s="834">
        <v>45667</v>
      </c>
      <c r="D519" s="840" t="s">
        <v>666</v>
      </c>
      <c r="E519" s="836" t="s">
        <v>55</v>
      </c>
      <c r="F519" s="836" t="s">
        <v>8</v>
      </c>
      <c r="G519" s="838">
        <v>45667</v>
      </c>
      <c r="H519" s="832"/>
      <c r="I519" s="839" t="s">
        <v>253</v>
      </c>
      <c r="J519" s="833"/>
      <c r="K519" s="832"/>
      <c r="L519" s="832"/>
      <c r="M519" s="833"/>
      <c r="N519" s="832"/>
      <c r="O519" s="832"/>
      <c r="P519" s="834">
        <v>45670</v>
      </c>
      <c r="Q519" s="833">
        <f t="shared" si="8"/>
        <v>3</v>
      </c>
      <c r="R519" s="836"/>
      <c r="S519" s="832"/>
    </row>
    <row r="520" spans="1:19" ht="43.2" x14ac:dyDescent="0.3">
      <c r="A520" s="832">
        <v>519</v>
      </c>
      <c r="B520" s="833">
        <v>1550</v>
      </c>
      <c r="C520" s="834">
        <v>45670</v>
      </c>
      <c r="D520" s="835" t="s">
        <v>667</v>
      </c>
      <c r="E520" s="836" t="s">
        <v>24</v>
      </c>
      <c r="F520" s="836" t="s">
        <v>6</v>
      </c>
      <c r="G520" s="838">
        <v>45670</v>
      </c>
      <c r="H520" s="832"/>
      <c r="I520" s="839" t="s">
        <v>383</v>
      </c>
      <c r="J520" s="833"/>
      <c r="K520" s="832"/>
      <c r="L520" s="832"/>
      <c r="M520" s="833"/>
      <c r="N520" s="832"/>
      <c r="O520" s="832"/>
      <c r="P520" s="834">
        <v>45670</v>
      </c>
      <c r="Q520" s="833">
        <f t="shared" si="8"/>
        <v>0</v>
      </c>
      <c r="R520" s="836"/>
      <c r="S520" s="832"/>
    </row>
    <row r="521" spans="1:19" ht="43.2" x14ac:dyDescent="0.3">
      <c r="A521" s="832">
        <v>520</v>
      </c>
      <c r="B521" s="833">
        <v>1550</v>
      </c>
      <c r="C521" s="834">
        <v>45670</v>
      </c>
      <c r="D521" s="835" t="s">
        <v>668</v>
      </c>
      <c r="E521" s="836" t="s">
        <v>49</v>
      </c>
      <c r="F521" s="836" t="s">
        <v>8</v>
      </c>
      <c r="G521" s="838">
        <v>45670</v>
      </c>
      <c r="H521" s="832"/>
      <c r="I521" s="839" t="s">
        <v>266</v>
      </c>
      <c r="J521" s="833"/>
      <c r="K521" s="832"/>
      <c r="L521" s="832"/>
      <c r="M521" s="833"/>
      <c r="N521" s="832"/>
      <c r="O521" s="832"/>
      <c r="P521" s="834">
        <v>45670</v>
      </c>
      <c r="Q521" s="833">
        <f t="shared" si="8"/>
        <v>0</v>
      </c>
      <c r="R521" s="836"/>
      <c r="S521" s="832"/>
    </row>
    <row r="522" spans="1:19" ht="43.2" x14ac:dyDescent="0.3">
      <c r="A522" s="832">
        <v>521</v>
      </c>
      <c r="B522" s="833">
        <v>1550</v>
      </c>
      <c r="C522" s="834">
        <v>45670</v>
      </c>
      <c r="D522" s="835" t="s">
        <v>669</v>
      </c>
      <c r="E522" s="836" t="s">
        <v>49</v>
      </c>
      <c r="F522" s="836" t="s">
        <v>8</v>
      </c>
      <c r="G522" s="838">
        <v>45670</v>
      </c>
      <c r="H522" s="832"/>
      <c r="I522" s="839" t="s">
        <v>266</v>
      </c>
      <c r="J522" s="833"/>
      <c r="K522" s="832"/>
      <c r="L522" s="832"/>
      <c r="M522" s="833"/>
      <c r="N522" s="832"/>
      <c r="O522" s="832"/>
      <c r="P522" s="834">
        <v>45670</v>
      </c>
      <c r="Q522" s="833">
        <f t="shared" si="8"/>
        <v>0</v>
      </c>
      <c r="R522" s="836"/>
      <c r="S522" s="832"/>
    </row>
    <row r="523" spans="1:19" ht="28.8" x14ac:dyDescent="0.3">
      <c r="A523" s="832">
        <v>522</v>
      </c>
      <c r="B523" s="833">
        <v>1550</v>
      </c>
      <c r="C523" s="834">
        <v>45670</v>
      </c>
      <c r="D523" s="835" t="s">
        <v>670</v>
      </c>
      <c r="E523" s="836" t="s">
        <v>33</v>
      </c>
      <c r="F523" s="836" t="s">
        <v>6</v>
      </c>
      <c r="G523" s="838">
        <v>45670</v>
      </c>
      <c r="H523" s="832"/>
      <c r="I523" s="845" t="s">
        <v>99</v>
      </c>
      <c r="J523" s="833"/>
      <c r="K523" s="832"/>
      <c r="L523" s="832"/>
      <c r="M523" s="833"/>
      <c r="N523" s="832"/>
      <c r="O523" s="832"/>
      <c r="P523" s="834">
        <v>45670</v>
      </c>
      <c r="Q523" s="833">
        <f t="shared" si="8"/>
        <v>0</v>
      </c>
      <c r="R523" s="836"/>
      <c r="S523" s="832"/>
    </row>
    <row r="524" spans="1:19" ht="37.5" customHeight="1" x14ac:dyDescent="0.3">
      <c r="A524" s="832">
        <v>523</v>
      </c>
      <c r="B524" s="833" t="s">
        <v>80</v>
      </c>
      <c r="C524" s="834">
        <v>45670</v>
      </c>
      <c r="D524" s="835" t="s">
        <v>671</v>
      </c>
      <c r="E524" s="836" t="s">
        <v>55</v>
      </c>
      <c r="F524" s="837" t="s">
        <v>10</v>
      </c>
      <c r="G524" s="838">
        <v>45670</v>
      </c>
      <c r="H524" s="845"/>
      <c r="I524" s="839" t="s">
        <v>253</v>
      </c>
      <c r="J524" s="845"/>
      <c r="K524" s="845"/>
      <c r="L524" s="845"/>
      <c r="M524" s="845"/>
      <c r="N524" s="845"/>
      <c r="O524" s="845"/>
      <c r="P524" s="834">
        <v>45670</v>
      </c>
      <c r="Q524" s="833">
        <f t="shared" si="8"/>
        <v>0</v>
      </c>
      <c r="R524" s="836"/>
      <c r="S524" s="845"/>
    </row>
    <row r="525" spans="1:19" ht="86.4" x14ac:dyDescent="0.3">
      <c r="A525" s="832">
        <v>524</v>
      </c>
      <c r="B525" s="833" t="s">
        <v>80</v>
      </c>
      <c r="C525" s="834">
        <v>45670</v>
      </c>
      <c r="D525" s="835" t="s">
        <v>672</v>
      </c>
      <c r="E525" s="836" t="s">
        <v>55</v>
      </c>
      <c r="F525" s="837" t="s">
        <v>10</v>
      </c>
      <c r="G525" s="838">
        <v>45670</v>
      </c>
      <c r="H525" s="845"/>
      <c r="I525" s="839" t="s">
        <v>253</v>
      </c>
      <c r="J525" s="845"/>
      <c r="K525" s="845"/>
      <c r="L525" s="845"/>
      <c r="M525" s="845"/>
      <c r="N525" s="845"/>
      <c r="O525" s="845"/>
      <c r="P525" s="834">
        <v>45670</v>
      </c>
      <c r="Q525" s="833">
        <f t="shared" si="8"/>
        <v>0</v>
      </c>
      <c r="R525" s="836"/>
      <c r="S525" s="845"/>
    </row>
    <row r="526" spans="1:19" ht="57.6" x14ac:dyDescent="0.3">
      <c r="A526" s="832">
        <v>525</v>
      </c>
      <c r="B526" s="833" t="s">
        <v>80</v>
      </c>
      <c r="C526" s="834">
        <v>45670</v>
      </c>
      <c r="D526" s="835" t="s">
        <v>673</v>
      </c>
      <c r="E526" s="836" t="s">
        <v>24</v>
      </c>
      <c r="F526" s="837" t="s">
        <v>10</v>
      </c>
      <c r="G526" s="838">
        <v>45670</v>
      </c>
      <c r="H526" s="832"/>
      <c r="I526" s="839" t="s">
        <v>383</v>
      </c>
      <c r="J526" s="833"/>
      <c r="K526" s="832"/>
      <c r="L526" s="832"/>
      <c r="M526" s="833"/>
      <c r="N526" s="832"/>
      <c r="O526" s="832"/>
      <c r="P526" s="834">
        <v>45670</v>
      </c>
      <c r="Q526" s="833">
        <f t="shared" si="8"/>
        <v>0</v>
      </c>
      <c r="R526" s="836"/>
      <c r="S526" s="832"/>
    </row>
    <row r="527" spans="1:19" ht="57.6" x14ac:dyDescent="0.3">
      <c r="A527" s="832">
        <v>526</v>
      </c>
      <c r="B527" s="833" t="s">
        <v>80</v>
      </c>
      <c r="C527" s="834">
        <v>45671</v>
      </c>
      <c r="D527" s="835" t="s">
        <v>674</v>
      </c>
      <c r="E527" s="837" t="s">
        <v>24</v>
      </c>
      <c r="F527" s="836" t="s">
        <v>10</v>
      </c>
      <c r="G527" s="838">
        <v>45671</v>
      </c>
      <c r="H527" s="845"/>
      <c r="I527" s="839" t="s">
        <v>383</v>
      </c>
      <c r="J527" s="845"/>
      <c r="K527" s="845"/>
      <c r="L527" s="845"/>
      <c r="M527" s="845"/>
      <c r="N527" s="845"/>
      <c r="O527" s="845"/>
      <c r="P527" s="834">
        <v>45670</v>
      </c>
      <c r="Q527" s="833">
        <f t="shared" si="8"/>
        <v>-1</v>
      </c>
      <c r="R527" s="836"/>
      <c r="S527" s="845"/>
    </row>
    <row r="528" spans="1:19" ht="28.8" x14ac:dyDescent="0.3">
      <c r="A528" s="832">
        <v>527</v>
      </c>
      <c r="B528" s="833">
        <v>1550</v>
      </c>
      <c r="C528" s="834">
        <v>45659</v>
      </c>
      <c r="D528" s="840" t="s">
        <v>675</v>
      </c>
      <c r="E528" s="836" t="s">
        <v>1</v>
      </c>
      <c r="F528" s="836" t="s">
        <v>4</v>
      </c>
      <c r="G528" s="846">
        <v>45659</v>
      </c>
      <c r="H528" s="832"/>
      <c r="I528" s="839" t="s">
        <v>174</v>
      </c>
      <c r="J528" s="833"/>
      <c r="K528" s="832"/>
      <c r="L528" s="832"/>
      <c r="M528" s="833"/>
      <c r="N528" s="832"/>
      <c r="O528" s="832"/>
      <c r="P528" s="834">
        <v>45667</v>
      </c>
      <c r="Q528" s="833">
        <f t="shared" si="8"/>
        <v>8</v>
      </c>
      <c r="R528" s="836"/>
      <c r="S528" s="832"/>
    </row>
    <row r="529" spans="1:19" ht="28.8" x14ac:dyDescent="0.3">
      <c r="A529" s="832">
        <v>528</v>
      </c>
      <c r="B529" s="853">
        <v>1550</v>
      </c>
      <c r="C529" s="834">
        <v>45660</v>
      </c>
      <c r="D529" s="840" t="s">
        <v>676</v>
      </c>
      <c r="E529" s="836" t="s">
        <v>1</v>
      </c>
      <c r="F529" s="836" t="s">
        <v>4</v>
      </c>
      <c r="G529" s="846">
        <v>45660</v>
      </c>
      <c r="H529" s="832"/>
      <c r="I529" s="839" t="s">
        <v>174</v>
      </c>
      <c r="J529" s="833"/>
      <c r="K529" s="832"/>
      <c r="L529" s="832"/>
      <c r="M529" s="833"/>
      <c r="N529" s="832"/>
      <c r="O529" s="832"/>
      <c r="P529" s="834">
        <v>45667</v>
      </c>
      <c r="Q529" s="833">
        <f t="shared" si="8"/>
        <v>7</v>
      </c>
      <c r="R529" s="836"/>
      <c r="S529" s="832"/>
    </row>
    <row r="530" spans="1:19" ht="158.4" x14ac:dyDescent="0.3">
      <c r="A530" s="832">
        <v>529</v>
      </c>
      <c r="B530" s="833" t="s">
        <v>80</v>
      </c>
      <c r="C530" s="834">
        <v>45665</v>
      </c>
      <c r="D530" s="840" t="s">
        <v>677</v>
      </c>
      <c r="E530" s="836" t="s">
        <v>1</v>
      </c>
      <c r="F530" s="836" t="s">
        <v>10</v>
      </c>
      <c r="G530" s="846">
        <v>45665</v>
      </c>
      <c r="H530" s="832"/>
      <c r="I530" s="839" t="s">
        <v>174</v>
      </c>
      <c r="J530" s="833"/>
      <c r="K530" s="832"/>
      <c r="L530" s="832"/>
      <c r="M530" s="833"/>
      <c r="N530" s="832"/>
      <c r="O530" s="832"/>
      <c r="P530" s="834">
        <v>45667</v>
      </c>
      <c r="Q530" s="833">
        <f t="shared" si="8"/>
        <v>2</v>
      </c>
      <c r="R530" s="836"/>
      <c r="S530" s="832"/>
    </row>
    <row r="531" spans="1:19" ht="57.6" x14ac:dyDescent="0.3">
      <c r="A531" s="832">
        <v>530</v>
      </c>
      <c r="B531" s="833">
        <v>1550</v>
      </c>
      <c r="C531" s="834">
        <v>45667</v>
      </c>
      <c r="D531" s="840" t="s">
        <v>678</v>
      </c>
      <c r="E531" s="836" t="s">
        <v>7</v>
      </c>
      <c r="F531" s="836" t="s">
        <v>6</v>
      </c>
      <c r="G531" s="838">
        <v>45667</v>
      </c>
      <c r="H531" s="832"/>
      <c r="I531" s="839" t="s">
        <v>125</v>
      </c>
      <c r="J531" s="833"/>
      <c r="K531" s="832"/>
      <c r="L531" s="832"/>
      <c r="M531" s="833"/>
      <c r="N531" s="832"/>
      <c r="O531" s="832"/>
      <c r="P531" s="834">
        <v>45667</v>
      </c>
      <c r="Q531" s="833">
        <f t="shared" si="8"/>
        <v>0</v>
      </c>
      <c r="R531" s="836"/>
      <c r="S531" s="832"/>
    </row>
    <row r="532" spans="1:19" ht="43.2" x14ac:dyDescent="0.3">
      <c r="A532" s="832">
        <v>531</v>
      </c>
      <c r="B532" s="833">
        <v>1550</v>
      </c>
      <c r="C532" s="834">
        <v>45667</v>
      </c>
      <c r="D532" s="840" t="s">
        <v>679</v>
      </c>
      <c r="E532" s="836" t="s">
        <v>49</v>
      </c>
      <c r="F532" s="836" t="s">
        <v>6</v>
      </c>
      <c r="G532" s="838">
        <v>45667</v>
      </c>
      <c r="H532" s="832"/>
      <c r="I532" s="839" t="s">
        <v>266</v>
      </c>
      <c r="J532" s="833"/>
      <c r="K532" s="832"/>
      <c r="L532" s="832"/>
      <c r="M532" s="833"/>
      <c r="N532" s="832"/>
      <c r="O532" s="832"/>
      <c r="P532" s="834">
        <v>45667</v>
      </c>
      <c r="Q532" s="833">
        <f t="shared" si="8"/>
        <v>0</v>
      </c>
      <c r="R532" s="836"/>
      <c r="S532" s="832"/>
    </row>
    <row r="533" spans="1:19" ht="57.6" x14ac:dyDescent="0.3">
      <c r="A533" s="832">
        <v>532</v>
      </c>
      <c r="B533" s="833" t="s">
        <v>80</v>
      </c>
      <c r="C533" s="834">
        <v>45667</v>
      </c>
      <c r="D533" s="840" t="s">
        <v>680</v>
      </c>
      <c r="E533" s="836" t="s">
        <v>14</v>
      </c>
      <c r="F533" s="837" t="s">
        <v>10</v>
      </c>
      <c r="G533" s="838">
        <v>45667</v>
      </c>
      <c r="H533" s="832"/>
      <c r="I533" s="839" t="s">
        <v>253</v>
      </c>
      <c r="J533" s="833"/>
      <c r="K533" s="832"/>
      <c r="L533" s="832"/>
      <c r="M533" s="833"/>
      <c r="N533" s="832"/>
      <c r="O533" s="832"/>
      <c r="P533" s="834">
        <v>45667</v>
      </c>
      <c r="Q533" s="833">
        <f t="shared" si="8"/>
        <v>0</v>
      </c>
      <c r="R533" s="836"/>
      <c r="S533" s="832"/>
    </row>
    <row r="534" spans="1:19" ht="43.2" x14ac:dyDescent="0.3">
      <c r="A534" s="832">
        <v>533</v>
      </c>
      <c r="B534" s="833" t="s">
        <v>80</v>
      </c>
      <c r="C534" s="834">
        <v>45658</v>
      </c>
      <c r="D534" s="840" t="s">
        <v>681</v>
      </c>
      <c r="E534" s="836" t="s">
        <v>51</v>
      </c>
      <c r="F534" s="836" t="s">
        <v>6</v>
      </c>
      <c r="G534" s="846">
        <v>45659</v>
      </c>
      <c r="H534" s="832"/>
      <c r="I534" s="839" t="s">
        <v>99</v>
      </c>
      <c r="J534" s="833"/>
      <c r="K534" s="832"/>
      <c r="L534" s="832"/>
      <c r="M534" s="833"/>
      <c r="N534" s="832"/>
      <c r="O534" s="832"/>
      <c r="P534" s="834">
        <v>45666</v>
      </c>
      <c r="Q534" s="833">
        <f t="shared" si="8"/>
        <v>7</v>
      </c>
      <c r="R534" s="836"/>
      <c r="S534" s="832"/>
    </row>
    <row r="535" spans="1:19" ht="43.2" x14ac:dyDescent="0.3">
      <c r="A535" s="832">
        <v>534</v>
      </c>
      <c r="B535" s="833" t="s">
        <v>80</v>
      </c>
      <c r="C535" s="834">
        <v>45658</v>
      </c>
      <c r="D535" s="840" t="s">
        <v>682</v>
      </c>
      <c r="E535" s="836" t="s">
        <v>51</v>
      </c>
      <c r="F535" s="836" t="s">
        <v>6</v>
      </c>
      <c r="G535" s="846">
        <v>45659</v>
      </c>
      <c r="H535" s="832"/>
      <c r="I535" s="839" t="s">
        <v>99</v>
      </c>
      <c r="J535" s="833"/>
      <c r="K535" s="832"/>
      <c r="L535" s="832"/>
      <c r="M535" s="833"/>
      <c r="N535" s="832"/>
      <c r="O535" s="832"/>
      <c r="P535" s="834">
        <v>45666</v>
      </c>
      <c r="Q535" s="833">
        <f t="shared" si="8"/>
        <v>7</v>
      </c>
      <c r="R535" s="836"/>
      <c r="S535" s="832"/>
    </row>
    <row r="536" spans="1:19" ht="43.2" x14ac:dyDescent="0.3">
      <c r="A536" s="832">
        <v>535</v>
      </c>
      <c r="B536" s="833" t="s">
        <v>80</v>
      </c>
      <c r="C536" s="834">
        <v>45658</v>
      </c>
      <c r="D536" s="840" t="s">
        <v>683</v>
      </c>
      <c r="E536" s="836" t="s">
        <v>51</v>
      </c>
      <c r="F536" s="836" t="s">
        <v>6</v>
      </c>
      <c r="G536" s="846">
        <v>45659</v>
      </c>
      <c r="H536" s="832"/>
      <c r="I536" s="839" t="s">
        <v>99</v>
      </c>
      <c r="J536" s="833"/>
      <c r="K536" s="832"/>
      <c r="L536" s="832"/>
      <c r="M536" s="833"/>
      <c r="N536" s="832"/>
      <c r="O536" s="832"/>
      <c r="P536" s="834">
        <v>45666</v>
      </c>
      <c r="Q536" s="833">
        <f t="shared" si="8"/>
        <v>7</v>
      </c>
      <c r="R536" s="836"/>
      <c r="S536" s="832"/>
    </row>
    <row r="537" spans="1:19" ht="43.2" x14ac:dyDescent="0.3">
      <c r="A537" s="832">
        <v>536</v>
      </c>
      <c r="B537" s="833" t="s">
        <v>301</v>
      </c>
      <c r="C537" s="834">
        <v>45659</v>
      </c>
      <c r="D537" s="843" t="s">
        <v>684</v>
      </c>
      <c r="E537" s="837" t="s">
        <v>51</v>
      </c>
      <c r="F537" s="836" t="s">
        <v>10</v>
      </c>
      <c r="G537" s="846">
        <v>45659</v>
      </c>
      <c r="H537" s="832"/>
      <c r="I537" s="839" t="s">
        <v>99</v>
      </c>
      <c r="J537" s="833"/>
      <c r="K537" s="832"/>
      <c r="L537" s="832"/>
      <c r="M537" s="833"/>
      <c r="N537" s="832"/>
      <c r="O537" s="832"/>
      <c r="P537" s="842">
        <v>45666</v>
      </c>
      <c r="Q537" s="833">
        <f t="shared" si="8"/>
        <v>7</v>
      </c>
      <c r="R537" s="836"/>
      <c r="S537" s="832"/>
    </row>
    <row r="538" spans="1:19" ht="43.2" x14ac:dyDescent="0.3">
      <c r="A538" s="832">
        <v>537</v>
      </c>
      <c r="B538" s="841" t="s">
        <v>80</v>
      </c>
      <c r="C538" s="834">
        <v>45659</v>
      </c>
      <c r="D538" s="843" t="s">
        <v>685</v>
      </c>
      <c r="E538" s="836" t="s">
        <v>51</v>
      </c>
      <c r="F538" s="836" t="s">
        <v>10</v>
      </c>
      <c r="G538" s="846">
        <v>45659</v>
      </c>
      <c r="H538" s="845"/>
      <c r="I538" s="839" t="s">
        <v>99</v>
      </c>
      <c r="J538" s="845"/>
      <c r="K538" s="845"/>
      <c r="L538" s="845"/>
      <c r="M538" s="845"/>
      <c r="N538" s="845"/>
      <c r="O538" s="845"/>
      <c r="P538" s="842">
        <v>45666</v>
      </c>
      <c r="Q538" s="833">
        <f t="shared" si="8"/>
        <v>7</v>
      </c>
      <c r="R538" s="836"/>
      <c r="S538" s="843"/>
    </row>
    <row r="539" spans="1:19" ht="43.2" x14ac:dyDescent="0.3">
      <c r="A539" s="832">
        <v>538</v>
      </c>
      <c r="B539" s="841">
        <v>1550</v>
      </c>
      <c r="C539" s="842">
        <v>45659</v>
      </c>
      <c r="D539" s="843" t="s">
        <v>686</v>
      </c>
      <c r="E539" s="836" t="s">
        <v>51</v>
      </c>
      <c r="F539" s="837" t="s">
        <v>4</v>
      </c>
      <c r="G539" s="844">
        <v>45659</v>
      </c>
      <c r="H539" s="845"/>
      <c r="I539" s="839" t="s">
        <v>99</v>
      </c>
      <c r="J539" s="845"/>
      <c r="K539" s="845"/>
      <c r="L539" s="845"/>
      <c r="M539" s="845"/>
      <c r="N539" s="845"/>
      <c r="O539" s="845"/>
      <c r="P539" s="842">
        <v>45666</v>
      </c>
      <c r="Q539" s="833">
        <f t="shared" si="8"/>
        <v>7</v>
      </c>
      <c r="R539" s="836"/>
      <c r="S539" s="843"/>
    </row>
    <row r="540" spans="1:19" ht="43.2" x14ac:dyDescent="0.3">
      <c r="A540" s="832">
        <v>539</v>
      </c>
      <c r="B540" s="833" t="s">
        <v>301</v>
      </c>
      <c r="C540" s="834">
        <v>45660</v>
      </c>
      <c r="D540" s="843" t="s">
        <v>687</v>
      </c>
      <c r="E540" s="836" t="s">
        <v>51</v>
      </c>
      <c r="F540" s="836" t="s">
        <v>10</v>
      </c>
      <c r="G540" s="846">
        <v>45660</v>
      </c>
      <c r="H540" s="832"/>
      <c r="I540" s="839" t="s">
        <v>99</v>
      </c>
      <c r="J540" s="833"/>
      <c r="K540" s="832"/>
      <c r="L540" s="832"/>
      <c r="M540" s="833"/>
      <c r="N540" s="832"/>
      <c r="O540" s="832"/>
      <c r="P540" s="834">
        <v>45666</v>
      </c>
      <c r="Q540" s="833">
        <f t="shared" si="8"/>
        <v>6</v>
      </c>
      <c r="R540" s="836"/>
      <c r="S540" s="832"/>
    </row>
    <row r="541" spans="1:19" ht="43.2" x14ac:dyDescent="0.3">
      <c r="A541" s="832">
        <v>540</v>
      </c>
      <c r="B541" s="833" t="s">
        <v>80</v>
      </c>
      <c r="C541" s="834">
        <v>45660</v>
      </c>
      <c r="D541" s="843" t="s">
        <v>688</v>
      </c>
      <c r="E541" s="836" t="s">
        <v>51</v>
      </c>
      <c r="F541" s="836" t="s">
        <v>10</v>
      </c>
      <c r="G541" s="846">
        <v>45660</v>
      </c>
      <c r="H541" s="832"/>
      <c r="I541" s="839" t="s">
        <v>99</v>
      </c>
      <c r="J541" s="833"/>
      <c r="K541" s="832"/>
      <c r="L541" s="832"/>
      <c r="M541" s="833"/>
      <c r="N541" s="832"/>
      <c r="O541" s="832"/>
      <c r="P541" s="834">
        <v>45666</v>
      </c>
      <c r="Q541" s="833">
        <f t="shared" si="8"/>
        <v>6</v>
      </c>
      <c r="R541" s="836"/>
      <c r="S541" s="832"/>
    </row>
    <row r="542" spans="1:19" ht="43.2" x14ac:dyDescent="0.3">
      <c r="A542" s="832">
        <v>541</v>
      </c>
      <c r="B542" s="833" t="s">
        <v>301</v>
      </c>
      <c r="C542" s="834">
        <v>45660</v>
      </c>
      <c r="D542" s="843" t="s">
        <v>689</v>
      </c>
      <c r="E542" s="836" t="s">
        <v>51</v>
      </c>
      <c r="F542" s="836" t="s">
        <v>10</v>
      </c>
      <c r="G542" s="846">
        <v>45660</v>
      </c>
      <c r="H542" s="832"/>
      <c r="I542" s="839" t="s">
        <v>99</v>
      </c>
      <c r="J542" s="845"/>
      <c r="K542" s="845"/>
      <c r="L542" s="845"/>
      <c r="M542" s="845"/>
      <c r="N542" s="845"/>
      <c r="O542" s="845"/>
      <c r="P542" s="834">
        <v>45666</v>
      </c>
      <c r="Q542" s="833">
        <f t="shared" si="8"/>
        <v>6</v>
      </c>
      <c r="R542" s="836"/>
      <c r="S542" s="845"/>
    </row>
    <row r="543" spans="1:19" ht="129.6" x14ac:dyDescent="0.3">
      <c r="A543" s="832">
        <v>542</v>
      </c>
      <c r="B543" s="833" t="s">
        <v>301</v>
      </c>
      <c r="C543" s="834">
        <v>45660</v>
      </c>
      <c r="D543" s="843" t="s">
        <v>690</v>
      </c>
      <c r="E543" s="837" t="s">
        <v>1</v>
      </c>
      <c r="F543" s="836" t="s">
        <v>10</v>
      </c>
      <c r="G543" s="846">
        <v>45660</v>
      </c>
      <c r="H543" s="845"/>
      <c r="I543" s="845" t="s">
        <v>125</v>
      </c>
      <c r="J543" s="845"/>
      <c r="K543" s="845"/>
      <c r="L543" s="845"/>
      <c r="M543" s="845"/>
      <c r="N543" s="845"/>
      <c r="O543" s="845"/>
      <c r="P543" s="834">
        <v>45666</v>
      </c>
      <c r="Q543" s="833">
        <f t="shared" si="8"/>
        <v>6</v>
      </c>
      <c r="R543" s="836"/>
      <c r="S543" s="845"/>
    </row>
    <row r="544" spans="1:19" ht="43.2" x14ac:dyDescent="0.3">
      <c r="A544" s="832">
        <v>543</v>
      </c>
      <c r="B544" s="833" t="s">
        <v>80</v>
      </c>
      <c r="C544" s="834">
        <v>45663</v>
      </c>
      <c r="D544" s="843" t="s">
        <v>691</v>
      </c>
      <c r="E544" s="836" t="s">
        <v>51</v>
      </c>
      <c r="F544" s="836" t="s">
        <v>10</v>
      </c>
      <c r="G544" s="846">
        <v>45663</v>
      </c>
      <c r="H544" s="832"/>
      <c r="I544" s="839" t="s">
        <v>99</v>
      </c>
      <c r="J544" s="833"/>
      <c r="K544" s="832"/>
      <c r="L544" s="832"/>
      <c r="M544" s="833"/>
      <c r="N544" s="832"/>
      <c r="O544" s="832"/>
      <c r="P544" s="834">
        <v>45666</v>
      </c>
      <c r="Q544" s="833">
        <f t="shared" si="8"/>
        <v>3</v>
      </c>
      <c r="R544" s="836"/>
      <c r="S544" s="832"/>
    </row>
    <row r="545" spans="1:19" ht="28.8" x14ac:dyDescent="0.3">
      <c r="A545" s="832">
        <v>544</v>
      </c>
      <c r="B545" s="833" t="s">
        <v>80</v>
      </c>
      <c r="C545" s="834">
        <v>45663</v>
      </c>
      <c r="D545" s="843" t="s">
        <v>692</v>
      </c>
      <c r="E545" s="837" t="s">
        <v>3</v>
      </c>
      <c r="F545" s="836" t="s">
        <v>10</v>
      </c>
      <c r="G545" s="846">
        <v>45663</v>
      </c>
      <c r="H545" s="832">
        <v>10000249280</v>
      </c>
      <c r="I545" s="845" t="s">
        <v>135</v>
      </c>
      <c r="J545" s="845"/>
      <c r="K545" s="845"/>
      <c r="L545" s="845"/>
      <c r="M545" s="845"/>
      <c r="N545" s="845"/>
      <c r="O545" s="845"/>
      <c r="P545" s="834">
        <v>45666</v>
      </c>
      <c r="Q545" s="833">
        <f t="shared" si="8"/>
        <v>3</v>
      </c>
      <c r="R545" s="836"/>
      <c r="S545" s="845"/>
    </row>
    <row r="546" spans="1:19" ht="43.2" x14ac:dyDescent="0.3">
      <c r="A546" s="832">
        <v>545</v>
      </c>
      <c r="B546" s="833" t="s">
        <v>80</v>
      </c>
      <c r="C546" s="834">
        <v>45663</v>
      </c>
      <c r="D546" s="843" t="s">
        <v>693</v>
      </c>
      <c r="E546" s="836" t="s">
        <v>51</v>
      </c>
      <c r="F546" s="836" t="s">
        <v>10</v>
      </c>
      <c r="G546" s="846">
        <v>45663</v>
      </c>
      <c r="H546" s="832"/>
      <c r="I546" s="839" t="s">
        <v>99</v>
      </c>
      <c r="J546" s="833"/>
      <c r="K546" s="832"/>
      <c r="L546" s="832"/>
      <c r="M546" s="833"/>
      <c r="N546" s="832"/>
      <c r="O546" s="832"/>
      <c r="P546" s="834">
        <v>45666</v>
      </c>
      <c r="Q546" s="833">
        <f t="shared" si="8"/>
        <v>3</v>
      </c>
      <c r="R546" s="836"/>
      <c r="S546" s="832"/>
    </row>
    <row r="547" spans="1:19" ht="115.2" x14ac:dyDescent="0.3">
      <c r="A547" s="832">
        <v>546</v>
      </c>
      <c r="B547" s="841" t="s">
        <v>80</v>
      </c>
      <c r="C547" s="842">
        <v>45664</v>
      </c>
      <c r="D547" s="840" t="s">
        <v>694</v>
      </c>
      <c r="E547" s="837" t="s">
        <v>24</v>
      </c>
      <c r="F547" s="836" t="s">
        <v>10</v>
      </c>
      <c r="G547" s="846">
        <v>45664</v>
      </c>
      <c r="H547" s="845"/>
      <c r="I547" s="839" t="s">
        <v>383</v>
      </c>
      <c r="J547" s="845"/>
      <c r="K547" s="845"/>
      <c r="L547" s="845"/>
      <c r="M547" s="845"/>
      <c r="N547" s="845"/>
      <c r="O547" s="845"/>
      <c r="P547" s="842">
        <v>45666</v>
      </c>
      <c r="Q547" s="833">
        <f t="shared" si="8"/>
        <v>2</v>
      </c>
      <c r="R547" s="836"/>
      <c r="S547" s="845"/>
    </row>
    <row r="548" spans="1:19" ht="43.2" x14ac:dyDescent="0.3">
      <c r="A548" s="832">
        <v>547</v>
      </c>
      <c r="B548" s="841" t="s">
        <v>80</v>
      </c>
      <c r="C548" s="842">
        <v>45664</v>
      </c>
      <c r="D548" s="840" t="s">
        <v>695</v>
      </c>
      <c r="E548" s="836" t="s">
        <v>51</v>
      </c>
      <c r="F548" s="836" t="s">
        <v>10</v>
      </c>
      <c r="G548" s="846">
        <v>45664</v>
      </c>
      <c r="H548" s="832"/>
      <c r="I548" s="839" t="s">
        <v>99</v>
      </c>
      <c r="J548" s="833"/>
      <c r="K548" s="832"/>
      <c r="L548" s="832"/>
      <c r="M548" s="833"/>
      <c r="N548" s="832"/>
      <c r="O548" s="832"/>
      <c r="P548" s="842">
        <v>45666</v>
      </c>
      <c r="Q548" s="833">
        <f t="shared" si="8"/>
        <v>2</v>
      </c>
      <c r="R548" s="836"/>
      <c r="S548" s="832"/>
    </row>
    <row r="549" spans="1:19" ht="72" x14ac:dyDescent="0.3">
      <c r="A549" s="832">
        <v>548</v>
      </c>
      <c r="B549" s="833" t="s">
        <v>80</v>
      </c>
      <c r="C549" s="834">
        <v>45665</v>
      </c>
      <c r="D549" s="840" t="s">
        <v>696</v>
      </c>
      <c r="E549" s="836" t="s">
        <v>3</v>
      </c>
      <c r="F549" s="836" t="s">
        <v>10</v>
      </c>
      <c r="G549" s="846">
        <v>45665</v>
      </c>
      <c r="H549" s="832"/>
      <c r="I549" s="849" t="s">
        <v>82</v>
      </c>
      <c r="J549" s="833"/>
      <c r="K549" s="832"/>
      <c r="L549" s="832"/>
      <c r="M549" s="833"/>
      <c r="N549" s="832"/>
      <c r="O549" s="832"/>
      <c r="P549" s="834">
        <v>45666</v>
      </c>
      <c r="Q549" s="833">
        <f t="shared" si="8"/>
        <v>1</v>
      </c>
      <c r="R549" s="836"/>
      <c r="S549" s="832"/>
    </row>
    <row r="550" spans="1:19" ht="57.6" x14ac:dyDescent="0.3">
      <c r="A550" s="832">
        <v>549</v>
      </c>
      <c r="B550" s="833" t="s">
        <v>80</v>
      </c>
      <c r="C550" s="834">
        <v>45665</v>
      </c>
      <c r="D550" s="840" t="s">
        <v>697</v>
      </c>
      <c r="E550" s="837" t="s">
        <v>3</v>
      </c>
      <c r="F550" s="836" t="s">
        <v>10</v>
      </c>
      <c r="G550" s="846">
        <v>45665</v>
      </c>
      <c r="H550" s="845"/>
      <c r="I550" s="849" t="s">
        <v>82</v>
      </c>
      <c r="J550" s="845"/>
      <c r="K550" s="845"/>
      <c r="L550" s="845"/>
      <c r="M550" s="845"/>
      <c r="N550" s="845"/>
      <c r="O550" s="845"/>
      <c r="P550" s="834">
        <v>45666</v>
      </c>
      <c r="Q550" s="833">
        <f t="shared" si="8"/>
        <v>1</v>
      </c>
      <c r="R550" s="836"/>
      <c r="S550" s="845"/>
    </row>
    <row r="551" spans="1:19" ht="28.8" x14ac:dyDescent="0.3">
      <c r="A551" s="832">
        <v>550</v>
      </c>
      <c r="B551" s="833" t="s">
        <v>80</v>
      </c>
      <c r="C551" s="834">
        <v>45665</v>
      </c>
      <c r="D551" s="840" t="s">
        <v>698</v>
      </c>
      <c r="E551" s="836" t="s">
        <v>3</v>
      </c>
      <c r="F551" s="836" t="s">
        <v>10</v>
      </c>
      <c r="G551" s="846">
        <v>45665</v>
      </c>
      <c r="H551" s="832">
        <v>10000250021</v>
      </c>
      <c r="I551" s="839" t="s">
        <v>135</v>
      </c>
      <c r="J551" s="833"/>
      <c r="K551" s="832"/>
      <c r="L551" s="832"/>
      <c r="M551" s="833"/>
      <c r="N551" s="832"/>
      <c r="O551" s="832"/>
      <c r="P551" s="834">
        <v>45666</v>
      </c>
      <c r="Q551" s="833">
        <f t="shared" si="8"/>
        <v>1</v>
      </c>
      <c r="R551" s="836"/>
      <c r="S551" s="832"/>
    </row>
    <row r="552" spans="1:19" ht="43.2" x14ac:dyDescent="0.3">
      <c r="A552" s="832">
        <v>551</v>
      </c>
      <c r="B552" s="833">
        <v>1550</v>
      </c>
      <c r="C552" s="834">
        <v>45666</v>
      </c>
      <c r="D552" s="840" t="s">
        <v>699</v>
      </c>
      <c r="E552" s="836" t="s">
        <v>21</v>
      </c>
      <c r="F552" s="836" t="s">
        <v>6</v>
      </c>
      <c r="G552" s="846">
        <v>45666</v>
      </c>
      <c r="H552" s="832"/>
      <c r="I552" s="839" t="s">
        <v>125</v>
      </c>
      <c r="J552" s="833"/>
      <c r="K552" s="832"/>
      <c r="L552" s="832"/>
      <c r="M552" s="833"/>
      <c r="N552" s="832"/>
      <c r="O552" s="832"/>
      <c r="P552" s="834">
        <v>45666</v>
      </c>
      <c r="Q552" s="833">
        <f t="shared" si="8"/>
        <v>0</v>
      </c>
      <c r="R552" s="836"/>
      <c r="S552" s="840"/>
    </row>
    <row r="553" spans="1:19" ht="57.6" x14ac:dyDescent="0.3">
      <c r="A553" s="832">
        <v>552</v>
      </c>
      <c r="B553" s="833">
        <v>1550</v>
      </c>
      <c r="C553" s="834">
        <v>45666</v>
      </c>
      <c r="D553" s="840" t="s">
        <v>700</v>
      </c>
      <c r="E553" s="836" t="s">
        <v>1</v>
      </c>
      <c r="F553" s="836" t="s">
        <v>6</v>
      </c>
      <c r="G553" s="846">
        <v>45666</v>
      </c>
      <c r="H553" s="832"/>
      <c r="I553" s="839" t="s">
        <v>701</v>
      </c>
      <c r="J553" s="833"/>
      <c r="K553" s="832"/>
      <c r="L553" s="832"/>
      <c r="M553" s="833"/>
      <c r="N553" s="832"/>
      <c r="O553" s="832"/>
      <c r="P553" s="834">
        <v>45666</v>
      </c>
      <c r="Q553" s="833">
        <f t="shared" si="8"/>
        <v>0</v>
      </c>
      <c r="R553" s="836"/>
      <c r="S553" s="832"/>
    </row>
    <row r="554" spans="1:19" ht="57.6" x14ac:dyDescent="0.3">
      <c r="A554" s="832">
        <v>553</v>
      </c>
      <c r="B554" s="833">
        <v>1550</v>
      </c>
      <c r="C554" s="834">
        <v>45666</v>
      </c>
      <c r="D554" s="840" t="s">
        <v>702</v>
      </c>
      <c r="E554" s="836" t="s">
        <v>7</v>
      </c>
      <c r="F554" s="836" t="s">
        <v>6</v>
      </c>
      <c r="G554" s="846">
        <v>45666</v>
      </c>
      <c r="H554" s="832"/>
      <c r="I554" s="839" t="s">
        <v>258</v>
      </c>
      <c r="J554" s="833"/>
      <c r="K554" s="832"/>
      <c r="L554" s="832"/>
      <c r="M554" s="833"/>
      <c r="N554" s="832"/>
      <c r="O554" s="832"/>
      <c r="P554" s="834">
        <v>45666</v>
      </c>
      <c r="Q554" s="833">
        <f t="shared" si="8"/>
        <v>0</v>
      </c>
      <c r="R554" s="836"/>
      <c r="S554" s="832"/>
    </row>
    <row r="555" spans="1:19" ht="43.2" x14ac:dyDescent="0.3">
      <c r="A555" s="832">
        <v>554</v>
      </c>
      <c r="B555" s="841">
        <v>1550</v>
      </c>
      <c r="C555" s="842">
        <v>45666</v>
      </c>
      <c r="D555" s="843" t="s">
        <v>703</v>
      </c>
      <c r="E555" s="837" t="s">
        <v>49</v>
      </c>
      <c r="F555" s="837" t="s">
        <v>8</v>
      </c>
      <c r="G555" s="844">
        <v>45666</v>
      </c>
      <c r="H555" s="845"/>
      <c r="I555" s="845" t="s">
        <v>266</v>
      </c>
      <c r="J555" s="845"/>
      <c r="K555" s="845"/>
      <c r="L555" s="845"/>
      <c r="M555" s="845"/>
      <c r="N555" s="845"/>
      <c r="O555" s="845"/>
      <c r="P555" s="842">
        <v>45666</v>
      </c>
      <c r="Q555" s="833">
        <f t="shared" si="8"/>
        <v>0</v>
      </c>
      <c r="R555" s="836"/>
      <c r="S555" s="845"/>
    </row>
    <row r="556" spans="1:19" ht="43.2" x14ac:dyDescent="0.3">
      <c r="A556" s="832">
        <v>555</v>
      </c>
      <c r="B556" s="841">
        <v>1550</v>
      </c>
      <c r="C556" s="842">
        <v>45666</v>
      </c>
      <c r="D556" s="843" t="s">
        <v>527</v>
      </c>
      <c r="E556" s="837" t="s">
        <v>49</v>
      </c>
      <c r="F556" s="837" t="s">
        <v>8</v>
      </c>
      <c r="G556" s="844">
        <v>45666</v>
      </c>
      <c r="H556" s="845"/>
      <c r="I556" s="845" t="s">
        <v>266</v>
      </c>
      <c r="J556" s="845"/>
      <c r="K556" s="845"/>
      <c r="L556" s="845"/>
      <c r="M556" s="845"/>
      <c r="N556" s="845"/>
      <c r="O556" s="845"/>
      <c r="P556" s="842">
        <v>45666</v>
      </c>
      <c r="Q556" s="833">
        <f t="shared" si="8"/>
        <v>0</v>
      </c>
      <c r="R556" s="836"/>
      <c r="S556" s="845"/>
    </row>
    <row r="557" spans="1:19" ht="43.2" x14ac:dyDescent="0.3">
      <c r="A557" s="832">
        <v>556</v>
      </c>
      <c r="B557" s="841" t="s">
        <v>80</v>
      </c>
      <c r="C557" s="842">
        <v>45666</v>
      </c>
      <c r="D557" s="840" t="s">
        <v>704</v>
      </c>
      <c r="E557" s="837" t="s">
        <v>49</v>
      </c>
      <c r="F557" s="837" t="s">
        <v>10</v>
      </c>
      <c r="G557" s="844">
        <v>45666</v>
      </c>
      <c r="H557" s="845"/>
      <c r="I557" s="845" t="s">
        <v>266</v>
      </c>
      <c r="J557" s="845"/>
      <c r="K557" s="845"/>
      <c r="L557" s="845"/>
      <c r="M557" s="845"/>
      <c r="N557" s="845"/>
      <c r="O557" s="845"/>
      <c r="P557" s="842">
        <v>45666</v>
      </c>
      <c r="Q557" s="833">
        <f t="shared" si="8"/>
        <v>0</v>
      </c>
      <c r="R557" s="836"/>
      <c r="S557" s="845"/>
    </row>
    <row r="558" spans="1:19" ht="43.2" x14ac:dyDescent="0.3">
      <c r="A558" s="832">
        <v>557</v>
      </c>
      <c r="B558" s="841" t="s">
        <v>301</v>
      </c>
      <c r="C558" s="842">
        <v>45666</v>
      </c>
      <c r="D558" s="840" t="s">
        <v>705</v>
      </c>
      <c r="E558" s="837" t="s">
        <v>49</v>
      </c>
      <c r="F558" s="837" t="s">
        <v>10</v>
      </c>
      <c r="G558" s="844">
        <v>45666</v>
      </c>
      <c r="H558" s="845"/>
      <c r="I558" s="845" t="s">
        <v>266</v>
      </c>
      <c r="J558" s="833"/>
      <c r="K558" s="832"/>
      <c r="L558" s="832"/>
      <c r="M558" s="833"/>
      <c r="N558" s="832"/>
      <c r="O558" s="832"/>
      <c r="P558" s="842">
        <v>45666</v>
      </c>
      <c r="Q558" s="833">
        <f t="shared" si="8"/>
        <v>0</v>
      </c>
      <c r="R558" s="836"/>
      <c r="S558" s="832"/>
    </row>
    <row r="559" spans="1:19" ht="43.2" x14ac:dyDescent="0.3">
      <c r="A559" s="832">
        <v>558</v>
      </c>
      <c r="B559" s="841" t="s">
        <v>301</v>
      </c>
      <c r="C559" s="842">
        <v>45666</v>
      </c>
      <c r="D559" s="840" t="s">
        <v>706</v>
      </c>
      <c r="E559" s="837" t="s">
        <v>49</v>
      </c>
      <c r="F559" s="837" t="s">
        <v>10</v>
      </c>
      <c r="G559" s="844">
        <v>45666</v>
      </c>
      <c r="H559" s="845"/>
      <c r="I559" s="845" t="s">
        <v>266</v>
      </c>
      <c r="J559" s="833"/>
      <c r="K559" s="832"/>
      <c r="L559" s="832"/>
      <c r="M559" s="833"/>
      <c r="N559" s="832"/>
      <c r="O559" s="832"/>
      <c r="P559" s="842">
        <v>45666</v>
      </c>
      <c r="Q559" s="833">
        <f t="shared" si="8"/>
        <v>0</v>
      </c>
      <c r="R559" s="836"/>
      <c r="S559" s="832"/>
    </row>
    <row r="560" spans="1:19" ht="43.2" x14ac:dyDescent="0.3">
      <c r="A560" s="832">
        <v>559</v>
      </c>
      <c r="B560" s="841" t="s">
        <v>301</v>
      </c>
      <c r="C560" s="842">
        <v>45666</v>
      </c>
      <c r="D560" s="840" t="s">
        <v>707</v>
      </c>
      <c r="E560" s="837" t="s">
        <v>49</v>
      </c>
      <c r="F560" s="837" t="s">
        <v>10</v>
      </c>
      <c r="G560" s="844">
        <v>45666</v>
      </c>
      <c r="H560" s="845"/>
      <c r="I560" s="845" t="s">
        <v>266</v>
      </c>
      <c r="J560" s="833"/>
      <c r="K560" s="832"/>
      <c r="L560" s="832"/>
      <c r="M560" s="833"/>
      <c r="N560" s="832"/>
      <c r="O560" s="832"/>
      <c r="P560" s="842">
        <v>45666</v>
      </c>
      <c r="Q560" s="833">
        <f t="shared" si="8"/>
        <v>0</v>
      </c>
      <c r="R560" s="836"/>
      <c r="S560" s="832"/>
    </row>
    <row r="561" spans="1:19" ht="43.2" x14ac:dyDescent="0.3">
      <c r="A561" s="832">
        <v>560</v>
      </c>
      <c r="B561" s="833" t="s">
        <v>80</v>
      </c>
      <c r="C561" s="834">
        <v>45667</v>
      </c>
      <c r="D561" s="835" t="s">
        <v>708</v>
      </c>
      <c r="E561" s="836" t="s">
        <v>48</v>
      </c>
      <c r="F561" s="836" t="s">
        <v>10</v>
      </c>
      <c r="G561" s="838">
        <v>45667</v>
      </c>
      <c r="H561" s="832"/>
      <c r="I561" s="845" t="s">
        <v>99</v>
      </c>
      <c r="J561" s="833"/>
      <c r="K561" s="832"/>
      <c r="L561" s="832"/>
      <c r="M561" s="833"/>
      <c r="N561" s="832"/>
      <c r="O561" s="832"/>
      <c r="P561" s="834">
        <v>45666</v>
      </c>
      <c r="Q561" s="833">
        <f t="shared" si="8"/>
        <v>-1</v>
      </c>
      <c r="R561" s="836"/>
      <c r="S561" s="832" t="s">
        <v>427</v>
      </c>
    </row>
    <row r="562" spans="1:19" ht="86.4" x14ac:dyDescent="0.3">
      <c r="A562" s="832">
        <v>561</v>
      </c>
      <c r="B562" s="841" t="s">
        <v>80</v>
      </c>
      <c r="C562" s="834">
        <v>45659</v>
      </c>
      <c r="D562" s="843" t="s">
        <v>709</v>
      </c>
      <c r="E562" s="836" t="s">
        <v>1</v>
      </c>
      <c r="F562" s="836" t="s">
        <v>10</v>
      </c>
      <c r="G562" s="846">
        <v>45659</v>
      </c>
      <c r="H562" s="845"/>
      <c r="I562" s="845" t="s">
        <v>125</v>
      </c>
      <c r="J562" s="845"/>
      <c r="K562" s="845"/>
      <c r="L562" s="845"/>
      <c r="M562" s="845"/>
      <c r="N562" s="845"/>
      <c r="O562" s="845"/>
      <c r="P562" s="842">
        <v>45665</v>
      </c>
      <c r="Q562" s="833">
        <f t="shared" si="8"/>
        <v>6</v>
      </c>
      <c r="R562" s="836"/>
      <c r="S562" s="845"/>
    </row>
    <row r="563" spans="1:19" ht="129.6" x14ac:dyDescent="0.3">
      <c r="A563" s="832">
        <v>562</v>
      </c>
      <c r="B563" s="833" t="s">
        <v>80</v>
      </c>
      <c r="C563" s="834">
        <v>45663</v>
      </c>
      <c r="D563" s="843" t="s">
        <v>710</v>
      </c>
      <c r="E563" s="836" t="s">
        <v>1</v>
      </c>
      <c r="F563" s="836" t="s">
        <v>10</v>
      </c>
      <c r="G563" s="846">
        <v>45663</v>
      </c>
      <c r="H563" s="832"/>
      <c r="I563" s="839" t="s">
        <v>129</v>
      </c>
      <c r="J563" s="833"/>
      <c r="K563" s="832"/>
      <c r="L563" s="832"/>
      <c r="M563" s="833"/>
      <c r="N563" s="832"/>
      <c r="O563" s="832"/>
      <c r="P563" s="834">
        <v>45665</v>
      </c>
      <c r="Q563" s="833">
        <f t="shared" si="8"/>
        <v>2</v>
      </c>
      <c r="R563" s="836"/>
      <c r="S563" s="832"/>
    </row>
    <row r="564" spans="1:19" ht="158.4" x14ac:dyDescent="0.3">
      <c r="A564" s="832">
        <v>563</v>
      </c>
      <c r="B564" s="841" t="s">
        <v>80</v>
      </c>
      <c r="C564" s="842">
        <v>45664</v>
      </c>
      <c r="D564" s="840" t="s">
        <v>711</v>
      </c>
      <c r="E564" s="837" t="s">
        <v>1</v>
      </c>
      <c r="F564" s="836" t="s">
        <v>10</v>
      </c>
      <c r="G564" s="846">
        <v>45664</v>
      </c>
      <c r="H564" s="845"/>
      <c r="I564" s="845" t="s">
        <v>125</v>
      </c>
      <c r="J564" s="845"/>
      <c r="K564" s="845"/>
      <c r="L564" s="845"/>
      <c r="M564" s="845"/>
      <c r="N564" s="845"/>
      <c r="O564" s="845"/>
      <c r="P564" s="842">
        <v>45665</v>
      </c>
      <c r="Q564" s="833">
        <f t="shared" si="8"/>
        <v>1</v>
      </c>
      <c r="R564" s="836"/>
      <c r="S564" s="845"/>
    </row>
    <row r="565" spans="1:19" ht="28.8" x14ac:dyDescent="0.3">
      <c r="A565" s="832">
        <v>564</v>
      </c>
      <c r="B565" s="833">
        <v>1550</v>
      </c>
      <c r="C565" s="834">
        <v>45659</v>
      </c>
      <c r="D565" s="840" t="s">
        <v>712</v>
      </c>
      <c r="E565" s="836" t="s">
        <v>12</v>
      </c>
      <c r="F565" s="836" t="s">
        <v>8</v>
      </c>
      <c r="G565" s="846">
        <v>45659</v>
      </c>
      <c r="H565" s="832"/>
      <c r="I565" s="845" t="s">
        <v>159</v>
      </c>
      <c r="J565" s="833"/>
      <c r="K565" s="832"/>
      <c r="L565" s="832"/>
      <c r="M565" s="833"/>
      <c r="N565" s="832"/>
      <c r="O565" s="832"/>
      <c r="P565" s="834">
        <v>45664</v>
      </c>
      <c r="Q565" s="833">
        <f t="shared" si="8"/>
        <v>5</v>
      </c>
      <c r="R565" s="836"/>
      <c r="S565" s="832"/>
    </row>
    <row r="566" spans="1:19" ht="28.8" x14ac:dyDescent="0.3">
      <c r="A566" s="832">
        <v>565</v>
      </c>
      <c r="B566" s="841">
        <v>1550</v>
      </c>
      <c r="C566" s="842">
        <v>45659</v>
      </c>
      <c r="D566" s="843" t="s">
        <v>713</v>
      </c>
      <c r="E566" s="837" t="s">
        <v>1</v>
      </c>
      <c r="F566" s="837" t="s">
        <v>8</v>
      </c>
      <c r="G566" s="844">
        <v>45659</v>
      </c>
      <c r="H566" s="845"/>
      <c r="I566" s="839" t="s">
        <v>125</v>
      </c>
      <c r="J566" s="845"/>
      <c r="K566" s="845"/>
      <c r="L566" s="845"/>
      <c r="M566" s="845"/>
      <c r="N566" s="845"/>
      <c r="O566" s="845"/>
      <c r="P566" s="842">
        <v>45664</v>
      </c>
      <c r="Q566" s="833">
        <f t="shared" si="8"/>
        <v>5</v>
      </c>
      <c r="R566" s="836"/>
      <c r="S566" s="845"/>
    </row>
    <row r="567" spans="1:19" ht="28.8" x14ac:dyDescent="0.3">
      <c r="A567" s="832">
        <v>566</v>
      </c>
      <c r="B567" s="841">
        <v>1550</v>
      </c>
      <c r="C567" s="842">
        <v>45659</v>
      </c>
      <c r="D567" s="843" t="s">
        <v>714</v>
      </c>
      <c r="E567" s="837" t="s">
        <v>12</v>
      </c>
      <c r="F567" s="837" t="s">
        <v>6</v>
      </c>
      <c r="G567" s="844">
        <v>45659</v>
      </c>
      <c r="H567" s="845"/>
      <c r="I567" s="845" t="s">
        <v>159</v>
      </c>
      <c r="J567" s="845"/>
      <c r="K567" s="845"/>
      <c r="L567" s="845"/>
      <c r="M567" s="845"/>
      <c r="N567" s="845"/>
      <c r="O567" s="845"/>
      <c r="P567" s="842">
        <v>45664</v>
      </c>
      <c r="Q567" s="833">
        <f t="shared" si="8"/>
        <v>5</v>
      </c>
      <c r="R567" s="836"/>
      <c r="S567" s="845"/>
    </row>
    <row r="568" spans="1:19" ht="28.8" x14ac:dyDescent="0.3">
      <c r="A568" s="832">
        <v>567</v>
      </c>
      <c r="B568" s="841">
        <v>1550</v>
      </c>
      <c r="C568" s="842">
        <v>45659</v>
      </c>
      <c r="D568" s="843" t="s">
        <v>715</v>
      </c>
      <c r="E568" s="837" t="s">
        <v>12</v>
      </c>
      <c r="F568" s="837" t="s">
        <v>6</v>
      </c>
      <c r="G568" s="844">
        <v>45659</v>
      </c>
      <c r="H568" s="845"/>
      <c r="I568" s="845" t="s">
        <v>159</v>
      </c>
      <c r="J568" s="845"/>
      <c r="K568" s="845"/>
      <c r="L568" s="845"/>
      <c r="M568" s="845"/>
      <c r="N568" s="845"/>
      <c r="O568" s="845"/>
      <c r="P568" s="842">
        <v>45664</v>
      </c>
      <c r="Q568" s="833">
        <f t="shared" si="8"/>
        <v>5</v>
      </c>
      <c r="R568" s="836"/>
      <c r="S568" s="845"/>
    </row>
    <row r="569" spans="1:19" ht="28.8" x14ac:dyDescent="0.3">
      <c r="A569" s="832">
        <v>568</v>
      </c>
      <c r="B569" s="841">
        <v>1550</v>
      </c>
      <c r="C569" s="842">
        <v>45659</v>
      </c>
      <c r="D569" s="843" t="s">
        <v>716</v>
      </c>
      <c r="E569" s="837" t="s">
        <v>12</v>
      </c>
      <c r="F569" s="837" t="s">
        <v>8</v>
      </c>
      <c r="G569" s="844">
        <v>45659</v>
      </c>
      <c r="H569" s="845"/>
      <c r="I569" s="845" t="s">
        <v>159</v>
      </c>
      <c r="J569" s="845"/>
      <c r="K569" s="845"/>
      <c r="L569" s="845"/>
      <c r="M569" s="845"/>
      <c r="N569" s="845"/>
      <c r="O569" s="845"/>
      <c r="P569" s="842">
        <v>45664</v>
      </c>
      <c r="Q569" s="833">
        <f t="shared" si="8"/>
        <v>5</v>
      </c>
      <c r="R569" s="836"/>
      <c r="S569" s="845"/>
    </row>
    <row r="570" spans="1:19" ht="28.8" x14ac:dyDescent="0.3">
      <c r="A570" s="832">
        <v>569</v>
      </c>
      <c r="B570" s="833">
        <v>1550</v>
      </c>
      <c r="C570" s="834">
        <v>45660</v>
      </c>
      <c r="D570" s="840" t="s">
        <v>717</v>
      </c>
      <c r="E570" s="836" t="s">
        <v>55</v>
      </c>
      <c r="F570" s="836" t="s">
        <v>8</v>
      </c>
      <c r="G570" s="846">
        <v>45660</v>
      </c>
      <c r="H570" s="832"/>
      <c r="I570" s="839" t="s">
        <v>253</v>
      </c>
      <c r="J570" s="833"/>
      <c r="K570" s="832"/>
      <c r="L570" s="832"/>
      <c r="M570" s="833"/>
      <c r="N570" s="832"/>
      <c r="O570" s="832"/>
      <c r="P570" s="834">
        <v>45664</v>
      </c>
      <c r="Q570" s="833">
        <f t="shared" si="8"/>
        <v>4</v>
      </c>
      <c r="R570" s="836"/>
      <c r="S570" s="832"/>
    </row>
    <row r="571" spans="1:19" ht="115.2" x14ac:dyDescent="0.3">
      <c r="A571" s="832">
        <v>570</v>
      </c>
      <c r="B571" s="833" t="s">
        <v>80</v>
      </c>
      <c r="C571" s="834">
        <v>45660</v>
      </c>
      <c r="D571" s="843" t="s">
        <v>718</v>
      </c>
      <c r="E571" s="837" t="s">
        <v>12</v>
      </c>
      <c r="F571" s="836" t="s">
        <v>10</v>
      </c>
      <c r="G571" s="846">
        <v>45660</v>
      </c>
      <c r="H571" s="845"/>
      <c r="I571" s="845" t="s">
        <v>159</v>
      </c>
      <c r="J571" s="845"/>
      <c r="K571" s="845"/>
      <c r="L571" s="845"/>
      <c r="M571" s="845"/>
      <c r="N571" s="845"/>
      <c r="O571" s="845"/>
      <c r="P571" s="834">
        <v>45664</v>
      </c>
      <c r="Q571" s="833">
        <f t="shared" si="8"/>
        <v>4</v>
      </c>
      <c r="R571" s="836"/>
      <c r="S571" s="845"/>
    </row>
    <row r="572" spans="1:19" ht="28.8" x14ac:dyDescent="0.3">
      <c r="A572" s="832">
        <v>571</v>
      </c>
      <c r="B572" s="833">
        <v>1550</v>
      </c>
      <c r="C572" s="834">
        <v>45664</v>
      </c>
      <c r="D572" s="840" t="s">
        <v>719</v>
      </c>
      <c r="E572" s="836" t="s">
        <v>55</v>
      </c>
      <c r="F572" s="836" t="s">
        <v>8</v>
      </c>
      <c r="G572" s="846">
        <v>45664</v>
      </c>
      <c r="H572" s="832"/>
      <c r="I572" s="839" t="s">
        <v>253</v>
      </c>
      <c r="J572" s="833"/>
      <c r="K572" s="832"/>
      <c r="L572" s="832"/>
      <c r="M572" s="833"/>
      <c r="N572" s="832"/>
      <c r="O572" s="832"/>
      <c r="P572" s="834">
        <v>45664</v>
      </c>
      <c r="Q572" s="833">
        <f t="shared" si="8"/>
        <v>0</v>
      </c>
      <c r="R572" s="836" t="s">
        <v>720</v>
      </c>
      <c r="S572" s="832"/>
    </row>
    <row r="573" spans="1:19" ht="57.6" x14ac:dyDescent="0.3">
      <c r="A573" s="832">
        <v>572</v>
      </c>
      <c r="B573" s="841" t="s">
        <v>80</v>
      </c>
      <c r="C573" s="842">
        <v>45664</v>
      </c>
      <c r="D573" s="840" t="s">
        <v>721</v>
      </c>
      <c r="E573" s="837" t="s">
        <v>55</v>
      </c>
      <c r="F573" s="836" t="s">
        <v>10</v>
      </c>
      <c r="G573" s="846">
        <v>45664</v>
      </c>
      <c r="H573" s="845"/>
      <c r="I573" s="839" t="s">
        <v>253</v>
      </c>
      <c r="J573" s="845"/>
      <c r="K573" s="845"/>
      <c r="L573" s="845"/>
      <c r="M573" s="845"/>
      <c r="N573" s="845"/>
      <c r="O573" s="845"/>
      <c r="P573" s="842">
        <v>45664</v>
      </c>
      <c r="Q573" s="833">
        <f t="shared" si="8"/>
        <v>0</v>
      </c>
      <c r="R573" s="836"/>
      <c r="S573" s="845"/>
    </row>
    <row r="574" spans="1:19" ht="28.8" x14ac:dyDescent="0.3">
      <c r="A574" s="832">
        <v>573</v>
      </c>
      <c r="B574" s="833">
        <v>1550</v>
      </c>
      <c r="C574" s="834">
        <v>45660</v>
      </c>
      <c r="D574" s="840" t="s">
        <v>722</v>
      </c>
      <c r="E574" s="836" t="s">
        <v>1</v>
      </c>
      <c r="F574" s="836" t="s">
        <v>4</v>
      </c>
      <c r="G574" s="846">
        <v>45660</v>
      </c>
      <c r="H574" s="832"/>
      <c r="I574" s="839" t="s">
        <v>125</v>
      </c>
      <c r="J574" s="833"/>
      <c r="K574" s="832"/>
      <c r="L574" s="832"/>
      <c r="M574" s="833"/>
      <c r="N574" s="832"/>
      <c r="O574" s="832"/>
      <c r="P574" s="834">
        <v>45663</v>
      </c>
      <c r="Q574" s="833">
        <f t="shared" si="8"/>
        <v>3</v>
      </c>
      <c r="R574" s="836"/>
      <c r="S574" s="832"/>
    </row>
    <row r="575" spans="1:19" ht="28.8" x14ac:dyDescent="0.3">
      <c r="A575" s="832">
        <v>574</v>
      </c>
      <c r="B575" s="833">
        <v>1550</v>
      </c>
      <c r="C575" s="834">
        <v>45660</v>
      </c>
      <c r="D575" s="840" t="s">
        <v>723</v>
      </c>
      <c r="E575" s="836" t="s">
        <v>1</v>
      </c>
      <c r="F575" s="836" t="s">
        <v>8</v>
      </c>
      <c r="G575" s="846">
        <v>45660</v>
      </c>
      <c r="H575" s="832"/>
      <c r="I575" s="839" t="s">
        <v>701</v>
      </c>
      <c r="J575" s="833"/>
      <c r="K575" s="832"/>
      <c r="L575" s="832"/>
      <c r="M575" s="833"/>
      <c r="N575" s="832"/>
      <c r="O575" s="832"/>
      <c r="P575" s="834">
        <v>45660</v>
      </c>
      <c r="Q575" s="833">
        <f t="shared" si="8"/>
        <v>0</v>
      </c>
      <c r="R575" s="836"/>
      <c r="S575" s="832"/>
    </row>
    <row r="576" spans="1:19" ht="43.2" x14ac:dyDescent="0.3">
      <c r="A576" s="832">
        <v>575</v>
      </c>
      <c r="B576" s="833">
        <v>1550</v>
      </c>
      <c r="C576" s="834">
        <v>45660</v>
      </c>
      <c r="D576" s="840" t="s">
        <v>724</v>
      </c>
      <c r="E576" s="836" t="s">
        <v>49</v>
      </c>
      <c r="F576" s="836" t="s">
        <v>8</v>
      </c>
      <c r="G576" s="846">
        <v>45660</v>
      </c>
      <c r="H576" s="832"/>
      <c r="I576" s="839" t="s">
        <v>266</v>
      </c>
      <c r="J576" s="833"/>
      <c r="K576" s="832"/>
      <c r="L576" s="832"/>
      <c r="M576" s="833"/>
      <c r="N576" s="832"/>
      <c r="O576" s="832"/>
      <c r="P576" s="834">
        <v>45660</v>
      </c>
      <c r="Q576" s="833">
        <f t="shared" si="8"/>
        <v>0</v>
      </c>
      <c r="R576" s="836"/>
      <c r="S576" s="832"/>
    </row>
    <row r="577" spans="1:19" ht="100.8" x14ac:dyDescent="0.3">
      <c r="A577" s="832">
        <v>576</v>
      </c>
      <c r="B577" s="833" t="s">
        <v>80</v>
      </c>
      <c r="C577" s="834">
        <v>45660</v>
      </c>
      <c r="D577" s="843" t="s">
        <v>725</v>
      </c>
      <c r="E577" s="836" t="s">
        <v>1</v>
      </c>
      <c r="F577" s="836" t="s">
        <v>10</v>
      </c>
      <c r="G577" s="846">
        <v>45660</v>
      </c>
      <c r="H577" s="832"/>
      <c r="I577" s="839" t="s">
        <v>174</v>
      </c>
      <c r="J577" s="833"/>
      <c r="K577" s="832"/>
      <c r="L577" s="832"/>
      <c r="M577" s="833"/>
      <c r="N577" s="832"/>
      <c r="O577" s="832"/>
      <c r="P577" s="834">
        <v>45660</v>
      </c>
      <c r="Q577" s="833">
        <f t="shared" si="8"/>
        <v>0</v>
      </c>
      <c r="R577" s="836"/>
      <c r="S577" s="832"/>
    </row>
    <row r="578" spans="1:19" ht="43.2" x14ac:dyDescent="0.3">
      <c r="A578" s="832">
        <v>577</v>
      </c>
      <c r="B578" s="833">
        <v>1550</v>
      </c>
      <c r="C578" s="834">
        <v>45659</v>
      </c>
      <c r="D578" s="840" t="s">
        <v>726</v>
      </c>
      <c r="E578" s="836" t="s">
        <v>49</v>
      </c>
      <c r="F578" s="836" t="s">
        <v>6</v>
      </c>
      <c r="G578" s="846">
        <v>45659</v>
      </c>
      <c r="H578" s="832"/>
      <c r="I578" s="839" t="s">
        <v>266</v>
      </c>
      <c r="J578" s="833"/>
      <c r="K578" s="832"/>
      <c r="L578" s="832"/>
      <c r="M578" s="833"/>
      <c r="N578" s="832"/>
      <c r="O578" s="832"/>
      <c r="P578" s="834">
        <v>45659</v>
      </c>
      <c r="Q578" s="833">
        <f t="shared" ref="Q578:Q582" si="9">P578-G578</f>
        <v>0</v>
      </c>
      <c r="R578" s="836"/>
      <c r="S578" s="832"/>
    </row>
    <row r="579" spans="1:19" ht="28.8" x14ac:dyDescent="0.3">
      <c r="A579" s="832">
        <v>578</v>
      </c>
      <c r="B579" s="841">
        <v>1550</v>
      </c>
      <c r="C579" s="842">
        <v>45659</v>
      </c>
      <c r="D579" s="843" t="s">
        <v>727</v>
      </c>
      <c r="E579" s="836" t="s">
        <v>32</v>
      </c>
      <c r="F579" s="837" t="s">
        <v>8</v>
      </c>
      <c r="G579" s="844">
        <v>45659</v>
      </c>
      <c r="H579" s="845"/>
      <c r="I579" s="845" t="s">
        <v>106</v>
      </c>
      <c r="J579" s="845"/>
      <c r="K579" s="845"/>
      <c r="L579" s="845"/>
      <c r="M579" s="845"/>
      <c r="N579" s="845"/>
      <c r="O579" s="845"/>
      <c r="P579" s="842">
        <v>45659</v>
      </c>
      <c r="Q579" s="833">
        <f t="shared" si="9"/>
        <v>0</v>
      </c>
      <c r="R579" s="836"/>
      <c r="S579" s="845"/>
    </row>
    <row r="580" spans="1:19" ht="28.8" x14ac:dyDescent="0.3">
      <c r="A580" s="832">
        <v>579</v>
      </c>
      <c r="B580" s="841">
        <v>1550</v>
      </c>
      <c r="C580" s="842">
        <v>45659</v>
      </c>
      <c r="D580" s="843" t="s">
        <v>728</v>
      </c>
      <c r="E580" s="837" t="s">
        <v>52</v>
      </c>
      <c r="F580" s="837" t="s">
        <v>8</v>
      </c>
      <c r="G580" s="844">
        <v>45659</v>
      </c>
      <c r="H580" s="845"/>
      <c r="I580" s="845" t="s">
        <v>729</v>
      </c>
      <c r="J580" s="841" t="s">
        <v>262</v>
      </c>
      <c r="K580" s="844">
        <v>45293</v>
      </c>
      <c r="L580" s="841" t="s">
        <v>730</v>
      </c>
      <c r="M580" s="845"/>
      <c r="N580" s="845"/>
      <c r="O580" s="845"/>
      <c r="P580" s="842">
        <v>45659</v>
      </c>
      <c r="Q580" s="833">
        <f t="shared" si="9"/>
        <v>0</v>
      </c>
      <c r="R580" s="836"/>
      <c r="S580" s="845"/>
    </row>
    <row r="581" spans="1:19" ht="28.8" x14ac:dyDescent="0.3">
      <c r="A581" s="832">
        <v>580</v>
      </c>
      <c r="B581" s="833">
        <v>1550</v>
      </c>
      <c r="C581" s="834">
        <v>45659</v>
      </c>
      <c r="D581" s="840" t="s">
        <v>731</v>
      </c>
      <c r="E581" s="836" t="s">
        <v>1</v>
      </c>
      <c r="F581" s="836" t="s">
        <v>4</v>
      </c>
      <c r="G581" s="846">
        <v>45659</v>
      </c>
      <c r="H581" s="832"/>
      <c r="I581" s="839" t="s">
        <v>125</v>
      </c>
      <c r="J581" s="833"/>
      <c r="K581" s="832"/>
      <c r="L581" s="832"/>
      <c r="M581" s="833"/>
      <c r="N581" s="832"/>
      <c r="O581" s="832"/>
      <c r="P581" s="834">
        <v>45659</v>
      </c>
      <c r="Q581" s="833">
        <f t="shared" si="9"/>
        <v>0</v>
      </c>
      <c r="R581" s="836"/>
      <c r="S581" s="832"/>
    </row>
    <row r="582" spans="1:19" ht="86.4" x14ac:dyDescent="0.3">
      <c r="A582" s="832">
        <v>581</v>
      </c>
      <c r="B582" s="833" t="s">
        <v>301</v>
      </c>
      <c r="C582" s="834">
        <v>45659</v>
      </c>
      <c r="D582" s="843" t="s">
        <v>732</v>
      </c>
      <c r="E582" s="837" t="s">
        <v>9</v>
      </c>
      <c r="F582" s="836" t="s">
        <v>10</v>
      </c>
      <c r="G582" s="846">
        <v>45659</v>
      </c>
      <c r="H582" s="832"/>
      <c r="I582" s="839" t="s">
        <v>453</v>
      </c>
      <c r="J582" s="833"/>
      <c r="K582" s="832"/>
      <c r="L582" s="832"/>
      <c r="M582" s="833"/>
      <c r="N582" s="832"/>
      <c r="O582" s="832"/>
      <c r="P582" s="834">
        <v>45659</v>
      </c>
      <c r="Q582" s="833">
        <f t="shared" si="9"/>
        <v>0</v>
      </c>
      <c r="R582" s="836"/>
      <c r="S582" s="832"/>
    </row>
    <row r="587" spans="1:19" x14ac:dyDescent="0.3">
      <c r="G587" s="247"/>
    </row>
  </sheetData>
  <autoFilter ref="A1:S1" xr:uid="{EF78475D-7488-42AE-91DC-A1D66B6D7B48}"/>
  <pageMargins left="0.7" right="0.7" top="0.75" bottom="0.75" header="0.3" footer="0.3"/>
  <pageSetup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r:uid="{B21F85C6-3E32-4A0A-8EB1-12608862A58B}">
          <x14:formula1>
            <xm:f>'Conceptos de Tipificación'!$A$3:$A$51</xm:f>
          </x14:formula1>
          <xm:sqref>E2:E34</xm:sqref>
        </x14:dataValidation>
        <x14:dataValidation type="list" allowBlank="1" showInputMessage="1" showErrorMessage="1" xr:uid="{C2757AED-A29C-4D6F-A8EC-E55986A259FB}">
          <x14:formula1>
            <xm:f>'Conceptos de Tipificación'!$A$3:$A$52</xm:f>
          </x14:formula1>
          <xm:sqref>E35:E1048576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60EE9-4C3B-48EB-8293-C90002C05E83}">
  <sheetPr>
    <tabColor rgb="FF92D050"/>
  </sheetPr>
  <dimension ref="A1:S550"/>
  <sheetViews>
    <sheetView zoomScale="145" zoomScaleNormal="145" workbookViewId="0">
      <pane xSplit="3" topLeftCell="N1" activePane="topRight" state="frozen"/>
      <selection pane="topRight" activeCell="N7" sqref="N7"/>
    </sheetView>
  </sheetViews>
  <sheetFormatPr baseColWidth="10" defaultColWidth="9.109375" defaultRowHeight="14.4" x14ac:dyDescent="0.3"/>
  <cols>
    <col min="1" max="1" width="6.6640625" customWidth="1"/>
    <col min="2" max="3" width="11.44140625" style="82" customWidth="1"/>
    <col min="4" max="4" width="45.33203125" style="98" customWidth="1"/>
    <col min="5" max="5" width="15.6640625" style="35" customWidth="1"/>
    <col min="6" max="6" width="13" style="74" bestFit="1" customWidth="1"/>
    <col min="7" max="7" width="13" style="96" customWidth="1"/>
    <col min="8" max="8" width="13" customWidth="1"/>
    <col min="9" max="9" width="27.6640625" style="82" customWidth="1"/>
    <col min="10" max="12" width="13.88671875" customWidth="1"/>
    <col min="13" max="15" width="15.44140625" customWidth="1"/>
    <col min="16" max="16" width="14.33203125" style="82" customWidth="1"/>
    <col min="17" max="18" width="14.33203125" customWidth="1"/>
    <col min="19" max="19" width="36.109375" customWidth="1"/>
    <col min="20" max="259" width="11.44140625" customWidth="1"/>
  </cols>
  <sheetData>
    <row r="1" spans="1:19" ht="30" customHeight="1" x14ac:dyDescent="0.3">
      <c r="B1" s="32"/>
      <c r="C1" s="42"/>
      <c r="D1" s="43"/>
      <c r="E1" s="41"/>
      <c r="F1" s="854" t="s">
        <v>65</v>
      </c>
      <c r="G1" s="855"/>
      <c r="H1" s="855"/>
      <c r="I1" s="855"/>
      <c r="J1" s="855"/>
      <c r="K1" s="855"/>
      <c r="L1" s="855"/>
      <c r="M1" s="855"/>
      <c r="N1" s="855"/>
      <c r="O1" s="856"/>
      <c r="P1" s="34"/>
      <c r="Q1" s="70"/>
      <c r="R1" s="70"/>
      <c r="S1" s="46"/>
    </row>
    <row r="2" spans="1:19" ht="28.8" x14ac:dyDescent="0.3">
      <c r="B2" s="44" t="s">
        <v>66</v>
      </c>
      <c r="C2" s="33" t="s">
        <v>67</v>
      </c>
      <c r="D2" s="45" t="s">
        <v>68</v>
      </c>
      <c r="E2" s="26" t="s">
        <v>69</v>
      </c>
      <c r="F2" s="1" t="s">
        <v>70</v>
      </c>
      <c r="G2" s="2" t="s">
        <v>71</v>
      </c>
      <c r="H2" s="3" t="s">
        <v>72</v>
      </c>
      <c r="I2" s="39" t="s">
        <v>73</v>
      </c>
      <c r="J2" s="13" t="s">
        <v>74</v>
      </c>
      <c r="K2" s="14" t="s">
        <v>71</v>
      </c>
      <c r="L2" s="15" t="s">
        <v>73</v>
      </c>
      <c r="M2" s="6" t="s">
        <v>75</v>
      </c>
      <c r="N2" s="7" t="s">
        <v>71</v>
      </c>
      <c r="O2" s="8" t="s">
        <v>73</v>
      </c>
      <c r="P2" s="64" t="s">
        <v>76</v>
      </c>
      <c r="Q2" s="67" t="s">
        <v>77</v>
      </c>
      <c r="R2" s="67" t="s">
        <v>78</v>
      </c>
      <c r="S2" s="68" t="s">
        <v>79</v>
      </c>
    </row>
    <row r="3" spans="1:19" ht="43.2" x14ac:dyDescent="0.3">
      <c r="A3">
        <v>1</v>
      </c>
      <c r="B3" s="86">
        <v>1550</v>
      </c>
      <c r="C3" s="90">
        <v>45691</v>
      </c>
      <c r="D3" s="149" t="s">
        <v>733</v>
      </c>
      <c r="E3" s="93" t="s">
        <v>49</v>
      </c>
      <c r="F3" s="79" t="s">
        <v>8</v>
      </c>
      <c r="G3" s="183">
        <v>45691</v>
      </c>
      <c r="H3" s="4"/>
      <c r="I3" s="38" t="s">
        <v>266</v>
      </c>
      <c r="J3" s="20"/>
      <c r="K3" s="16"/>
      <c r="L3" s="17"/>
      <c r="M3" s="22"/>
      <c r="N3" s="9"/>
      <c r="O3" s="10"/>
      <c r="P3" s="83">
        <v>45691</v>
      </c>
      <c r="Q3" s="89">
        <f t="shared" ref="Q3:Q30" si="0">P3-G3</f>
        <v>0</v>
      </c>
      <c r="R3" s="101" t="s">
        <v>138</v>
      </c>
      <c r="S3" s="56"/>
    </row>
    <row r="4" spans="1:19" ht="43.2" x14ac:dyDescent="0.3">
      <c r="A4">
        <v>2</v>
      </c>
      <c r="B4" s="86">
        <v>1550</v>
      </c>
      <c r="C4" s="90">
        <v>45691</v>
      </c>
      <c r="D4" s="149" t="s">
        <v>734</v>
      </c>
      <c r="E4" s="93" t="s">
        <v>49</v>
      </c>
      <c r="F4" s="79" t="s">
        <v>8</v>
      </c>
      <c r="G4" s="183">
        <v>45691</v>
      </c>
      <c r="H4" s="4"/>
      <c r="I4" s="38" t="s">
        <v>266</v>
      </c>
      <c r="J4" s="21"/>
      <c r="K4" s="18"/>
      <c r="L4" s="19"/>
      <c r="M4" s="23"/>
      <c r="N4" s="11"/>
      <c r="O4" s="12"/>
      <c r="P4" s="83">
        <v>45691</v>
      </c>
      <c r="Q4" s="89">
        <f t="shared" si="0"/>
        <v>0</v>
      </c>
      <c r="R4" s="101" t="s">
        <v>138</v>
      </c>
      <c r="S4" s="66"/>
    </row>
    <row r="5" spans="1:19" ht="43.2" x14ac:dyDescent="0.3">
      <c r="A5">
        <v>3</v>
      </c>
      <c r="B5" s="87">
        <v>1550</v>
      </c>
      <c r="C5" s="91">
        <v>45691</v>
      </c>
      <c r="D5" s="149" t="s">
        <v>735</v>
      </c>
      <c r="E5" s="48" t="s">
        <v>51</v>
      </c>
      <c r="F5" s="80" t="s">
        <v>8</v>
      </c>
      <c r="G5" s="183">
        <v>45691</v>
      </c>
      <c r="H5" s="5"/>
      <c r="I5" s="100" t="s">
        <v>99</v>
      </c>
      <c r="J5" s="21"/>
      <c r="K5" s="18"/>
      <c r="L5" s="19"/>
      <c r="M5" s="23"/>
      <c r="N5" s="11"/>
      <c r="O5" s="12"/>
      <c r="P5" s="65">
        <v>45691</v>
      </c>
      <c r="Q5" s="89">
        <f t="shared" si="0"/>
        <v>0</v>
      </c>
      <c r="R5" s="101" t="s">
        <v>267</v>
      </c>
      <c r="S5" s="66"/>
    </row>
    <row r="6" spans="1:19" ht="43.2" x14ac:dyDescent="0.3">
      <c r="A6">
        <v>4</v>
      </c>
      <c r="B6" s="87">
        <v>1550</v>
      </c>
      <c r="C6" s="91">
        <v>45691</v>
      </c>
      <c r="D6" s="149" t="s">
        <v>736</v>
      </c>
      <c r="E6" s="48" t="s">
        <v>51</v>
      </c>
      <c r="F6" s="80" t="s">
        <v>8</v>
      </c>
      <c r="G6" s="183">
        <v>45691</v>
      </c>
      <c r="H6" s="5"/>
      <c r="I6" s="100" t="s">
        <v>99</v>
      </c>
      <c r="J6" s="21"/>
      <c r="K6" s="18"/>
      <c r="L6" s="19"/>
      <c r="M6" s="23"/>
      <c r="N6" s="11"/>
      <c r="O6" s="12"/>
      <c r="P6" s="65">
        <v>45691</v>
      </c>
      <c r="Q6" s="89">
        <f t="shared" si="0"/>
        <v>0</v>
      </c>
      <c r="R6" s="101" t="s">
        <v>94</v>
      </c>
      <c r="S6" s="66"/>
    </row>
    <row r="7" spans="1:19" ht="43.2" x14ac:dyDescent="0.3">
      <c r="A7">
        <v>5</v>
      </c>
      <c r="B7" s="87">
        <v>1550</v>
      </c>
      <c r="C7" s="91">
        <v>45691</v>
      </c>
      <c r="D7" s="149" t="s">
        <v>737</v>
      </c>
      <c r="E7" s="93" t="s">
        <v>51</v>
      </c>
      <c r="F7" s="80" t="s">
        <v>8</v>
      </c>
      <c r="G7" s="183">
        <v>45691</v>
      </c>
      <c r="H7" s="5"/>
      <c r="I7" s="100" t="s">
        <v>99</v>
      </c>
      <c r="J7" s="21"/>
      <c r="K7" s="18"/>
      <c r="L7" s="19"/>
      <c r="M7" s="23"/>
      <c r="N7" s="11"/>
      <c r="O7" s="12"/>
      <c r="P7" s="65">
        <v>45691</v>
      </c>
      <c r="Q7" s="89">
        <f t="shared" si="0"/>
        <v>0</v>
      </c>
      <c r="R7" s="101" t="s">
        <v>94</v>
      </c>
      <c r="S7" s="66"/>
    </row>
    <row r="8" spans="1:19" ht="28.8" x14ac:dyDescent="0.3">
      <c r="A8">
        <v>6</v>
      </c>
      <c r="B8" s="87">
        <v>1550</v>
      </c>
      <c r="C8" s="91">
        <v>45691</v>
      </c>
      <c r="D8" s="149" t="s">
        <v>738</v>
      </c>
      <c r="E8" s="93" t="s">
        <v>33</v>
      </c>
      <c r="F8" s="80" t="s">
        <v>6</v>
      </c>
      <c r="G8" s="183">
        <v>45691</v>
      </c>
      <c r="H8" s="5"/>
      <c r="I8" s="100" t="s">
        <v>99</v>
      </c>
      <c r="J8" s="21"/>
      <c r="K8" s="18"/>
      <c r="L8" s="19"/>
      <c r="M8" s="23"/>
      <c r="N8" s="11"/>
      <c r="O8" s="12"/>
      <c r="P8" s="65">
        <v>45691</v>
      </c>
      <c r="Q8" s="89">
        <f t="shared" si="0"/>
        <v>0</v>
      </c>
      <c r="R8" s="101"/>
      <c r="S8" s="66"/>
    </row>
    <row r="9" spans="1:19" ht="43.2" x14ac:dyDescent="0.3">
      <c r="A9">
        <v>7</v>
      </c>
      <c r="B9" s="152">
        <v>1550</v>
      </c>
      <c r="C9" s="153">
        <v>45691</v>
      </c>
      <c r="D9" s="149" t="s">
        <v>225</v>
      </c>
      <c r="E9" s="48" t="s">
        <v>51</v>
      </c>
      <c r="F9" s="145" t="s">
        <v>8</v>
      </c>
      <c r="G9" s="183">
        <v>45691</v>
      </c>
      <c r="H9" s="146"/>
      <c r="I9" s="100" t="s">
        <v>99</v>
      </c>
      <c r="J9" s="154"/>
      <c r="K9" s="155"/>
      <c r="L9" s="156"/>
      <c r="M9" s="157"/>
      <c r="N9" s="158"/>
      <c r="O9" s="159"/>
      <c r="P9" s="85">
        <v>45691</v>
      </c>
      <c r="Q9" s="89">
        <f t="shared" si="0"/>
        <v>0</v>
      </c>
      <c r="R9" s="101" t="s">
        <v>94</v>
      </c>
      <c r="S9" s="160"/>
    </row>
    <row r="10" spans="1:19" ht="43.2" x14ac:dyDescent="0.3">
      <c r="A10">
        <v>8</v>
      </c>
      <c r="B10" s="152">
        <v>1550</v>
      </c>
      <c r="C10" s="153">
        <v>45691</v>
      </c>
      <c r="D10" s="149" t="s">
        <v>739</v>
      </c>
      <c r="E10" s="162" t="s">
        <v>51</v>
      </c>
      <c r="F10" s="145" t="s">
        <v>8</v>
      </c>
      <c r="G10" s="183">
        <v>45691</v>
      </c>
      <c r="H10" s="146"/>
      <c r="I10" s="100" t="s">
        <v>99</v>
      </c>
      <c r="J10" s="154"/>
      <c r="K10" s="155"/>
      <c r="L10" s="156"/>
      <c r="M10" s="157"/>
      <c r="N10" s="158"/>
      <c r="O10" s="159"/>
      <c r="P10" s="85">
        <v>45691</v>
      </c>
      <c r="Q10" s="89">
        <f t="shared" si="0"/>
        <v>0</v>
      </c>
      <c r="R10" s="101" t="s">
        <v>190</v>
      </c>
      <c r="S10" s="160"/>
    </row>
    <row r="11" spans="1:19" ht="43.2" x14ac:dyDescent="0.3">
      <c r="A11">
        <v>9</v>
      </c>
      <c r="B11" s="87">
        <v>1550</v>
      </c>
      <c r="C11" s="91">
        <v>45691</v>
      </c>
      <c r="D11" s="149" t="s">
        <v>740</v>
      </c>
      <c r="E11" s="93" t="s">
        <v>49</v>
      </c>
      <c r="F11" s="80" t="s">
        <v>4</v>
      </c>
      <c r="G11" s="183">
        <v>45691</v>
      </c>
      <c r="H11" s="5"/>
      <c r="I11" s="100" t="s">
        <v>266</v>
      </c>
      <c r="J11" s="21"/>
      <c r="K11" s="18"/>
      <c r="L11" s="19"/>
      <c r="M11" s="23"/>
      <c r="N11" s="11"/>
      <c r="O11" s="12"/>
      <c r="P11" s="65">
        <v>45691</v>
      </c>
      <c r="Q11" s="89">
        <f t="shared" si="0"/>
        <v>0</v>
      </c>
      <c r="R11" s="101"/>
      <c r="S11" s="66"/>
    </row>
    <row r="12" spans="1:19" ht="57.6" x14ac:dyDescent="0.3">
      <c r="A12">
        <v>10</v>
      </c>
      <c r="B12" s="87">
        <v>1550</v>
      </c>
      <c r="C12" s="91">
        <v>45691</v>
      </c>
      <c r="D12" s="149" t="s">
        <v>741</v>
      </c>
      <c r="E12" s="162" t="s">
        <v>3</v>
      </c>
      <c r="F12" s="80" t="s">
        <v>6</v>
      </c>
      <c r="G12" s="183">
        <v>45691</v>
      </c>
      <c r="H12" s="5"/>
      <c r="I12" s="100" t="s">
        <v>82</v>
      </c>
      <c r="J12" s="21"/>
      <c r="K12" s="18"/>
      <c r="L12" s="19"/>
      <c r="M12" s="23"/>
      <c r="N12" s="11"/>
      <c r="O12" s="12"/>
      <c r="P12" s="85">
        <v>45691</v>
      </c>
      <c r="Q12" s="89">
        <f t="shared" si="0"/>
        <v>0</v>
      </c>
      <c r="R12" s="101"/>
      <c r="S12" s="66"/>
    </row>
    <row r="13" spans="1:19" x14ac:dyDescent="0.3">
      <c r="A13">
        <v>11</v>
      </c>
      <c r="B13" s="152">
        <v>1550</v>
      </c>
      <c r="C13" s="91">
        <v>45691</v>
      </c>
      <c r="D13" s="149" t="s">
        <v>742</v>
      </c>
      <c r="E13" s="93" t="s">
        <v>23</v>
      </c>
      <c r="F13" s="80" t="s">
        <v>6</v>
      </c>
      <c r="G13" s="183">
        <v>45691</v>
      </c>
      <c r="H13" s="146"/>
      <c r="I13" s="100" t="s">
        <v>135</v>
      </c>
      <c r="J13" s="154"/>
      <c r="K13" s="155"/>
      <c r="L13" s="156"/>
      <c r="M13" s="157"/>
      <c r="N13" s="158"/>
      <c r="O13" s="159"/>
      <c r="P13" s="85">
        <v>45691</v>
      </c>
      <c r="Q13" s="89">
        <f t="shared" si="0"/>
        <v>0</v>
      </c>
      <c r="R13" s="101"/>
      <c r="S13" s="160"/>
    </row>
    <row r="14" spans="1:19" ht="43.2" x14ac:dyDescent="0.3">
      <c r="A14">
        <v>12</v>
      </c>
      <c r="B14" s="152" t="s">
        <v>301</v>
      </c>
      <c r="C14" s="153">
        <v>45691</v>
      </c>
      <c r="D14" s="149" t="s">
        <v>743</v>
      </c>
      <c r="E14" s="162" t="s">
        <v>49</v>
      </c>
      <c r="F14" s="145" t="s">
        <v>6</v>
      </c>
      <c r="G14" s="183">
        <v>45691</v>
      </c>
      <c r="H14" s="146"/>
      <c r="I14" s="100" t="s">
        <v>266</v>
      </c>
      <c r="J14" s="154"/>
      <c r="K14" s="155"/>
      <c r="L14" s="156"/>
      <c r="M14" s="157"/>
      <c r="N14" s="158"/>
      <c r="O14" s="159"/>
      <c r="P14" s="85">
        <v>45691</v>
      </c>
      <c r="Q14" s="89">
        <f t="shared" si="0"/>
        <v>0</v>
      </c>
      <c r="R14" s="101"/>
      <c r="S14" s="160"/>
    </row>
    <row r="15" spans="1:19" ht="43.2" x14ac:dyDescent="0.3">
      <c r="A15">
        <v>13</v>
      </c>
      <c r="B15" s="152">
        <v>1550</v>
      </c>
      <c r="C15" s="153">
        <v>45691</v>
      </c>
      <c r="D15" s="149" t="s">
        <v>744</v>
      </c>
      <c r="E15" s="93" t="s">
        <v>49</v>
      </c>
      <c r="F15" s="145" t="s">
        <v>4</v>
      </c>
      <c r="G15" s="183">
        <v>45691</v>
      </c>
      <c r="H15" s="146"/>
      <c r="I15" s="100" t="s">
        <v>266</v>
      </c>
      <c r="J15" s="154"/>
      <c r="K15" s="155"/>
      <c r="L15" s="156"/>
      <c r="M15" s="157"/>
      <c r="N15" s="158"/>
      <c r="O15" s="159"/>
      <c r="P15" s="85">
        <v>45691</v>
      </c>
      <c r="Q15" s="89">
        <f t="shared" si="0"/>
        <v>0</v>
      </c>
      <c r="R15" s="101"/>
      <c r="S15" s="167"/>
    </row>
    <row r="16" spans="1:19" ht="43.2" x14ac:dyDescent="0.3">
      <c r="A16">
        <v>14</v>
      </c>
      <c r="B16" s="87">
        <v>1550</v>
      </c>
      <c r="C16" s="91">
        <v>45691</v>
      </c>
      <c r="D16" s="149" t="s">
        <v>745</v>
      </c>
      <c r="E16" s="47" t="s">
        <v>49</v>
      </c>
      <c r="F16" s="80" t="s">
        <v>8</v>
      </c>
      <c r="G16" s="183">
        <v>45691</v>
      </c>
      <c r="H16" s="5"/>
      <c r="I16" s="100" t="s">
        <v>266</v>
      </c>
      <c r="J16" s="21"/>
      <c r="K16" s="18"/>
      <c r="L16" s="19"/>
      <c r="M16" s="23"/>
      <c r="N16" s="11"/>
      <c r="O16" s="12"/>
      <c r="P16" s="65">
        <v>45691</v>
      </c>
      <c r="Q16" s="89">
        <f t="shared" si="0"/>
        <v>0</v>
      </c>
      <c r="R16" s="101" t="s">
        <v>190</v>
      </c>
      <c r="S16" s="66"/>
    </row>
    <row r="17" spans="1:19" ht="43.2" x14ac:dyDescent="0.3">
      <c r="A17">
        <v>15</v>
      </c>
      <c r="B17" s="88" t="s">
        <v>80</v>
      </c>
      <c r="C17" s="91">
        <v>45691</v>
      </c>
      <c r="D17" s="149" t="s">
        <v>746</v>
      </c>
      <c r="E17" s="47" t="s">
        <v>51</v>
      </c>
      <c r="F17" s="80" t="s">
        <v>10</v>
      </c>
      <c r="G17" s="183">
        <v>45691</v>
      </c>
      <c r="H17" s="5"/>
      <c r="I17" s="100" t="s">
        <v>99</v>
      </c>
      <c r="J17" s="21"/>
      <c r="K17" s="18"/>
      <c r="L17" s="19"/>
      <c r="M17" s="23"/>
      <c r="N17" s="11"/>
      <c r="O17" s="12"/>
      <c r="P17" s="65">
        <v>45691</v>
      </c>
      <c r="Q17" s="89">
        <f t="shared" si="0"/>
        <v>0</v>
      </c>
      <c r="R17" s="101" t="s">
        <v>216</v>
      </c>
      <c r="S17" s="66"/>
    </row>
    <row r="18" spans="1:19" ht="43.2" x14ac:dyDescent="0.3">
      <c r="A18">
        <v>16</v>
      </c>
      <c r="B18" s="88" t="s">
        <v>80</v>
      </c>
      <c r="C18" s="91">
        <v>45691</v>
      </c>
      <c r="D18" s="149" t="s">
        <v>747</v>
      </c>
      <c r="E18" s="93" t="s">
        <v>51</v>
      </c>
      <c r="F18" s="80" t="s">
        <v>10</v>
      </c>
      <c r="G18" s="183">
        <v>45691</v>
      </c>
      <c r="H18" s="5"/>
      <c r="I18" s="100" t="s">
        <v>99</v>
      </c>
      <c r="J18" s="21"/>
      <c r="K18" s="18"/>
      <c r="L18" s="19"/>
      <c r="M18" s="23"/>
      <c r="N18" s="11"/>
      <c r="O18" s="12"/>
      <c r="P18" s="65">
        <v>45691</v>
      </c>
      <c r="Q18" s="89">
        <f t="shared" si="0"/>
        <v>0</v>
      </c>
      <c r="R18" s="101" t="s">
        <v>212</v>
      </c>
      <c r="S18" s="66"/>
    </row>
    <row r="19" spans="1:19" ht="43.2" x14ac:dyDescent="0.3">
      <c r="A19">
        <v>17</v>
      </c>
      <c r="B19" s="88" t="s">
        <v>80</v>
      </c>
      <c r="C19" s="91">
        <v>45691</v>
      </c>
      <c r="D19" s="149" t="s">
        <v>748</v>
      </c>
      <c r="E19" s="93" t="s">
        <v>49</v>
      </c>
      <c r="F19" s="80" t="s">
        <v>10</v>
      </c>
      <c r="G19" s="183">
        <v>45691</v>
      </c>
      <c r="H19" s="5"/>
      <c r="I19" s="100" t="s">
        <v>266</v>
      </c>
      <c r="J19" s="21"/>
      <c r="K19" s="18"/>
      <c r="L19" s="19"/>
      <c r="M19" s="23"/>
      <c r="N19" s="11"/>
      <c r="O19" s="12"/>
      <c r="P19" s="65">
        <v>45691</v>
      </c>
      <c r="Q19" s="89">
        <f t="shared" si="0"/>
        <v>0</v>
      </c>
      <c r="R19" s="101" t="s">
        <v>749</v>
      </c>
      <c r="S19" s="66"/>
    </row>
    <row r="20" spans="1:19" ht="144" x14ac:dyDescent="0.3">
      <c r="A20">
        <v>18</v>
      </c>
      <c r="B20" s="88" t="s">
        <v>80</v>
      </c>
      <c r="C20" s="91">
        <v>45691</v>
      </c>
      <c r="D20" s="149" t="s">
        <v>750</v>
      </c>
      <c r="E20" s="93" t="s">
        <v>1</v>
      </c>
      <c r="F20" s="80" t="s">
        <v>10</v>
      </c>
      <c r="G20" s="183">
        <v>45691</v>
      </c>
      <c r="H20" s="146"/>
      <c r="I20" s="100" t="s">
        <v>174</v>
      </c>
      <c r="J20" s="154"/>
      <c r="K20" s="155"/>
      <c r="L20" s="156"/>
      <c r="M20" s="157"/>
      <c r="N20" s="158"/>
      <c r="O20" s="159"/>
      <c r="P20" s="65">
        <v>45691</v>
      </c>
      <c r="Q20" s="89">
        <f t="shared" si="0"/>
        <v>0</v>
      </c>
      <c r="R20" s="101" t="s">
        <v>85</v>
      </c>
      <c r="S20" s="160"/>
    </row>
    <row r="21" spans="1:19" ht="57.6" x14ac:dyDescent="0.3">
      <c r="A21">
        <v>19</v>
      </c>
      <c r="B21" s="152">
        <v>1550</v>
      </c>
      <c r="C21" s="153">
        <v>45691</v>
      </c>
      <c r="D21" s="149" t="s">
        <v>751</v>
      </c>
      <c r="E21" s="144" t="s">
        <v>12</v>
      </c>
      <c r="F21" s="145" t="s">
        <v>6</v>
      </c>
      <c r="G21" s="183">
        <v>45691</v>
      </c>
      <c r="H21" s="146"/>
      <c r="I21" s="107" t="s">
        <v>159</v>
      </c>
      <c r="J21" s="154"/>
      <c r="K21" s="155"/>
      <c r="L21" s="156"/>
      <c r="M21" s="157"/>
      <c r="N21" s="158"/>
      <c r="O21" s="159"/>
      <c r="P21" s="85">
        <v>45692</v>
      </c>
      <c r="Q21" s="89">
        <f t="shared" si="0"/>
        <v>1</v>
      </c>
      <c r="R21" s="101"/>
      <c r="S21" s="160"/>
    </row>
    <row r="22" spans="1:19" ht="43.2" x14ac:dyDescent="0.3">
      <c r="A22">
        <v>20</v>
      </c>
      <c r="B22" s="88" t="s">
        <v>80</v>
      </c>
      <c r="C22" s="91">
        <v>45691</v>
      </c>
      <c r="D22" s="149" t="s">
        <v>752</v>
      </c>
      <c r="E22" s="93" t="s">
        <v>51</v>
      </c>
      <c r="F22" s="80" t="s">
        <v>10</v>
      </c>
      <c r="G22" s="183">
        <v>45691</v>
      </c>
      <c r="H22" s="5"/>
      <c r="I22" s="100" t="s">
        <v>99</v>
      </c>
      <c r="J22" s="21"/>
      <c r="K22" s="18"/>
      <c r="L22" s="19"/>
      <c r="M22" s="23"/>
      <c r="N22" s="11"/>
      <c r="O22" s="12"/>
      <c r="P22" s="65">
        <v>45692</v>
      </c>
      <c r="Q22" s="89">
        <f t="shared" si="0"/>
        <v>1</v>
      </c>
      <c r="R22" s="101" t="s">
        <v>749</v>
      </c>
      <c r="S22" s="66"/>
    </row>
    <row r="23" spans="1:19" ht="43.2" x14ac:dyDescent="0.3">
      <c r="A23">
        <v>21</v>
      </c>
      <c r="B23" s="88" t="s">
        <v>80</v>
      </c>
      <c r="C23" s="91">
        <v>45691</v>
      </c>
      <c r="D23" s="149" t="s">
        <v>753</v>
      </c>
      <c r="E23" s="111" t="s">
        <v>51</v>
      </c>
      <c r="F23" s="125" t="s">
        <v>10</v>
      </c>
      <c r="G23" s="183">
        <v>45691</v>
      </c>
      <c r="H23" s="137"/>
      <c r="I23" s="100" t="s">
        <v>99</v>
      </c>
      <c r="J23" s="21"/>
      <c r="K23" s="18"/>
      <c r="L23" s="19"/>
      <c r="M23" s="23"/>
      <c r="N23" s="11"/>
      <c r="O23" s="12"/>
      <c r="P23" s="65">
        <v>45692</v>
      </c>
      <c r="Q23" s="89">
        <f t="shared" si="0"/>
        <v>1</v>
      </c>
      <c r="R23" s="101" t="s">
        <v>749</v>
      </c>
      <c r="S23" s="66"/>
    </row>
    <row r="24" spans="1:19" ht="43.2" x14ac:dyDescent="0.3">
      <c r="A24">
        <v>22</v>
      </c>
      <c r="B24" s="88" t="s">
        <v>80</v>
      </c>
      <c r="C24" s="91">
        <v>45691</v>
      </c>
      <c r="D24" s="149" t="s">
        <v>754</v>
      </c>
      <c r="E24" s="111" t="s">
        <v>51</v>
      </c>
      <c r="F24" s="125" t="s">
        <v>10</v>
      </c>
      <c r="G24" s="183">
        <v>45691</v>
      </c>
      <c r="H24" s="137"/>
      <c r="I24" s="100" t="s">
        <v>99</v>
      </c>
      <c r="J24" s="154"/>
      <c r="K24" s="155"/>
      <c r="L24" s="156"/>
      <c r="M24" s="157"/>
      <c r="N24" s="158"/>
      <c r="O24" s="159"/>
      <c r="P24" s="65">
        <v>45692</v>
      </c>
      <c r="Q24" s="89">
        <f t="shared" si="0"/>
        <v>1</v>
      </c>
      <c r="R24" s="101" t="s">
        <v>755</v>
      </c>
      <c r="S24" s="160"/>
    </row>
    <row r="25" spans="1:19" ht="43.2" x14ac:dyDescent="0.3">
      <c r="A25">
        <v>23</v>
      </c>
      <c r="B25" s="87">
        <v>1550</v>
      </c>
      <c r="C25" s="91">
        <v>45692</v>
      </c>
      <c r="D25" s="149" t="s">
        <v>756</v>
      </c>
      <c r="E25" s="126" t="s">
        <v>12</v>
      </c>
      <c r="F25" s="125" t="s">
        <v>6</v>
      </c>
      <c r="G25" s="183">
        <v>45692</v>
      </c>
      <c r="H25" s="134"/>
      <c r="I25" s="107" t="s">
        <v>159</v>
      </c>
      <c r="J25" s="154"/>
      <c r="K25" s="155"/>
      <c r="L25" s="156"/>
      <c r="M25" s="157"/>
      <c r="N25" s="158"/>
      <c r="O25" s="159"/>
      <c r="P25" s="65">
        <v>45692</v>
      </c>
      <c r="Q25" s="89">
        <f t="shared" si="0"/>
        <v>0</v>
      </c>
      <c r="R25" s="101"/>
      <c r="S25" s="160"/>
    </row>
    <row r="26" spans="1:19" ht="28.8" x14ac:dyDescent="0.3">
      <c r="A26">
        <v>24</v>
      </c>
      <c r="B26" s="87">
        <v>1550</v>
      </c>
      <c r="C26" s="91">
        <v>45692</v>
      </c>
      <c r="D26" s="149" t="s">
        <v>757</v>
      </c>
      <c r="E26" s="111" t="s">
        <v>12</v>
      </c>
      <c r="F26" s="125" t="s">
        <v>8</v>
      </c>
      <c r="G26" s="183">
        <v>45692</v>
      </c>
      <c r="H26" s="137"/>
      <c r="I26" s="107" t="s">
        <v>159</v>
      </c>
      <c r="J26" s="21"/>
      <c r="K26" s="18"/>
      <c r="L26" s="19"/>
      <c r="M26" s="23"/>
      <c r="N26" s="11"/>
      <c r="O26" s="12"/>
      <c r="P26" s="65">
        <v>45692</v>
      </c>
      <c r="Q26" s="89">
        <f t="shared" si="0"/>
        <v>0</v>
      </c>
      <c r="R26" s="101" t="s">
        <v>169</v>
      </c>
      <c r="S26" s="66"/>
    </row>
    <row r="27" spans="1:19" ht="43.2" x14ac:dyDescent="0.3">
      <c r="A27">
        <v>25</v>
      </c>
      <c r="B27" s="87">
        <v>1550</v>
      </c>
      <c r="C27" s="91">
        <v>45692</v>
      </c>
      <c r="D27" s="149" t="s">
        <v>669</v>
      </c>
      <c r="E27" s="93" t="s">
        <v>49</v>
      </c>
      <c r="F27" s="80" t="s">
        <v>8</v>
      </c>
      <c r="G27" s="183">
        <v>45692</v>
      </c>
      <c r="H27" s="5"/>
      <c r="I27" s="107" t="s">
        <v>266</v>
      </c>
      <c r="J27" s="21"/>
      <c r="K27" s="18"/>
      <c r="L27" s="19"/>
      <c r="M27" s="23"/>
      <c r="N27" s="11"/>
      <c r="O27" s="12"/>
      <c r="P27" s="65">
        <v>45692</v>
      </c>
      <c r="Q27" s="89">
        <f t="shared" si="0"/>
        <v>0</v>
      </c>
      <c r="R27" s="101" t="s">
        <v>758</v>
      </c>
      <c r="S27" s="66"/>
    </row>
    <row r="28" spans="1:19" ht="43.2" x14ac:dyDescent="0.3">
      <c r="A28">
        <v>26</v>
      </c>
      <c r="B28" s="87">
        <v>1550</v>
      </c>
      <c r="C28" s="91">
        <v>45692</v>
      </c>
      <c r="D28" s="149" t="s">
        <v>759</v>
      </c>
      <c r="E28" s="93" t="s">
        <v>51</v>
      </c>
      <c r="F28" s="80" t="s">
        <v>8</v>
      </c>
      <c r="G28" s="183">
        <v>45692</v>
      </c>
      <c r="H28" s="5"/>
      <c r="I28" s="100" t="s">
        <v>99</v>
      </c>
      <c r="J28" s="21"/>
      <c r="K28" s="18"/>
      <c r="L28" s="19"/>
      <c r="M28" s="23"/>
      <c r="N28" s="11"/>
      <c r="O28" s="12"/>
      <c r="P28" s="65">
        <v>45692</v>
      </c>
      <c r="Q28" s="89">
        <f t="shared" si="0"/>
        <v>0</v>
      </c>
      <c r="R28" s="101" t="s">
        <v>190</v>
      </c>
      <c r="S28" s="66"/>
    </row>
    <row r="29" spans="1:19" ht="43.2" x14ac:dyDescent="0.3">
      <c r="A29">
        <v>27</v>
      </c>
      <c r="B29" s="87">
        <v>1550</v>
      </c>
      <c r="C29" s="91">
        <v>45692</v>
      </c>
      <c r="D29" s="149" t="s">
        <v>760</v>
      </c>
      <c r="E29" s="93" t="s">
        <v>51</v>
      </c>
      <c r="F29" s="80" t="s">
        <v>4</v>
      </c>
      <c r="G29" s="183">
        <v>45692</v>
      </c>
      <c r="H29" s="5"/>
      <c r="I29" s="100" t="s">
        <v>99</v>
      </c>
      <c r="J29" s="154"/>
      <c r="K29" s="155"/>
      <c r="L29" s="156"/>
      <c r="M29" s="157"/>
      <c r="N29" s="158"/>
      <c r="O29" s="159"/>
      <c r="P29" s="65">
        <v>45692</v>
      </c>
      <c r="Q29" s="89">
        <f t="shared" si="0"/>
        <v>0</v>
      </c>
      <c r="R29" s="101"/>
      <c r="S29" s="160"/>
    </row>
    <row r="30" spans="1:19" ht="28.8" x14ac:dyDescent="0.3">
      <c r="A30">
        <v>28</v>
      </c>
      <c r="B30" s="87">
        <v>1550</v>
      </c>
      <c r="C30" s="91">
        <v>45692</v>
      </c>
      <c r="D30" s="149" t="s">
        <v>761</v>
      </c>
      <c r="E30" s="93" t="s">
        <v>33</v>
      </c>
      <c r="F30" s="80" t="s">
        <v>4</v>
      </c>
      <c r="G30" s="183">
        <v>45692</v>
      </c>
      <c r="H30" s="5"/>
      <c r="I30" s="100" t="s">
        <v>99</v>
      </c>
      <c r="J30" s="21"/>
      <c r="K30" s="18"/>
      <c r="L30" s="19"/>
      <c r="M30" s="23"/>
      <c r="N30" s="11"/>
      <c r="O30" s="12"/>
      <c r="P30" s="65">
        <v>45692</v>
      </c>
      <c r="Q30" s="89">
        <f t="shared" si="0"/>
        <v>0</v>
      </c>
      <c r="R30" s="101"/>
      <c r="S30" s="66"/>
    </row>
    <row r="31" spans="1:19" ht="43.2" x14ac:dyDescent="0.3">
      <c r="A31">
        <v>29</v>
      </c>
      <c r="B31" s="87" t="s">
        <v>80</v>
      </c>
      <c r="C31" s="91">
        <v>45692</v>
      </c>
      <c r="D31" s="149" t="s">
        <v>762</v>
      </c>
      <c r="E31" s="93" t="s">
        <v>17</v>
      </c>
      <c r="F31" s="80" t="s">
        <v>10</v>
      </c>
      <c r="G31" s="183">
        <v>45692</v>
      </c>
      <c r="H31" s="5"/>
      <c r="I31" s="100" t="s">
        <v>82</v>
      </c>
      <c r="J31" s="21"/>
      <c r="K31" s="18"/>
      <c r="L31" s="19"/>
      <c r="M31" s="23"/>
      <c r="N31" s="11"/>
      <c r="O31" s="12"/>
      <c r="P31" s="65">
        <v>45692</v>
      </c>
      <c r="Q31" s="89">
        <f t="shared" ref="Q31:Q94" si="1">P31-G31</f>
        <v>0</v>
      </c>
      <c r="R31" s="101"/>
      <c r="S31" s="66"/>
    </row>
    <row r="32" spans="1:19" ht="57.6" x14ac:dyDescent="0.3">
      <c r="A32">
        <v>30</v>
      </c>
      <c r="B32" s="87" t="s">
        <v>80</v>
      </c>
      <c r="C32" s="91">
        <v>45692</v>
      </c>
      <c r="D32" s="149" t="s">
        <v>763</v>
      </c>
      <c r="E32" s="48" t="s">
        <v>17</v>
      </c>
      <c r="F32" s="80" t="s">
        <v>10</v>
      </c>
      <c r="G32" s="183">
        <v>45692</v>
      </c>
      <c r="H32" s="5"/>
      <c r="I32" s="100" t="s">
        <v>82</v>
      </c>
      <c r="J32" s="154"/>
      <c r="K32" s="155"/>
      <c r="L32" s="156"/>
      <c r="M32" s="157"/>
      <c r="N32" s="158"/>
      <c r="O32" s="159"/>
      <c r="P32" s="65">
        <v>45692</v>
      </c>
      <c r="Q32" s="89">
        <f t="shared" si="1"/>
        <v>0</v>
      </c>
      <c r="R32" s="101"/>
      <c r="S32" s="160"/>
    </row>
    <row r="33" spans="1:19" ht="43.2" x14ac:dyDescent="0.3">
      <c r="A33">
        <v>31</v>
      </c>
      <c r="B33" s="87" t="s">
        <v>80</v>
      </c>
      <c r="C33" s="91">
        <v>45692</v>
      </c>
      <c r="D33" s="149" t="s">
        <v>754</v>
      </c>
      <c r="E33" s="111" t="s">
        <v>51</v>
      </c>
      <c r="F33" s="125" t="s">
        <v>10</v>
      </c>
      <c r="G33" s="183">
        <v>45692</v>
      </c>
      <c r="H33" s="137"/>
      <c r="I33" s="100" t="s">
        <v>99</v>
      </c>
      <c r="J33" s="154"/>
      <c r="K33" s="155"/>
      <c r="L33" s="156"/>
      <c r="M33" s="157"/>
      <c r="N33" s="158"/>
      <c r="O33" s="159"/>
      <c r="P33" s="85">
        <v>45692</v>
      </c>
      <c r="Q33" s="89">
        <f t="shared" si="1"/>
        <v>0</v>
      </c>
      <c r="R33" s="101"/>
      <c r="S33" s="160"/>
    </row>
    <row r="34" spans="1:19" ht="43.2" x14ac:dyDescent="0.3">
      <c r="A34">
        <v>32</v>
      </c>
      <c r="B34" s="87" t="s">
        <v>80</v>
      </c>
      <c r="C34" s="91">
        <v>45692</v>
      </c>
      <c r="D34" s="149" t="s">
        <v>764</v>
      </c>
      <c r="E34" s="93" t="s">
        <v>51</v>
      </c>
      <c r="F34" s="80" t="s">
        <v>10</v>
      </c>
      <c r="G34" s="183">
        <v>45692</v>
      </c>
      <c r="H34" s="5"/>
      <c r="I34" s="100" t="s">
        <v>99</v>
      </c>
      <c r="J34" s="154"/>
      <c r="K34" s="155"/>
      <c r="L34" s="156"/>
      <c r="M34" s="157"/>
      <c r="N34" s="158"/>
      <c r="O34" s="159"/>
      <c r="P34" s="85">
        <v>45692</v>
      </c>
      <c r="Q34" s="89">
        <f t="shared" si="1"/>
        <v>0</v>
      </c>
      <c r="R34" s="101"/>
      <c r="S34" s="160"/>
    </row>
    <row r="35" spans="1:19" ht="43.2" x14ac:dyDescent="0.3">
      <c r="A35">
        <v>33</v>
      </c>
      <c r="B35" s="87" t="s">
        <v>80</v>
      </c>
      <c r="C35" s="91">
        <v>45692</v>
      </c>
      <c r="D35" s="149" t="s">
        <v>765</v>
      </c>
      <c r="E35" s="48" t="s">
        <v>49</v>
      </c>
      <c r="F35" s="80" t="s">
        <v>10</v>
      </c>
      <c r="G35" s="183">
        <v>45692</v>
      </c>
      <c r="H35" s="5"/>
      <c r="I35" s="100" t="s">
        <v>266</v>
      </c>
      <c r="J35" s="154"/>
      <c r="K35" s="155"/>
      <c r="L35" s="156"/>
      <c r="M35" s="157"/>
      <c r="N35" s="158"/>
      <c r="O35" s="159"/>
      <c r="P35" s="85">
        <v>45692</v>
      </c>
      <c r="Q35" s="89">
        <f t="shared" si="1"/>
        <v>0</v>
      </c>
      <c r="R35" s="101"/>
      <c r="S35" s="160"/>
    </row>
    <row r="36" spans="1:19" ht="43.2" x14ac:dyDescent="0.3">
      <c r="A36">
        <v>34</v>
      </c>
      <c r="B36" s="87" t="s">
        <v>80</v>
      </c>
      <c r="C36" s="91">
        <v>45692</v>
      </c>
      <c r="D36" s="149" t="s">
        <v>766</v>
      </c>
      <c r="E36" s="93" t="s">
        <v>49</v>
      </c>
      <c r="F36" s="80" t="s">
        <v>10</v>
      </c>
      <c r="G36" s="183">
        <v>45692</v>
      </c>
      <c r="H36" s="5"/>
      <c r="I36" s="100" t="s">
        <v>266</v>
      </c>
      <c r="J36" s="154"/>
      <c r="K36" s="155"/>
      <c r="L36" s="156"/>
      <c r="M36" s="157"/>
      <c r="N36" s="158"/>
      <c r="O36" s="159"/>
      <c r="P36" s="85">
        <v>45692</v>
      </c>
      <c r="Q36" s="89">
        <f t="shared" si="1"/>
        <v>0</v>
      </c>
      <c r="R36" s="101"/>
      <c r="S36" s="160"/>
    </row>
    <row r="37" spans="1:19" ht="43.2" x14ac:dyDescent="0.3">
      <c r="A37">
        <v>35</v>
      </c>
      <c r="B37" s="87" t="s">
        <v>80</v>
      </c>
      <c r="C37" s="91">
        <v>45692</v>
      </c>
      <c r="D37" s="149" t="s">
        <v>767</v>
      </c>
      <c r="E37" s="48" t="s">
        <v>49</v>
      </c>
      <c r="F37" s="80" t="s">
        <v>10</v>
      </c>
      <c r="G37" s="183">
        <v>45692</v>
      </c>
      <c r="H37" s="5"/>
      <c r="I37" s="100" t="s">
        <v>266</v>
      </c>
      <c r="J37" s="154"/>
      <c r="K37" s="155"/>
      <c r="L37" s="156"/>
      <c r="M37" s="157"/>
      <c r="N37" s="158"/>
      <c r="O37" s="159"/>
      <c r="P37" s="85">
        <v>45692</v>
      </c>
      <c r="Q37" s="89">
        <f t="shared" si="1"/>
        <v>0</v>
      </c>
      <c r="R37" s="101"/>
      <c r="S37" s="160"/>
    </row>
    <row r="38" spans="1:19" ht="43.2" x14ac:dyDescent="0.3">
      <c r="A38">
        <v>36</v>
      </c>
      <c r="B38" s="87" t="s">
        <v>80</v>
      </c>
      <c r="C38" s="91">
        <v>45692</v>
      </c>
      <c r="D38" s="149" t="s">
        <v>768</v>
      </c>
      <c r="E38" s="93" t="s">
        <v>49</v>
      </c>
      <c r="F38" s="80" t="s">
        <v>10</v>
      </c>
      <c r="G38" s="183">
        <v>45692</v>
      </c>
      <c r="H38" s="5"/>
      <c r="I38" s="100" t="s">
        <v>266</v>
      </c>
      <c r="J38" s="154"/>
      <c r="K38" s="155"/>
      <c r="L38" s="156"/>
      <c r="M38" s="157"/>
      <c r="N38" s="158"/>
      <c r="O38" s="159"/>
      <c r="P38" s="85">
        <v>45692</v>
      </c>
      <c r="Q38" s="89">
        <f t="shared" si="1"/>
        <v>0</v>
      </c>
      <c r="R38" s="101"/>
      <c r="S38" s="160"/>
    </row>
    <row r="39" spans="1:19" ht="43.2" x14ac:dyDescent="0.3">
      <c r="A39">
        <v>37</v>
      </c>
      <c r="B39" s="87" t="s">
        <v>80</v>
      </c>
      <c r="C39" s="91">
        <v>45692</v>
      </c>
      <c r="D39" s="149" t="s">
        <v>769</v>
      </c>
      <c r="E39" s="48" t="s">
        <v>49</v>
      </c>
      <c r="F39" s="80" t="s">
        <v>10</v>
      </c>
      <c r="G39" s="183">
        <v>45692</v>
      </c>
      <c r="H39" s="5"/>
      <c r="I39" s="125" t="s">
        <v>266</v>
      </c>
      <c r="J39" s="21"/>
      <c r="K39" s="18"/>
      <c r="L39" s="19"/>
      <c r="M39" s="23"/>
      <c r="N39" s="11"/>
      <c r="O39" s="12"/>
      <c r="P39" s="85">
        <v>45692</v>
      </c>
      <c r="Q39" s="89">
        <f t="shared" si="1"/>
        <v>0</v>
      </c>
      <c r="R39" s="101"/>
      <c r="S39" s="66"/>
    </row>
    <row r="40" spans="1:19" ht="43.2" x14ac:dyDescent="0.3">
      <c r="A40">
        <v>38</v>
      </c>
      <c r="B40" s="87" t="s">
        <v>80</v>
      </c>
      <c r="C40" s="91">
        <v>45692</v>
      </c>
      <c r="D40" s="149" t="s">
        <v>770</v>
      </c>
      <c r="E40" s="48" t="s">
        <v>49</v>
      </c>
      <c r="F40" s="80" t="s">
        <v>10</v>
      </c>
      <c r="G40" s="183">
        <v>45692</v>
      </c>
      <c r="H40" s="5"/>
      <c r="I40" s="100" t="s">
        <v>266</v>
      </c>
      <c r="J40" s="21"/>
      <c r="K40" s="18"/>
      <c r="L40" s="19"/>
      <c r="M40" s="23"/>
      <c r="N40" s="11"/>
      <c r="O40" s="12"/>
      <c r="P40" s="85">
        <v>45692</v>
      </c>
      <c r="Q40" s="89">
        <f t="shared" si="1"/>
        <v>0</v>
      </c>
      <c r="R40" s="101"/>
      <c r="S40" s="66"/>
    </row>
    <row r="41" spans="1:19" ht="43.2" x14ac:dyDescent="0.3">
      <c r="A41">
        <v>39</v>
      </c>
      <c r="B41" s="87" t="s">
        <v>80</v>
      </c>
      <c r="C41" s="91">
        <v>45692</v>
      </c>
      <c r="D41" s="149" t="s">
        <v>771</v>
      </c>
      <c r="E41" s="93" t="s">
        <v>49</v>
      </c>
      <c r="F41" s="80" t="s">
        <v>10</v>
      </c>
      <c r="G41" s="183">
        <v>45692</v>
      </c>
      <c r="H41" s="5"/>
      <c r="I41" s="107" t="s">
        <v>266</v>
      </c>
      <c r="J41" s="21"/>
      <c r="K41" s="18"/>
      <c r="L41" s="19"/>
      <c r="M41" s="23"/>
      <c r="N41" s="11"/>
      <c r="O41" s="12"/>
      <c r="P41" s="85">
        <v>45692</v>
      </c>
      <c r="Q41" s="89">
        <f t="shared" si="1"/>
        <v>0</v>
      </c>
      <c r="R41" s="101"/>
      <c r="S41" s="66"/>
    </row>
    <row r="42" spans="1:19" ht="43.2" x14ac:dyDescent="0.3">
      <c r="A42">
        <v>40</v>
      </c>
      <c r="B42" s="87" t="s">
        <v>80</v>
      </c>
      <c r="C42" s="91">
        <v>45692</v>
      </c>
      <c r="D42" s="149" t="s">
        <v>772</v>
      </c>
      <c r="E42" s="93" t="s">
        <v>49</v>
      </c>
      <c r="F42" s="80" t="s">
        <v>10</v>
      </c>
      <c r="G42" s="183">
        <v>45692</v>
      </c>
      <c r="H42" s="5"/>
      <c r="I42" s="107" t="s">
        <v>266</v>
      </c>
      <c r="J42" s="21"/>
      <c r="K42" s="18"/>
      <c r="L42" s="19"/>
      <c r="M42" s="23"/>
      <c r="N42" s="11"/>
      <c r="O42" s="12"/>
      <c r="P42" s="85">
        <v>45692</v>
      </c>
      <c r="Q42" s="89">
        <f t="shared" si="1"/>
        <v>0</v>
      </c>
      <c r="R42" s="101"/>
      <c r="S42" s="66"/>
    </row>
    <row r="43" spans="1:19" ht="43.2" x14ac:dyDescent="0.3">
      <c r="A43">
        <v>41</v>
      </c>
      <c r="B43" s="87" t="s">
        <v>80</v>
      </c>
      <c r="C43" s="91">
        <v>45692</v>
      </c>
      <c r="D43" s="149" t="s">
        <v>773</v>
      </c>
      <c r="E43" s="93" t="s">
        <v>49</v>
      </c>
      <c r="F43" s="80" t="s">
        <v>10</v>
      </c>
      <c r="G43" s="183">
        <v>45692</v>
      </c>
      <c r="H43" s="5"/>
      <c r="I43" s="100" t="s">
        <v>266</v>
      </c>
      <c r="J43" s="21"/>
      <c r="K43" s="18"/>
      <c r="L43" s="19"/>
      <c r="M43" s="23"/>
      <c r="N43" s="11"/>
      <c r="O43" s="12"/>
      <c r="P43" s="85">
        <v>45692</v>
      </c>
      <c r="Q43" s="89">
        <f t="shared" si="1"/>
        <v>0</v>
      </c>
      <c r="R43" s="101"/>
      <c r="S43" s="66"/>
    </row>
    <row r="44" spans="1:19" ht="43.2" x14ac:dyDescent="0.3">
      <c r="A44">
        <v>42</v>
      </c>
      <c r="B44" s="87" t="s">
        <v>80</v>
      </c>
      <c r="C44" s="91">
        <v>45692</v>
      </c>
      <c r="D44" s="149" t="s">
        <v>774</v>
      </c>
      <c r="E44" s="111" t="s">
        <v>49</v>
      </c>
      <c r="F44" s="125" t="s">
        <v>10</v>
      </c>
      <c r="G44" s="183">
        <v>45692</v>
      </c>
      <c r="H44" s="137"/>
      <c r="I44" s="100" t="s">
        <v>266</v>
      </c>
      <c r="J44" s="21"/>
      <c r="K44" s="18"/>
      <c r="L44" s="19"/>
      <c r="M44" s="23"/>
      <c r="N44" s="11"/>
      <c r="O44" s="12"/>
      <c r="P44" s="85">
        <v>45692</v>
      </c>
      <c r="Q44" s="89">
        <f t="shared" si="1"/>
        <v>0</v>
      </c>
      <c r="R44" s="101"/>
      <c r="S44" s="66"/>
    </row>
    <row r="45" spans="1:19" ht="43.2" x14ac:dyDescent="0.3">
      <c r="A45">
        <v>43</v>
      </c>
      <c r="B45" s="87" t="s">
        <v>80</v>
      </c>
      <c r="C45" s="91">
        <v>45692</v>
      </c>
      <c r="D45" s="149" t="s">
        <v>775</v>
      </c>
      <c r="E45" s="111" t="s">
        <v>49</v>
      </c>
      <c r="F45" s="125" t="s">
        <v>10</v>
      </c>
      <c r="G45" s="183">
        <v>45692</v>
      </c>
      <c r="H45" s="137"/>
      <c r="I45" s="100" t="s">
        <v>266</v>
      </c>
      <c r="J45" s="21"/>
      <c r="K45" s="18"/>
      <c r="L45" s="19"/>
      <c r="M45" s="23"/>
      <c r="N45" s="11"/>
      <c r="O45" s="12"/>
      <c r="P45" s="85">
        <v>45692</v>
      </c>
      <c r="Q45" s="89">
        <f t="shared" si="1"/>
        <v>0</v>
      </c>
      <c r="R45" s="101"/>
      <c r="S45" s="66"/>
    </row>
    <row r="46" spans="1:19" ht="43.2" x14ac:dyDescent="0.3">
      <c r="A46">
        <v>44</v>
      </c>
      <c r="B46" s="87" t="s">
        <v>80</v>
      </c>
      <c r="C46" s="91">
        <v>45692</v>
      </c>
      <c r="D46" s="149" t="s">
        <v>776</v>
      </c>
      <c r="E46" s="93" t="s">
        <v>49</v>
      </c>
      <c r="F46" s="80" t="s">
        <v>10</v>
      </c>
      <c r="G46" s="183">
        <v>45692</v>
      </c>
      <c r="H46" s="5"/>
      <c r="I46" s="100" t="s">
        <v>266</v>
      </c>
      <c r="J46" s="21"/>
      <c r="K46" s="18"/>
      <c r="L46" s="19"/>
      <c r="M46" s="23"/>
      <c r="N46" s="11"/>
      <c r="O46" s="12"/>
      <c r="P46" s="85">
        <v>45692</v>
      </c>
      <c r="Q46" s="89">
        <f t="shared" si="1"/>
        <v>0</v>
      </c>
      <c r="R46" s="101"/>
      <c r="S46" s="66"/>
    </row>
    <row r="47" spans="1:19" ht="43.2" x14ac:dyDescent="0.3">
      <c r="A47">
        <v>45</v>
      </c>
      <c r="B47" s="87" t="s">
        <v>80</v>
      </c>
      <c r="C47" s="91">
        <v>45692</v>
      </c>
      <c r="D47" s="149" t="s">
        <v>777</v>
      </c>
      <c r="E47" s="93" t="s">
        <v>49</v>
      </c>
      <c r="F47" s="80" t="s">
        <v>10</v>
      </c>
      <c r="G47" s="183">
        <v>45692</v>
      </c>
      <c r="H47" s="5"/>
      <c r="I47" s="100" t="s">
        <v>266</v>
      </c>
      <c r="J47" s="21"/>
      <c r="K47" s="18"/>
      <c r="L47" s="19"/>
      <c r="M47" s="23"/>
      <c r="N47" s="11"/>
      <c r="O47" s="12"/>
      <c r="P47" s="85">
        <v>45692</v>
      </c>
      <c r="Q47" s="89">
        <f t="shared" si="1"/>
        <v>0</v>
      </c>
      <c r="R47" s="101"/>
      <c r="S47" s="66"/>
    </row>
    <row r="48" spans="1:19" ht="43.2" x14ac:dyDescent="0.3">
      <c r="A48">
        <v>46</v>
      </c>
      <c r="B48" s="87" t="s">
        <v>80</v>
      </c>
      <c r="C48" s="91">
        <v>45692</v>
      </c>
      <c r="D48" s="149" t="s">
        <v>778</v>
      </c>
      <c r="E48" s="93" t="s">
        <v>49</v>
      </c>
      <c r="F48" s="80" t="s">
        <v>10</v>
      </c>
      <c r="G48" s="183">
        <v>45692</v>
      </c>
      <c r="H48" s="5"/>
      <c r="I48" s="100" t="s">
        <v>266</v>
      </c>
      <c r="J48" s="21"/>
      <c r="K48" s="18"/>
      <c r="L48" s="19"/>
      <c r="M48" s="23"/>
      <c r="N48" s="11"/>
      <c r="O48" s="12"/>
      <c r="P48" s="85">
        <v>45692</v>
      </c>
      <c r="Q48" s="89">
        <f t="shared" si="1"/>
        <v>0</v>
      </c>
      <c r="R48" s="101"/>
      <c r="S48" s="66"/>
    </row>
    <row r="49" spans="1:19" ht="43.2" x14ac:dyDescent="0.3">
      <c r="A49">
        <v>47</v>
      </c>
      <c r="B49" s="87" t="s">
        <v>80</v>
      </c>
      <c r="C49" s="91">
        <v>45692</v>
      </c>
      <c r="D49" s="149" t="s">
        <v>779</v>
      </c>
      <c r="E49" s="93" t="s">
        <v>49</v>
      </c>
      <c r="F49" s="80" t="s">
        <v>10</v>
      </c>
      <c r="G49" s="183">
        <v>45692</v>
      </c>
      <c r="H49" s="5"/>
      <c r="I49" s="100" t="s">
        <v>266</v>
      </c>
      <c r="J49" s="21"/>
      <c r="K49" s="18"/>
      <c r="L49" s="19"/>
      <c r="M49" s="23"/>
      <c r="N49" s="11"/>
      <c r="O49" s="12"/>
      <c r="P49" s="85">
        <v>45692</v>
      </c>
      <c r="Q49" s="89">
        <f t="shared" si="1"/>
        <v>0</v>
      </c>
      <c r="R49" s="101"/>
      <c r="S49" s="66"/>
    </row>
    <row r="50" spans="1:19" ht="28.8" x14ac:dyDescent="0.3">
      <c r="A50">
        <v>48</v>
      </c>
      <c r="B50" s="152">
        <v>1550</v>
      </c>
      <c r="C50" s="91">
        <v>45691</v>
      </c>
      <c r="D50" s="149" t="s">
        <v>780</v>
      </c>
      <c r="E50" s="93" t="s">
        <v>33</v>
      </c>
      <c r="F50" s="80" t="s">
        <v>6</v>
      </c>
      <c r="G50" s="183">
        <v>45691</v>
      </c>
      <c r="H50" s="146"/>
      <c r="I50" s="100" t="s">
        <v>99</v>
      </c>
      <c r="J50" s="154"/>
      <c r="K50" s="155"/>
      <c r="L50" s="156"/>
      <c r="M50" s="157"/>
      <c r="N50" s="158"/>
      <c r="O50" s="159"/>
      <c r="P50" s="85">
        <v>45693</v>
      </c>
      <c r="Q50" s="89">
        <f t="shared" si="1"/>
        <v>2</v>
      </c>
      <c r="R50" s="101"/>
      <c r="S50" s="167"/>
    </row>
    <row r="51" spans="1:19" ht="100.8" x14ac:dyDescent="0.3">
      <c r="A51">
        <v>49</v>
      </c>
      <c r="B51" s="87" t="s">
        <v>80</v>
      </c>
      <c r="C51" s="91">
        <v>45692</v>
      </c>
      <c r="D51" s="149" t="s">
        <v>781</v>
      </c>
      <c r="E51" s="93" t="s">
        <v>1</v>
      </c>
      <c r="F51" s="80" t="s">
        <v>10</v>
      </c>
      <c r="G51" s="183">
        <v>45692</v>
      </c>
      <c r="H51" s="5"/>
      <c r="I51" s="100" t="s">
        <v>129</v>
      </c>
      <c r="J51" s="21"/>
      <c r="K51" s="18"/>
      <c r="L51" s="19"/>
      <c r="M51" s="23"/>
      <c r="N51" s="11"/>
      <c r="O51" s="12"/>
      <c r="P51" s="65">
        <v>45693</v>
      </c>
      <c r="Q51" s="89">
        <f t="shared" si="1"/>
        <v>1</v>
      </c>
      <c r="R51" s="101"/>
      <c r="S51" s="66"/>
    </row>
    <row r="52" spans="1:19" ht="86.4" x14ac:dyDescent="0.3">
      <c r="A52">
        <v>50</v>
      </c>
      <c r="B52" s="87">
        <v>1550</v>
      </c>
      <c r="C52" s="91">
        <v>45693</v>
      </c>
      <c r="D52" s="149" t="s">
        <v>782</v>
      </c>
      <c r="E52" s="93" t="s">
        <v>7</v>
      </c>
      <c r="F52" s="80" t="s">
        <v>6</v>
      </c>
      <c r="G52" s="183">
        <v>45693</v>
      </c>
      <c r="H52" s="5"/>
      <c r="I52" s="100" t="s">
        <v>125</v>
      </c>
      <c r="J52" s="21"/>
      <c r="K52" s="18"/>
      <c r="L52" s="19"/>
      <c r="M52" s="23"/>
      <c r="N52" s="11"/>
      <c r="O52" s="12"/>
      <c r="P52" s="65">
        <v>45693</v>
      </c>
      <c r="Q52" s="89">
        <f t="shared" si="1"/>
        <v>0</v>
      </c>
      <c r="R52" s="101"/>
      <c r="S52" s="66"/>
    </row>
    <row r="53" spans="1:19" ht="43.2" x14ac:dyDescent="0.3">
      <c r="A53">
        <v>51</v>
      </c>
      <c r="B53" s="87">
        <v>1550</v>
      </c>
      <c r="C53" s="91">
        <v>45693</v>
      </c>
      <c r="D53" s="149" t="s">
        <v>783</v>
      </c>
      <c r="E53" s="93" t="s">
        <v>51</v>
      </c>
      <c r="F53" s="80" t="s">
        <v>8</v>
      </c>
      <c r="G53" s="183">
        <v>45693</v>
      </c>
      <c r="H53" s="5"/>
      <c r="I53" s="100" t="s">
        <v>99</v>
      </c>
      <c r="J53" s="21"/>
      <c r="K53" s="18"/>
      <c r="L53" s="19"/>
      <c r="M53" s="23"/>
      <c r="N53" s="11"/>
      <c r="O53" s="12"/>
      <c r="P53" s="65">
        <v>45693</v>
      </c>
      <c r="Q53" s="89">
        <f t="shared" si="1"/>
        <v>0</v>
      </c>
      <c r="R53" s="101" t="s">
        <v>479</v>
      </c>
      <c r="S53" s="66"/>
    </row>
    <row r="54" spans="1:19" ht="43.2" x14ac:dyDescent="0.3">
      <c r="A54">
        <v>52</v>
      </c>
      <c r="B54" s="87">
        <v>1550</v>
      </c>
      <c r="C54" s="91">
        <v>45693</v>
      </c>
      <c r="D54" s="149" t="s">
        <v>784</v>
      </c>
      <c r="E54" s="93" t="s">
        <v>51</v>
      </c>
      <c r="F54" s="80" t="s">
        <v>8</v>
      </c>
      <c r="G54" s="183">
        <v>45693</v>
      </c>
      <c r="H54" s="5"/>
      <c r="I54" s="100" t="s">
        <v>99</v>
      </c>
      <c r="J54" s="21"/>
      <c r="K54" s="18"/>
      <c r="L54" s="19"/>
      <c r="M54" s="23"/>
      <c r="N54" s="11"/>
      <c r="O54" s="12"/>
      <c r="P54" s="65">
        <v>45693</v>
      </c>
      <c r="Q54" s="89">
        <f t="shared" si="1"/>
        <v>0</v>
      </c>
      <c r="R54" s="101" t="s">
        <v>190</v>
      </c>
      <c r="S54" s="66"/>
    </row>
    <row r="55" spans="1:19" ht="43.2" x14ac:dyDescent="0.3">
      <c r="A55">
        <v>53</v>
      </c>
      <c r="B55" s="87">
        <v>1550</v>
      </c>
      <c r="C55" s="91">
        <v>45693</v>
      </c>
      <c r="D55" s="209" t="s">
        <v>785</v>
      </c>
      <c r="E55" s="93" t="s">
        <v>49</v>
      </c>
      <c r="F55" s="80" t="s">
        <v>4</v>
      </c>
      <c r="G55" s="183">
        <v>45693</v>
      </c>
      <c r="H55" s="5"/>
      <c r="I55" s="100" t="s">
        <v>266</v>
      </c>
      <c r="J55" s="21"/>
      <c r="K55" s="18"/>
      <c r="L55" s="19"/>
      <c r="M55" s="23"/>
      <c r="N55" s="11"/>
      <c r="O55" s="12"/>
      <c r="P55" s="65">
        <v>45693</v>
      </c>
      <c r="Q55" s="89">
        <f t="shared" si="1"/>
        <v>0</v>
      </c>
      <c r="R55" s="101"/>
      <c r="S55" s="66"/>
    </row>
    <row r="56" spans="1:19" ht="158.4" x14ac:dyDescent="0.3">
      <c r="A56">
        <v>54</v>
      </c>
      <c r="B56" s="87" t="s">
        <v>80</v>
      </c>
      <c r="C56" s="91">
        <v>45693</v>
      </c>
      <c r="D56" s="149" t="s">
        <v>786</v>
      </c>
      <c r="E56" s="93" t="s">
        <v>21</v>
      </c>
      <c r="F56" s="80" t="s">
        <v>10</v>
      </c>
      <c r="G56" s="183">
        <v>45693</v>
      </c>
      <c r="H56" s="5"/>
      <c r="I56" s="100" t="s">
        <v>129</v>
      </c>
      <c r="J56" s="21"/>
      <c r="K56" s="18"/>
      <c r="L56" s="19"/>
      <c r="M56" s="23"/>
      <c r="N56" s="11"/>
      <c r="O56" s="12"/>
      <c r="P56" s="65">
        <v>45693</v>
      </c>
      <c r="Q56" s="89">
        <f t="shared" si="1"/>
        <v>0</v>
      </c>
      <c r="R56" s="101"/>
      <c r="S56" s="66"/>
    </row>
    <row r="57" spans="1:19" ht="43.2" x14ac:dyDescent="0.3">
      <c r="A57">
        <v>55</v>
      </c>
      <c r="B57" s="87" t="s">
        <v>80</v>
      </c>
      <c r="C57" s="91">
        <v>45693</v>
      </c>
      <c r="D57" s="149" t="s">
        <v>787</v>
      </c>
      <c r="E57" s="93" t="s">
        <v>51</v>
      </c>
      <c r="F57" s="80" t="s">
        <v>10</v>
      </c>
      <c r="G57" s="183">
        <v>45693</v>
      </c>
      <c r="H57" s="5"/>
      <c r="I57" s="100" t="s">
        <v>99</v>
      </c>
      <c r="J57" s="21"/>
      <c r="K57" s="18"/>
      <c r="L57" s="19"/>
      <c r="M57" s="23"/>
      <c r="N57" s="11"/>
      <c r="O57" s="12"/>
      <c r="P57" s="65">
        <v>45693</v>
      </c>
      <c r="Q57" s="89">
        <f t="shared" si="1"/>
        <v>0</v>
      </c>
      <c r="R57" s="101"/>
      <c r="S57" s="66"/>
    </row>
    <row r="58" spans="1:19" ht="43.2" x14ac:dyDescent="0.3">
      <c r="A58">
        <v>56</v>
      </c>
      <c r="B58" s="87" t="s">
        <v>80</v>
      </c>
      <c r="C58" s="91">
        <v>45693</v>
      </c>
      <c r="D58" s="149" t="s">
        <v>788</v>
      </c>
      <c r="E58" s="93" t="s">
        <v>51</v>
      </c>
      <c r="F58" s="80" t="s">
        <v>10</v>
      </c>
      <c r="G58" s="183">
        <v>45693</v>
      </c>
      <c r="H58" s="5"/>
      <c r="I58" s="100" t="s">
        <v>99</v>
      </c>
      <c r="J58" s="21"/>
      <c r="K58" s="18"/>
      <c r="L58" s="19"/>
      <c r="M58" s="23"/>
      <c r="N58" s="11"/>
      <c r="O58" s="12"/>
      <c r="P58" s="65">
        <v>45693</v>
      </c>
      <c r="Q58" s="89">
        <f t="shared" si="1"/>
        <v>0</v>
      </c>
      <c r="R58" s="101"/>
      <c r="S58" s="66"/>
    </row>
    <row r="59" spans="1:19" ht="43.2" x14ac:dyDescent="0.3">
      <c r="A59">
        <v>57</v>
      </c>
      <c r="B59" s="87" t="s">
        <v>80</v>
      </c>
      <c r="C59" s="91">
        <v>45693</v>
      </c>
      <c r="D59" s="149" t="s">
        <v>789</v>
      </c>
      <c r="E59" s="93" t="s">
        <v>51</v>
      </c>
      <c r="F59" s="80" t="s">
        <v>10</v>
      </c>
      <c r="G59" s="183">
        <v>45693</v>
      </c>
      <c r="H59" s="5"/>
      <c r="I59" s="100" t="s">
        <v>99</v>
      </c>
      <c r="J59" s="154"/>
      <c r="K59" s="155"/>
      <c r="L59" s="156"/>
      <c r="M59" s="157"/>
      <c r="N59" s="158"/>
      <c r="O59" s="159"/>
      <c r="P59" s="85">
        <v>45693</v>
      </c>
      <c r="Q59" s="89">
        <f t="shared" si="1"/>
        <v>0</v>
      </c>
      <c r="R59" s="101"/>
      <c r="S59" s="160"/>
    </row>
    <row r="60" spans="1:19" ht="43.2" x14ac:dyDescent="0.3">
      <c r="A60">
        <v>58</v>
      </c>
      <c r="B60" s="87" t="s">
        <v>80</v>
      </c>
      <c r="C60" s="91">
        <v>45693</v>
      </c>
      <c r="D60" s="149" t="s">
        <v>790</v>
      </c>
      <c r="E60" s="93" t="s">
        <v>49</v>
      </c>
      <c r="F60" s="80" t="s">
        <v>10</v>
      </c>
      <c r="G60" s="183">
        <v>45693</v>
      </c>
      <c r="H60" s="5"/>
      <c r="I60" s="100" t="s">
        <v>266</v>
      </c>
      <c r="J60" s="21"/>
      <c r="K60" s="18"/>
      <c r="L60" s="19"/>
      <c r="M60" s="23"/>
      <c r="N60" s="11"/>
      <c r="O60" s="12"/>
      <c r="P60" s="85">
        <v>45693</v>
      </c>
      <c r="Q60" s="89">
        <f t="shared" si="1"/>
        <v>0</v>
      </c>
      <c r="R60" s="101"/>
      <c r="S60" s="66"/>
    </row>
    <row r="61" spans="1:19" ht="35.25" customHeight="1" x14ac:dyDescent="0.3">
      <c r="A61">
        <v>59</v>
      </c>
      <c r="B61" s="87" t="s">
        <v>80</v>
      </c>
      <c r="C61" s="91">
        <v>45693</v>
      </c>
      <c r="D61" s="149" t="s">
        <v>791</v>
      </c>
      <c r="E61" s="93" t="s">
        <v>49</v>
      </c>
      <c r="F61" s="80" t="s">
        <v>10</v>
      </c>
      <c r="G61" s="183">
        <v>45693</v>
      </c>
      <c r="H61" s="5"/>
      <c r="I61" s="100" t="s">
        <v>266</v>
      </c>
      <c r="J61" s="21"/>
      <c r="K61" s="18"/>
      <c r="L61" s="19"/>
      <c r="M61" s="23"/>
      <c r="N61" s="11"/>
      <c r="O61" s="12"/>
      <c r="P61" s="85">
        <v>45693</v>
      </c>
      <c r="Q61" s="89">
        <f t="shared" si="1"/>
        <v>0</v>
      </c>
      <c r="R61" s="101"/>
      <c r="S61" s="66"/>
    </row>
    <row r="62" spans="1:19" ht="43.2" x14ac:dyDescent="0.3">
      <c r="A62">
        <v>60</v>
      </c>
      <c r="B62" s="87" t="s">
        <v>80</v>
      </c>
      <c r="C62" s="91">
        <v>45693</v>
      </c>
      <c r="D62" s="149" t="s">
        <v>792</v>
      </c>
      <c r="E62" s="93" t="s">
        <v>49</v>
      </c>
      <c r="F62" s="80" t="s">
        <v>10</v>
      </c>
      <c r="G62" s="183">
        <v>45693</v>
      </c>
      <c r="H62" s="5"/>
      <c r="I62" s="100" t="s">
        <v>266</v>
      </c>
      <c r="J62" s="21"/>
      <c r="K62" s="18"/>
      <c r="L62" s="19"/>
      <c r="M62" s="23"/>
      <c r="N62" s="11"/>
      <c r="O62" s="12"/>
      <c r="P62" s="85">
        <v>45693</v>
      </c>
      <c r="Q62" s="89">
        <f t="shared" si="1"/>
        <v>0</v>
      </c>
      <c r="R62" s="101"/>
      <c r="S62" s="66"/>
    </row>
    <row r="63" spans="1:19" ht="43.2" x14ac:dyDescent="0.3">
      <c r="A63">
        <v>61</v>
      </c>
      <c r="B63" s="87" t="s">
        <v>80</v>
      </c>
      <c r="C63" s="91">
        <v>45693</v>
      </c>
      <c r="D63" s="149" t="s">
        <v>793</v>
      </c>
      <c r="E63" s="111" t="s">
        <v>49</v>
      </c>
      <c r="F63" s="80" t="s">
        <v>10</v>
      </c>
      <c r="G63" s="183">
        <v>45693</v>
      </c>
      <c r="H63" s="5"/>
      <c r="I63" s="100" t="s">
        <v>266</v>
      </c>
      <c r="J63" s="21"/>
      <c r="K63" s="18"/>
      <c r="L63" s="19"/>
      <c r="M63" s="23"/>
      <c r="N63" s="11"/>
      <c r="O63" s="12"/>
      <c r="P63" s="85">
        <v>45693</v>
      </c>
      <c r="Q63" s="89">
        <f t="shared" si="1"/>
        <v>0</v>
      </c>
      <c r="R63" s="101"/>
      <c r="S63" s="66"/>
    </row>
    <row r="64" spans="1:19" ht="43.2" x14ac:dyDescent="0.3">
      <c r="A64">
        <v>62</v>
      </c>
      <c r="B64" s="87" t="s">
        <v>80</v>
      </c>
      <c r="C64" s="91">
        <v>45693</v>
      </c>
      <c r="D64" s="149" t="s">
        <v>794</v>
      </c>
      <c r="E64" s="93" t="s">
        <v>49</v>
      </c>
      <c r="F64" s="80" t="s">
        <v>10</v>
      </c>
      <c r="G64" s="183">
        <v>45693</v>
      </c>
      <c r="H64" s="5"/>
      <c r="I64" s="100" t="s">
        <v>266</v>
      </c>
      <c r="J64" s="21"/>
      <c r="K64" s="18"/>
      <c r="L64" s="19"/>
      <c r="M64" s="23"/>
      <c r="N64" s="11"/>
      <c r="O64" s="12"/>
      <c r="P64" s="85">
        <v>45693</v>
      </c>
      <c r="Q64" s="89">
        <f t="shared" si="1"/>
        <v>0</v>
      </c>
      <c r="R64" s="101"/>
      <c r="S64" s="66"/>
    </row>
    <row r="65" spans="1:19" ht="43.2" x14ac:dyDescent="0.3">
      <c r="A65">
        <v>63</v>
      </c>
      <c r="B65" s="87">
        <v>1550</v>
      </c>
      <c r="C65" s="184">
        <v>45691</v>
      </c>
      <c r="D65" s="149" t="s">
        <v>795</v>
      </c>
      <c r="E65" s="162" t="s">
        <v>36</v>
      </c>
      <c r="F65" s="80" t="s">
        <v>6</v>
      </c>
      <c r="G65" s="183">
        <v>45691</v>
      </c>
      <c r="H65" s="5"/>
      <c r="I65" s="100" t="s">
        <v>125</v>
      </c>
      <c r="J65" s="21"/>
      <c r="K65" s="18"/>
      <c r="L65" s="19"/>
      <c r="M65" s="23"/>
      <c r="N65" s="11"/>
      <c r="O65" s="12"/>
      <c r="P65" s="65">
        <v>45694</v>
      </c>
      <c r="Q65" s="89">
        <f t="shared" si="1"/>
        <v>3</v>
      </c>
      <c r="R65" s="101"/>
      <c r="S65" s="66"/>
    </row>
    <row r="66" spans="1:19" ht="43.2" x14ac:dyDescent="0.3">
      <c r="A66">
        <v>64</v>
      </c>
      <c r="B66" s="87">
        <v>1550</v>
      </c>
      <c r="C66" s="91">
        <v>45693</v>
      </c>
      <c r="D66" s="149" t="s">
        <v>796</v>
      </c>
      <c r="E66" s="48" t="s">
        <v>23</v>
      </c>
      <c r="F66" s="80" t="s">
        <v>8</v>
      </c>
      <c r="G66" s="183">
        <v>45693</v>
      </c>
      <c r="H66" s="5"/>
      <c r="I66" s="100" t="s">
        <v>135</v>
      </c>
      <c r="J66" s="21"/>
      <c r="K66" s="18"/>
      <c r="L66" s="19"/>
      <c r="M66" s="23"/>
      <c r="N66" s="11"/>
      <c r="O66" s="12"/>
      <c r="P66" s="65">
        <v>45694</v>
      </c>
      <c r="Q66" s="89">
        <f t="shared" si="1"/>
        <v>1</v>
      </c>
      <c r="R66" s="101" t="s">
        <v>797</v>
      </c>
      <c r="S66" s="66"/>
    </row>
    <row r="67" spans="1:19" ht="43.2" x14ac:dyDescent="0.3">
      <c r="A67">
        <v>65</v>
      </c>
      <c r="B67" s="87" t="s">
        <v>80</v>
      </c>
      <c r="C67" s="91">
        <v>45693</v>
      </c>
      <c r="D67" s="149" t="s">
        <v>798</v>
      </c>
      <c r="E67" s="93" t="s">
        <v>51</v>
      </c>
      <c r="F67" s="80" t="s">
        <v>10</v>
      </c>
      <c r="G67" s="183">
        <v>45693</v>
      </c>
      <c r="H67" s="5"/>
      <c r="I67" s="100" t="s">
        <v>99</v>
      </c>
      <c r="J67" s="21"/>
      <c r="K67" s="18"/>
      <c r="L67" s="19"/>
      <c r="M67" s="23"/>
      <c r="N67" s="11"/>
      <c r="O67" s="12"/>
      <c r="P67" s="85">
        <v>45694</v>
      </c>
      <c r="Q67" s="89">
        <f t="shared" si="1"/>
        <v>1</v>
      </c>
      <c r="R67" s="101"/>
      <c r="S67" s="160"/>
    </row>
    <row r="68" spans="1:19" ht="43.2" x14ac:dyDescent="0.3">
      <c r="A68">
        <v>66</v>
      </c>
      <c r="B68" s="87" t="s">
        <v>80</v>
      </c>
      <c r="C68" s="91">
        <v>45693</v>
      </c>
      <c r="D68" s="149" t="s">
        <v>799</v>
      </c>
      <c r="E68" s="93" t="s">
        <v>51</v>
      </c>
      <c r="F68" s="80" t="s">
        <v>10</v>
      </c>
      <c r="G68" s="183">
        <v>45693</v>
      </c>
      <c r="H68" s="5"/>
      <c r="I68" s="100" t="s">
        <v>99</v>
      </c>
      <c r="J68" s="154"/>
      <c r="K68" s="155"/>
      <c r="L68" s="156"/>
      <c r="M68" s="157"/>
      <c r="N68" s="158"/>
      <c r="O68" s="159"/>
      <c r="P68" s="85">
        <v>45694</v>
      </c>
      <c r="Q68" s="89">
        <f t="shared" si="1"/>
        <v>1</v>
      </c>
      <c r="R68" s="101"/>
      <c r="S68" s="167"/>
    </row>
    <row r="69" spans="1:19" ht="46.5" customHeight="1" x14ac:dyDescent="0.3">
      <c r="A69">
        <v>67</v>
      </c>
      <c r="B69" s="152">
        <v>1550</v>
      </c>
      <c r="C69" s="153">
        <v>45694</v>
      </c>
      <c r="D69" s="149" t="s">
        <v>800</v>
      </c>
      <c r="E69" s="48" t="s">
        <v>49</v>
      </c>
      <c r="F69" s="145" t="s">
        <v>6</v>
      </c>
      <c r="G69" s="183">
        <v>45694</v>
      </c>
      <c r="H69" s="5"/>
      <c r="I69" s="100" t="s">
        <v>266</v>
      </c>
      <c r="J69" s="21"/>
      <c r="K69" s="18"/>
      <c r="L69" s="19"/>
      <c r="M69" s="23"/>
      <c r="N69" s="11"/>
      <c r="O69" s="12"/>
      <c r="P69" s="65">
        <v>45694</v>
      </c>
      <c r="Q69" s="89">
        <f t="shared" si="1"/>
        <v>0</v>
      </c>
      <c r="R69" s="101"/>
      <c r="S69" s="66"/>
    </row>
    <row r="70" spans="1:19" ht="43.2" x14ac:dyDescent="0.3">
      <c r="A70">
        <v>68</v>
      </c>
      <c r="B70" s="152">
        <v>1550</v>
      </c>
      <c r="C70" s="153">
        <v>45694</v>
      </c>
      <c r="D70" s="98" t="s">
        <v>801</v>
      </c>
      <c r="E70" s="48" t="s">
        <v>49</v>
      </c>
      <c r="F70" s="145" t="s">
        <v>6</v>
      </c>
      <c r="G70" s="183">
        <v>45694</v>
      </c>
      <c r="H70" s="5"/>
      <c r="I70" s="100" t="s">
        <v>266</v>
      </c>
      <c r="J70" s="21"/>
      <c r="K70" s="18"/>
      <c r="L70" s="19"/>
      <c r="M70" s="23"/>
      <c r="N70" s="11"/>
      <c r="O70" s="12"/>
      <c r="P70" s="65">
        <v>45694</v>
      </c>
      <c r="Q70" s="89">
        <f t="shared" si="1"/>
        <v>0</v>
      </c>
      <c r="R70" s="101"/>
      <c r="S70" s="66"/>
    </row>
    <row r="71" spans="1:19" ht="43.2" x14ac:dyDescent="0.3">
      <c r="A71">
        <v>69</v>
      </c>
      <c r="B71" s="152" t="s">
        <v>80</v>
      </c>
      <c r="C71" s="153">
        <v>45694</v>
      </c>
      <c r="D71" s="149" t="s">
        <v>802</v>
      </c>
      <c r="E71" s="48" t="s">
        <v>49</v>
      </c>
      <c r="F71" s="80" t="s">
        <v>10</v>
      </c>
      <c r="G71" s="183">
        <v>45694</v>
      </c>
      <c r="H71" s="5"/>
      <c r="I71" s="100" t="s">
        <v>266</v>
      </c>
      <c r="J71" s="21"/>
      <c r="K71" s="18"/>
      <c r="L71" s="19"/>
      <c r="M71" s="23"/>
      <c r="N71" s="11"/>
      <c r="O71" s="12"/>
      <c r="P71" s="65">
        <v>45694</v>
      </c>
      <c r="Q71" s="89">
        <f t="shared" si="1"/>
        <v>0</v>
      </c>
      <c r="R71" s="101"/>
      <c r="S71" s="66"/>
    </row>
    <row r="72" spans="1:19" ht="28.8" x14ac:dyDescent="0.3">
      <c r="A72">
        <v>70</v>
      </c>
      <c r="B72" s="152">
        <v>1550</v>
      </c>
      <c r="C72" s="153">
        <v>45691</v>
      </c>
      <c r="D72" s="149" t="s">
        <v>803</v>
      </c>
      <c r="E72" s="144" t="s">
        <v>11</v>
      </c>
      <c r="F72" s="145" t="s">
        <v>8</v>
      </c>
      <c r="G72" s="183">
        <v>45691</v>
      </c>
      <c r="H72" s="146"/>
      <c r="I72" s="100" t="s">
        <v>106</v>
      </c>
      <c r="J72" s="163"/>
      <c r="K72" s="164"/>
      <c r="L72" s="165"/>
      <c r="M72" s="157"/>
      <c r="N72" s="158"/>
      <c r="O72" s="159"/>
      <c r="P72" s="85">
        <v>45695</v>
      </c>
      <c r="Q72" s="89">
        <f t="shared" si="1"/>
        <v>4</v>
      </c>
      <c r="R72" s="101" t="s">
        <v>804</v>
      </c>
      <c r="S72" s="160"/>
    </row>
    <row r="73" spans="1:19" ht="28.8" x14ac:dyDescent="0.3">
      <c r="A73">
        <v>71</v>
      </c>
      <c r="B73" s="87">
        <v>1550</v>
      </c>
      <c r="C73" s="91">
        <v>45693</v>
      </c>
      <c r="D73" s="149" t="s">
        <v>805</v>
      </c>
      <c r="E73" s="162" t="s">
        <v>12</v>
      </c>
      <c r="F73" s="80" t="s">
        <v>6</v>
      </c>
      <c r="G73" s="183">
        <v>45693</v>
      </c>
      <c r="H73" s="146"/>
      <c r="I73" s="107" t="s">
        <v>159</v>
      </c>
      <c r="J73" s="154"/>
      <c r="K73" s="155"/>
      <c r="L73" s="156"/>
      <c r="M73" s="157"/>
      <c r="N73" s="158"/>
      <c r="O73" s="159"/>
      <c r="P73" s="65">
        <v>45695</v>
      </c>
      <c r="Q73" s="89">
        <f t="shared" si="1"/>
        <v>2</v>
      </c>
      <c r="R73" s="101"/>
      <c r="S73" s="160"/>
    </row>
    <row r="74" spans="1:19" ht="28.8" x14ac:dyDescent="0.3">
      <c r="A74">
        <v>72</v>
      </c>
      <c r="B74" s="87">
        <v>1550</v>
      </c>
      <c r="C74" s="91">
        <v>45693</v>
      </c>
      <c r="D74" s="149" t="s">
        <v>806</v>
      </c>
      <c r="E74" s="111" t="s">
        <v>1</v>
      </c>
      <c r="F74" s="125" t="s">
        <v>4</v>
      </c>
      <c r="G74" s="183">
        <v>45693</v>
      </c>
      <c r="H74" s="137"/>
      <c r="I74" s="100" t="s">
        <v>125</v>
      </c>
      <c r="J74" s="21"/>
      <c r="K74" s="18"/>
      <c r="L74" s="19"/>
      <c r="M74" s="23"/>
      <c r="N74" s="11"/>
      <c r="O74" s="12"/>
      <c r="P74" s="65">
        <v>45695</v>
      </c>
      <c r="Q74" s="89">
        <f t="shared" si="1"/>
        <v>2</v>
      </c>
      <c r="R74" s="101"/>
      <c r="S74" s="66"/>
    </row>
    <row r="75" spans="1:19" ht="43.2" x14ac:dyDescent="0.3">
      <c r="A75">
        <v>73</v>
      </c>
      <c r="B75" s="152">
        <v>1550</v>
      </c>
      <c r="C75" s="153">
        <v>45694</v>
      </c>
      <c r="D75" s="209" t="s">
        <v>807</v>
      </c>
      <c r="E75" s="126" t="s">
        <v>51</v>
      </c>
      <c r="F75" s="127" t="s">
        <v>4</v>
      </c>
      <c r="G75" s="183">
        <v>45694</v>
      </c>
      <c r="H75" s="134"/>
      <c r="I75" s="100" t="s">
        <v>99</v>
      </c>
      <c r="J75" s="21"/>
      <c r="K75" s="18"/>
      <c r="L75" s="19"/>
      <c r="M75" s="23"/>
      <c r="N75" s="11"/>
      <c r="O75" s="12"/>
      <c r="P75" s="65">
        <v>45695</v>
      </c>
      <c r="Q75" s="89">
        <f t="shared" si="1"/>
        <v>1</v>
      </c>
      <c r="R75" s="101"/>
      <c r="S75" s="66"/>
    </row>
    <row r="76" spans="1:19" ht="43.2" x14ac:dyDescent="0.3">
      <c r="A76">
        <v>74</v>
      </c>
      <c r="B76" s="152">
        <v>1550</v>
      </c>
      <c r="C76" s="153">
        <v>45694</v>
      </c>
      <c r="D76" s="149" t="s">
        <v>808</v>
      </c>
      <c r="E76" s="144" t="s">
        <v>51</v>
      </c>
      <c r="F76" s="127" t="s">
        <v>8</v>
      </c>
      <c r="G76" s="183">
        <v>45694</v>
      </c>
      <c r="H76" s="146"/>
      <c r="I76" s="100" t="s">
        <v>99</v>
      </c>
      <c r="J76" s="21"/>
      <c r="K76" s="18"/>
      <c r="L76" s="19"/>
      <c r="M76" s="23"/>
      <c r="N76" s="11"/>
      <c r="O76" s="12"/>
      <c r="P76" s="65">
        <v>45695</v>
      </c>
      <c r="Q76" s="89">
        <f t="shared" si="1"/>
        <v>1</v>
      </c>
      <c r="R76" s="101" t="s">
        <v>190</v>
      </c>
      <c r="S76" s="66"/>
    </row>
    <row r="77" spans="1:19" ht="43.2" x14ac:dyDescent="0.3">
      <c r="A77">
        <v>75</v>
      </c>
      <c r="B77" s="152">
        <v>1550</v>
      </c>
      <c r="C77" s="153">
        <v>45694</v>
      </c>
      <c r="D77" s="149" t="s">
        <v>809</v>
      </c>
      <c r="E77" s="126" t="s">
        <v>51</v>
      </c>
      <c r="F77" s="127" t="s">
        <v>6</v>
      </c>
      <c r="G77" s="183">
        <v>45694</v>
      </c>
      <c r="H77" s="134"/>
      <c r="I77" s="100" t="s">
        <v>99</v>
      </c>
      <c r="J77" s="154"/>
      <c r="K77" s="155"/>
      <c r="L77" s="156"/>
      <c r="M77" s="157"/>
      <c r="N77" s="158"/>
      <c r="O77" s="159"/>
      <c r="P77" s="65">
        <v>45695</v>
      </c>
      <c r="Q77" s="89">
        <f t="shared" si="1"/>
        <v>1</v>
      </c>
      <c r="R77" s="101"/>
      <c r="S77" s="160"/>
    </row>
    <row r="78" spans="1:19" ht="43.2" x14ac:dyDescent="0.3">
      <c r="A78">
        <v>76</v>
      </c>
      <c r="B78" s="152" t="s">
        <v>80</v>
      </c>
      <c r="C78" s="153">
        <v>45694</v>
      </c>
      <c r="D78" s="149" t="s">
        <v>810</v>
      </c>
      <c r="E78" s="111" t="s">
        <v>51</v>
      </c>
      <c r="F78" s="125" t="s">
        <v>10</v>
      </c>
      <c r="G78" s="183">
        <v>45694</v>
      </c>
      <c r="H78" s="137"/>
      <c r="I78" s="100" t="s">
        <v>99</v>
      </c>
      <c r="J78" s="21"/>
      <c r="K78" s="18"/>
      <c r="L78" s="19"/>
      <c r="M78" s="23"/>
      <c r="N78" s="11"/>
      <c r="O78" s="12"/>
      <c r="P78" s="65">
        <v>45695</v>
      </c>
      <c r="Q78" s="89">
        <f t="shared" si="1"/>
        <v>1</v>
      </c>
      <c r="R78" s="101"/>
      <c r="S78" s="66"/>
    </row>
    <row r="79" spans="1:19" ht="43.2" x14ac:dyDescent="0.3">
      <c r="A79">
        <v>77</v>
      </c>
      <c r="B79" s="152" t="s">
        <v>80</v>
      </c>
      <c r="C79" s="153">
        <v>45694</v>
      </c>
      <c r="D79" s="149" t="s">
        <v>811</v>
      </c>
      <c r="E79" s="111" t="s">
        <v>51</v>
      </c>
      <c r="F79" s="125" t="s">
        <v>10</v>
      </c>
      <c r="G79" s="183">
        <v>45694</v>
      </c>
      <c r="H79" s="137"/>
      <c r="I79" s="100" t="s">
        <v>99</v>
      </c>
      <c r="J79" s="21"/>
      <c r="K79" s="18"/>
      <c r="L79" s="19"/>
      <c r="M79" s="23"/>
      <c r="N79" s="11"/>
      <c r="O79" s="12"/>
      <c r="P79" s="65">
        <v>45695</v>
      </c>
      <c r="Q79" s="89">
        <f t="shared" si="1"/>
        <v>1</v>
      </c>
      <c r="R79" s="101"/>
      <c r="S79" s="66"/>
    </row>
    <row r="80" spans="1:19" ht="43.2" x14ac:dyDescent="0.3">
      <c r="A80">
        <v>78</v>
      </c>
      <c r="B80" s="152" t="s">
        <v>80</v>
      </c>
      <c r="C80" s="153">
        <v>45694</v>
      </c>
      <c r="D80" s="149" t="s">
        <v>812</v>
      </c>
      <c r="E80" s="48" t="s">
        <v>51</v>
      </c>
      <c r="F80" s="125" t="s">
        <v>10</v>
      </c>
      <c r="G80" s="183">
        <v>45694</v>
      </c>
      <c r="H80" s="137"/>
      <c r="I80" s="100" t="s">
        <v>99</v>
      </c>
      <c r="J80" s="21"/>
      <c r="K80" s="18"/>
      <c r="L80" s="19"/>
      <c r="M80" s="23"/>
      <c r="N80" s="11"/>
      <c r="O80" s="12"/>
      <c r="P80" s="65">
        <v>45695</v>
      </c>
      <c r="Q80" s="89">
        <f t="shared" si="1"/>
        <v>1</v>
      </c>
      <c r="R80" s="101"/>
      <c r="S80" s="66"/>
    </row>
    <row r="81" spans="1:19" ht="115.2" x14ac:dyDescent="0.3">
      <c r="A81">
        <v>79</v>
      </c>
      <c r="B81" s="152" t="s">
        <v>80</v>
      </c>
      <c r="C81" s="153">
        <v>45694</v>
      </c>
      <c r="D81" s="149" t="s">
        <v>813</v>
      </c>
      <c r="E81" s="144" t="s">
        <v>21</v>
      </c>
      <c r="F81" s="125" t="s">
        <v>10</v>
      </c>
      <c r="G81" s="183">
        <v>45694</v>
      </c>
      <c r="H81" s="134"/>
      <c r="I81" s="100" t="s">
        <v>174</v>
      </c>
      <c r="J81" s="21"/>
      <c r="K81" s="18"/>
      <c r="L81" s="19"/>
      <c r="M81" s="23"/>
      <c r="N81" s="11"/>
      <c r="O81" s="12"/>
      <c r="P81" s="65">
        <v>45695</v>
      </c>
      <c r="Q81" s="89">
        <f t="shared" si="1"/>
        <v>1</v>
      </c>
      <c r="R81" s="101"/>
      <c r="S81" s="66"/>
    </row>
    <row r="82" spans="1:19" ht="43.2" x14ac:dyDescent="0.3">
      <c r="A82">
        <v>80</v>
      </c>
      <c r="B82" s="152" t="s">
        <v>80</v>
      </c>
      <c r="C82" s="153">
        <v>45694</v>
      </c>
      <c r="D82" s="149" t="s">
        <v>814</v>
      </c>
      <c r="E82" s="93" t="s">
        <v>51</v>
      </c>
      <c r="F82" s="80" t="s">
        <v>10</v>
      </c>
      <c r="G82" s="183">
        <v>45694</v>
      </c>
      <c r="H82" s="5"/>
      <c r="I82" s="100" t="s">
        <v>99</v>
      </c>
      <c r="J82" s="21"/>
      <c r="K82" s="18"/>
      <c r="L82" s="19"/>
      <c r="M82" s="23"/>
      <c r="N82" s="11"/>
      <c r="O82" s="12"/>
      <c r="P82" s="65">
        <v>45695</v>
      </c>
      <c r="Q82" s="89">
        <f t="shared" si="1"/>
        <v>1</v>
      </c>
      <c r="R82" s="101"/>
      <c r="S82" s="66"/>
    </row>
    <row r="83" spans="1:19" ht="57.6" x14ac:dyDescent="0.3">
      <c r="A83">
        <v>81</v>
      </c>
      <c r="B83" s="152">
        <v>1550</v>
      </c>
      <c r="C83" s="153">
        <v>45691</v>
      </c>
      <c r="D83" s="149" t="s">
        <v>815</v>
      </c>
      <c r="E83" s="162" t="s">
        <v>7</v>
      </c>
      <c r="F83" s="145" t="s">
        <v>6</v>
      </c>
      <c r="G83" s="183">
        <v>45691</v>
      </c>
      <c r="H83" s="146"/>
      <c r="I83" s="100" t="s">
        <v>129</v>
      </c>
      <c r="J83" s="154"/>
      <c r="K83" s="155"/>
      <c r="L83" s="156"/>
      <c r="M83" s="157"/>
      <c r="N83" s="158"/>
      <c r="O83" s="159"/>
      <c r="P83" s="85">
        <v>45698</v>
      </c>
      <c r="Q83" s="89">
        <f t="shared" si="1"/>
        <v>7</v>
      </c>
      <c r="R83" s="101"/>
      <c r="S83" s="160"/>
    </row>
    <row r="84" spans="1:19" ht="28.8" x14ac:dyDescent="0.3">
      <c r="A84">
        <v>82</v>
      </c>
      <c r="B84" s="87">
        <v>1550</v>
      </c>
      <c r="C84" s="91">
        <v>45691</v>
      </c>
      <c r="D84" s="149" t="s">
        <v>816</v>
      </c>
      <c r="E84" s="93" t="s">
        <v>1</v>
      </c>
      <c r="F84" s="80" t="s">
        <v>4</v>
      </c>
      <c r="G84" s="183">
        <v>45691</v>
      </c>
      <c r="H84" s="5"/>
      <c r="I84" s="100" t="s">
        <v>125</v>
      </c>
      <c r="J84" s="21"/>
      <c r="K84" s="18"/>
      <c r="L84" s="19"/>
      <c r="M84" s="23"/>
      <c r="N84" s="11"/>
      <c r="O84" s="12"/>
      <c r="P84" s="65">
        <v>45698</v>
      </c>
      <c r="Q84" s="89">
        <f t="shared" si="1"/>
        <v>7</v>
      </c>
      <c r="R84" s="101"/>
      <c r="S84" s="66"/>
    </row>
    <row r="85" spans="1:19" ht="43.2" x14ac:dyDescent="0.3">
      <c r="A85">
        <v>83</v>
      </c>
      <c r="B85" s="87">
        <v>1550</v>
      </c>
      <c r="C85" s="91">
        <v>45693</v>
      </c>
      <c r="D85" s="149" t="s">
        <v>817</v>
      </c>
      <c r="E85" s="93" t="s">
        <v>3</v>
      </c>
      <c r="F85" s="80" t="s">
        <v>6</v>
      </c>
      <c r="G85" s="183">
        <v>45693</v>
      </c>
      <c r="H85" s="5">
        <v>10000260663</v>
      </c>
      <c r="I85" s="100" t="s">
        <v>135</v>
      </c>
      <c r="J85" s="21"/>
      <c r="K85" s="18"/>
      <c r="L85" s="19"/>
      <c r="M85" s="23"/>
      <c r="N85" s="11"/>
      <c r="O85" s="12"/>
      <c r="P85" s="65">
        <v>45698</v>
      </c>
      <c r="Q85" s="89">
        <f t="shared" si="1"/>
        <v>5</v>
      </c>
      <c r="R85" s="101"/>
      <c r="S85" s="66"/>
    </row>
    <row r="86" spans="1:19" ht="28.8" x14ac:dyDescent="0.3">
      <c r="A86">
        <v>84</v>
      </c>
      <c r="B86" s="87">
        <v>1550</v>
      </c>
      <c r="C86" s="187">
        <v>45693</v>
      </c>
      <c r="D86" s="188" t="s">
        <v>818</v>
      </c>
      <c r="E86" s="93" t="s">
        <v>1</v>
      </c>
      <c r="F86" s="80" t="s">
        <v>4</v>
      </c>
      <c r="G86" s="183">
        <v>45693</v>
      </c>
      <c r="H86" s="5"/>
      <c r="I86" s="100" t="s">
        <v>125</v>
      </c>
      <c r="J86" s="21"/>
      <c r="K86" s="18"/>
      <c r="L86" s="19"/>
      <c r="M86" s="23"/>
      <c r="N86" s="11"/>
      <c r="O86" s="12"/>
      <c r="P86" s="65">
        <v>45698</v>
      </c>
      <c r="Q86" s="89">
        <f t="shared" si="1"/>
        <v>5</v>
      </c>
      <c r="R86" s="101"/>
      <c r="S86" s="66"/>
    </row>
    <row r="87" spans="1:19" ht="28.8" x14ac:dyDescent="0.3">
      <c r="A87">
        <v>85</v>
      </c>
      <c r="B87" s="189" t="s">
        <v>80</v>
      </c>
      <c r="C87" s="136">
        <v>45693</v>
      </c>
      <c r="D87" s="109" t="s">
        <v>819</v>
      </c>
      <c r="E87" s="48" t="s">
        <v>17</v>
      </c>
      <c r="F87" s="80" t="s">
        <v>10</v>
      </c>
      <c r="G87" s="183">
        <v>45693</v>
      </c>
      <c r="H87" s="5"/>
      <c r="I87" s="100" t="s">
        <v>82</v>
      </c>
      <c r="J87" s="154"/>
      <c r="K87" s="155"/>
      <c r="L87" s="156"/>
      <c r="M87" s="157"/>
      <c r="N87" s="158"/>
      <c r="O87" s="159"/>
      <c r="P87" s="65">
        <v>45698</v>
      </c>
      <c r="Q87" s="89">
        <f t="shared" si="1"/>
        <v>5</v>
      </c>
      <c r="R87" s="101"/>
      <c r="S87" s="69"/>
    </row>
    <row r="88" spans="1:19" ht="28.8" x14ac:dyDescent="0.3">
      <c r="A88">
        <v>86</v>
      </c>
      <c r="B88" s="186">
        <v>1550</v>
      </c>
      <c r="C88" s="124">
        <v>45694</v>
      </c>
      <c r="D88" s="109" t="s">
        <v>820</v>
      </c>
      <c r="E88" s="48" t="s">
        <v>1</v>
      </c>
      <c r="F88" s="145" t="s">
        <v>176</v>
      </c>
      <c r="G88" s="183">
        <v>45694</v>
      </c>
      <c r="H88" s="146"/>
      <c r="I88" s="100" t="s">
        <v>125</v>
      </c>
      <c r="J88" s="154"/>
      <c r="K88" s="155"/>
      <c r="L88" s="156"/>
      <c r="M88" s="157"/>
      <c r="N88" s="158"/>
      <c r="O88" s="159"/>
      <c r="P88" s="65">
        <v>45698</v>
      </c>
      <c r="Q88" s="89">
        <f t="shared" si="1"/>
        <v>4</v>
      </c>
      <c r="R88" s="101"/>
      <c r="S88" s="160"/>
    </row>
    <row r="89" spans="1:19" ht="28.8" x14ac:dyDescent="0.3">
      <c r="A89">
        <v>87</v>
      </c>
      <c r="B89" s="189">
        <v>1550</v>
      </c>
      <c r="C89" s="136">
        <v>45695</v>
      </c>
      <c r="D89" s="109" t="s">
        <v>821</v>
      </c>
      <c r="E89" s="144" t="s">
        <v>12</v>
      </c>
      <c r="F89" s="145" t="s">
        <v>4</v>
      </c>
      <c r="G89" s="183">
        <v>45695</v>
      </c>
      <c r="H89" s="146"/>
      <c r="I89" s="107" t="s">
        <v>159</v>
      </c>
      <c r="J89" s="21"/>
      <c r="K89" s="18"/>
      <c r="L89" s="19"/>
      <c r="M89" s="23"/>
      <c r="N89" s="11"/>
      <c r="O89" s="12"/>
      <c r="P89" s="65">
        <v>45698</v>
      </c>
      <c r="Q89" s="89">
        <f t="shared" si="1"/>
        <v>3</v>
      </c>
      <c r="R89" s="101"/>
      <c r="S89" s="66"/>
    </row>
    <row r="90" spans="1:19" ht="28.8" x14ac:dyDescent="0.3">
      <c r="A90">
        <v>88</v>
      </c>
      <c r="B90" s="189">
        <v>1550</v>
      </c>
      <c r="C90" s="136">
        <v>45695</v>
      </c>
      <c r="D90" s="109" t="s">
        <v>822</v>
      </c>
      <c r="E90" s="144" t="s">
        <v>1</v>
      </c>
      <c r="F90" s="145" t="s">
        <v>4</v>
      </c>
      <c r="G90" s="183">
        <v>45695</v>
      </c>
      <c r="H90" s="146"/>
      <c r="I90" s="100" t="s">
        <v>125</v>
      </c>
      <c r="J90" s="21"/>
      <c r="K90" s="18"/>
      <c r="L90" s="19"/>
      <c r="M90" s="23"/>
      <c r="N90" s="11"/>
      <c r="O90" s="12"/>
      <c r="P90" s="65">
        <v>45698</v>
      </c>
      <c r="Q90" s="89">
        <f t="shared" si="1"/>
        <v>3</v>
      </c>
      <c r="R90" s="101"/>
      <c r="S90" s="66"/>
    </row>
    <row r="91" spans="1:19" ht="43.2" x14ac:dyDescent="0.3">
      <c r="A91">
        <v>89</v>
      </c>
      <c r="B91" s="87">
        <v>1550</v>
      </c>
      <c r="C91" s="90">
        <v>45695</v>
      </c>
      <c r="D91" s="149" t="s">
        <v>823</v>
      </c>
      <c r="E91" s="48" t="s">
        <v>1</v>
      </c>
      <c r="F91" s="80" t="s">
        <v>6</v>
      </c>
      <c r="G91" s="183">
        <v>45695</v>
      </c>
      <c r="H91" s="5"/>
      <c r="I91" s="100" t="s">
        <v>174</v>
      </c>
      <c r="J91" s="21"/>
      <c r="K91" s="18"/>
      <c r="L91" s="19"/>
      <c r="M91" s="23"/>
      <c r="N91" s="11"/>
      <c r="O91" s="12"/>
      <c r="P91" s="65">
        <v>45698</v>
      </c>
      <c r="Q91" s="89">
        <f t="shared" si="1"/>
        <v>3</v>
      </c>
      <c r="R91" s="101"/>
      <c r="S91" s="66"/>
    </row>
    <row r="92" spans="1:19" ht="43.2" x14ac:dyDescent="0.3">
      <c r="A92">
        <v>90</v>
      </c>
      <c r="B92" s="87">
        <v>1550</v>
      </c>
      <c r="C92" s="91">
        <v>45695</v>
      </c>
      <c r="D92" s="149" t="s">
        <v>824</v>
      </c>
      <c r="E92" s="48" t="s">
        <v>51</v>
      </c>
      <c r="F92" s="80" t="s">
        <v>8</v>
      </c>
      <c r="G92" s="183">
        <v>45695</v>
      </c>
      <c r="H92" s="5"/>
      <c r="I92" s="100" t="s">
        <v>99</v>
      </c>
      <c r="J92" s="21"/>
      <c r="K92" s="18"/>
      <c r="L92" s="19"/>
      <c r="M92" s="23"/>
      <c r="N92" s="11"/>
      <c r="O92" s="12"/>
      <c r="P92" s="65">
        <v>45698</v>
      </c>
      <c r="Q92" s="89">
        <f t="shared" si="1"/>
        <v>3</v>
      </c>
      <c r="R92" s="101" t="s">
        <v>151</v>
      </c>
      <c r="S92" s="66"/>
    </row>
    <row r="93" spans="1:19" ht="28.8" x14ac:dyDescent="0.3">
      <c r="A93">
        <v>91</v>
      </c>
      <c r="B93" s="87">
        <v>1550</v>
      </c>
      <c r="C93" s="91">
        <v>45695</v>
      </c>
      <c r="D93" s="149" t="s">
        <v>825</v>
      </c>
      <c r="E93" s="48" t="s">
        <v>12</v>
      </c>
      <c r="F93" s="80" t="s">
        <v>8</v>
      </c>
      <c r="G93" s="183">
        <v>45695</v>
      </c>
      <c r="H93" s="146"/>
      <c r="I93" s="107" t="s">
        <v>159</v>
      </c>
      <c r="J93" s="154"/>
      <c r="K93" s="155"/>
      <c r="L93" s="156"/>
      <c r="M93" s="157"/>
      <c r="N93" s="158"/>
      <c r="O93" s="159"/>
      <c r="P93" s="65">
        <v>45698</v>
      </c>
      <c r="Q93" s="89">
        <f t="shared" si="1"/>
        <v>3</v>
      </c>
      <c r="R93" s="101" t="s">
        <v>758</v>
      </c>
      <c r="S93" s="66"/>
    </row>
    <row r="94" spans="1:19" ht="43.2" x14ac:dyDescent="0.3">
      <c r="A94">
        <v>92</v>
      </c>
      <c r="B94" s="87" t="s">
        <v>80</v>
      </c>
      <c r="C94" s="91">
        <v>45695</v>
      </c>
      <c r="D94" s="149" t="s">
        <v>826</v>
      </c>
      <c r="E94" s="48" t="s">
        <v>17</v>
      </c>
      <c r="F94" s="80" t="s">
        <v>10</v>
      </c>
      <c r="G94" s="183">
        <v>45695</v>
      </c>
      <c r="H94" s="146"/>
      <c r="I94" s="100" t="s">
        <v>82</v>
      </c>
      <c r="J94" s="21"/>
      <c r="K94" s="18"/>
      <c r="L94" s="19"/>
      <c r="M94" s="23"/>
      <c r="N94" s="11"/>
      <c r="O94" s="12"/>
      <c r="P94" s="65">
        <v>45698</v>
      </c>
      <c r="Q94" s="89">
        <f t="shared" si="1"/>
        <v>3</v>
      </c>
      <c r="R94" s="101"/>
      <c r="S94" s="66"/>
    </row>
    <row r="95" spans="1:19" ht="100.8" x14ac:dyDescent="0.3">
      <c r="A95">
        <v>93</v>
      </c>
      <c r="B95" s="87" t="s">
        <v>80</v>
      </c>
      <c r="C95" s="91">
        <v>45695</v>
      </c>
      <c r="D95" s="149" t="s">
        <v>827</v>
      </c>
      <c r="E95" s="48" t="s">
        <v>12</v>
      </c>
      <c r="F95" s="80" t="s">
        <v>10</v>
      </c>
      <c r="G95" s="183">
        <v>45695</v>
      </c>
      <c r="H95" s="5"/>
      <c r="I95" s="107" t="s">
        <v>159</v>
      </c>
      <c r="J95" s="21"/>
      <c r="K95" s="18"/>
      <c r="L95" s="19"/>
      <c r="M95" s="23"/>
      <c r="N95" s="11"/>
      <c r="O95" s="12"/>
      <c r="P95" s="65">
        <v>45698</v>
      </c>
      <c r="Q95" s="89">
        <f t="shared" ref="Q95:Q158" si="2">P95-G95</f>
        <v>3</v>
      </c>
      <c r="R95" s="101"/>
      <c r="S95" s="66"/>
    </row>
    <row r="96" spans="1:19" ht="43.2" x14ac:dyDescent="0.3">
      <c r="A96">
        <v>94</v>
      </c>
      <c r="B96" s="87" t="s">
        <v>80</v>
      </c>
      <c r="C96" s="91">
        <v>45695</v>
      </c>
      <c r="D96" s="149" t="s">
        <v>828</v>
      </c>
      <c r="E96" s="48" t="s">
        <v>51</v>
      </c>
      <c r="F96" s="80" t="s">
        <v>10</v>
      </c>
      <c r="G96" s="183">
        <v>45695</v>
      </c>
      <c r="H96" s="5"/>
      <c r="I96" s="100" t="s">
        <v>99</v>
      </c>
      <c r="J96" s="21"/>
      <c r="K96" s="18"/>
      <c r="L96" s="19"/>
      <c r="M96" s="23"/>
      <c r="N96" s="11"/>
      <c r="O96" s="12"/>
      <c r="P96" s="65">
        <v>45698</v>
      </c>
      <c r="Q96" s="89">
        <f t="shared" si="2"/>
        <v>3</v>
      </c>
      <c r="R96" s="101"/>
      <c r="S96" s="66"/>
    </row>
    <row r="97" spans="1:19" ht="43.2" x14ac:dyDescent="0.3">
      <c r="A97">
        <v>95</v>
      </c>
      <c r="B97" s="87" t="s">
        <v>80</v>
      </c>
      <c r="C97" s="91">
        <v>45695</v>
      </c>
      <c r="D97" s="149" t="s">
        <v>829</v>
      </c>
      <c r="E97" s="48" t="s">
        <v>51</v>
      </c>
      <c r="F97" s="80" t="s">
        <v>10</v>
      </c>
      <c r="G97" s="183">
        <v>45695</v>
      </c>
      <c r="H97" s="5"/>
      <c r="I97" s="100" t="s">
        <v>99</v>
      </c>
      <c r="J97" s="21"/>
      <c r="K97" s="18"/>
      <c r="L97" s="19"/>
      <c r="M97" s="23"/>
      <c r="N97" s="11"/>
      <c r="O97" s="12"/>
      <c r="P97" s="65">
        <v>45698</v>
      </c>
      <c r="Q97" s="89">
        <f t="shared" si="2"/>
        <v>3</v>
      </c>
      <c r="R97" s="101"/>
      <c r="S97" s="66"/>
    </row>
    <row r="98" spans="1:19" ht="43.2" x14ac:dyDescent="0.3">
      <c r="A98">
        <v>96</v>
      </c>
      <c r="B98" s="87" t="s">
        <v>80</v>
      </c>
      <c r="C98" s="91">
        <v>45695</v>
      </c>
      <c r="D98" s="149" t="s">
        <v>830</v>
      </c>
      <c r="E98" s="111" t="s">
        <v>51</v>
      </c>
      <c r="F98" s="125" t="s">
        <v>10</v>
      </c>
      <c r="G98" s="183">
        <v>45695</v>
      </c>
      <c r="H98" s="137"/>
      <c r="I98" s="100" t="s">
        <v>99</v>
      </c>
      <c r="J98" s="21"/>
      <c r="K98" s="18"/>
      <c r="L98" s="19"/>
      <c r="M98" s="23"/>
      <c r="N98" s="11"/>
      <c r="O98" s="12"/>
      <c r="P98" s="65">
        <v>45698</v>
      </c>
      <c r="Q98" s="89">
        <f t="shared" si="2"/>
        <v>3</v>
      </c>
      <c r="R98" s="101"/>
      <c r="S98" s="66"/>
    </row>
    <row r="99" spans="1:19" ht="43.2" x14ac:dyDescent="0.3">
      <c r="A99">
        <v>97</v>
      </c>
      <c r="B99" s="87" t="s">
        <v>80</v>
      </c>
      <c r="C99" s="91">
        <v>45695</v>
      </c>
      <c r="D99" s="149" t="s">
        <v>831</v>
      </c>
      <c r="E99" s="111" t="s">
        <v>51</v>
      </c>
      <c r="F99" s="125" t="s">
        <v>10</v>
      </c>
      <c r="G99" s="183">
        <v>45695</v>
      </c>
      <c r="H99" s="137"/>
      <c r="I99" s="100" t="s">
        <v>99</v>
      </c>
      <c r="J99" s="154"/>
      <c r="K99" s="155"/>
      <c r="L99" s="156"/>
      <c r="M99" s="157"/>
      <c r="N99" s="158"/>
      <c r="O99" s="159"/>
      <c r="P99" s="65">
        <v>45698</v>
      </c>
      <c r="Q99" s="89">
        <f t="shared" si="2"/>
        <v>3</v>
      </c>
      <c r="R99" s="101"/>
      <c r="S99" s="160"/>
    </row>
    <row r="100" spans="1:19" ht="43.2" x14ac:dyDescent="0.3">
      <c r="A100">
        <v>98</v>
      </c>
      <c r="B100" s="87" t="s">
        <v>80</v>
      </c>
      <c r="C100" s="91">
        <v>45695</v>
      </c>
      <c r="D100" s="149" t="s">
        <v>832</v>
      </c>
      <c r="E100" s="111" t="s">
        <v>51</v>
      </c>
      <c r="F100" s="125" t="s">
        <v>10</v>
      </c>
      <c r="G100" s="183">
        <v>45695</v>
      </c>
      <c r="H100" s="137"/>
      <c r="I100" s="100" t="s">
        <v>99</v>
      </c>
      <c r="J100" s="154"/>
      <c r="K100" s="155"/>
      <c r="L100" s="156"/>
      <c r="M100" s="157"/>
      <c r="N100" s="158"/>
      <c r="O100" s="159"/>
      <c r="P100" s="65">
        <v>45698</v>
      </c>
      <c r="Q100" s="89">
        <f t="shared" si="2"/>
        <v>3</v>
      </c>
      <c r="R100" s="101"/>
      <c r="S100" s="160"/>
    </row>
    <row r="101" spans="1:19" ht="57.6" x14ac:dyDescent="0.3">
      <c r="A101">
        <v>99</v>
      </c>
      <c r="B101" s="87">
        <v>1550</v>
      </c>
      <c r="C101" s="91">
        <v>45698</v>
      </c>
      <c r="D101" s="149" t="s">
        <v>833</v>
      </c>
      <c r="E101" s="144" t="s">
        <v>39</v>
      </c>
      <c r="F101" s="145" t="s">
        <v>176</v>
      </c>
      <c r="G101" s="183">
        <v>45698</v>
      </c>
      <c r="H101" s="146">
        <v>10000263278</v>
      </c>
      <c r="I101" s="100" t="s">
        <v>22</v>
      </c>
      <c r="J101" s="154"/>
      <c r="K101" s="155"/>
      <c r="L101" s="156"/>
      <c r="M101" s="157"/>
      <c r="N101" s="158"/>
      <c r="O101" s="159"/>
      <c r="P101" s="65">
        <v>45698</v>
      </c>
      <c r="Q101" s="89">
        <f t="shared" si="2"/>
        <v>0</v>
      </c>
      <c r="R101" s="101"/>
      <c r="S101" s="160"/>
    </row>
    <row r="102" spans="1:19" ht="43.2" x14ac:dyDescent="0.3">
      <c r="A102">
        <v>100</v>
      </c>
      <c r="B102" s="87">
        <v>1550</v>
      </c>
      <c r="C102" s="91">
        <v>45698</v>
      </c>
      <c r="D102" s="149" t="s">
        <v>834</v>
      </c>
      <c r="E102" s="48" t="s">
        <v>25</v>
      </c>
      <c r="F102" s="145" t="s">
        <v>4</v>
      </c>
      <c r="G102" s="183">
        <v>45698</v>
      </c>
      <c r="H102" s="5">
        <v>10000263286</v>
      </c>
      <c r="I102" s="100" t="s">
        <v>135</v>
      </c>
      <c r="J102" s="21"/>
      <c r="K102" s="18"/>
      <c r="L102" s="19"/>
      <c r="M102" s="23"/>
      <c r="N102" s="11"/>
      <c r="O102" s="12"/>
      <c r="P102" s="65">
        <v>45698</v>
      </c>
      <c r="Q102" s="89">
        <f t="shared" si="2"/>
        <v>0</v>
      </c>
      <c r="R102" s="101"/>
      <c r="S102" s="66"/>
    </row>
    <row r="103" spans="1:19" ht="43.2" x14ac:dyDescent="0.3">
      <c r="A103">
        <v>101</v>
      </c>
      <c r="B103" s="87">
        <v>1550</v>
      </c>
      <c r="C103" s="91">
        <v>45695</v>
      </c>
      <c r="D103" s="149" t="s">
        <v>835</v>
      </c>
      <c r="E103" s="48" t="s">
        <v>51</v>
      </c>
      <c r="F103" s="80" t="s">
        <v>4</v>
      </c>
      <c r="G103" s="183">
        <v>45695</v>
      </c>
      <c r="H103" s="5"/>
      <c r="I103" s="100" t="s">
        <v>99</v>
      </c>
      <c r="J103" s="21"/>
      <c r="K103" s="18"/>
      <c r="L103" s="19"/>
      <c r="M103" s="23"/>
      <c r="N103" s="11"/>
      <c r="O103" s="12"/>
      <c r="P103" s="65">
        <v>45698</v>
      </c>
      <c r="Q103" s="89">
        <f t="shared" si="2"/>
        <v>3</v>
      </c>
      <c r="R103" s="101"/>
      <c r="S103" s="66"/>
    </row>
    <row r="104" spans="1:19" ht="43.2" x14ac:dyDescent="0.3">
      <c r="A104">
        <v>102</v>
      </c>
      <c r="B104" s="87" t="s">
        <v>80</v>
      </c>
      <c r="C104" s="91">
        <v>45698</v>
      </c>
      <c r="D104" s="149" t="s">
        <v>836</v>
      </c>
      <c r="E104" s="126" t="s">
        <v>25</v>
      </c>
      <c r="F104" s="127" t="s">
        <v>10</v>
      </c>
      <c r="G104" s="183">
        <v>45698</v>
      </c>
      <c r="H104" s="134"/>
      <c r="I104" s="100" t="s">
        <v>135</v>
      </c>
      <c r="J104" s="21"/>
      <c r="K104" s="18"/>
      <c r="L104" s="19"/>
      <c r="M104" s="23"/>
      <c r="N104" s="11"/>
      <c r="O104" s="12"/>
      <c r="P104" s="65">
        <v>45698</v>
      </c>
      <c r="Q104" s="89">
        <f t="shared" si="2"/>
        <v>0</v>
      </c>
      <c r="R104" s="101"/>
      <c r="S104" s="66"/>
    </row>
    <row r="105" spans="1:19" ht="115.2" x14ac:dyDescent="0.3">
      <c r="A105">
        <v>103</v>
      </c>
      <c r="B105" s="88" t="s">
        <v>80</v>
      </c>
      <c r="C105" s="91">
        <v>45691</v>
      </c>
      <c r="D105" s="149" t="s">
        <v>837</v>
      </c>
      <c r="E105" s="93" t="s">
        <v>1</v>
      </c>
      <c r="F105" s="80" t="s">
        <v>10</v>
      </c>
      <c r="G105" s="183">
        <v>45691</v>
      </c>
      <c r="H105" s="5"/>
      <c r="I105" s="100" t="s">
        <v>125</v>
      </c>
      <c r="J105" s="21"/>
      <c r="K105" s="18"/>
      <c r="L105" s="19"/>
      <c r="M105" s="23"/>
      <c r="N105" s="11"/>
      <c r="O105" s="12"/>
      <c r="P105" s="65">
        <v>45699</v>
      </c>
      <c r="Q105" s="89">
        <f t="shared" si="2"/>
        <v>8</v>
      </c>
      <c r="R105" s="101" t="s">
        <v>85</v>
      </c>
      <c r="S105" s="66"/>
    </row>
    <row r="106" spans="1:19" ht="28.8" x14ac:dyDescent="0.3">
      <c r="A106">
        <v>104</v>
      </c>
      <c r="B106" s="152">
        <v>1550</v>
      </c>
      <c r="C106" s="153">
        <v>45694</v>
      </c>
      <c r="D106" s="149" t="s">
        <v>838</v>
      </c>
      <c r="E106" s="48" t="s">
        <v>1</v>
      </c>
      <c r="F106" s="145" t="s">
        <v>4</v>
      </c>
      <c r="G106" s="183">
        <v>45694</v>
      </c>
      <c r="H106" s="146"/>
      <c r="I106" s="100" t="s">
        <v>125</v>
      </c>
      <c r="J106" s="154"/>
      <c r="K106" s="155"/>
      <c r="L106" s="156"/>
      <c r="M106" s="157"/>
      <c r="N106" s="158"/>
      <c r="O106" s="159"/>
      <c r="P106" s="65">
        <v>45699</v>
      </c>
      <c r="Q106" s="89">
        <f t="shared" si="2"/>
        <v>5</v>
      </c>
      <c r="R106" s="101"/>
      <c r="S106" s="160"/>
    </row>
    <row r="107" spans="1:19" ht="37.5" customHeight="1" x14ac:dyDescent="0.3">
      <c r="A107">
        <v>105</v>
      </c>
      <c r="B107" s="152" t="s">
        <v>80</v>
      </c>
      <c r="C107" s="153">
        <v>45694</v>
      </c>
      <c r="D107" s="149" t="s">
        <v>839</v>
      </c>
      <c r="E107" s="48" t="s">
        <v>1</v>
      </c>
      <c r="F107" s="80" t="s">
        <v>10</v>
      </c>
      <c r="G107" s="183">
        <v>45694</v>
      </c>
      <c r="H107" s="5"/>
      <c r="I107" s="100" t="s">
        <v>125</v>
      </c>
      <c r="J107" s="21"/>
      <c r="K107" s="18"/>
      <c r="L107" s="19"/>
      <c r="M107" s="23"/>
      <c r="N107" s="11"/>
      <c r="O107" s="12"/>
      <c r="P107" s="65">
        <v>45699</v>
      </c>
      <c r="Q107" s="89">
        <f t="shared" si="2"/>
        <v>5</v>
      </c>
      <c r="R107" s="101"/>
      <c r="S107" s="66"/>
    </row>
    <row r="108" spans="1:19" ht="43.2" x14ac:dyDescent="0.3">
      <c r="A108">
        <v>106</v>
      </c>
      <c r="B108" s="87">
        <v>1550</v>
      </c>
      <c r="C108" s="91">
        <v>45695</v>
      </c>
      <c r="D108" t="s">
        <v>840</v>
      </c>
      <c r="E108" s="48" t="s">
        <v>51</v>
      </c>
      <c r="F108" s="145" t="s">
        <v>4</v>
      </c>
      <c r="G108" s="183">
        <v>45695</v>
      </c>
      <c r="H108" s="5"/>
      <c r="I108" s="100" t="s">
        <v>99</v>
      </c>
      <c r="J108" s="21"/>
      <c r="K108" s="18"/>
      <c r="L108" s="19"/>
      <c r="M108" s="23"/>
      <c r="N108" s="11"/>
      <c r="O108" s="12"/>
      <c r="P108" s="65">
        <v>45699</v>
      </c>
      <c r="Q108" s="89">
        <f t="shared" si="2"/>
        <v>4</v>
      </c>
      <c r="R108" s="101"/>
      <c r="S108" s="66"/>
    </row>
    <row r="109" spans="1:19" ht="28.8" x14ac:dyDescent="0.3">
      <c r="A109">
        <v>107</v>
      </c>
      <c r="B109" s="87">
        <v>1550</v>
      </c>
      <c r="C109" s="91">
        <v>45698</v>
      </c>
      <c r="D109" s="149" t="s">
        <v>841</v>
      </c>
      <c r="E109" s="48" t="s">
        <v>23</v>
      </c>
      <c r="F109" s="145" t="s">
        <v>6</v>
      </c>
      <c r="G109" s="183">
        <v>45698</v>
      </c>
      <c r="H109" s="146"/>
      <c r="I109" s="100" t="s">
        <v>135</v>
      </c>
      <c r="J109" s="21"/>
      <c r="K109" s="18"/>
      <c r="L109" s="19"/>
      <c r="M109" s="23"/>
      <c r="N109" s="11"/>
      <c r="O109" s="12"/>
      <c r="P109" s="65">
        <v>45699</v>
      </c>
      <c r="Q109" s="89">
        <f t="shared" si="2"/>
        <v>1</v>
      </c>
      <c r="R109" s="101"/>
      <c r="S109" s="66"/>
    </row>
    <row r="110" spans="1:19" ht="28.8" x14ac:dyDescent="0.3">
      <c r="A110">
        <v>108</v>
      </c>
      <c r="B110" s="87">
        <v>1550</v>
      </c>
      <c r="C110" s="91">
        <v>45698</v>
      </c>
      <c r="D110" s="149" t="s">
        <v>842</v>
      </c>
      <c r="E110" s="48" t="s">
        <v>23</v>
      </c>
      <c r="F110" s="145" t="s">
        <v>6</v>
      </c>
      <c r="G110" s="183">
        <v>45698</v>
      </c>
      <c r="H110" s="146"/>
      <c r="I110" s="100" t="s">
        <v>135</v>
      </c>
      <c r="J110" s="21"/>
      <c r="K110" s="18"/>
      <c r="L110" s="19"/>
      <c r="M110" s="23"/>
      <c r="N110" s="11"/>
      <c r="O110" s="12"/>
      <c r="P110" s="65">
        <v>45699</v>
      </c>
      <c r="Q110" s="89">
        <f t="shared" si="2"/>
        <v>1</v>
      </c>
      <c r="R110" s="101"/>
      <c r="S110" s="66"/>
    </row>
    <row r="111" spans="1:19" x14ac:dyDescent="0.3">
      <c r="A111">
        <v>109</v>
      </c>
      <c r="B111" s="87">
        <v>1550</v>
      </c>
      <c r="C111" s="91">
        <v>45698</v>
      </c>
      <c r="D111" s="149" t="s">
        <v>843</v>
      </c>
      <c r="E111" s="48" t="s">
        <v>23</v>
      </c>
      <c r="F111" s="145" t="s">
        <v>4</v>
      </c>
      <c r="G111" s="183">
        <v>45698</v>
      </c>
      <c r="H111" s="5"/>
      <c r="I111" s="100" t="s">
        <v>135</v>
      </c>
      <c r="J111" s="21"/>
      <c r="K111" s="18"/>
      <c r="L111" s="19"/>
      <c r="M111" s="23"/>
      <c r="N111" s="11"/>
      <c r="O111" s="12"/>
      <c r="P111" s="65">
        <v>45699</v>
      </c>
      <c r="Q111" s="89">
        <f t="shared" si="2"/>
        <v>1</v>
      </c>
      <c r="R111" s="101"/>
      <c r="S111" s="66"/>
    </row>
    <row r="112" spans="1:19" ht="28.8" x14ac:dyDescent="0.3">
      <c r="A112">
        <v>110</v>
      </c>
      <c r="B112" s="87">
        <v>1550</v>
      </c>
      <c r="C112" s="91">
        <v>45698</v>
      </c>
      <c r="D112" s="149" t="s">
        <v>844</v>
      </c>
      <c r="E112" s="48" t="s">
        <v>23</v>
      </c>
      <c r="F112" s="145" t="s">
        <v>6</v>
      </c>
      <c r="G112" s="183">
        <v>45698</v>
      </c>
      <c r="H112" s="146"/>
      <c r="I112" s="100" t="s">
        <v>135</v>
      </c>
      <c r="J112" s="21"/>
      <c r="K112" s="18"/>
      <c r="L112" s="19"/>
      <c r="M112" s="23"/>
      <c r="N112" s="11"/>
      <c r="O112" s="12"/>
      <c r="P112" s="65">
        <v>45699</v>
      </c>
      <c r="Q112" s="89">
        <f t="shared" si="2"/>
        <v>1</v>
      </c>
      <c r="R112" s="101"/>
      <c r="S112" s="66"/>
    </row>
    <row r="113" spans="1:19" ht="28.8" x14ac:dyDescent="0.3">
      <c r="A113">
        <v>111</v>
      </c>
      <c r="B113" s="87">
        <v>1550</v>
      </c>
      <c r="C113" s="91">
        <v>45698</v>
      </c>
      <c r="D113" s="149" t="s">
        <v>845</v>
      </c>
      <c r="E113" s="48" t="s">
        <v>23</v>
      </c>
      <c r="F113" s="145" t="s">
        <v>6</v>
      </c>
      <c r="G113" s="183">
        <v>45698</v>
      </c>
      <c r="H113" s="146"/>
      <c r="I113" s="100" t="s">
        <v>135</v>
      </c>
      <c r="J113" s="21"/>
      <c r="K113" s="18"/>
      <c r="L113" s="19"/>
      <c r="M113" s="23"/>
      <c r="N113" s="11"/>
      <c r="O113" s="12"/>
      <c r="P113" s="65">
        <v>45699</v>
      </c>
      <c r="Q113" s="89">
        <f t="shared" si="2"/>
        <v>1</v>
      </c>
      <c r="R113" s="101"/>
      <c r="S113" s="66"/>
    </row>
    <row r="114" spans="1:19" ht="28.8" x14ac:dyDescent="0.3">
      <c r="A114">
        <v>112</v>
      </c>
      <c r="B114" s="87">
        <v>1550</v>
      </c>
      <c r="C114" s="91">
        <v>45698</v>
      </c>
      <c r="D114" s="149" t="s">
        <v>846</v>
      </c>
      <c r="E114" s="48" t="s">
        <v>23</v>
      </c>
      <c r="F114" s="145" t="s">
        <v>6</v>
      </c>
      <c r="G114" s="183">
        <v>45698</v>
      </c>
      <c r="H114" s="146"/>
      <c r="I114" s="100" t="s">
        <v>135</v>
      </c>
      <c r="J114" s="21"/>
      <c r="K114" s="18"/>
      <c r="L114" s="19"/>
      <c r="M114" s="23"/>
      <c r="N114" s="11"/>
      <c r="O114" s="12"/>
      <c r="P114" s="65">
        <v>45699</v>
      </c>
      <c r="Q114" s="89">
        <f t="shared" si="2"/>
        <v>1</v>
      </c>
      <c r="R114" s="101"/>
      <c r="S114" s="66"/>
    </row>
    <row r="115" spans="1:19" x14ac:dyDescent="0.3">
      <c r="A115">
        <v>113</v>
      </c>
      <c r="B115" s="87">
        <v>1550</v>
      </c>
      <c r="C115" s="91">
        <v>45698</v>
      </c>
      <c r="D115" s="209" t="s">
        <v>847</v>
      </c>
      <c r="E115" s="48" t="s">
        <v>23</v>
      </c>
      <c r="F115" s="145" t="s">
        <v>176</v>
      </c>
      <c r="G115" s="183">
        <v>45698</v>
      </c>
      <c r="H115" s="5"/>
      <c r="I115" s="107" t="s">
        <v>135</v>
      </c>
      <c r="J115" s="21"/>
      <c r="K115" s="18"/>
      <c r="L115" s="19"/>
      <c r="M115" s="23"/>
      <c r="N115" s="11"/>
      <c r="O115" s="12"/>
      <c r="P115" s="65">
        <v>45699</v>
      </c>
      <c r="Q115" s="89">
        <f t="shared" si="2"/>
        <v>1</v>
      </c>
      <c r="R115" s="101"/>
      <c r="S115" s="66"/>
    </row>
    <row r="116" spans="1:19" x14ac:dyDescent="0.3">
      <c r="A116">
        <v>114</v>
      </c>
      <c r="B116" s="87">
        <v>1550</v>
      </c>
      <c r="C116" s="91">
        <v>45698</v>
      </c>
      <c r="D116" s="209" t="s">
        <v>848</v>
      </c>
      <c r="E116" s="48" t="s">
        <v>23</v>
      </c>
      <c r="F116" s="145" t="s">
        <v>4</v>
      </c>
      <c r="G116" s="183">
        <v>45698</v>
      </c>
      <c r="H116" s="5"/>
      <c r="I116" s="107" t="s">
        <v>135</v>
      </c>
      <c r="J116" s="21"/>
      <c r="K116" s="18"/>
      <c r="L116" s="19"/>
      <c r="M116" s="23"/>
      <c r="N116" s="11"/>
      <c r="O116" s="12"/>
      <c r="P116" s="65">
        <v>45699</v>
      </c>
      <c r="Q116" s="89">
        <f t="shared" si="2"/>
        <v>1</v>
      </c>
      <c r="R116" s="101"/>
      <c r="S116" s="66"/>
    </row>
    <row r="117" spans="1:19" ht="28.8" x14ac:dyDescent="0.3">
      <c r="A117">
        <v>115</v>
      </c>
      <c r="B117" s="87">
        <v>1550</v>
      </c>
      <c r="C117" s="91">
        <v>45698</v>
      </c>
      <c r="D117" s="149" t="s">
        <v>849</v>
      </c>
      <c r="E117" s="48" t="s">
        <v>23</v>
      </c>
      <c r="F117" s="145" t="s">
        <v>8</v>
      </c>
      <c r="G117" s="183">
        <v>45698</v>
      </c>
      <c r="H117" s="5"/>
      <c r="I117" s="100" t="s">
        <v>135</v>
      </c>
      <c r="J117" s="154"/>
      <c r="K117" s="155"/>
      <c r="L117" s="156"/>
      <c r="M117" s="157"/>
      <c r="N117" s="158"/>
      <c r="O117" s="159"/>
      <c r="P117" s="65">
        <v>45699</v>
      </c>
      <c r="Q117" s="89">
        <f t="shared" si="2"/>
        <v>1</v>
      </c>
      <c r="R117" s="101" t="s">
        <v>270</v>
      </c>
      <c r="S117" s="167"/>
    </row>
    <row r="118" spans="1:19" x14ac:dyDescent="0.3">
      <c r="A118">
        <v>116</v>
      </c>
      <c r="B118" s="87">
        <v>1550</v>
      </c>
      <c r="C118" s="91">
        <v>45698</v>
      </c>
      <c r="D118" s="209" t="s">
        <v>850</v>
      </c>
      <c r="E118" s="48" t="s">
        <v>23</v>
      </c>
      <c r="F118" s="145" t="s">
        <v>4</v>
      </c>
      <c r="G118" s="183">
        <v>45698</v>
      </c>
      <c r="H118" s="5"/>
      <c r="I118" s="107" t="s">
        <v>135</v>
      </c>
      <c r="J118" s="21"/>
      <c r="K118" s="18"/>
      <c r="L118" s="19"/>
      <c r="M118" s="23"/>
      <c r="N118" s="11"/>
      <c r="O118" s="12"/>
      <c r="P118" s="65">
        <v>45699</v>
      </c>
      <c r="Q118" s="89">
        <f t="shared" si="2"/>
        <v>1</v>
      </c>
      <c r="R118" s="101"/>
      <c r="S118" s="66"/>
    </row>
    <row r="119" spans="1:19" ht="43.2" x14ac:dyDescent="0.3">
      <c r="A119">
        <v>117</v>
      </c>
      <c r="B119" s="87">
        <v>1550</v>
      </c>
      <c r="C119" s="91">
        <v>45698</v>
      </c>
      <c r="D119" s="149" t="s">
        <v>851</v>
      </c>
      <c r="E119" s="48" t="s">
        <v>51</v>
      </c>
      <c r="F119" s="145" t="s">
        <v>8</v>
      </c>
      <c r="G119" s="183">
        <v>45698</v>
      </c>
      <c r="H119" s="5"/>
      <c r="I119" s="100" t="s">
        <v>99</v>
      </c>
      <c r="J119" s="21"/>
      <c r="K119" s="18"/>
      <c r="L119" s="19"/>
      <c r="M119" s="23"/>
      <c r="N119" s="11"/>
      <c r="O119" s="12"/>
      <c r="P119" s="65">
        <v>45699</v>
      </c>
      <c r="Q119" s="89">
        <f t="shared" si="2"/>
        <v>1</v>
      </c>
      <c r="R119" s="101" t="s">
        <v>160</v>
      </c>
      <c r="S119" s="66"/>
    </row>
    <row r="120" spans="1:19" x14ac:dyDescent="0.3">
      <c r="A120">
        <v>118</v>
      </c>
      <c r="B120" s="87">
        <v>1550</v>
      </c>
      <c r="C120" s="91">
        <v>45698</v>
      </c>
      <c r="D120" s="209" t="s">
        <v>852</v>
      </c>
      <c r="E120" s="111" t="s">
        <v>23</v>
      </c>
      <c r="F120" s="125" t="s">
        <v>4</v>
      </c>
      <c r="G120" s="183">
        <v>45698</v>
      </c>
      <c r="H120" s="137"/>
      <c r="I120" s="100" t="s">
        <v>135</v>
      </c>
      <c r="J120" s="21"/>
      <c r="K120" s="18"/>
      <c r="L120" s="19"/>
      <c r="M120" s="23"/>
      <c r="N120" s="11"/>
      <c r="O120" s="12"/>
      <c r="P120" s="65">
        <v>45699</v>
      </c>
      <c r="Q120" s="89">
        <f t="shared" si="2"/>
        <v>1</v>
      </c>
      <c r="R120" s="101"/>
      <c r="S120" s="66"/>
    </row>
    <row r="121" spans="1:19" ht="43.2" x14ac:dyDescent="0.3">
      <c r="A121">
        <v>119</v>
      </c>
      <c r="B121" s="87">
        <v>1550</v>
      </c>
      <c r="C121" s="91">
        <v>45698</v>
      </c>
      <c r="D121" s="149" t="s">
        <v>853</v>
      </c>
      <c r="E121" s="111" t="s">
        <v>23</v>
      </c>
      <c r="F121" s="125" t="s">
        <v>8</v>
      </c>
      <c r="G121" s="183">
        <v>45698</v>
      </c>
      <c r="H121" s="137"/>
      <c r="I121" s="100" t="s">
        <v>135</v>
      </c>
      <c r="J121" s="21"/>
      <c r="K121" s="18"/>
      <c r="L121" s="19"/>
      <c r="M121" s="23"/>
      <c r="N121" s="11"/>
      <c r="O121" s="12"/>
      <c r="P121" s="65">
        <v>45699</v>
      </c>
      <c r="Q121" s="89">
        <f t="shared" si="2"/>
        <v>1</v>
      </c>
      <c r="R121" s="101" t="s">
        <v>169</v>
      </c>
      <c r="S121" s="66"/>
    </row>
    <row r="122" spans="1:19" ht="43.2" x14ac:dyDescent="0.3">
      <c r="A122">
        <v>120</v>
      </c>
      <c r="B122" s="87">
        <v>1550</v>
      </c>
      <c r="C122" s="91">
        <v>45698</v>
      </c>
      <c r="D122" s="149" t="s">
        <v>854</v>
      </c>
      <c r="E122" s="111" t="s">
        <v>23</v>
      </c>
      <c r="F122" s="125" t="s">
        <v>8</v>
      </c>
      <c r="G122" s="183">
        <v>45698</v>
      </c>
      <c r="H122" s="137"/>
      <c r="I122" s="100" t="s">
        <v>135</v>
      </c>
      <c r="J122" s="21"/>
      <c r="K122" s="18"/>
      <c r="L122" s="19"/>
      <c r="M122" s="23"/>
      <c r="N122" s="11"/>
      <c r="O122" s="12"/>
      <c r="P122" s="65">
        <v>45699</v>
      </c>
      <c r="Q122" s="89">
        <f t="shared" si="2"/>
        <v>1</v>
      </c>
      <c r="R122" s="101" t="s">
        <v>205</v>
      </c>
      <c r="S122" s="66"/>
    </row>
    <row r="123" spans="1:19" x14ac:dyDescent="0.3">
      <c r="A123">
        <v>121</v>
      </c>
      <c r="B123" s="87">
        <v>1550</v>
      </c>
      <c r="C123" s="91">
        <v>45698</v>
      </c>
      <c r="D123" s="209" t="s">
        <v>855</v>
      </c>
      <c r="E123" s="48" t="s">
        <v>23</v>
      </c>
      <c r="F123" s="80" t="s">
        <v>4</v>
      </c>
      <c r="G123" s="183">
        <v>45698</v>
      </c>
      <c r="H123" s="5"/>
      <c r="I123" s="100" t="s">
        <v>135</v>
      </c>
      <c r="J123" s="21"/>
      <c r="K123" s="18"/>
      <c r="L123" s="19"/>
      <c r="M123" s="23"/>
      <c r="N123" s="11"/>
      <c r="O123" s="12"/>
      <c r="P123" s="65">
        <v>45699</v>
      </c>
      <c r="Q123" s="89">
        <f t="shared" si="2"/>
        <v>1</v>
      </c>
      <c r="R123" s="101"/>
      <c r="S123" s="66"/>
    </row>
    <row r="124" spans="1:19" ht="43.2" x14ac:dyDescent="0.3">
      <c r="A124">
        <v>122</v>
      </c>
      <c r="B124" s="87">
        <v>1550</v>
      </c>
      <c r="C124" s="91">
        <v>45698</v>
      </c>
      <c r="D124" s="149" t="s">
        <v>856</v>
      </c>
      <c r="E124" s="48" t="s">
        <v>23</v>
      </c>
      <c r="F124" s="80" t="s">
        <v>8</v>
      </c>
      <c r="G124" s="183">
        <v>45698</v>
      </c>
      <c r="H124" s="5"/>
      <c r="I124" s="107" t="s">
        <v>135</v>
      </c>
      <c r="J124" s="21"/>
      <c r="K124" s="18"/>
      <c r="L124" s="19"/>
      <c r="M124" s="23"/>
      <c r="N124" s="11"/>
      <c r="O124" s="12"/>
      <c r="P124" s="65">
        <v>45699</v>
      </c>
      <c r="Q124" s="89">
        <f t="shared" si="2"/>
        <v>1</v>
      </c>
      <c r="R124" s="101" t="s">
        <v>479</v>
      </c>
      <c r="S124" s="66"/>
    </row>
    <row r="125" spans="1:19" ht="28.8" x14ac:dyDescent="0.3">
      <c r="A125">
        <v>123</v>
      </c>
      <c r="B125" s="87">
        <v>1550</v>
      </c>
      <c r="C125" s="91">
        <v>45698</v>
      </c>
      <c r="D125" s="149" t="s">
        <v>857</v>
      </c>
      <c r="E125" s="48" t="s">
        <v>23</v>
      </c>
      <c r="F125" s="145" t="s">
        <v>6</v>
      </c>
      <c r="G125" s="183">
        <v>45698</v>
      </c>
      <c r="H125" s="146"/>
      <c r="I125" s="107" t="s">
        <v>135</v>
      </c>
      <c r="J125" s="21"/>
      <c r="K125" s="18"/>
      <c r="L125" s="19"/>
      <c r="M125" s="23"/>
      <c r="N125" s="11"/>
      <c r="O125" s="12"/>
      <c r="P125" s="65">
        <v>45699</v>
      </c>
      <c r="Q125" s="89">
        <f t="shared" si="2"/>
        <v>1</v>
      </c>
      <c r="R125" s="101"/>
      <c r="S125" s="69"/>
    </row>
    <row r="126" spans="1:19" ht="43.2" x14ac:dyDescent="0.3">
      <c r="A126">
        <v>124</v>
      </c>
      <c r="B126" s="87">
        <v>1550</v>
      </c>
      <c r="C126" s="91">
        <v>45698</v>
      </c>
      <c r="D126" s="149" t="s">
        <v>858</v>
      </c>
      <c r="E126" s="144" t="s">
        <v>51</v>
      </c>
      <c r="F126" s="145" t="s">
        <v>6</v>
      </c>
      <c r="G126" s="183">
        <v>45698</v>
      </c>
      <c r="H126" s="146"/>
      <c r="I126" s="100" t="s">
        <v>99</v>
      </c>
      <c r="J126" s="21"/>
      <c r="K126" s="18"/>
      <c r="L126" s="19"/>
      <c r="M126" s="23"/>
      <c r="N126" s="11"/>
      <c r="O126" s="12"/>
      <c r="P126" s="65">
        <v>45699</v>
      </c>
      <c r="Q126" s="89">
        <f t="shared" si="2"/>
        <v>1</v>
      </c>
      <c r="R126" s="101"/>
      <c r="S126" s="69"/>
    </row>
    <row r="127" spans="1:19" ht="28.8" x14ac:dyDescent="0.3">
      <c r="A127">
        <v>125</v>
      </c>
      <c r="B127" s="87">
        <v>1550</v>
      </c>
      <c r="C127" s="91">
        <v>45698</v>
      </c>
      <c r="D127" s="149" t="s">
        <v>859</v>
      </c>
      <c r="E127" s="144" t="s">
        <v>23</v>
      </c>
      <c r="F127" s="145" t="s">
        <v>6</v>
      </c>
      <c r="G127" s="183">
        <v>45698</v>
      </c>
      <c r="H127" s="146"/>
      <c r="I127" s="100" t="s">
        <v>135</v>
      </c>
      <c r="J127" s="21"/>
      <c r="K127" s="18"/>
      <c r="L127" s="19"/>
      <c r="M127" s="23"/>
      <c r="N127" s="11"/>
      <c r="O127" s="12"/>
      <c r="P127" s="65">
        <v>45699</v>
      </c>
      <c r="Q127" s="89">
        <f t="shared" si="2"/>
        <v>1</v>
      </c>
      <c r="R127" s="101"/>
      <c r="S127" s="66"/>
    </row>
    <row r="128" spans="1:19" ht="43.2" x14ac:dyDescent="0.3">
      <c r="A128">
        <v>126</v>
      </c>
      <c r="B128" s="87" t="s">
        <v>80</v>
      </c>
      <c r="C128" s="91">
        <v>45698</v>
      </c>
      <c r="D128" s="149" t="s">
        <v>860</v>
      </c>
      <c r="E128" s="111" t="s">
        <v>51</v>
      </c>
      <c r="F128" s="125" t="s">
        <v>10</v>
      </c>
      <c r="G128" s="183">
        <v>45698</v>
      </c>
      <c r="H128" s="137"/>
      <c r="I128" s="100" t="s">
        <v>99</v>
      </c>
      <c r="J128" s="21"/>
      <c r="K128" s="18"/>
      <c r="L128" s="19"/>
      <c r="M128" s="23"/>
      <c r="N128" s="11"/>
      <c r="O128" s="12"/>
      <c r="P128" s="65">
        <v>45699</v>
      </c>
      <c r="Q128" s="89">
        <f t="shared" si="2"/>
        <v>1</v>
      </c>
      <c r="R128" s="101"/>
      <c r="S128" s="66"/>
    </row>
    <row r="129" spans="1:19" ht="43.2" x14ac:dyDescent="0.3">
      <c r="A129">
        <v>127</v>
      </c>
      <c r="B129" s="87" t="s">
        <v>80</v>
      </c>
      <c r="C129" s="91">
        <v>45698</v>
      </c>
      <c r="D129" s="149" t="s">
        <v>861</v>
      </c>
      <c r="E129" s="111" t="s">
        <v>51</v>
      </c>
      <c r="F129" s="125" t="s">
        <v>10</v>
      </c>
      <c r="G129" s="183">
        <v>45698</v>
      </c>
      <c r="H129" s="137"/>
      <c r="I129" s="100" t="s">
        <v>99</v>
      </c>
      <c r="J129" s="21"/>
      <c r="K129" s="18"/>
      <c r="L129" s="19"/>
      <c r="M129" s="23"/>
      <c r="N129" s="11"/>
      <c r="O129" s="12"/>
      <c r="P129" s="65">
        <v>45699</v>
      </c>
      <c r="Q129" s="89">
        <f t="shared" si="2"/>
        <v>1</v>
      </c>
      <c r="R129" s="101"/>
      <c r="S129" s="66"/>
    </row>
    <row r="130" spans="1:19" ht="86.4" x14ac:dyDescent="0.3">
      <c r="A130">
        <v>128</v>
      </c>
      <c r="B130" s="87" t="s">
        <v>80</v>
      </c>
      <c r="C130" s="187">
        <v>45698</v>
      </c>
      <c r="D130" s="192" t="s">
        <v>862</v>
      </c>
      <c r="E130" s="216" t="s">
        <v>3</v>
      </c>
      <c r="F130" s="220" t="s">
        <v>10</v>
      </c>
      <c r="G130" s="193">
        <v>45698</v>
      </c>
      <c r="H130" s="223"/>
      <c r="I130" s="100" t="s">
        <v>82</v>
      </c>
      <c r="J130" s="21"/>
      <c r="K130" s="18"/>
      <c r="L130" s="19"/>
      <c r="M130" s="23"/>
      <c r="N130" s="11"/>
      <c r="O130" s="12"/>
      <c r="P130" s="65">
        <v>45699</v>
      </c>
      <c r="Q130" s="89">
        <f t="shared" si="2"/>
        <v>1</v>
      </c>
      <c r="R130" s="101"/>
      <c r="S130" s="66"/>
    </row>
    <row r="131" spans="1:19" ht="86.4" x14ac:dyDescent="0.3">
      <c r="A131">
        <v>129</v>
      </c>
      <c r="B131" s="189" t="s">
        <v>80</v>
      </c>
      <c r="C131" s="136">
        <v>45698</v>
      </c>
      <c r="D131" s="194" t="s">
        <v>863</v>
      </c>
      <c r="E131" s="195" t="s">
        <v>3</v>
      </c>
      <c r="F131" s="196" t="s">
        <v>10</v>
      </c>
      <c r="G131" s="197">
        <v>45698</v>
      </c>
      <c r="H131" s="134"/>
      <c r="I131" s="100" t="s">
        <v>82</v>
      </c>
      <c r="J131" s="190"/>
      <c r="K131" s="155"/>
      <c r="L131" s="156"/>
      <c r="M131" s="157"/>
      <c r="N131" s="158"/>
      <c r="O131" s="159"/>
      <c r="P131" s="65">
        <v>45699</v>
      </c>
      <c r="Q131" s="89">
        <f t="shared" si="2"/>
        <v>1</v>
      </c>
      <c r="R131" s="101"/>
      <c r="S131" s="160"/>
    </row>
    <row r="132" spans="1:19" ht="28.8" x14ac:dyDescent="0.3">
      <c r="A132">
        <v>130</v>
      </c>
      <c r="B132" s="189" t="s">
        <v>80</v>
      </c>
      <c r="C132" s="136">
        <v>45698</v>
      </c>
      <c r="D132" s="109" t="s">
        <v>864</v>
      </c>
      <c r="E132" s="126" t="s">
        <v>23</v>
      </c>
      <c r="F132" s="127" t="s">
        <v>10</v>
      </c>
      <c r="G132" s="138">
        <v>45698</v>
      </c>
      <c r="H132" s="134"/>
      <c r="I132" s="125" t="s">
        <v>135</v>
      </c>
      <c r="J132" s="114"/>
      <c r="K132" s="18"/>
      <c r="L132" s="19"/>
      <c r="M132" s="23"/>
      <c r="N132" s="11"/>
      <c r="O132" s="12"/>
      <c r="P132" s="65">
        <v>45699</v>
      </c>
      <c r="Q132" s="89">
        <f t="shared" si="2"/>
        <v>1</v>
      </c>
      <c r="R132" s="101"/>
      <c r="S132" s="66"/>
    </row>
    <row r="133" spans="1:19" ht="28.8" x14ac:dyDescent="0.3">
      <c r="A133">
        <v>131</v>
      </c>
      <c r="B133" s="189" t="s">
        <v>80</v>
      </c>
      <c r="C133" s="136">
        <v>45698</v>
      </c>
      <c r="D133" s="109" t="s">
        <v>865</v>
      </c>
      <c r="E133" s="126" t="s">
        <v>23</v>
      </c>
      <c r="F133" s="127" t="s">
        <v>10</v>
      </c>
      <c r="G133" s="138">
        <v>45698</v>
      </c>
      <c r="H133" s="137"/>
      <c r="I133" s="125" t="s">
        <v>135</v>
      </c>
      <c r="J133" s="114"/>
      <c r="K133" s="18"/>
      <c r="L133" s="19"/>
      <c r="M133" s="23"/>
      <c r="N133" s="11"/>
      <c r="O133" s="12"/>
      <c r="P133" s="65">
        <v>45699</v>
      </c>
      <c r="Q133" s="89">
        <f t="shared" si="2"/>
        <v>1</v>
      </c>
      <c r="R133" s="101"/>
      <c r="S133" s="121"/>
    </row>
    <row r="134" spans="1:19" ht="43.2" x14ac:dyDescent="0.3">
      <c r="A134">
        <v>132</v>
      </c>
      <c r="B134" s="189" t="s">
        <v>80</v>
      </c>
      <c r="C134" s="136">
        <v>45698</v>
      </c>
      <c r="D134" s="109" t="s">
        <v>866</v>
      </c>
      <c r="E134" s="111" t="s">
        <v>51</v>
      </c>
      <c r="F134" s="125" t="s">
        <v>10</v>
      </c>
      <c r="G134" s="138">
        <v>45698</v>
      </c>
      <c r="H134" s="137"/>
      <c r="I134" s="100" t="s">
        <v>99</v>
      </c>
      <c r="J134" s="190"/>
      <c r="K134" s="155"/>
      <c r="L134" s="156"/>
      <c r="M134" s="157"/>
      <c r="N134" s="158"/>
      <c r="O134" s="159"/>
      <c r="P134" s="65">
        <v>45699</v>
      </c>
      <c r="Q134" s="89">
        <f t="shared" si="2"/>
        <v>1</v>
      </c>
      <c r="R134" s="94"/>
      <c r="S134" s="160"/>
    </row>
    <row r="135" spans="1:19" ht="28.8" x14ac:dyDescent="0.3">
      <c r="A135">
        <v>133</v>
      </c>
      <c r="B135" s="189" t="s">
        <v>80</v>
      </c>
      <c r="C135" s="136">
        <v>45698</v>
      </c>
      <c r="D135" s="109" t="s">
        <v>867</v>
      </c>
      <c r="E135" s="126" t="s">
        <v>23</v>
      </c>
      <c r="F135" s="127" t="s">
        <v>10</v>
      </c>
      <c r="G135" s="138">
        <v>45698</v>
      </c>
      <c r="H135" s="134"/>
      <c r="I135" s="125" t="s">
        <v>135</v>
      </c>
      <c r="J135" s="190"/>
      <c r="K135" s="155"/>
      <c r="L135" s="156"/>
      <c r="M135" s="157"/>
      <c r="N135" s="158"/>
      <c r="O135" s="159"/>
      <c r="P135" s="65">
        <v>45699</v>
      </c>
      <c r="Q135" s="89">
        <f t="shared" si="2"/>
        <v>1</v>
      </c>
      <c r="R135" s="94"/>
      <c r="S135" s="160"/>
    </row>
    <row r="136" spans="1:19" ht="28.8" x14ac:dyDescent="0.3">
      <c r="A136">
        <v>134</v>
      </c>
      <c r="B136" s="189" t="s">
        <v>80</v>
      </c>
      <c r="C136" s="136">
        <v>45698</v>
      </c>
      <c r="D136" s="109" t="s">
        <v>868</v>
      </c>
      <c r="E136" s="126" t="s">
        <v>23</v>
      </c>
      <c r="F136" s="127" t="s">
        <v>10</v>
      </c>
      <c r="G136" s="138">
        <v>45698</v>
      </c>
      <c r="H136" s="137"/>
      <c r="I136" s="125" t="s">
        <v>135</v>
      </c>
      <c r="J136" s="114"/>
      <c r="K136" s="18"/>
      <c r="L136" s="19"/>
      <c r="M136" s="23"/>
      <c r="N136" s="11"/>
      <c r="O136" s="12"/>
      <c r="P136" s="65">
        <v>45699</v>
      </c>
      <c r="Q136" s="89">
        <f t="shared" si="2"/>
        <v>1</v>
      </c>
      <c r="R136" s="101"/>
      <c r="S136" s="66"/>
    </row>
    <row r="137" spans="1:19" ht="28.8" x14ac:dyDescent="0.3">
      <c r="A137">
        <v>135</v>
      </c>
      <c r="B137" s="189" t="s">
        <v>80</v>
      </c>
      <c r="C137" s="136">
        <v>45698</v>
      </c>
      <c r="D137" s="109" t="s">
        <v>869</v>
      </c>
      <c r="E137" s="126" t="s">
        <v>23</v>
      </c>
      <c r="F137" s="127" t="s">
        <v>10</v>
      </c>
      <c r="G137" s="138">
        <v>45698</v>
      </c>
      <c r="H137" s="134"/>
      <c r="I137" s="125" t="s">
        <v>135</v>
      </c>
      <c r="J137" s="190"/>
      <c r="K137" s="155"/>
      <c r="L137" s="156"/>
      <c r="M137" s="157"/>
      <c r="N137" s="158"/>
      <c r="O137" s="159"/>
      <c r="P137" s="65">
        <v>45699</v>
      </c>
      <c r="Q137" s="89">
        <f t="shared" si="2"/>
        <v>1</v>
      </c>
      <c r="R137" s="101"/>
      <c r="S137" s="160"/>
    </row>
    <row r="138" spans="1:19" ht="28.8" x14ac:dyDescent="0.3">
      <c r="A138">
        <v>136</v>
      </c>
      <c r="B138" s="189" t="s">
        <v>80</v>
      </c>
      <c r="C138" s="136">
        <v>45698</v>
      </c>
      <c r="D138" s="109" t="s">
        <v>870</v>
      </c>
      <c r="E138" s="126" t="s">
        <v>23</v>
      </c>
      <c r="F138" s="127" t="s">
        <v>10</v>
      </c>
      <c r="G138" s="138">
        <v>45698</v>
      </c>
      <c r="H138" s="134"/>
      <c r="I138" s="125" t="s">
        <v>135</v>
      </c>
      <c r="J138" s="190"/>
      <c r="K138" s="155"/>
      <c r="L138" s="156"/>
      <c r="M138" s="157"/>
      <c r="N138" s="158"/>
      <c r="O138" s="159"/>
      <c r="P138" s="65">
        <v>45699</v>
      </c>
      <c r="Q138" s="89">
        <f t="shared" si="2"/>
        <v>1</v>
      </c>
      <c r="R138" s="101"/>
      <c r="S138" s="167"/>
    </row>
    <row r="139" spans="1:19" ht="28.8" x14ac:dyDescent="0.3">
      <c r="A139">
        <v>137</v>
      </c>
      <c r="B139" s="87" t="s">
        <v>80</v>
      </c>
      <c r="C139" s="90">
        <v>45698</v>
      </c>
      <c r="D139" s="149" t="s">
        <v>871</v>
      </c>
      <c r="E139" s="126" t="s">
        <v>23</v>
      </c>
      <c r="F139" s="127" t="s">
        <v>10</v>
      </c>
      <c r="G139" s="138">
        <v>45698</v>
      </c>
      <c r="H139" s="134"/>
      <c r="I139" s="125" t="s">
        <v>135</v>
      </c>
      <c r="J139" s="190"/>
      <c r="K139" s="155"/>
      <c r="L139" s="156"/>
      <c r="M139" s="157"/>
      <c r="N139" s="158"/>
      <c r="O139" s="159"/>
      <c r="P139" s="65">
        <v>45699</v>
      </c>
      <c r="Q139" s="89">
        <f t="shared" si="2"/>
        <v>1</v>
      </c>
      <c r="R139" s="101"/>
      <c r="S139" s="120"/>
    </row>
    <row r="140" spans="1:19" x14ac:dyDescent="0.3">
      <c r="A140">
        <v>138</v>
      </c>
      <c r="B140" s="87">
        <v>1550</v>
      </c>
      <c r="C140" s="91">
        <v>45699</v>
      </c>
      <c r="D140" t="s">
        <v>872</v>
      </c>
      <c r="E140" s="48" t="s">
        <v>23</v>
      </c>
      <c r="F140" s="80" t="s">
        <v>4</v>
      </c>
      <c r="G140" s="183">
        <v>45699</v>
      </c>
      <c r="H140" s="5"/>
      <c r="I140" s="100" t="s">
        <v>135</v>
      </c>
      <c r="J140" s="21"/>
      <c r="K140" s="18"/>
      <c r="L140" s="19"/>
      <c r="M140" s="23"/>
      <c r="N140" s="11"/>
      <c r="O140" s="12"/>
      <c r="P140" s="65">
        <v>45699</v>
      </c>
      <c r="Q140" s="89">
        <f t="shared" si="2"/>
        <v>0</v>
      </c>
      <c r="R140" s="94"/>
      <c r="S140" s="66"/>
    </row>
    <row r="141" spans="1:19" ht="43.2" x14ac:dyDescent="0.3">
      <c r="A141">
        <v>139</v>
      </c>
      <c r="B141" s="87">
        <v>1550</v>
      </c>
      <c r="C141" s="91">
        <v>45699</v>
      </c>
      <c r="D141" s="149" t="s">
        <v>873</v>
      </c>
      <c r="E141" s="48" t="s">
        <v>23</v>
      </c>
      <c r="F141" s="80" t="s">
        <v>8</v>
      </c>
      <c r="G141" s="183">
        <v>45699</v>
      </c>
      <c r="H141" s="25"/>
      <c r="I141" s="100" t="s">
        <v>135</v>
      </c>
      <c r="J141" s="21"/>
      <c r="K141" s="18"/>
      <c r="L141" s="19"/>
      <c r="M141" s="23"/>
      <c r="N141" s="11"/>
      <c r="O141" s="12"/>
      <c r="P141" s="65">
        <v>45699</v>
      </c>
      <c r="Q141" s="89">
        <f t="shared" si="2"/>
        <v>0</v>
      </c>
      <c r="R141" s="101" t="s">
        <v>205</v>
      </c>
      <c r="S141" s="66"/>
    </row>
    <row r="142" spans="1:19" ht="43.2" x14ac:dyDescent="0.3">
      <c r="A142">
        <v>140</v>
      </c>
      <c r="B142" s="87">
        <v>1550</v>
      </c>
      <c r="C142" s="91">
        <v>45699</v>
      </c>
      <c r="D142" s="98" t="s">
        <v>874</v>
      </c>
      <c r="E142" s="48" t="s">
        <v>51</v>
      </c>
      <c r="F142" s="80" t="s">
        <v>6</v>
      </c>
      <c r="G142" s="183">
        <v>45699</v>
      </c>
      <c r="H142" s="5"/>
      <c r="I142" s="100" t="s">
        <v>99</v>
      </c>
      <c r="J142" s="21"/>
      <c r="K142" s="18"/>
      <c r="L142" s="19"/>
      <c r="M142" s="23"/>
      <c r="N142" s="11"/>
      <c r="O142" s="12"/>
      <c r="P142" s="65">
        <v>45699</v>
      </c>
      <c r="Q142" s="89">
        <f t="shared" si="2"/>
        <v>0</v>
      </c>
      <c r="R142" s="94"/>
      <c r="S142" s="66"/>
    </row>
    <row r="143" spans="1:19" ht="43.2" x14ac:dyDescent="0.3">
      <c r="A143">
        <v>141</v>
      </c>
      <c r="B143" s="87">
        <v>1550</v>
      </c>
      <c r="C143" s="91">
        <v>45699</v>
      </c>
      <c r="D143" s="149" t="s">
        <v>875</v>
      </c>
      <c r="E143" s="48" t="s">
        <v>23</v>
      </c>
      <c r="F143" s="80" t="s">
        <v>8</v>
      </c>
      <c r="G143" s="183">
        <v>45699</v>
      </c>
      <c r="H143" s="5"/>
      <c r="I143" s="100" t="s">
        <v>135</v>
      </c>
      <c r="J143" s="21"/>
      <c r="K143" s="18"/>
      <c r="L143" s="19"/>
      <c r="M143" s="23"/>
      <c r="N143" s="11"/>
      <c r="O143" s="12"/>
      <c r="P143" s="65">
        <v>45699</v>
      </c>
      <c r="Q143" s="89">
        <f t="shared" si="2"/>
        <v>0</v>
      </c>
      <c r="R143" s="101" t="s">
        <v>270</v>
      </c>
      <c r="S143" s="66"/>
    </row>
    <row r="144" spans="1:19" ht="43.2" x14ac:dyDescent="0.3">
      <c r="A144">
        <v>142</v>
      </c>
      <c r="B144" s="87">
        <v>1550</v>
      </c>
      <c r="C144" s="91">
        <v>45699</v>
      </c>
      <c r="D144" s="98" t="s">
        <v>876</v>
      </c>
      <c r="E144" s="48" t="s">
        <v>23</v>
      </c>
      <c r="F144" s="80" t="s">
        <v>8</v>
      </c>
      <c r="G144" s="183">
        <v>45699</v>
      </c>
      <c r="H144" s="5"/>
      <c r="I144" s="100" t="s">
        <v>135</v>
      </c>
      <c r="J144" s="21"/>
      <c r="K144" s="18"/>
      <c r="L144" s="19"/>
      <c r="M144" s="23"/>
      <c r="N144" s="11"/>
      <c r="O144" s="12"/>
      <c r="P144" s="65">
        <v>45699</v>
      </c>
      <c r="Q144" s="89">
        <f t="shared" si="2"/>
        <v>0</v>
      </c>
      <c r="R144" s="101" t="s">
        <v>160</v>
      </c>
      <c r="S144" s="66"/>
    </row>
    <row r="145" spans="1:19" ht="28.8" x14ac:dyDescent="0.3">
      <c r="A145">
        <v>143</v>
      </c>
      <c r="B145" s="87">
        <v>1550</v>
      </c>
      <c r="C145" s="91">
        <v>45699</v>
      </c>
      <c r="D145" s="149" t="s">
        <v>877</v>
      </c>
      <c r="E145" s="48" t="s">
        <v>23</v>
      </c>
      <c r="F145" s="80" t="s">
        <v>6</v>
      </c>
      <c r="G145" s="183">
        <v>45699</v>
      </c>
      <c r="H145" s="5"/>
      <c r="I145" s="100" t="s">
        <v>135</v>
      </c>
      <c r="J145" s="21"/>
      <c r="K145" s="18"/>
      <c r="L145" s="19"/>
      <c r="M145" s="23"/>
      <c r="N145" s="11"/>
      <c r="O145" s="12"/>
      <c r="P145" s="65">
        <v>45699</v>
      </c>
      <c r="Q145" s="89">
        <f t="shared" si="2"/>
        <v>0</v>
      </c>
      <c r="R145" s="94"/>
      <c r="S145" s="66"/>
    </row>
    <row r="146" spans="1:19" x14ac:dyDescent="0.3">
      <c r="A146">
        <v>144</v>
      </c>
      <c r="B146" s="87">
        <v>1550</v>
      </c>
      <c r="C146" s="91">
        <v>45699</v>
      </c>
      <c r="D146" t="s">
        <v>878</v>
      </c>
      <c r="E146" s="48" t="s">
        <v>23</v>
      </c>
      <c r="F146" s="80" t="s">
        <v>4</v>
      </c>
      <c r="G146" s="183">
        <v>45699</v>
      </c>
      <c r="H146" s="5"/>
      <c r="I146" s="100" t="s">
        <v>135</v>
      </c>
      <c r="J146" s="21"/>
      <c r="K146" s="18"/>
      <c r="L146" s="19"/>
      <c r="M146" s="23"/>
      <c r="N146" s="11"/>
      <c r="O146" s="12"/>
      <c r="P146" s="65">
        <v>45699</v>
      </c>
      <c r="Q146" s="89">
        <f t="shared" si="2"/>
        <v>0</v>
      </c>
      <c r="R146" s="94"/>
      <c r="S146" s="66"/>
    </row>
    <row r="147" spans="1:19" ht="57.6" x14ac:dyDescent="0.3">
      <c r="A147">
        <v>145</v>
      </c>
      <c r="B147" s="87">
        <v>1550</v>
      </c>
      <c r="C147" s="91">
        <v>45699</v>
      </c>
      <c r="D147" s="149" t="s">
        <v>879</v>
      </c>
      <c r="E147" s="48" t="s">
        <v>37</v>
      </c>
      <c r="F147" s="80" t="s">
        <v>6</v>
      </c>
      <c r="G147" s="183">
        <v>45699</v>
      </c>
      <c r="H147" s="5"/>
      <c r="I147" s="100" t="s">
        <v>125</v>
      </c>
      <c r="J147" s="21"/>
      <c r="K147" s="18"/>
      <c r="L147" s="19"/>
      <c r="M147" s="23"/>
      <c r="N147" s="11"/>
      <c r="O147" s="12"/>
      <c r="P147" s="65">
        <v>45699</v>
      </c>
      <c r="Q147" s="89">
        <f t="shared" si="2"/>
        <v>0</v>
      </c>
      <c r="R147" s="94"/>
      <c r="S147" s="69"/>
    </row>
    <row r="148" spans="1:19" ht="43.2" x14ac:dyDescent="0.3">
      <c r="A148">
        <v>146</v>
      </c>
      <c r="B148" s="87">
        <v>1550</v>
      </c>
      <c r="C148" s="91">
        <v>45699</v>
      </c>
      <c r="D148" s="209" t="s">
        <v>880</v>
      </c>
      <c r="E148" s="48" t="s">
        <v>51</v>
      </c>
      <c r="F148" s="145" t="s">
        <v>4</v>
      </c>
      <c r="G148" s="183">
        <v>45699</v>
      </c>
      <c r="H148" s="5"/>
      <c r="I148" s="100" t="s">
        <v>99</v>
      </c>
      <c r="J148" s="21"/>
      <c r="K148" s="18"/>
      <c r="L148" s="19"/>
      <c r="M148" s="23"/>
      <c r="N148" s="11"/>
      <c r="O148" s="12"/>
      <c r="P148" s="65">
        <v>45699</v>
      </c>
      <c r="Q148" s="89">
        <f t="shared" si="2"/>
        <v>0</v>
      </c>
      <c r="R148" s="94"/>
      <c r="S148" s="66"/>
    </row>
    <row r="149" spans="1:19" x14ac:dyDescent="0.3">
      <c r="A149">
        <v>147</v>
      </c>
      <c r="B149" s="87">
        <v>1550</v>
      </c>
      <c r="C149" s="91">
        <v>45699</v>
      </c>
      <c r="D149" s="98" t="s">
        <v>881</v>
      </c>
      <c r="E149" s="48" t="s">
        <v>3</v>
      </c>
      <c r="F149" s="145" t="s">
        <v>4</v>
      </c>
      <c r="G149" s="183">
        <v>45699</v>
      </c>
      <c r="H149" s="146"/>
      <c r="I149" s="100" t="s">
        <v>129</v>
      </c>
      <c r="J149" s="154"/>
      <c r="K149" s="155"/>
      <c r="L149" s="156"/>
      <c r="M149" s="157"/>
      <c r="N149" s="158"/>
      <c r="O149" s="159"/>
      <c r="P149" s="65">
        <v>45699</v>
      </c>
      <c r="Q149" s="89">
        <f t="shared" si="2"/>
        <v>0</v>
      </c>
      <c r="R149" s="94"/>
      <c r="S149" s="160"/>
    </row>
    <row r="150" spans="1:19" ht="28.8" x14ac:dyDescent="0.3">
      <c r="A150">
        <v>148</v>
      </c>
      <c r="B150" s="87" t="s">
        <v>80</v>
      </c>
      <c r="C150" s="91">
        <v>45699</v>
      </c>
      <c r="D150" s="149" t="s">
        <v>882</v>
      </c>
      <c r="E150" s="144" t="s">
        <v>23</v>
      </c>
      <c r="F150" s="145" t="s">
        <v>10</v>
      </c>
      <c r="G150" s="183">
        <v>45699</v>
      </c>
      <c r="H150" s="146"/>
      <c r="I150" s="100" t="s">
        <v>135</v>
      </c>
      <c r="J150" s="21"/>
      <c r="K150" s="18"/>
      <c r="L150" s="19"/>
      <c r="M150" s="23"/>
      <c r="N150" s="11"/>
      <c r="O150" s="12"/>
      <c r="P150" s="65">
        <v>45699</v>
      </c>
      <c r="Q150" s="89">
        <f t="shared" si="2"/>
        <v>0</v>
      </c>
      <c r="R150" s="101"/>
      <c r="S150" s="66"/>
    </row>
    <row r="151" spans="1:19" ht="57.6" x14ac:dyDescent="0.3">
      <c r="A151">
        <v>149</v>
      </c>
      <c r="B151" s="87" t="s">
        <v>80</v>
      </c>
      <c r="C151" s="91">
        <v>45693</v>
      </c>
      <c r="D151" s="149" t="s">
        <v>883</v>
      </c>
      <c r="E151" s="144" t="s">
        <v>24</v>
      </c>
      <c r="F151" s="80" t="s">
        <v>10</v>
      </c>
      <c r="G151" s="183">
        <v>45693</v>
      </c>
      <c r="H151" s="146"/>
      <c r="I151" s="100" t="s">
        <v>884</v>
      </c>
      <c r="J151" s="154"/>
      <c r="K151" s="155"/>
      <c r="L151" s="156"/>
      <c r="M151" s="157"/>
      <c r="N151" s="158"/>
      <c r="O151" s="159"/>
      <c r="P151" s="85">
        <v>45700</v>
      </c>
      <c r="Q151" s="89">
        <f t="shared" si="2"/>
        <v>7</v>
      </c>
      <c r="R151" s="101"/>
      <c r="S151" s="160"/>
    </row>
    <row r="152" spans="1:19" ht="28.8" x14ac:dyDescent="0.3">
      <c r="A152">
        <v>150</v>
      </c>
      <c r="B152" s="152">
        <v>1550</v>
      </c>
      <c r="C152" s="153">
        <v>45694</v>
      </c>
      <c r="D152" s="149" t="s">
        <v>885</v>
      </c>
      <c r="E152" s="144" t="s">
        <v>17</v>
      </c>
      <c r="F152" s="145" t="s">
        <v>8</v>
      </c>
      <c r="G152" s="183">
        <v>45694</v>
      </c>
      <c r="H152" s="146">
        <v>10000259885</v>
      </c>
      <c r="I152" s="100" t="s">
        <v>82</v>
      </c>
      <c r="J152" s="154"/>
      <c r="K152" s="155"/>
      <c r="L152" s="156"/>
      <c r="M152" s="157"/>
      <c r="N152" s="158"/>
      <c r="O152" s="159"/>
      <c r="P152" s="65">
        <v>45700</v>
      </c>
      <c r="Q152" s="89">
        <f t="shared" si="2"/>
        <v>6</v>
      </c>
      <c r="R152" s="101" t="s">
        <v>138</v>
      </c>
      <c r="S152" s="160" t="s">
        <v>886</v>
      </c>
    </row>
    <row r="153" spans="1:19" ht="43.2" x14ac:dyDescent="0.3">
      <c r="A153">
        <v>151</v>
      </c>
      <c r="B153" s="152" t="s">
        <v>80</v>
      </c>
      <c r="C153" s="153">
        <v>45694</v>
      </c>
      <c r="D153" s="149" t="s">
        <v>887</v>
      </c>
      <c r="E153" s="111" t="s">
        <v>24</v>
      </c>
      <c r="F153" s="125" t="s">
        <v>10</v>
      </c>
      <c r="G153" s="138">
        <v>45694</v>
      </c>
      <c r="H153" s="137"/>
      <c r="I153" s="728" t="s">
        <v>383</v>
      </c>
      <c r="J153" s="114"/>
      <c r="K153" s="18"/>
      <c r="L153" s="19"/>
      <c r="M153" s="23"/>
      <c r="N153" s="11"/>
      <c r="O153" s="12"/>
      <c r="P153" s="65">
        <v>45700</v>
      </c>
      <c r="Q153" s="89">
        <f t="shared" si="2"/>
        <v>6</v>
      </c>
      <c r="R153" s="101"/>
      <c r="S153" s="66"/>
    </row>
    <row r="154" spans="1:19" ht="28.8" x14ac:dyDescent="0.3">
      <c r="A154">
        <v>152</v>
      </c>
      <c r="B154" s="87">
        <v>1550</v>
      </c>
      <c r="C154" s="91">
        <v>45695</v>
      </c>
      <c r="D154" s="149" t="s">
        <v>888</v>
      </c>
      <c r="E154" s="48" t="s">
        <v>1</v>
      </c>
      <c r="F154" s="145" t="s">
        <v>8</v>
      </c>
      <c r="G154" s="183">
        <v>45695</v>
      </c>
      <c r="H154" s="5"/>
      <c r="I154" s="100" t="s">
        <v>125</v>
      </c>
      <c r="J154" s="21"/>
      <c r="K154" s="18"/>
      <c r="L154" s="19"/>
      <c r="M154" s="23"/>
      <c r="N154" s="11"/>
      <c r="O154" s="12"/>
      <c r="P154" s="65">
        <v>45700</v>
      </c>
      <c r="Q154" s="89">
        <f t="shared" si="2"/>
        <v>5</v>
      </c>
      <c r="R154" s="101" t="s">
        <v>758</v>
      </c>
      <c r="S154" s="66"/>
    </row>
    <row r="155" spans="1:19" ht="57.6" x14ac:dyDescent="0.3">
      <c r="A155">
        <v>153</v>
      </c>
      <c r="B155" s="87" t="s">
        <v>80</v>
      </c>
      <c r="C155" s="91">
        <v>45695</v>
      </c>
      <c r="D155" s="149" t="s">
        <v>889</v>
      </c>
      <c r="E155" s="48" t="s">
        <v>24</v>
      </c>
      <c r="F155" s="80" t="s">
        <v>10</v>
      </c>
      <c r="G155" s="183">
        <v>45695</v>
      </c>
      <c r="H155" s="5"/>
      <c r="I155" s="100" t="s">
        <v>125</v>
      </c>
      <c r="J155" s="21"/>
      <c r="K155" s="18"/>
      <c r="L155" s="19"/>
      <c r="M155" s="23"/>
      <c r="N155" s="11"/>
      <c r="O155" s="12"/>
      <c r="P155" s="65">
        <v>45700</v>
      </c>
      <c r="Q155" s="89">
        <f t="shared" si="2"/>
        <v>5</v>
      </c>
      <c r="R155" s="101"/>
      <c r="S155" s="66"/>
    </row>
    <row r="156" spans="1:19" ht="72" x14ac:dyDescent="0.3">
      <c r="A156">
        <v>154</v>
      </c>
      <c r="B156" s="87" t="s">
        <v>80</v>
      </c>
      <c r="C156" s="91">
        <v>45695</v>
      </c>
      <c r="D156" s="149" t="s">
        <v>890</v>
      </c>
      <c r="E156" s="48" t="s">
        <v>11</v>
      </c>
      <c r="F156" s="80" t="s">
        <v>10</v>
      </c>
      <c r="G156" s="183">
        <v>45695</v>
      </c>
      <c r="H156" s="5"/>
      <c r="I156" s="100" t="s">
        <v>106</v>
      </c>
      <c r="J156" s="21"/>
      <c r="K156" s="18"/>
      <c r="L156" s="19"/>
      <c r="M156" s="23"/>
      <c r="N156" s="11"/>
      <c r="O156" s="12"/>
      <c r="P156" s="65">
        <v>45700</v>
      </c>
      <c r="Q156" s="89">
        <f t="shared" si="2"/>
        <v>5</v>
      </c>
      <c r="R156" s="101"/>
      <c r="S156" s="66"/>
    </row>
    <row r="157" spans="1:19" ht="43.2" x14ac:dyDescent="0.3">
      <c r="A157">
        <v>155</v>
      </c>
      <c r="B157" s="87" t="s">
        <v>80</v>
      </c>
      <c r="C157" s="91">
        <v>45695</v>
      </c>
      <c r="D157" s="149" t="s">
        <v>891</v>
      </c>
      <c r="E157" s="111" t="s">
        <v>48</v>
      </c>
      <c r="F157" s="125" t="s">
        <v>10</v>
      </c>
      <c r="G157" s="183">
        <v>45695</v>
      </c>
      <c r="H157" s="134"/>
      <c r="I157" s="100" t="s">
        <v>99</v>
      </c>
      <c r="J157" s="154"/>
      <c r="K157" s="155"/>
      <c r="L157" s="156"/>
      <c r="M157" s="157"/>
      <c r="N157" s="158"/>
      <c r="O157" s="159"/>
      <c r="P157" s="65">
        <v>45700</v>
      </c>
      <c r="Q157" s="89">
        <f t="shared" si="2"/>
        <v>5</v>
      </c>
      <c r="R157" s="101"/>
      <c r="S157" s="160" t="s">
        <v>892</v>
      </c>
    </row>
    <row r="158" spans="1:19" ht="43.2" x14ac:dyDescent="0.3">
      <c r="A158">
        <v>156</v>
      </c>
      <c r="B158" s="87" t="s">
        <v>80</v>
      </c>
      <c r="C158" s="91">
        <v>45698</v>
      </c>
      <c r="D158" s="149" t="s">
        <v>893</v>
      </c>
      <c r="E158" s="111" t="s">
        <v>24</v>
      </c>
      <c r="F158" s="127" t="s">
        <v>10</v>
      </c>
      <c r="G158" s="183">
        <v>45698</v>
      </c>
      <c r="H158" s="134"/>
      <c r="I158" s="728" t="s">
        <v>383</v>
      </c>
      <c r="J158" s="21"/>
      <c r="K158" s="18"/>
      <c r="L158" s="19"/>
      <c r="M158" s="23"/>
      <c r="N158" s="11"/>
      <c r="O158" s="12"/>
      <c r="P158" s="65">
        <v>45700</v>
      </c>
      <c r="Q158" s="89">
        <f t="shared" si="2"/>
        <v>2</v>
      </c>
      <c r="R158" s="101"/>
      <c r="S158" s="66"/>
    </row>
    <row r="159" spans="1:19" s="198" customFormat="1" ht="28.8" x14ac:dyDescent="0.3">
      <c r="A159">
        <v>157</v>
      </c>
      <c r="B159" s="87">
        <v>1550</v>
      </c>
      <c r="C159" s="91">
        <v>45699</v>
      </c>
      <c r="D159" s="149" t="s">
        <v>894</v>
      </c>
      <c r="E159" s="144" t="s">
        <v>23</v>
      </c>
      <c r="F159" s="145" t="s">
        <v>6</v>
      </c>
      <c r="G159" s="183">
        <v>45699</v>
      </c>
      <c r="H159" s="146"/>
      <c r="I159" s="100" t="s">
        <v>135</v>
      </c>
      <c r="J159" s="21"/>
      <c r="K159" s="18"/>
      <c r="L159" s="19"/>
      <c r="M159" s="23"/>
      <c r="N159" s="11"/>
      <c r="O159" s="12"/>
      <c r="P159" s="65">
        <v>45700</v>
      </c>
      <c r="Q159" s="89">
        <f t="shared" ref="Q159:Q222" si="3">P159-G159</f>
        <v>1</v>
      </c>
      <c r="R159" s="94"/>
      <c r="S159" s="66"/>
    </row>
    <row r="160" spans="1:19" ht="28.8" x14ac:dyDescent="0.3">
      <c r="A160">
        <v>158</v>
      </c>
      <c r="B160" s="87">
        <v>1550</v>
      </c>
      <c r="C160" s="91">
        <v>45699</v>
      </c>
      <c r="D160" s="149" t="s">
        <v>895</v>
      </c>
      <c r="E160" s="144" t="s">
        <v>23</v>
      </c>
      <c r="F160" s="145" t="s">
        <v>6</v>
      </c>
      <c r="G160" s="183">
        <v>45699</v>
      </c>
      <c r="H160" s="146"/>
      <c r="I160" s="107" t="s">
        <v>135</v>
      </c>
      <c r="J160" s="154"/>
      <c r="K160" s="155"/>
      <c r="L160" s="169"/>
      <c r="M160" s="157"/>
      <c r="N160" s="158"/>
      <c r="O160" s="159"/>
      <c r="P160" s="65">
        <v>45700</v>
      </c>
      <c r="Q160" s="89">
        <f t="shared" si="3"/>
        <v>1</v>
      </c>
      <c r="R160" s="94"/>
      <c r="S160" s="160"/>
    </row>
    <row r="161" spans="1:19" ht="28.8" x14ac:dyDescent="0.3">
      <c r="A161">
        <v>159</v>
      </c>
      <c r="B161" s="87">
        <v>1550</v>
      </c>
      <c r="C161" s="91">
        <v>45699</v>
      </c>
      <c r="D161" s="149" t="s">
        <v>896</v>
      </c>
      <c r="E161" s="48" t="s">
        <v>12</v>
      </c>
      <c r="F161" s="145" t="s">
        <v>4</v>
      </c>
      <c r="G161" s="183">
        <v>45699</v>
      </c>
      <c r="H161" s="146"/>
      <c r="I161" s="107" t="s">
        <v>159</v>
      </c>
      <c r="J161" s="154"/>
      <c r="K161" s="155"/>
      <c r="L161" s="156"/>
      <c r="M161" s="157"/>
      <c r="N161" s="158"/>
      <c r="O161" s="159"/>
      <c r="P161" s="65">
        <v>45700</v>
      </c>
      <c r="Q161" s="89">
        <f t="shared" si="3"/>
        <v>1</v>
      </c>
      <c r="R161" s="94"/>
      <c r="S161" s="160"/>
    </row>
    <row r="162" spans="1:19" ht="43.2" x14ac:dyDescent="0.3">
      <c r="A162">
        <v>160</v>
      </c>
      <c r="B162" s="87">
        <v>1550</v>
      </c>
      <c r="C162" s="91">
        <v>45699</v>
      </c>
      <c r="D162" s="149" t="s">
        <v>897</v>
      </c>
      <c r="E162" s="144" t="s">
        <v>51</v>
      </c>
      <c r="F162" s="145" t="s">
        <v>8</v>
      </c>
      <c r="G162" s="183">
        <v>45699</v>
      </c>
      <c r="H162" s="146"/>
      <c r="I162" s="100" t="s">
        <v>99</v>
      </c>
      <c r="J162" s="154"/>
      <c r="K162" s="155"/>
      <c r="L162" s="156"/>
      <c r="M162" s="157"/>
      <c r="N162" s="158"/>
      <c r="O162" s="159"/>
      <c r="P162" s="65">
        <v>45700</v>
      </c>
      <c r="Q162" s="89">
        <f t="shared" si="3"/>
        <v>1</v>
      </c>
      <c r="R162" s="101" t="s">
        <v>138</v>
      </c>
      <c r="S162" s="160"/>
    </row>
    <row r="163" spans="1:19" ht="43.2" x14ac:dyDescent="0.3">
      <c r="A163">
        <v>161</v>
      </c>
      <c r="B163" s="87">
        <v>1550</v>
      </c>
      <c r="C163" s="91">
        <v>45699</v>
      </c>
      <c r="D163" s="149" t="s">
        <v>898</v>
      </c>
      <c r="E163" s="144" t="s">
        <v>14</v>
      </c>
      <c r="F163" s="145" t="s">
        <v>8</v>
      </c>
      <c r="G163" s="183">
        <v>45699</v>
      </c>
      <c r="H163" s="146"/>
      <c r="I163" s="100" t="s">
        <v>253</v>
      </c>
      <c r="J163" s="154"/>
      <c r="K163" s="155"/>
      <c r="L163" s="156"/>
      <c r="M163" s="157"/>
      <c r="N163" s="158"/>
      <c r="O163" s="159"/>
      <c r="P163" s="65">
        <v>45700</v>
      </c>
      <c r="Q163" s="89">
        <f t="shared" si="3"/>
        <v>1</v>
      </c>
      <c r="R163" s="101" t="s">
        <v>899</v>
      </c>
      <c r="S163" s="160"/>
    </row>
    <row r="164" spans="1:19" ht="28.8" x14ac:dyDescent="0.3">
      <c r="A164">
        <v>162</v>
      </c>
      <c r="B164" s="87">
        <v>1550</v>
      </c>
      <c r="C164" s="91">
        <v>45699</v>
      </c>
      <c r="D164" s="149" t="s">
        <v>900</v>
      </c>
      <c r="E164" s="144" t="s">
        <v>23</v>
      </c>
      <c r="F164" s="145" t="s">
        <v>6</v>
      </c>
      <c r="G164" s="183">
        <v>45699</v>
      </c>
      <c r="H164" s="146"/>
      <c r="I164" s="100" t="s">
        <v>135</v>
      </c>
      <c r="J164" s="154"/>
      <c r="K164" s="155"/>
      <c r="L164" s="169"/>
      <c r="M164" s="157"/>
      <c r="N164" s="158"/>
      <c r="O164" s="159"/>
      <c r="P164" s="65">
        <v>45700</v>
      </c>
      <c r="Q164" s="89">
        <f t="shared" si="3"/>
        <v>1</v>
      </c>
      <c r="R164" s="101"/>
      <c r="S164" s="160"/>
    </row>
    <row r="165" spans="1:19" ht="43.2" x14ac:dyDescent="0.3">
      <c r="A165">
        <v>163</v>
      </c>
      <c r="B165" s="87">
        <v>1550</v>
      </c>
      <c r="C165" s="91">
        <v>45699</v>
      </c>
      <c r="D165" s="149" t="s">
        <v>901</v>
      </c>
      <c r="E165" s="48" t="s">
        <v>23</v>
      </c>
      <c r="F165" s="145" t="s">
        <v>8</v>
      </c>
      <c r="G165" s="183">
        <v>45699</v>
      </c>
      <c r="H165" s="5"/>
      <c r="I165" s="100" t="s">
        <v>135</v>
      </c>
      <c r="J165" s="21"/>
      <c r="K165" s="18"/>
      <c r="L165" s="19"/>
      <c r="M165" s="23"/>
      <c r="N165" s="11"/>
      <c r="O165" s="12"/>
      <c r="P165" s="65">
        <v>45700</v>
      </c>
      <c r="Q165" s="89">
        <f t="shared" si="3"/>
        <v>1</v>
      </c>
      <c r="R165" s="101" t="s">
        <v>190</v>
      </c>
      <c r="S165" s="69"/>
    </row>
    <row r="166" spans="1:19" ht="28.8" x14ac:dyDescent="0.3">
      <c r="A166">
        <v>164</v>
      </c>
      <c r="B166" s="87">
        <v>1550</v>
      </c>
      <c r="C166" s="91">
        <v>45699</v>
      </c>
      <c r="D166" s="149" t="s">
        <v>902</v>
      </c>
      <c r="E166" s="126" t="s">
        <v>23</v>
      </c>
      <c r="F166" s="127" t="s">
        <v>6</v>
      </c>
      <c r="G166" s="183">
        <v>45699</v>
      </c>
      <c r="H166" s="134"/>
      <c r="I166" s="100" t="s">
        <v>135</v>
      </c>
      <c r="J166" s="21"/>
      <c r="K166" s="18"/>
      <c r="L166" s="19"/>
      <c r="M166" s="23"/>
      <c r="N166" s="11"/>
      <c r="O166" s="12"/>
      <c r="P166" s="65">
        <v>45700</v>
      </c>
      <c r="Q166" s="89">
        <f t="shared" si="3"/>
        <v>1</v>
      </c>
      <c r="R166" s="101"/>
      <c r="S166" s="66"/>
    </row>
    <row r="167" spans="1:19" ht="43.2" x14ac:dyDescent="0.3">
      <c r="A167">
        <v>165</v>
      </c>
      <c r="B167" s="87">
        <v>1550</v>
      </c>
      <c r="C167" s="91">
        <v>45699</v>
      </c>
      <c r="D167" s="149" t="s">
        <v>903</v>
      </c>
      <c r="E167" s="144" t="s">
        <v>23</v>
      </c>
      <c r="F167" s="145" t="s">
        <v>8</v>
      </c>
      <c r="G167" s="183">
        <v>45699</v>
      </c>
      <c r="H167" s="146"/>
      <c r="I167" s="100" t="s">
        <v>135</v>
      </c>
      <c r="J167" s="21"/>
      <c r="K167" s="18"/>
      <c r="L167" s="19"/>
      <c r="M167" s="23"/>
      <c r="N167" s="11"/>
      <c r="O167" s="12"/>
      <c r="P167" s="65">
        <v>45700</v>
      </c>
      <c r="Q167" s="89">
        <f t="shared" si="3"/>
        <v>1</v>
      </c>
      <c r="R167" s="101" t="s">
        <v>270</v>
      </c>
      <c r="S167" s="66"/>
    </row>
    <row r="168" spans="1:19" ht="43.2" x14ac:dyDescent="0.3">
      <c r="A168">
        <v>166</v>
      </c>
      <c r="B168" s="87">
        <v>1550</v>
      </c>
      <c r="C168" s="91">
        <v>45699</v>
      </c>
      <c r="D168" s="149" t="s">
        <v>904</v>
      </c>
      <c r="E168" s="144" t="s">
        <v>23</v>
      </c>
      <c r="F168" s="145" t="s">
        <v>8</v>
      </c>
      <c r="G168" s="183">
        <v>45699</v>
      </c>
      <c r="H168" s="146"/>
      <c r="I168" s="100" t="s">
        <v>135</v>
      </c>
      <c r="J168" s="21"/>
      <c r="K168" s="18"/>
      <c r="L168" s="19"/>
      <c r="M168" s="23"/>
      <c r="N168" s="11"/>
      <c r="O168" s="12"/>
      <c r="P168" s="65">
        <v>45700</v>
      </c>
      <c r="Q168" s="89">
        <f t="shared" si="3"/>
        <v>1</v>
      </c>
      <c r="R168" s="101" t="s">
        <v>160</v>
      </c>
      <c r="S168" s="66"/>
    </row>
    <row r="169" spans="1:19" ht="28.8" x14ac:dyDescent="0.3">
      <c r="A169">
        <v>167</v>
      </c>
      <c r="B169" s="87" t="s">
        <v>80</v>
      </c>
      <c r="C169" s="91">
        <v>45699</v>
      </c>
      <c r="D169" s="149" t="s">
        <v>905</v>
      </c>
      <c r="E169" s="48" t="s">
        <v>32</v>
      </c>
      <c r="F169" s="145" t="s">
        <v>10</v>
      </c>
      <c r="G169" s="183">
        <v>45699</v>
      </c>
      <c r="H169" s="5"/>
      <c r="I169" s="100" t="s">
        <v>253</v>
      </c>
      <c r="J169" s="21"/>
      <c r="K169" s="18"/>
      <c r="L169" s="19"/>
      <c r="M169" s="23"/>
      <c r="N169" s="11"/>
      <c r="O169" s="12"/>
      <c r="P169" s="65">
        <v>45700</v>
      </c>
      <c r="Q169" s="89">
        <f t="shared" si="3"/>
        <v>1</v>
      </c>
      <c r="R169" s="101"/>
      <c r="S169" s="66"/>
    </row>
    <row r="170" spans="1:19" ht="28.8" x14ac:dyDescent="0.3">
      <c r="A170">
        <v>168</v>
      </c>
      <c r="B170" s="87" t="s">
        <v>80</v>
      </c>
      <c r="C170" s="91">
        <v>45699</v>
      </c>
      <c r="D170" s="149" t="s">
        <v>906</v>
      </c>
      <c r="E170" s="144" t="s">
        <v>23</v>
      </c>
      <c r="F170" s="145" t="s">
        <v>10</v>
      </c>
      <c r="G170" s="183">
        <v>45699</v>
      </c>
      <c r="H170" s="146"/>
      <c r="I170" s="100" t="s">
        <v>135</v>
      </c>
      <c r="J170" s="21"/>
      <c r="K170" s="18"/>
      <c r="L170" s="19"/>
      <c r="M170" s="23"/>
      <c r="N170" s="11"/>
      <c r="O170" s="12"/>
      <c r="P170" s="65">
        <v>45700</v>
      </c>
      <c r="Q170" s="89">
        <f t="shared" si="3"/>
        <v>1</v>
      </c>
      <c r="R170" s="101"/>
      <c r="S170" s="66"/>
    </row>
    <row r="171" spans="1:19" ht="28.8" x14ac:dyDescent="0.3">
      <c r="A171">
        <v>169</v>
      </c>
      <c r="B171" s="87" t="s">
        <v>80</v>
      </c>
      <c r="C171" s="91">
        <v>45699</v>
      </c>
      <c r="D171" s="149" t="s">
        <v>907</v>
      </c>
      <c r="E171" s="144" t="s">
        <v>23</v>
      </c>
      <c r="F171" s="145" t="s">
        <v>10</v>
      </c>
      <c r="G171" s="183">
        <v>45699</v>
      </c>
      <c r="H171" s="146"/>
      <c r="I171" s="107" t="s">
        <v>135</v>
      </c>
      <c r="J171" s="21"/>
      <c r="K171" s="18"/>
      <c r="L171" s="19"/>
      <c r="M171" s="23"/>
      <c r="N171" s="11"/>
      <c r="O171" s="12"/>
      <c r="P171" s="65">
        <v>45700</v>
      </c>
      <c r="Q171" s="89">
        <f t="shared" si="3"/>
        <v>1</v>
      </c>
      <c r="R171" s="101"/>
      <c r="S171" s="56"/>
    </row>
    <row r="172" spans="1:19" ht="28.8" x14ac:dyDescent="0.3">
      <c r="A172">
        <v>170</v>
      </c>
      <c r="B172" s="87" t="s">
        <v>80</v>
      </c>
      <c r="C172" s="91">
        <v>45699</v>
      </c>
      <c r="D172" s="149" t="s">
        <v>908</v>
      </c>
      <c r="E172" s="144" t="s">
        <v>23</v>
      </c>
      <c r="F172" s="145" t="s">
        <v>10</v>
      </c>
      <c r="G172" s="183">
        <v>45699</v>
      </c>
      <c r="H172" s="146"/>
      <c r="I172" s="100" t="s">
        <v>135</v>
      </c>
      <c r="J172" s="21"/>
      <c r="K172" s="18"/>
      <c r="L172" s="19"/>
      <c r="M172" s="23"/>
      <c r="N172" s="11"/>
      <c r="O172" s="12"/>
      <c r="P172" s="65">
        <v>45700</v>
      </c>
      <c r="Q172" s="89">
        <f t="shared" si="3"/>
        <v>1</v>
      </c>
      <c r="R172" s="101"/>
      <c r="S172" s="66"/>
    </row>
    <row r="173" spans="1:19" ht="28.8" x14ac:dyDescent="0.3">
      <c r="A173">
        <v>171</v>
      </c>
      <c r="B173" s="87" t="s">
        <v>80</v>
      </c>
      <c r="C173" s="91">
        <v>45699</v>
      </c>
      <c r="D173" s="149" t="s">
        <v>909</v>
      </c>
      <c r="E173" s="144" t="s">
        <v>23</v>
      </c>
      <c r="F173" s="145" t="s">
        <v>10</v>
      </c>
      <c r="G173" s="183">
        <v>45699</v>
      </c>
      <c r="H173" s="146"/>
      <c r="I173" s="100" t="s">
        <v>135</v>
      </c>
      <c r="J173" s="21"/>
      <c r="K173" s="18"/>
      <c r="L173" s="19"/>
      <c r="M173" s="23"/>
      <c r="N173" s="11"/>
      <c r="O173" s="12"/>
      <c r="P173" s="65">
        <v>45700</v>
      </c>
      <c r="Q173" s="89">
        <f t="shared" si="3"/>
        <v>1</v>
      </c>
      <c r="R173" s="101"/>
      <c r="S173" s="66"/>
    </row>
    <row r="174" spans="1:19" ht="28.8" x14ac:dyDescent="0.3">
      <c r="A174">
        <v>172</v>
      </c>
      <c r="B174" s="87" t="s">
        <v>80</v>
      </c>
      <c r="C174" s="91">
        <v>45699</v>
      </c>
      <c r="D174" s="98" t="s">
        <v>910</v>
      </c>
      <c r="E174" s="144" t="s">
        <v>23</v>
      </c>
      <c r="F174" s="145" t="s">
        <v>10</v>
      </c>
      <c r="G174" s="183">
        <v>45699</v>
      </c>
      <c r="H174" s="146"/>
      <c r="I174" s="100" t="s">
        <v>135</v>
      </c>
      <c r="J174" s="21"/>
      <c r="K174" s="18"/>
      <c r="L174" s="19"/>
      <c r="M174" s="23"/>
      <c r="N174" s="11"/>
      <c r="O174" s="12"/>
      <c r="P174" s="65">
        <v>45700</v>
      </c>
      <c r="Q174" s="89">
        <f t="shared" si="3"/>
        <v>1</v>
      </c>
      <c r="R174" s="101"/>
      <c r="S174" s="66"/>
    </row>
    <row r="175" spans="1:19" ht="28.8" x14ac:dyDescent="0.3">
      <c r="A175">
        <v>173</v>
      </c>
      <c r="B175" s="87" t="s">
        <v>80</v>
      </c>
      <c r="C175" s="91">
        <v>45699</v>
      </c>
      <c r="D175" s="149" t="s">
        <v>911</v>
      </c>
      <c r="E175" s="144" t="s">
        <v>23</v>
      </c>
      <c r="F175" s="145" t="s">
        <v>10</v>
      </c>
      <c r="G175" s="183">
        <v>45699</v>
      </c>
      <c r="H175" s="146"/>
      <c r="I175" s="100" t="s">
        <v>135</v>
      </c>
      <c r="J175" s="21"/>
      <c r="K175" s="18"/>
      <c r="L175" s="19"/>
      <c r="M175" s="23"/>
      <c r="N175" s="11"/>
      <c r="O175" s="12"/>
      <c r="P175" s="65">
        <v>45700</v>
      </c>
      <c r="Q175" s="89">
        <f t="shared" si="3"/>
        <v>1</v>
      </c>
      <c r="R175" s="101"/>
      <c r="S175" s="66"/>
    </row>
    <row r="176" spans="1:19" ht="43.2" x14ac:dyDescent="0.3">
      <c r="A176">
        <v>174</v>
      </c>
      <c r="B176" s="87">
        <v>1550</v>
      </c>
      <c r="C176" s="91">
        <v>45700</v>
      </c>
      <c r="D176" s="149" t="s">
        <v>912</v>
      </c>
      <c r="E176" s="48" t="s">
        <v>23</v>
      </c>
      <c r="F176" s="80" t="s">
        <v>8</v>
      </c>
      <c r="G176" s="183">
        <v>45700</v>
      </c>
      <c r="H176" s="5"/>
      <c r="I176" s="100" t="s">
        <v>135</v>
      </c>
      <c r="J176" s="21"/>
      <c r="K176" s="18"/>
      <c r="L176" s="19"/>
      <c r="M176" s="23"/>
      <c r="N176" s="11"/>
      <c r="O176" s="12"/>
      <c r="P176" s="65">
        <v>45700</v>
      </c>
      <c r="Q176" s="89">
        <f t="shared" si="3"/>
        <v>0</v>
      </c>
      <c r="R176" s="101" t="s">
        <v>205</v>
      </c>
      <c r="S176" s="66"/>
    </row>
    <row r="177" spans="1:19" ht="43.2" x14ac:dyDescent="0.3">
      <c r="A177">
        <v>175</v>
      </c>
      <c r="B177" s="87">
        <v>1550</v>
      </c>
      <c r="C177" s="91">
        <v>45700</v>
      </c>
      <c r="D177" s="149" t="s">
        <v>913</v>
      </c>
      <c r="E177" s="48" t="s">
        <v>23</v>
      </c>
      <c r="F177" s="80" t="s">
        <v>8</v>
      </c>
      <c r="G177" s="183">
        <v>45700</v>
      </c>
      <c r="H177" s="5"/>
      <c r="I177" s="100" t="s">
        <v>135</v>
      </c>
      <c r="J177" s="21"/>
      <c r="K177" s="18"/>
      <c r="L177" s="19"/>
      <c r="M177" s="23"/>
      <c r="N177" s="11"/>
      <c r="O177" s="12"/>
      <c r="P177" s="65">
        <v>45700</v>
      </c>
      <c r="Q177" s="89">
        <f t="shared" si="3"/>
        <v>0</v>
      </c>
      <c r="R177" s="101" t="s">
        <v>190</v>
      </c>
      <c r="S177" s="66"/>
    </row>
    <row r="178" spans="1:19" ht="72" x14ac:dyDescent="0.3">
      <c r="A178">
        <v>176</v>
      </c>
      <c r="B178" s="152">
        <v>1550</v>
      </c>
      <c r="C178" s="153">
        <v>45700</v>
      </c>
      <c r="D178" s="149" t="s">
        <v>914</v>
      </c>
      <c r="E178" s="144" t="s">
        <v>7</v>
      </c>
      <c r="F178" s="145" t="s">
        <v>6</v>
      </c>
      <c r="G178" s="183">
        <v>45700</v>
      </c>
      <c r="H178" s="146"/>
      <c r="I178" s="100" t="s">
        <v>125</v>
      </c>
      <c r="J178" s="154"/>
      <c r="K178" s="155"/>
      <c r="L178" s="156"/>
      <c r="M178" s="157"/>
      <c r="N178" s="158"/>
      <c r="O178" s="159"/>
      <c r="P178" s="85">
        <v>45700</v>
      </c>
      <c r="Q178" s="89">
        <f t="shared" si="3"/>
        <v>0</v>
      </c>
      <c r="R178" s="101"/>
      <c r="S178" s="160"/>
    </row>
    <row r="179" spans="1:19" ht="43.2" x14ac:dyDescent="0.3">
      <c r="A179">
        <v>177</v>
      </c>
      <c r="B179" s="87">
        <v>1550</v>
      </c>
      <c r="C179" s="91">
        <v>45700</v>
      </c>
      <c r="D179" s="149" t="s">
        <v>915</v>
      </c>
      <c r="E179" s="48" t="s">
        <v>23</v>
      </c>
      <c r="F179" s="80" t="s">
        <v>8</v>
      </c>
      <c r="G179" s="183">
        <v>45700</v>
      </c>
      <c r="H179" s="5"/>
      <c r="I179" s="100" t="s">
        <v>135</v>
      </c>
      <c r="J179" s="21"/>
      <c r="K179" s="18"/>
      <c r="L179" s="19"/>
      <c r="M179" s="23"/>
      <c r="N179" s="11"/>
      <c r="O179" s="12"/>
      <c r="P179" s="65">
        <v>45700</v>
      </c>
      <c r="Q179" s="89">
        <f t="shared" si="3"/>
        <v>0</v>
      </c>
      <c r="R179" s="101" t="s">
        <v>205</v>
      </c>
      <c r="S179" s="66"/>
    </row>
    <row r="180" spans="1:19" ht="43.2" x14ac:dyDescent="0.3">
      <c r="A180">
        <v>178</v>
      </c>
      <c r="B180" s="87">
        <v>1550</v>
      </c>
      <c r="C180" s="103">
        <v>45700</v>
      </c>
      <c r="D180" s="98" t="s">
        <v>916</v>
      </c>
      <c r="E180" s="144" t="s">
        <v>23</v>
      </c>
      <c r="F180" s="145" t="s">
        <v>8</v>
      </c>
      <c r="G180" s="183">
        <v>45700</v>
      </c>
      <c r="H180" s="146"/>
      <c r="I180" s="100" t="s">
        <v>135</v>
      </c>
      <c r="J180" s="21"/>
      <c r="K180" s="18"/>
      <c r="L180" s="19"/>
      <c r="M180" s="23"/>
      <c r="N180" s="11"/>
      <c r="O180" s="12"/>
      <c r="P180" s="65">
        <v>45700</v>
      </c>
      <c r="Q180" s="89">
        <f t="shared" si="3"/>
        <v>0</v>
      </c>
      <c r="R180" s="101" t="s">
        <v>190</v>
      </c>
      <c r="S180" s="66"/>
    </row>
    <row r="181" spans="1:19" ht="43.2" x14ac:dyDescent="0.3">
      <c r="A181">
        <v>179</v>
      </c>
      <c r="B181" s="87" t="s">
        <v>80</v>
      </c>
      <c r="C181" s="91">
        <v>45700</v>
      </c>
      <c r="D181" s="149" t="s">
        <v>917</v>
      </c>
      <c r="E181" s="48" t="s">
        <v>51</v>
      </c>
      <c r="F181" s="80" t="s">
        <v>10</v>
      </c>
      <c r="G181" s="183">
        <v>45700</v>
      </c>
      <c r="H181" s="5"/>
      <c r="I181" s="100" t="s">
        <v>99</v>
      </c>
      <c r="J181" s="154"/>
      <c r="K181" s="155"/>
      <c r="L181" s="156"/>
      <c r="M181" s="157"/>
      <c r="N181" s="158"/>
      <c r="O181" s="159"/>
      <c r="P181" s="65">
        <v>45700</v>
      </c>
      <c r="Q181" s="89">
        <f t="shared" si="3"/>
        <v>0</v>
      </c>
      <c r="R181" s="101"/>
      <c r="S181" s="160"/>
    </row>
    <row r="182" spans="1:19" ht="43.2" x14ac:dyDescent="0.3">
      <c r="A182">
        <v>180</v>
      </c>
      <c r="B182" s="87" t="s">
        <v>80</v>
      </c>
      <c r="C182" s="91">
        <v>45700</v>
      </c>
      <c r="D182" s="149" t="s">
        <v>918</v>
      </c>
      <c r="E182" s="48" t="s">
        <v>51</v>
      </c>
      <c r="F182" s="80" t="s">
        <v>10</v>
      </c>
      <c r="G182" s="183">
        <v>45700</v>
      </c>
      <c r="H182" s="5"/>
      <c r="I182" s="100" t="s">
        <v>99</v>
      </c>
      <c r="J182" s="154"/>
      <c r="K182" s="155"/>
      <c r="L182" s="156"/>
      <c r="M182" s="157"/>
      <c r="N182" s="158"/>
      <c r="O182" s="159"/>
      <c r="P182" s="65">
        <v>45700</v>
      </c>
      <c r="Q182" s="89">
        <f t="shared" si="3"/>
        <v>0</v>
      </c>
      <c r="R182" s="101"/>
      <c r="S182" s="160"/>
    </row>
    <row r="183" spans="1:19" ht="43.2" x14ac:dyDescent="0.3">
      <c r="A183">
        <v>181</v>
      </c>
      <c r="B183" s="87" t="s">
        <v>80</v>
      </c>
      <c r="C183" s="91">
        <v>45700</v>
      </c>
      <c r="D183" s="149" t="s">
        <v>919</v>
      </c>
      <c r="E183" s="48" t="s">
        <v>51</v>
      </c>
      <c r="F183" s="80" t="s">
        <v>10</v>
      </c>
      <c r="G183" s="183">
        <v>45700</v>
      </c>
      <c r="H183" s="5"/>
      <c r="I183" s="100" t="s">
        <v>99</v>
      </c>
      <c r="J183" s="154"/>
      <c r="K183" s="155"/>
      <c r="L183" s="156"/>
      <c r="M183" s="157"/>
      <c r="N183" s="158"/>
      <c r="O183" s="159"/>
      <c r="P183" s="65">
        <v>45700</v>
      </c>
      <c r="Q183" s="89">
        <f t="shared" si="3"/>
        <v>0</v>
      </c>
      <c r="R183" s="101"/>
      <c r="S183" s="160"/>
    </row>
    <row r="184" spans="1:19" ht="43.2" x14ac:dyDescent="0.3">
      <c r="A184">
        <v>182</v>
      </c>
      <c r="B184" s="87" t="s">
        <v>80</v>
      </c>
      <c r="C184" s="91">
        <v>45700</v>
      </c>
      <c r="D184" s="149" t="s">
        <v>920</v>
      </c>
      <c r="E184" s="48" t="s">
        <v>49</v>
      </c>
      <c r="F184" s="80" t="s">
        <v>10</v>
      </c>
      <c r="G184" s="183">
        <v>45700</v>
      </c>
      <c r="H184" s="5"/>
      <c r="I184" s="100" t="s">
        <v>266</v>
      </c>
      <c r="J184" s="154"/>
      <c r="K184" s="155"/>
      <c r="L184" s="156"/>
      <c r="M184" s="157"/>
      <c r="N184" s="158"/>
      <c r="O184" s="159"/>
      <c r="P184" s="65">
        <v>45700</v>
      </c>
      <c r="Q184" s="89">
        <f t="shared" si="3"/>
        <v>0</v>
      </c>
      <c r="R184" s="101"/>
      <c r="S184" s="160"/>
    </row>
    <row r="185" spans="1:19" x14ac:dyDescent="0.3">
      <c r="A185">
        <v>183</v>
      </c>
      <c r="B185" s="87">
        <v>1550</v>
      </c>
      <c r="C185" s="91">
        <v>45693</v>
      </c>
      <c r="D185" s="98" t="s">
        <v>921</v>
      </c>
      <c r="E185" s="48" t="s">
        <v>24</v>
      </c>
      <c r="F185" s="80" t="s">
        <v>4</v>
      </c>
      <c r="G185" s="183">
        <v>45693</v>
      </c>
      <c r="H185" s="5"/>
      <c r="I185" s="100" t="s">
        <v>129</v>
      </c>
      <c r="J185" s="154"/>
      <c r="K185" s="155"/>
      <c r="L185" s="156"/>
      <c r="M185" s="157"/>
      <c r="N185" s="158"/>
      <c r="O185" s="159"/>
      <c r="P185" s="65">
        <v>45701</v>
      </c>
      <c r="Q185" s="89">
        <f t="shared" si="3"/>
        <v>8</v>
      </c>
      <c r="R185" s="101"/>
      <c r="S185" s="160"/>
    </row>
    <row r="186" spans="1:19" ht="129.6" x14ac:dyDescent="0.3">
      <c r="A186">
        <v>184</v>
      </c>
      <c r="B186" s="152" t="s">
        <v>80</v>
      </c>
      <c r="C186" s="153">
        <v>45694</v>
      </c>
      <c r="D186" s="149" t="s">
        <v>922</v>
      </c>
      <c r="E186" s="48" t="s">
        <v>1</v>
      </c>
      <c r="F186" s="80" t="s">
        <v>10</v>
      </c>
      <c r="G186" s="183">
        <v>45694</v>
      </c>
      <c r="H186" s="146"/>
      <c r="I186" s="100" t="s">
        <v>125</v>
      </c>
      <c r="J186" s="154"/>
      <c r="K186" s="155"/>
      <c r="L186" s="156"/>
      <c r="M186" s="157"/>
      <c r="N186" s="158"/>
      <c r="O186" s="159"/>
      <c r="P186" s="65">
        <v>45701</v>
      </c>
      <c r="Q186" s="89">
        <f t="shared" si="3"/>
        <v>7</v>
      </c>
      <c r="R186" s="101"/>
      <c r="S186" s="160"/>
    </row>
    <row r="187" spans="1:19" ht="43.2" x14ac:dyDescent="0.3">
      <c r="A187">
        <v>185</v>
      </c>
      <c r="B187" s="87">
        <v>1550</v>
      </c>
      <c r="C187" s="91">
        <v>45700</v>
      </c>
      <c r="D187" s="149" t="s">
        <v>923</v>
      </c>
      <c r="E187" s="48" t="s">
        <v>51</v>
      </c>
      <c r="F187" s="80" t="s">
        <v>6</v>
      </c>
      <c r="G187" s="183">
        <v>45700</v>
      </c>
      <c r="H187" s="5"/>
      <c r="I187" s="100" t="s">
        <v>99</v>
      </c>
      <c r="J187" s="21"/>
      <c r="K187" s="18"/>
      <c r="L187" s="19"/>
      <c r="M187" s="23"/>
      <c r="N187" s="11"/>
      <c r="O187" s="12"/>
      <c r="P187" s="65">
        <v>45701</v>
      </c>
      <c r="Q187" s="89">
        <f t="shared" si="3"/>
        <v>1</v>
      </c>
      <c r="R187" s="101"/>
      <c r="S187" s="66"/>
    </row>
    <row r="188" spans="1:19" x14ac:dyDescent="0.3">
      <c r="A188">
        <v>186</v>
      </c>
      <c r="B188" s="152">
        <v>1550</v>
      </c>
      <c r="C188" s="208">
        <v>45700</v>
      </c>
      <c r="D188" s="149" t="s">
        <v>924</v>
      </c>
      <c r="E188" s="144" t="s">
        <v>23</v>
      </c>
      <c r="F188" s="145" t="s">
        <v>6</v>
      </c>
      <c r="G188" s="183">
        <v>45700</v>
      </c>
      <c r="H188" s="146"/>
      <c r="I188" s="100" t="s">
        <v>135</v>
      </c>
      <c r="J188" s="154"/>
      <c r="K188" s="155"/>
      <c r="L188" s="156"/>
      <c r="M188" s="157"/>
      <c r="N188" s="158"/>
      <c r="O188" s="159"/>
      <c r="P188" s="85">
        <v>45701</v>
      </c>
      <c r="Q188" s="89">
        <f t="shared" si="3"/>
        <v>1</v>
      </c>
      <c r="R188" s="101"/>
      <c r="S188" s="160"/>
    </row>
    <row r="189" spans="1:19" ht="43.2" x14ac:dyDescent="0.3">
      <c r="A189">
        <v>187</v>
      </c>
      <c r="B189" s="152">
        <v>1550</v>
      </c>
      <c r="C189" s="153">
        <v>45700</v>
      </c>
      <c r="D189" s="149" t="s">
        <v>925</v>
      </c>
      <c r="E189" s="48" t="s">
        <v>51</v>
      </c>
      <c r="F189" s="80" t="s">
        <v>6</v>
      </c>
      <c r="G189" s="183">
        <v>45700</v>
      </c>
      <c r="H189" s="5"/>
      <c r="I189" s="100" t="s">
        <v>99</v>
      </c>
      <c r="J189" s="21"/>
      <c r="K189" s="18"/>
      <c r="L189" s="19"/>
      <c r="M189" s="23"/>
      <c r="N189" s="11"/>
      <c r="O189" s="12"/>
      <c r="P189" s="65">
        <v>45701</v>
      </c>
      <c r="Q189" s="89">
        <f t="shared" si="3"/>
        <v>1</v>
      </c>
      <c r="R189" s="101"/>
      <c r="S189" s="160"/>
    </row>
    <row r="190" spans="1:19" ht="28.8" x14ac:dyDescent="0.3">
      <c r="A190">
        <v>188</v>
      </c>
      <c r="B190" s="152">
        <v>1550</v>
      </c>
      <c r="C190" s="153">
        <v>45700</v>
      </c>
      <c r="D190" s="149" t="s">
        <v>926</v>
      </c>
      <c r="E190" s="48" t="s">
        <v>1</v>
      </c>
      <c r="F190" s="145" t="s">
        <v>4</v>
      </c>
      <c r="G190" s="183">
        <v>45700</v>
      </c>
      <c r="H190" s="5"/>
      <c r="I190" s="100" t="s">
        <v>174</v>
      </c>
      <c r="J190" s="21"/>
      <c r="K190" s="18"/>
      <c r="L190" s="19"/>
      <c r="M190" s="23"/>
      <c r="N190" s="11"/>
      <c r="O190" s="12"/>
      <c r="P190" s="65">
        <v>45701</v>
      </c>
      <c r="Q190" s="89">
        <f t="shared" si="3"/>
        <v>1</v>
      </c>
      <c r="R190" s="101"/>
      <c r="S190" s="66"/>
    </row>
    <row r="191" spans="1:19" ht="43.2" x14ac:dyDescent="0.3">
      <c r="A191">
        <v>189</v>
      </c>
      <c r="B191" s="87">
        <v>1550</v>
      </c>
      <c r="C191" s="91">
        <v>45700</v>
      </c>
      <c r="D191" s="149" t="s">
        <v>927</v>
      </c>
      <c r="E191" s="144" t="s">
        <v>51</v>
      </c>
      <c r="F191" s="145" t="s">
        <v>8</v>
      </c>
      <c r="G191" s="183">
        <v>45700</v>
      </c>
      <c r="H191" s="146"/>
      <c r="I191" s="100" t="s">
        <v>99</v>
      </c>
      <c r="J191" s="21"/>
      <c r="K191" s="18"/>
      <c r="L191" s="19"/>
      <c r="M191" s="23"/>
      <c r="N191" s="11"/>
      <c r="O191" s="12"/>
      <c r="P191" s="65">
        <v>45701</v>
      </c>
      <c r="Q191" s="89">
        <f t="shared" si="3"/>
        <v>1</v>
      </c>
      <c r="R191" s="101" t="s">
        <v>190</v>
      </c>
      <c r="S191" s="66"/>
    </row>
    <row r="192" spans="1:19" x14ac:dyDescent="0.3">
      <c r="A192">
        <v>190</v>
      </c>
      <c r="B192" s="87">
        <v>1550</v>
      </c>
      <c r="C192" s="91">
        <v>45700</v>
      </c>
      <c r="D192" s="209" t="s">
        <v>928</v>
      </c>
      <c r="E192" s="48" t="s">
        <v>23</v>
      </c>
      <c r="F192" s="80" t="s">
        <v>4</v>
      </c>
      <c r="G192" s="183">
        <v>45700</v>
      </c>
      <c r="H192" s="5"/>
      <c r="I192" s="100" t="s">
        <v>135</v>
      </c>
      <c r="J192" s="21"/>
      <c r="K192" s="18"/>
      <c r="L192" s="19"/>
      <c r="M192" s="23"/>
      <c r="N192" s="11"/>
      <c r="O192" s="12"/>
      <c r="P192" s="65">
        <v>45701</v>
      </c>
      <c r="Q192" s="89">
        <f t="shared" si="3"/>
        <v>1</v>
      </c>
      <c r="R192" s="101"/>
      <c r="S192" s="66"/>
    </row>
    <row r="193" spans="1:19" ht="28.8" x14ac:dyDescent="0.3">
      <c r="A193">
        <v>191</v>
      </c>
      <c r="B193" s="87">
        <v>1550</v>
      </c>
      <c r="C193" s="91">
        <v>45700</v>
      </c>
      <c r="D193" s="98" t="s">
        <v>929</v>
      </c>
      <c r="E193" s="48" t="s">
        <v>1</v>
      </c>
      <c r="F193" s="80" t="s">
        <v>8</v>
      </c>
      <c r="G193" s="183">
        <v>45700</v>
      </c>
      <c r="H193" s="5"/>
      <c r="I193" s="100" t="s">
        <v>125</v>
      </c>
      <c r="J193" s="21"/>
      <c r="K193" s="18"/>
      <c r="L193" s="19"/>
      <c r="M193" s="23"/>
      <c r="N193" s="11"/>
      <c r="O193" s="12"/>
      <c r="P193" s="65">
        <v>45701</v>
      </c>
      <c r="Q193" s="89">
        <f t="shared" si="3"/>
        <v>1</v>
      </c>
      <c r="R193" s="101" t="s">
        <v>151</v>
      </c>
      <c r="S193" s="66"/>
    </row>
    <row r="194" spans="1:19" ht="28.8" x14ac:dyDescent="0.3">
      <c r="A194">
        <v>192</v>
      </c>
      <c r="B194" s="87">
        <v>1550</v>
      </c>
      <c r="C194" s="91">
        <v>45700</v>
      </c>
      <c r="D194" s="149" t="s">
        <v>930</v>
      </c>
      <c r="E194" s="144" t="s">
        <v>1</v>
      </c>
      <c r="F194" s="145" t="s">
        <v>6</v>
      </c>
      <c r="G194" s="183">
        <v>45700</v>
      </c>
      <c r="H194" s="146"/>
      <c r="I194" s="100" t="s">
        <v>125</v>
      </c>
      <c r="J194" s="21"/>
      <c r="K194" s="18"/>
      <c r="L194" s="19"/>
      <c r="M194" s="23"/>
      <c r="N194" s="11"/>
      <c r="O194" s="12"/>
      <c r="P194" s="65">
        <v>45701</v>
      </c>
      <c r="Q194" s="89">
        <f t="shared" si="3"/>
        <v>1</v>
      </c>
      <c r="R194" s="101"/>
      <c r="S194" s="66"/>
    </row>
    <row r="195" spans="1:19" ht="115.2" x14ac:dyDescent="0.3">
      <c r="A195">
        <v>193</v>
      </c>
      <c r="B195" s="87" t="s">
        <v>80</v>
      </c>
      <c r="C195" s="91">
        <v>45700</v>
      </c>
      <c r="D195" s="149" t="s">
        <v>931</v>
      </c>
      <c r="E195" s="144" t="s">
        <v>1</v>
      </c>
      <c r="F195" s="145" t="s">
        <v>10</v>
      </c>
      <c r="G195" s="183">
        <v>45700</v>
      </c>
      <c r="H195" s="146"/>
      <c r="I195" s="100" t="s">
        <v>125</v>
      </c>
      <c r="J195" s="21"/>
      <c r="K195" s="18"/>
      <c r="L195" s="19"/>
      <c r="M195" s="23"/>
      <c r="N195" s="11"/>
      <c r="O195" s="12"/>
      <c r="P195" s="65">
        <v>45701</v>
      </c>
      <c r="Q195" s="89">
        <f t="shared" si="3"/>
        <v>1</v>
      </c>
      <c r="R195" s="101"/>
      <c r="S195" s="66"/>
    </row>
    <row r="196" spans="1:19" ht="72" x14ac:dyDescent="0.3">
      <c r="A196">
        <v>194</v>
      </c>
      <c r="B196" s="87" t="s">
        <v>80</v>
      </c>
      <c r="C196" s="91">
        <v>45700</v>
      </c>
      <c r="D196" s="149" t="s">
        <v>932</v>
      </c>
      <c r="E196" s="144" t="s">
        <v>24</v>
      </c>
      <c r="F196" s="145" t="s">
        <v>10</v>
      </c>
      <c r="G196" s="183">
        <v>45700</v>
      </c>
      <c r="H196" s="146"/>
      <c r="I196" s="728" t="s">
        <v>383</v>
      </c>
      <c r="J196" s="21"/>
      <c r="K196" s="18"/>
      <c r="L196" s="19"/>
      <c r="M196" s="23"/>
      <c r="N196" s="11"/>
      <c r="O196" s="12"/>
      <c r="P196" s="65">
        <v>45701</v>
      </c>
      <c r="Q196" s="89">
        <f t="shared" si="3"/>
        <v>1</v>
      </c>
      <c r="R196" s="101"/>
      <c r="S196" s="66"/>
    </row>
    <row r="197" spans="1:19" ht="28.8" x14ac:dyDescent="0.3">
      <c r="A197">
        <v>195</v>
      </c>
      <c r="B197" s="87" t="s">
        <v>80</v>
      </c>
      <c r="C197" s="91">
        <v>45700</v>
      </c>
      <c r="D197" s="98" t="s">
        <v>933</v>
      </c>
      <c r="E197" s="144" t="s">
        <v>23</v>
      </c>
      <c r="F197" s="145" t="s">
        <v>10</v>
      </c>
      <c r="G197" s="183">
        <v>45700</v>
      </c>
      <c r="H197" s="146"/>
      <c r="I197" s="100" t="s">
        <v>135</v>
      </c>
      <c r="J197" s="154"/>
      <c r="K197" s="155"/>
      <c r="L197" s="156"/>
      <c r="M197" s="157"/>
      <c r="N197" s="158"/>
      <c r="O197" s="159"/>
      <c r="P197" s="65">
        <v>45701</v>
      </c>
      <c r="Q197" s="89">
        <f t="shared" si="3"/>
        <v>1</v>
      </c>
      <c r="R197" s="101"/>
      <c r="S197" s="160"/>
    </row>
    <row r="198" spans="1:19" ht="28.8" x14ac:dyDescent="0.3">
      <c r="A198">
        <v>196</v>
      </c>
      <c r="B198" s="87" t="s">
        <v>80</v>
      </c>
      <c r="C198" s="91">
        <v>45700</v>
      </c>
      <c r="D198" s="149" t="s">
        <v>934</v>
      </c>
      <c r="E198" s="144" t="s">
        <v>23</v>
      </c>
      <c r="F198" s="145" t="s">
        <v>10</v>
      </c>
      <c r="G198" s="183">
        <v>45700</v>
      </c>
      <c r="H198" s="146"/>
      <c r="I198" s="100" t="s">
        <v>135</v>
      </c>
      <c r="J198" s="226"/>
      <c r="K198" s="164"/>
      <c r="L198" s="228"/>
      <c r="M198" s="157"/>
      <c r="N198" s="158"/>
      <c r="O198" s="159"/>
      <c r="P198" s="65">
        <v>45701</v>
      </c>
      <c r="Q198" s="89">
        <f t="shared" si="3"/>
        <v>1</v>
      </c>
      <c r="R198" s="101"/>
      <c r="S198" s="160"/>
    </row>
    <row r="199" spans="1:19" ht="28.8" x14ac:dyDescent="0.3">
      <c r="A199">
        <v>197</v>
      </c>
      <c r="B199" s="87" t="s">
        <v>80</v>
      </c>
      <c r="C199" s="91">
        <v>45700</v>
      </c>
      <c r="D199" s="98" t="s">
        <v>935</v>
      </c>
      <c r="E199" s="144" t="s">
        <v>23</v>
      </c>
      <c r="F199" s="145" t="s">
        <v>10</v>
      </c>
      <c r="G199" s="183">
        <v>45700</v>
      </c>
      <c r="H199" s="146"/>
      <c r="I199" s="100" t="s">
        <v>135</v>
      </c>
      <c r="J199" s="154"/>
      <c r="K199" s="155"/>
      <c r="L199" s="156"/>
      <c r="M199" s="157"/>
      <c r="N199" s="158"/>
      <c r="O199" s="159"/>
      <c r="P199" s="65">
        <v>45701</v>
      </c>
      <c r="Q199" s="89">
        <f t="shared" si="3"/>
        <v>1</v>
      </c>
      <c r="R199" s="101"/>
      <c r="S199" s="160"/>
    </row>
    <row r="200" spans="1:19" ht="28.8" x14ac:dyDescent="0.3">
      <c r="A200">
        <v>198</v>
      </c>
      <c r="B200" s="87" t="s">
        <v>80</v>
      </c>
      <c r="C200" s="91">
        <v>45700</v>
      </c>
      <c r="D200" s="98" t="s">
        <v>936</v>
      </c>
      <c r="E200" s="162" t="s">
        <v>23</v>
      </c>
      <c r="F200" s="145" t="s">
        <v>10</v>
      </c>
      <c r="G200" s="183">
        <v>45700</v>
      </c>
      <c r="H200" s="146"/>
      <c r="I200" s="100" t="s">
        <v>135</v>
      </c>
      <c r="J200" s="154"/>
      <c r="K200" s="155"/>
      <c r="L200" s="156"/>
      <c r="M200" s="157"/>
      <c r="N200" s="158"/>
      <c r="O200" s="159"/>
      <c r="P200" s="65">
        <v>45701</v>
      </c>
      <c r="Q200" s="89">
        <f t="shared" si="3"/>
        <v>1</v>
      </c>
      <c r="R200" s="101"/>
      <c r="S200" s="160"/>
    </row>
    <row r="201" spans="1:19" ht="115.2" x14ac:dyDescent="0.3">
      <c r="A201">
        <v>199</v>
      </c>
      <c r="B201" s="87" t="s">
        <v>80</v>
      </c>
      <c r="C201" s="91">
        <v>45700</v>
      </c>
      <c r="D201" s="149" t="s">
        <v>937</v>
      </c>
      <c r="E201" s="144" t="s">
        <v>1</v>
      </c>
      <c r="F201" s="145" t="s">
        <v>10</v>
      </c>
      <c r="G201" s="183">
        <v>45700</v>
      </c>
      <c r="H201" s="146"/>
      <c r="I201" s="107" t="s">
        <v>129</v>
      </c>
      <c r="J201" s="154"/>
      <c r="K201" s="155"/>
      <c r="L201" s="156"/>
      <c r="M201" s="157"/>
      <c r="N201" s="158"/>
      <c r="O201" s="159"/>
      <c r="P201" s="65">
        <v>45701</v>
      </c>
      <c r="Q201" s="89">
        <f t="shared" si="3"/>
        <v>1</v>
      </c>
      <c r="R201" s="101"/>
      <c r="S201" s="160"/>
    </row>
    <row r="202" spans="1:19" ht="28.8" x14ac:dyDescent="0.3">
      <c r="A202">
        <v>200</v>
      </c>
      <c r="B202" s="87" t="s">
        <v>80</v>
      </c>
      <c r="C202" s="91">
        <v>45700</v>
      </c>
      <c r="D202" s="149" t="s">
        <v>938</v>
      </c>
      <c r="E202" s="144" t="s">
        <v>23</v>
      </c>
      <c r="F202" s="145" t="s">
        <v>10</v>
      </c>
      <c r="G202" s="183">
        <v>45700</v>
      </c>
      <c r="H202" s="146"/>
      <c r="I202" s="107" t="s">
        <v>135</v>
      </c>
      <c r="J202" s="154"/>
      <c r="K202" s="155"/>
      <c r="L202" s="156"/>
      <c r="M202" s="157"/>
      <c r="N202" s="158"/>
      <c r="O202" s="159"/>
      <c r="P202" s="65">
        <v>45701</v>
      </c>
      <c r="Q202" s="89">
        <f t="shared" si="3"/>
        <v>1</v>
      </c>
      <c r="R202" s="101"/>
      <c r="S202" s="160"/>
    </row>
    <row r="203" spans="1:19" ht="28.8" x14ac:dyDescent="0.3">
      <c r="A203">
        <v>201</v>
      </c>
      <c r="B203" s="152">
        <v>1550</v>
      </c>
      <c r="C203" s="153">
        <v>45701</v>
      </c>
      <c r="D203" s="149" t="s">
        <v>939</v>
      </c>
      <c r="E203" s="144" t="s">
        <v>23</v>
      </c>
      <c r="F203" s="145" t="s">
        <v>6</v>
      </c>
      <c r="G203" s="183">
        <v>45701</v>
      </c>
      <c r="H203" s="146"/>
      <c r="I203" s="100" t="s">
        <v>135</v>
      </c>
      <c r="J203" s="154"/>
      <c r="K203" s="155"/>
      <c r="L203" s="156"/>
      <c r="M203" s="157"/>
      <c r="N203" s="158"/>
      <c r="O203" s="159"/>
      <c r="P203" s="85">
        <v>45701</v>
      </c>
      <c r="Q203" s="89">
        <f t="shared" si="3"/>
        <v>0</v>
      </c>
      <c r="R203" s="101"/>
      <c r="S203" s="160"/>
    </row>
    <row r="204" spans="1:19" ht="43.2" x14ac:dyDescent="0.3">
      <c r="A204">
        <v>202</v>
      </c>
      <c r="B204" s="87">
        <v>1550</v>
      </c>
      <c r="C204" s="91">
        <v>45701</v>
      </c>
      <c r="D204" s="149" t="s">
        <v>940</v>
      </c>
      <c r="E204" s="48" t="s">
        <v>49</v>
      </c>
      <c r="F204" s="80" t="s">
        <v>6</v>
      </c>
      <c r="G204" s="183">
        <v>45701</v>
      </c>
      <c r="H204" s="5"/>
      <c r="I204" s="100" t="s">
        <v>266</v>
      </c>
      <c r="J204" s="21"/>
      <c r="K204" s="18"/>
      <c r="L204" s="19"/>
      <c r="M204" s="23"/>
      <c r="N204" s="11"/>
      <c r="O204" s="12"/>
      <c r="P204" s="65">
        <v>45701</v>
      </c>
      <c r="Q204" s="89">
        <f t="shared" si="3"/>
        <v>0</v>
      </c>
      <c r="R204" s="101"/>
      <c r="S204" s="66"/>
    </row>
    <row r="205" spans="1:19" ht="28.8" x14ac:dyDescent="0.3">
      <c r="A205">
        <v>203</v>
      </c>
      <c r="B205" s="87" t="s">
        <v>80</v>
      </c>
      <c r="C205" s="91">
        <v>45701</v>
      </c>
      <c r="D205" s="149" t="s">
        <v>941</v>
      </c>
      <c r="E205" s="48" t="s">
        <v>23</v>
      </c>
      <c r="F205" s="80" t="s">
        <v>10</v>
      </c>
      <c r="G205" s="183">
        <v>45701</v>
      </c>
      <c r="H205" s="5"/>
      <c r="I205" s="100" t="s">
        <v>135</v>
      </c>
      <c r="J205" s="21"/>
      <c r="K205" s="18"/>
      <c r="L205" s="19"/>
      <c r="M205" s="23"/>
      <c r="N205" s="11"/>
      <c r="O205" s="12"/>
      <c r="P205" s="65">
        <v>45701</v>
      </c>
      <c r="Q205" s="89">
        <f t="shared" si="3"/>
        <v>0</v>
      </c>
      <c r="R205" s="101"/>
      <c r="S205" s="66"/>
    </row>
    <row r="206" spans="1:19" ht="28.8" x14ac:dyDescent="0.3">
      <c r="A206">
        <v>204</v>
      </c>
      <c r="B206" s="87" t="s">
        <v>80</v>
      </c>
      <c r="C206" s="91">
        <v>45701</v>
      </c>
      <c r="D206" s="149" t="s">
        <v>942</v>
      </c>
      <c r="E206" s="48" t="s">
        <v>23</v>
      </c>
      <c r="F206" s="80" t="s">
        <v>10</v>
      </c>
      <c r="G206" s="183">
        <v>45701</v>
      </c>
      <c r="H206" s="5"/>
      <c r="I206" s="100" t="s">
        <v>135</v>
      </c>
      <c r="J206" s="21"/>
      <c r="K206" s="18"/>
      <c r="L206" s="19"/>
      <c r="M206" s="23"/>
      <c r="N206" s="11"/>
      <c r="O206" s="12"/>
      <c r="P206" s="85">
        <v>45701</v>
      </c>
      <c r="Q206" s="89">
        <f t="shared" si="3"/>
        <v>0</v>
      </c>
      <c r="R206" s="101"/>
      <c r="S206" s="66"/>
    </row>
    <row r="207" spans="1:19" ht="43.2" x14ac:dyDescent="0.3">
      <c r="A207">
        <v>205</v>
      </c>
      <c r="B207" s="87">
        <v>1550</v>
      </c>
      <c r="C207" s="91">
        <v>45692</v>
      </c>
      <c r="D207" s="149" t="s">
        <v>943</v>
      </c>
      <c r="E207" s="48" t="s">
        <v>25</v>
      </c>
      <c r="F207" s="80" t="s">
        <v>4</v>
      </c>
      <c r="G207" s="183">
        <v>45692</v>
      </c>
      <c r="H207" s="5">
        <v>10000259682</v>
      </c>
      <c r="I207" s="100" t="s">
        <v>135</v>
      </c>
      <c r="J207" s="21"/>
      <c r="K207" s="18"/>
      <c r="L207" s="19"/>
      <c r="M207" s="23"/>
      <c r="N207" s="11"/>
      <c r="O207" s="12"/>
      <c r="P207" s="65">
        <v>45702</v>
      </c>
      <c r="Q207" s="89">
        <f t="shared" si="3"/>
        <v>10</v>
      </c>
      <c r="R207" s="101"/>
      <c r="S207" s="66"/>
    </row>
    <row r="208" spans="1:19" ht="43.2" x14ac:dyDescent="0.3">
      <c r="A208">
        <v>206</v>
      </c>
      <c r="B208" s="87" t="s">
        <v>80</v>
      </c>
      <c r="C208" s="91">
        <v>45695</v>
      </c>
      <c r="D208" s="149" t="s">
        <v>944</v>
      </c>
      <c r="E208" s="144" t="s">
        <v>1</v>
      </c>
      <c r="F208" s="80" t="s">
        <v>10</v>
      </c>
      <c r="G208" s="183">
        <v>45695</v>
      </c>
      <c r="H208" s="146"/>
      <c r="I208" s="100" t="s">
        <v>99</v>
      </c>
      <c r="J208" s="154"/>
      <c r="K208" s="155"/>
      <c r="L208" s="156"/>
      <c r="M208" s="157"/>
      <c r="N208" s="158"/>
      <c r="O208" s="159"/>
      <c r="P208" s="65">
        <v>45702</v>
      </c>
      <c r="Q208" s="89">
        <f t="shared" si="3"/>
        <v>7</v>
      </c>
      <c r="R208" s="101"/>
      <c r="S208" s="160" t="s">
        <v>945</v>
      </c>
    </row>
    <row r="209" spans="1:19" ht="43.2" x14ac:dyDescent="0.3">
      <c r="A209">
        <v>207</v>
      </c>
      <c r="B209" s="87">
        <v>1550</v>
      </c>
      <c r="C209" s="91">
        <v>45698</v>
      </c>
      <c r="D209" s="149" t="s">
        <v>946</v>
      </c>
      <c r="E209" s="48" t="s">
        <v>25</v>
      </c>
      <c r="F209" s="80" t="s">
        <v>4</v>
      </c>
      <c r="G209" s="183">
        <v>45698</v>
      </c>
      <c r="H209" s="5">
        <v>10000263624</v>
      </c>
      <c r="I209" s="100" t="s">
        <v>135</v>
      </c>
      <c r="J209" s="21"/>
      <c r="K209" s="18"/>
      <c r="L209" s="19"/>
      <c r="M209" s="23"/>
      <c r="N209" s="11"/>
      <c r="O209" s="12"/>
      <c r="P209" s="65">
        <v>45702</v>
      </c>
      <c r="Q209" s="89">
        <f t="shared" si="3"/>
        <v>4</v>
      </c>
      <c r="R209" s="101"/>
      <c r="S209" s="66"/>
    </row>
    <row r="210" spans="1:19" ht="72" x14ac:dyDescent="0.3">
      <c r="A210">
        <v>208</v>
      </c>
      <c r="B210" s="87" t="s">
        <v>80</v>
      </c>
      <c r="C210" s="91">
        <v>45699</v>
      </c>
      <c r="D210" s="149" t="s">
        <v>947</v>
      </c>
      <c r="E210" s="48" t="s">
        <v>11</v>
      </c>
      <c r="F210" s="145" t="s">
        <v>10</v>
      </c>
      <c r="G210" s="183">
        <v>45699</v>
      </c>
      <c r="H210" s="5"/>
      <c r="I210" s="100" t="s">
        <v>106</v>
      </c>
      <c r="J210" s="21"/>
      <c r="K210" s="18"/>
      <c r="L210" s="19"/>
      <c r="M210" s="23"/>
      <c r="N210" s="11"/>
      <c r="O210" s="12"/>
      <c r="P210" s="65">
        <v>45702</v>
      </c>
      <c r="Q210" s="89">
        <f t="shared" si="3"/>
        <v>3</v>
      </c>
      <c r="R210" s="101"/>
      <c r="S210" s="66"/>
    </row>
    <row r="211" spans="1:19" ht="43.2" x14ac:dyDescent="0.3">
      <c r="A211">
        <v>209</v>
      </c>
      <c r="B211" s="87">
        <v>1550</v>
      </c>
      <c r="C211" s="91">
        <v>45700</v>
      </c>
      <c r="D211" s="149" t="s">
        <v>948</v>
      </c>
      <c r="E211" s="48" t="s">
        <v>23</v>
      </c>
      <c r="F211" s="80" t="s">
        <v>8</v>
      </c>
      <c r="G211" s="183">
        <v>45700</v>
      </c>
      <c r="H211" s="5"/>
      <c r="I211" s="100" t="s">
        <v>135</v>
      </c>
      <c r="J211" s="21"/>
      <c r="K211" s="18"/>
      <c r="L211" s="19"/>
      <c r="M211" s="23"/>
      <c r="N211" s="11"/>
      <c r="O211" s="12"/>
      <c r="P211" s="65">
        <v>45702</v>
      </c>
      <c r="Q211" s="89">
        <f t="shared" si="3"/>
        <v>2</v>
      </c>
      <c r="R211" s="101" t="s">
        <v>136</v>
      </c>
      <c r="S211" s="66"/>
    </row>
    <row r="212" spans="1:19" ht="43.2" x14ac:dyDescent="0.3">
      <c r="A212">
        <v>210</v>
      </c>
      <c r="B212" s="87">
        <v>1550</v>
      </c>
      <c r="C212" s="91">
        <v>45700</v>
      </c>
      <c r="D212" s="149" t="s">
        <v>949</v>
      </c>
      <c r="E212" s="48" t="s">
        <v>23</v>
      </c>
      <c r="F212" s="80" t="s">
        <v>8</v>
      </c>
      <c r="G212" s="183">
        <v>45700</v>
      </c>
      <c r="H212" s="5"/>
      <c r="I212" s="100" t="s">
        <v>135</v>
      </c>
      <c r="J212" s="21"/>
      <c r="K212" s="18"/>
      <c r="L212" s="19"/>
      <c r="M212" s="23"/>
      <c r="N212" s="11"/>
      <c r="O212" s="12"/>
      <c r="P212" s="65">
        <v>45702</v>
      </c>
      <c r="Q212" s="89">
        <f t="shared" si="3"/>
        <v>2</v>
      </c>
      <c r="R212" s="101" t="s">
        <v>758</v>
      </c>
      <c r="S212" s="66"/>
    </row>
    <row r="213" spans="1:19" ht="43.2" x14ac:dyDescent="0.3">
      <c r="A213">
        <v>211</v>
      </c>
      <c r="B213" s="152">
        <v>1550</v>
      </c>
      <c r="C213" s="207">
        <v>45701</v>
      </c>
      <c r="D213" s="149" t="s">
        <v>950</v>
      </c>
      <c r="E213" s="218" t="s">
        <v>51</v>
      </c>
      <c r="F213" s="221" t="s">
        <v>6</v>
      </c>
      <c r="G213" s="183">
        <v>45701</v>
      </c>
      <c r="H213" s="225"/>
      <c r="I213" s="100" t="s">
        <v>99</v>
      </c>
      <c r="J213" s="114"/>
      <c r="K213" s="227"/>
      <c r="L213" s="116"/>
      <c r="M213" s="117"/>
      <c r="N213" s="118"/>
      <c r="O213" s="119"/>
      <c r="P213" s="85">
        <v>45702</v>
      </c>
      <c r="Q213" s="89">
        <f t="shared" si="3"/>
        <v>1</v>
      </c>
      <c r="R213" s="101"/>
      <c r="S213" s="69"/>
    </row>
    <row r="214" spans="1:19" ht="24.75" customHeight="1" x14ac:dyDescent="0.3">
      <c r="A214">
        <v>212</v>
      </c>
      <c r="B214" s="170">
        <v>1550</v>
      </c>
      <c r="C214" s="171">
        <v>45701</v>
      </c>
      <c r="D214" s="149" t="s">
        <v>951</v>
      </c>
      <c r="E214" s="166" t="s">
        <v>12</v>
      </c>
      <c r="F214" s="172" t="s">
        <v>6</v>
      </c>
      <c r="G214" s="183">
        <v>45701</v>
      </c>
      <c r="H214" s="173"/>
      <c r="I214" s="107" t="s">
        <v>159</v>
      </c>
      <c r="J214" s="27"/>
      <c r="K214" s="50"/>
      <c r="L214" s="51"/>
      <c r="M214" s="29"/>
      <c r="N214" s="52"/>
      <c r="O214" s="54"/>
      <c r="P214" s="83">
        <v>45702</v>
      </c>
      <c r="Q214" s="89">
        <f t="shared" si="3"/>
        <v>1</v>
      </c>
      <c r="R214" s="101"/>
      <c r="S214" s="56"/>
    </row>
    <row r="215" spans="1:19" x14ac:dyDescent="0.3">
      <c r="A215">
        <v>213</v>
      </c>
      <c r="B215" s="170">
        <v>1550</v>
      </c>
      <c r="C215" s="171">
        <v>45701</v>
      </c>
      <c r="D215" s="209" t="s">
        <v>952</v>
      </c>
      <c r="E215" s="166" t="s">
        <v>23</v>
      </c>
      <c r="F215" s="172" t="s">
        <v>4</v>
      </c>
      <c r="G215" s="183">
        <v>45701</v>
      </c>
      <c r="H215" s="173"/>
      <c r="I215" s="100" t="s">
        <v>135</v>
      </c>
      <c r="J215" s="27"/>
      <c r="K215" s="28"/>
      <c r="L215" s="51"/>
      <c r="M215" s="29"/>
      <c r="N215" s="30"/>
      <c r="O215" s="54"/>
      <c r="P215" s="65">
        <v>45702</v>
      </c>
      <c r="Q215" s="89">
        <f t="shared" si="3"/>
        <v>1</v>
      </c>
      <c r="R215" s="101"/>
      <c r="S215" s="56"/>
    </row>
    <row r="216" spans="1:19" x14ac:dyDescent="0.3">
      <c r="A216">
        <v>214</v>
      </c>
      <c r="B216" s="86">
        <v>1550</v>
      </c>
      <c r="C216" s="92">
        <v>45701</v>
      </c>
      <c r="D216" s="98" t="s">
        <v>953</v>
      </c>
      <c r="E216" s="48" t="s">
        <v>21</v>
      </c>
      <c r="F216" s="80" t="s">
        <v>4</v>
      </c>
      <c r="G216" s="183">
        <v>45701</v>
      </c>
      <c r="H216" s="5"/>
      <c r="I216" s="100" t="s">
        <v>125</v>
      </c>
      <c r="J216" s="128"/>
      <c r="K216" s="128"/>
      <c r="L216" s="129"/>
      <c r="M216" s="130"/>
      <c r="N216" s="130"/>
      <c r="O216" s="131"/>
      <c r="P216" s="132">
        <v>45702</v>
      </c>
      <c r="Q216" s="89">
        <f t="shared" si="3"/>
        <v>1</v>
      </c>
      <c r="R216" s="101"/>
      <c r="S216" s="168"/>
    </row>
    <row r="217" spans="1:19" ht="43.2" x14ac:dyDescent="0.3">
      <c r="A217">
        <v>215</v>
      </c>
      <c r="B217" s="86" t="s">
        <v>80</v>
      </c>
      <c r="C217" s="92">
        <v>45701</v>
      </c>
      <c r="D217" s="149" t="s">
        <v>954</v>
      </c>
      <c r="E217" s="47" t="s">
        <v>51</v>
      </c>
      <c r="F217" s="81" t="s">
        <v>10</v>
      </c>
      <c r="G217" s="183">
        <v>45701</v>
      </c>
      <c r="H217" s="49"/>
      <c r="I217" s="100" t="s">
        <v>99</v>
      </c>
      <c r="J217" s="27"/>
      <c r="K217" s="28"/>
      <c r="L217" s="51"/>
      <c r="M217" s="29"/>
      <c r="N217" s="30"/>
      <c r="O217" s="54"/>
      <c r="P217" s="132">
        <v>45702</v>
      </c>
      <c r="Q217" s="89">
        <f t="shared" si="3"/>
        <v>1</v>
      </c>
      <c r="R217" s="101"/>
      <c r="S217" s="56"/>
    </row>
    <row r="218" spans="1:19" ht="43.2" x14ac:dyDescent="0.3">
      <c r="A218">
        <v>216</v>
      </c>
      <c r="B218" s="86">
        <v>1550</v>
      </c>
      <c r="C218" s="92">
        <v>45702</v>
      </c>
      <c r="D218" s="209" t="s">
        <v>955</v>
      </c>
      <c r="E218" s="144" t="s">
        <v>51</v>
      </c>
      <c r="F218" s="145" t="s">
        <v>4</v>
      </c>
      <c r="G218" s="183">
        <v>45702</v>
      </c>
      <c r="H218" s="146"/>
      <c r="I218" s="100" t="s">
        <v>99</v>
      </c>
      <c r="J218" s="27"/>
      <c r="K218" s="28"/>
      <c r="L218" s="51"/>
      <c r="M218" s="29"/>
      <c r="N218" s="30"/>
      <c r="O218" s="54"/>
      <c r="P218" s="83">
        <v>45702</v>
      </c>
      <c r="Q218" s="89">
        <f t="shared" si="3"/>
        <v>0</v>
      </c>
      <c r="R218" s="101"/>
      <c r="S218" s="56"/>
    </row>
    <row r="219" spans="1:19" ht="43.2" x14ac:dyDescent="0.3">
      <c r="A219">
        <v>217</v>
      </c>
      <c r="B219" s="86">
        <v>1550</v>
      </c>
      <c r="C219" s="92">
        <v>45702</v>
      </c>
      <c r="D219" s="149" t="s">
        <v>956</v>
      </c>
      <c r="E219" s="166" t="s">
        <v>49</v>
      </c>
      <c r="F219" s="172" t="s">
        <v>8</v>
      </c>
      <c r="G219" s="183">
        <v>45702</v>
      </c>
      <c r="H219" s="173"/>
      <c r="I219" s="100" t="s">
        <v>266</v>
      </c>
      <c r="J219" s="27"/>
      <c r="K219" s="28"/>
      <c r="L219" s="51"/>
      <c r="M219" s="29"/>
      <c r="N219" s="30"/>
      <c r="O219" s="54"/>
      <c r="P219" s="83">
        <v>45702</v>
      </c>
      <c r="Q219" s="89">
        <f t="shared" si="3"/>
        <v>0</v>
      </c>
      <c r="R219" s="101" t="s">
        <v>957</v>
      </c>
      <c r="S219" s="56"/>
    </row>
    <row r="220" spans="1:19" ht="43.2" x14ac:dyDescent="0.3">
      <c r="A220">
        <v>218</v>
      </c>
      <c r="B220" s="86">
        <v>1550</v>
      </c>
      <c r="C220" s="92">
        <v>45702</v>
      </c>
      <c r="D220" s="149" t="s">
        <v>958</v>
      </c>
      <c r="E220" s="166" t="s">
        <v>49</v>
      </c>
      <c r="F220" s="172" t="s">
        <v>8</v>
      </c>
      <c r="G220" s="183">
        <v>45702</v>
      </c>
      <c r="H220" s="173"/>
      <c r="I220" s="100" t="s">
        <v>266</v>
      </c>
      <c r="J220" s="27"/>
      <c r="K220" s="28"/>
      <c r="L220" s="51"/>
      <c r="M220" s="29"/>
      <c r="N220" s="30"/>
      <c r="O220" s="54"/>
      <c r="P220" s="83">
        <v>45702</v>
      </c>
      <c r="Q220" s="89">
        <f t="shared" si="3"/>
        <v>0</v>
      </c>
      <c r="R220" s="101" t="s">
        <v>957</v>
      </c>
      <c r="S220" s="168"/>
    </row>
    <row r="221" spans="1:19" ht="43.2" x14ac:dyDescent="0.3">
      <c r="A221">
        <v>219</v>
      </c>
      <c r="B221" s="170">
        <v>1550</v>
      </c>
      <c r="C221" s="171">
        <v>45702</v>
      </c>
      <c r="D221" s="211" t="s">
        <v>959</v>
      </c>
      <c r="E221" s="144" t="s">
        <v>21</v>
      </c>
      <c r="F221" s="145" t="s">
        <v>6</v>
      </c>
      <c r="G221" s="183">
        <v>45702</v>
      </c>
      <c r="H221" s="146"/>
      <c r="I221" s="100" t="s">
        <v>361</v>
      </c>
      <c r="J221" s="128"/>
      <c r="K221" s="128"/>
      <c r="L221" s="129"/>
      <c r="M221" s="130"/>
      <c r="N221" s="130"/>
      <c r="O221" s="131"/>
      <c r="P221" s="132">
        <v>45702</v>
      </c>
      <c r="Q221" s="89">
        <f t="shared" si="3"/>
        <v>0</v>
      </c>
      <c r="R221" s="101"/>
      <c r="S221" s="168"/>
    </row>
    <row r="222" spans="1:19" ht="57.6" x14ac:dyDescent="0.3">
      <c r="A222">
        <v>220</v>
      </c>
      <c r="B222" s="170">
        <v>1550</v>
      </c>
      <c r="C222" s="171">
        <v>45702</v>
      </c>
      <c r="D222" s="161" t="s">
        <v>960</v>
      </c>
      <c r="E222" s="166" t="s">
        <v>3</v>
      </c>
      <c r="F222" s="172" t="s">
        <v>6</v>
      </c>
      <c r="G222" s="183">
        <v>45702</v>
      </c>
      <c r="H222" s="173"/>
      <c r="I222" s="100" t="s">
        <v>125</v>
      </c>
      <c r="J222" s="128"/>
      <c r="K222" s="128"/>
      <c r="L222" s="129"/>
      <c r="M222" s="130"/>
      <c r="N222" s="130"/>
      <c r="O222" s="131"/>
      <c r="P222" s="132">
        <v>45702</v>
      </c>
      <c r="Q222" s="89">
        <f t="shared" si="3"/>
        <v>0</v>
      </c>
      <c r="R222" s="101"/>
      <c r="S222" s="168"/>
    </row>
    <row r="223" spans="1:19" ht="28.8" x14ac:dyDescent="0.3">
      <c r="A223">
        <v>221</v>
      </c>
      <c r="B223" s="170">
        <v>1550</v>
      </c>
      <c r="C223" s="171">
        <v>45702</v>
      </c>
      <c r="D223" s="211" t="s">
        <v>961</v>
      </c>
      <c r="E223" s="144" t="s">
        <v>1</v>
      </c>
      <c r="F223" s="172" t="s">
        <v>4</v>
      </c>
      <c r="G223" s="183">
        <v>45702</v>
      </c>
      <c r="H223" s="146"/>
      <c r="I223" s="100" t="s">
        <v>125</v>
      </c>
      <c r="J223" s="128"/>
      <c r="K223" s="128"/>
      <c r="L223" s="129"/>
      <c r="M223" s="130"/>
      <c r="N223" s="130"/>
      <c r="O223" s="131"/>
      <c r="P223" s="132">
        <v>45702</v>
      </c>
      <c r="Q223" s="89">
        <f t="shared" ref="Q223:Q286" si="4">P223-G223</f>
        <v>0</v>
      </c>
      <c r="R223" s="101"/>
      <c r="S223" s="168"/>
    </row>
    <row r="224" spans="1:19" ht="57.6" x14ac:dyDescent="0.3">
      <c r="A224">
        <v>222</v>
      </c>
      <c r="B224" s="170" t="s">
        <v>80</v>
      </c>
      <c r="C224" s="171">
        <v>45702</v>
      </c>
      <c r="D224" s="149" t="s">
        <v>962</v>
      </c>
      <c r="E224" s="144" t="s">
        <v>24</v>
      </c>
      <c r="F224" s="145" t="s">
        <v>10</v>
      </c>
      <c r="G224" s="183">
        <v>45702</v>
      </c>
      <c r="H224" s="146"/>
      <c r="I224" s="100" t="s">
        <v>125</v>
      </c>
      <c r="J224" s="128"/>
      <c r="K224" s="128"/>
      <c r="L224" s="129"/>
      <c r="M224" s="130"/>
      <c r="N224" s="130"/>
      <c r="O224" s="131"/>
      <c r="P224" s="132">
        <v>45702</v>
      </c>
      <c r="Q224" s="89">
        <f t="shared" si="4"/>
        <v>0</v>
      </c>
      <c r="R224" s="101"/>
      <c r="S224" s="168"/>
    </row>
    <row r="225" spans="1:19" ht="28.8" x14ac:dyDescent="0.3">
      <c r="A225">
        <v>223</v>
      </c>
      <c r="B225" s="170" t="s">
        <v>80</v>
      </c>
      <c r="C225" s="171">
        <v>45702</v>
      </c>
      <c r="D225" s="149" t="s">
        <v>963</v>
      </c>
      <c r="E225" s="144" t="s">
        <v>54</v>
      </c>
      <c r="F225" s="145" t="s">
        <v>10</v>
      </c>
      <c r="G225" s="183">
        <v>45702</v>
      </c>
      <c r="H225" s="146"/>
      <c r="I225" s="100" t="s">
        <v>253</v>
      </c>
      <c r="J225" s="128"/>
      <c r="K225" s="128"/>
      <c r="L225" s="129"/>
      <c r="M225" s="130"/>
      <c r="N225" s="130"/>
      <c r="O225" s="131"/>
      <c r="P225" s="132">
        <v>45702</v>
      </c>
      <c r="Q225" s="89">
        <f t="shared" si="4"/>
        <v>0</v>
      </c>
      <c r="R225" s="101"/>
      <c r="S225" s="168"/>
    </row>
    <row r="226" spans="1:19" ht="43.2" x14ac:dyDescent="0.3">
      <c r="A226">
        <v>224</v>
      </c>
      <c r="B226" s="170" t="s">
        <v>80</v>
      </c>
      <c r="C226" s="171">
        <v>45702</v>
      </c>
      <c r="D226" s="149" t="s">
        <v>964</v>
      </c>
      <c r="E226" s="144" t="s">
        <v>49</v>
      </c>
      <c r="F226" s="145" t="s">
        <v>10</v>
      </c>
      <c r="G226" s="183">
        <v>45702</v>
      </c>
      <c r="H226" s="146"/>
      <c r="I226" s="100" t="s">
        <v>266</v>
      </c>
      <c r="J226" s="128"/>
      <c r="K226" s="128"/>
      <c r="L226" s="129"/>
      <c r="M226" s="130"/>
      <c r="N226" s="130"/>
      <c r="O226" s="131"/>
      <c r="P226" s="132">
        <v>45702</v>
      </c>
      <c r="Q226" s="89">
        <f t="shared" si="4"/>
        <v>0</v>
      </c>
      <c r="R226" s="101"/>
      <c r="S226" s="168"/>
    </row>
    <row r="227" spans="1:19" ht="43.2" x14ac:dyDescent="0.3">
      <c r="A227">
        <v>225</v>
      </c>
      <c r="B227" s="170" t="s">
        <v>80</v>
      </c>
      <c r="C227" s="171">
        <v>45702</v>
      </c>
      <c r="D227" s="149" t="s">
        <v>965</v>
      </c>
      <c r="E227" s="166" t="s">
        <v>49</v>
      </c>
      <c r="F227" s="172" t="s">
        <v>10</v>
      </c>
      <c r="G227" s="183">
        <v>45702</v>
      </c>
      <c r="H227" s="173"/>
      <c r="I227" s="100" t="s">
        <v>266</v>
      </c>
      <c r="J227" s="128"/>
      <c r="K227" s="128"/>
      <c r="L227" s="129"/>
      <c r="M227" s="130"/>
      <c r="N227" s="130"/>
      <c r="O227" s="131"/>
      <c r="P227" s="132">
        <v>45702</v>
      </c>
      <c r="Q227" s="89">
        <f t="shared" si="4"/>
        <v>0</v>
      </c>
      <c r="R227" s="101"/>
      <c r="S227" s="168"/>
    </row>
    <row r="228" spans="1:19" ht="43.2" x14ac:dyDescent="0.3">
      <c r="A228">
        <v>226</v>
      </c>
      <c r="B228" s="170" t="s">
        <v>80</v>
      </c>
      <c r="C228" s="171">
        <v>45702</v>
      </c>
      <c r="D228" s="98" t="s">
        <v>966</v>
      </c>
      <c r="E228" s="144" t="s">
        <v>49</v>
      </c>
      <c r="F228" s="145" t="s">
        <v>10</v>
      </c>
      <c r="G228" s="183">
        <v>45702</v>
      </c>
      <c r="H228" s="146"/>
      <c r="I228" s="100" t="s">
        <v>266</v>
      </c>
      <c r="J228" s="128"/>
      <c r="K228" s="128"/>
      <c r="L228" s="129"/>
      <c r="M228" s="130"/>
      <c r="N228" s="130"/>
      <c r="O228" s="131"/>
      <c r="P228" s="132">
        <v>45702</v>
      </c>
      <c r="Q228" s="89">
        <f t="shared" si="4"/>
        <v>0</v>
      </c>
      <c r="R228" s="101"/>
      <c r="S228" s="168"/>
    </row>
    <row r="229" spans="1:19" ht="28.8" x14ac:dyDescent="0.3">
      <c r="A229">
        <v>227</v>
      </c>
      <c r="B229" s="86" t="s">
        <v>80</v>
      </c>
      <c r="C229" s="92">
        <v>45698</v>
      </c>
      <c r="D229" s="149" t="s">
        <v>967</v>
      </c>
      <c r="E229" s="166" t="s">
        <v>32</v>
      </c>
      <c r="F229" s="172" t="s">
        <v>10</v>
      </c>
      <c r="G229" s="183">
        <v>45698</v>
      </c>
      <c r="H229" s="173"/>
      <c r="I229" s="100" t="s">
        <v>253</v>
      </c>
      <c r="J229" s="128"/>
      <c r="K229" s="128"/>
      <c r="L229" s="129"/>
      <c r="M229" s="130"/>
      <c r="N229" s="130"/>
      <c r="O229" s="131"/>
      <c r="P229" s="83">
        <v>45704</v>
      </c>
      <c r="Q229" s="89">
        <f t="shared" si="4"/>
        <v>6</v>
      </c>
      <c r="R229" s="101"/>
      <c r="S229" s="168"/>
    </row>
    <row r="230" spans="1:19" ht="28.8" x14ac:dyDescent="0.3">
      <c r="A230">
        <v>228</v>
      </c>
      <c r="B230" s="86" t="s">
        <v>80</v>
      </c>
      <c r="C230" s="92">
        <v>45700</v>
      </c>
      <c r="D230" s="149" t="s">
        <v>968</v>
      </c>
      <c r="E230" s="47" t="s">
        <v>32</v>
      </c>
      <c r="F230" s="172" t="s">
        <v>10</v>
      </c>
      <c r="G230" s="183">
        <v>45700</v>
      </c>
      <c r="H230" s="49"/>
      <c r="I230" s="100" t="s">
        <v>253</v>
      </c>
      <c r="J230" s="128"/>
      <c r="K230" s="128"/>
      <c r="L230" s="129"/>
      <c r="M230" s="130"/>
      <c r="N230" s="130"/>
      <c r="O230" s="131"/>
      <c r="P230" s="83">
        <v>45704</v>
      </c>
      <c r="Q230" s="89">
        <f t="shared" si="4"/>
        <v>4</v>
      </c>
      <c r="R230" s="101"/>
      <c r="S230" s="168"/>
    </row>
    <row r="231" spans="1:19" ht="115.2" x14ac:dyDescent="0.3">
      <c r="A231">
        <v>229</v>
      </c>
      <c r="B231" s="203" t="s">
        <v>80</v>
      </c>
      <c r="C231" s="92">
        <v>45691</v>
      </c>
      <c r="D231" s="149" t="s">
        <v>969</v>
      </c>
      <c r="E231" s="166" t="s">
        <v>12</v>
      </c>
      <c r="F231" s="80" t="s">
        <v>10</v>
      </c>
      <c r="G231" s="183">
        <v>45691</v>
      </c>
      <c r="H231" s="146"/>
      <c r="I231" s="100" t="s">
        <v>159</v>
      </c>
      <c r="J231" s="128"/>
      <c r="K231" s="128"/>
      <c r="L231" s="129"/>
      <c r="M231" s="130"/>
      <c r="N231" s="130"/>
      <c r="O231" s="131"/>
      <c r="P231" s="83">
        <v>45705</v>
      </c>
      <c r="Q231" s="89">
        <f t="shared" si="4"/>
        <v>14</v>
      </c>
      <c r="R231" s="101" t="s">
        <v>85</v>
      </c>
      <c r="S231" s="168"/>
    </row>
    <row r="232" spans="1:19" ht="28.8" x14ac:dyDescent="0.3">
      <c r="A232">
        <v>230</v>
      </c>
      <c r="B232" s="86">
        <v>1550</v>
      </c>
      <c r="C232" s="92">
        <v>45695</v>
      </c>
      <c r="D232" s="149" t="s">
        <v>970</v>
      </c>
      <c r="E232" s="47" t="s">
        <v>12</v>
      </c>
      <c r="F232" s="80" t="s">
        <v>4</v>
      </c>
      <c r="G232" s="183">
        <v>45695</v>
      </c>
      <c r="H232" s="146"/>
      <c r="I232" s="100" t="s">
        <v>159</v>
      </c>
      <c r="J232" s="128"/>
      <c r="K232" s="128"/>
      <c r="L232" s="129"/>
      <c r="M232" s="130"/>
      <c r="N232" s="130"/>
      <c r="O232" s="131"/>
      <c r="P232" s="83">
        <v>45705</v>
      </c>
      <c r="Q232" s="89">
        <f t="shared" si="4"/>
        <v>10</v>
      </c>
      <c r="R232" s="101"/>
      <c r="S232" s="56"/>
    </row>
    <row r="233" spans="1:19" ht="57.6" x14ac:dyDescent="0.3">
      <c r="A233">
        <v>231</v>
      </c>
      <c r="B233" s="86">
        <v>1550</v>
      </c>
      <c r="C233" s="92">
        <v>45698</v>
      </c>
      <c r="D233" s="149" t="s">
        <v>971</v>
      </c>
      <c r="E233" s="47" t="s">
        <v>39</v>
      </c>
      <c r="F233" s="145" t="s">
        <v>8</v>
      </c>
      <c r="G233" s="183">
        <v>45698</v>
      </c>
      <c r="H233" s="5"/>
      <c r="I233" s="100" t="s">
        <v>129</v>
      </c>
      <c r="J233" s="27"/>
      <c r="K233" s="28"/>
      <c r="L233" s="51"/>
      <c r="M233" s="29"/>
      <c r="N233" s="30"/>
      <c r="O233" s="54"/>
      <c r="P233" s="83">
        <v>45705</v>
      </c>
      <c r="Q233" s="89">
        <f t="shared" si="4"/>
        <v>7</v>
      </c>
      <c r="R233" s="101" t="s">
        <v>160</v>
      </c>
      <c r="S233" s="56"/>
    </row>
    <row r="234" spans="1:19" x14ac:dyDescent="0.3">
      <c r="A234">
        <v>232</v>
      </c>
      <c r="B234" s="170">
        <v>1550</v>
      </c>
      <c r="C234" s="171">
        <v>45699</v>
      </c>
      <c r="D234" s="149" t="s">
        <v>972</v>
      </c>
      <c r="E234" s="47" t="s">
        <v>24</v>
      </c>
      <c r="F234" s="145" t="s">
        <v>4</v>
      </c>
      <c r="G234" s="183">
        <v>45699</v>
      </c>
      <c r="H234" s="146"/>
      <c r="I234" s="107" t="s">
        <v>135</v>
      </c>
      <c r="J234" s="128"/>
      <c r="K234" s="128"/>
      <c r="L234" s="129"/>
      <c r="M234" s="130"/>
      <c r="N234" s="130"/>
      <c r="O234" s="131"/>
      <c r="P234" s="132">
        <v>45705</v>
      </c>
      <c r="Q234" s="89">
        <f t="shared" si="4"/>
        <v>6</v>
      </c>
      <c r="R234" s="94"/>
      <c r="S234" s="168"/>
    </row>
    <row r="235" spans="1:19" x14ac:dyDescent="0.3">
      <c r="A235">
        <v>233</v>
      </c>
      <c r="B235" s="86">
        <v>1550</v>
      </c>
      <c r="C235" s="92">
        <v>45699</v>
      </c>
      <c r="D235" s="209" t="s">
        <v>973</v>
      </c>
      <c r="E235" s="166" t="s">
        <v>23</v>
      </c>
      <c r="F235" s="145" t="s">
        <v>4</v>
      </c>
      <c r="G235" s="183">
        <v>45699</v>
      </c>
      <c r="H235" s="173"/>
      <c r="I235" s="107" t="s">
        <v>135</v>
      </c>
      <c r="J235" s="27"/>
      <c r="K235" s="28"/>
      <c r="L235" s="51"/>
      <c r="M235" s="29"/>
      <c r="N235" s="30"/>
      <c r="O235" s="54"/>
      <c r="P235" s="83">
        <v>45705</v>
      </c>
      <c r="Q235" s="89">
        <f t="shared" si="4"/>
        <v>6</v>
      </c>
      <c r="R235" s="101"/>
      <c r="S235" s="56"/>
    </row>
    <row r="236" spans="1:19" x14ac:dyDescent="0.3">
      <c r="A236">
        <v>234</v>
      </c>
      <c r="B236" s="86">
        <v>1550</v>
      </c>
      <c r="C236" s="92">
        <v>45699</v>
      </c>
      <c r="D236" s="209" t="s">
        <v>974</v>
      </c>
      <c r="E236" s="166" t="s">
        <v>23</v>
      </c>
      <c r="F236" s="145" t="s">
        <v>4</v>
      </c>
      <c r="G236" s="183">
        <v>45699</v>
      </c>
      <c r="H236" s="173"/>
      <c r="I236" s="100" t="s">
        <v>135</v>
      </c>
      <c r="J236" s="27"/>
      <c r="K236" s="28"/>
      <c r="L236" s="51"/>
      <c r="M236" s="29"/>
      <c r="N236" s="30"/>
      <c r="O236" s="54"/>
      <c r="P236" s="83">
        <v>45705</v>
      </c>
      <c r="Q236" s="89">
        <f t="shared" si="4"/>
        <v>6</v>
      </c>
      <c r="R236" s="101"/>
      <c r="S236" s="56"/>
    </row>
    <row r="237" spans="1:19" x14ac:dyDescent="0.3">
      <c r="A237">
        <v>235</v>
      </c>
      <c r="B237" s="86">
        <v>1550</v>
      </c>
      <c r="C237" s="92">
        <v>45699</v>
      </c>
      <c r="D237" s="209" t="s">
        <v>975</v>
      </c>
      <c r="E237" s="144" t="s">
        <v>23</v>
      </c>
      <c r="F237" s="145" t="s">
        <v>4</v>
      </c>
      <c r="G237" s="183">
        <v>45699</v>
      </c>
      <c r="H237" s="146"/>
      <c r="I237" s="100" t="s">
        <v>135</v>
      </c>
      <c r="J237" s="27"/>
      <c r="K237" s="28"/>
      <c r="L237" s="51"/>
      <c r="M237" s="29"/>
      <c r="N237" s="30"/>
      <c r="O237" s="54"/>
      <c r="P237" s="83">
        <v>45705</v>
      </c>
      <c r="Q237" s="89">
        <f t="shared" si="4"/>
        <v>6</v>
      </c>
      <c r="R237" s="101"/>
      <c r="S237" s="168"/>
    </row>
    <row r="238" spans="1:19" x14ac:dyDescent="0.3">
      <c r="A238">
        <v>236</v>
      </c>
      <c r="B238" s="86">
        <v>1550</v>
      </c>
      <c r="C238" s="92">
        <v>45699</v>
      </c>
      <c r="D238" s="209" t="s">
        <v>976</v>
      </c>
      <c r="E238" s="144" t="s">
        <v>23</v>
      </c>
      <c r="F238" s="145" t="s">
        <v>4</v>
      </c>
      <c r="G238" s="183">
        <v>45699</v>
      </c>
      <c r="H238" s="173"/>
      <c r="I238" s="100" t="s">
        <v>135</v>
      </c>
      <c r="J238" s="27"/>
      <c r="K238" s="28"/>
      <c r="L238" s="51"/>
      <c r="M238" s="29"/>
      <c r="N238" s="30"/>
      <c r="O238" s="54"/>
      <c r="P238" s="83">
        <v>45705</v>
      </c>
      <c r="Q238" s="89">
        <f t="shared" si="4"/>
        <v>6</v>
      </c>
      <c r="R238" s="101"/>
      <c r="S238" s="56"/>
    </row>
    <row r="239" spans="1:19" x14ac:dyDescent="0.3">
      <c r="A239">
        <v>237</v>
      </c>
      <c r="B239" s="86">
        <v>1550</v>
      </c>
      <c r="C239" s="92">
        <v>45700</v>
      </c>
      <c r="D239" s="209" t="s">
        <v>977</v>
      </c>
      <c r="E239" s="111" t="s">
        <v>23</v>
      </c>
      <c r="F239" s="125" t="s">
        <v>4</v>
      </c>
      <c r="G239" s="183">
        <v>45700</v>
      </c>
      <c r="H239" s="137"/>
      <c r="I239" s="100" t="s">
        <v>135</v>
      </c>
      <c r="J239" s="27"/>
      <c r="K239" s="28"/>
      <c r="L239" s="51"/>
      <c r="M239" s="29"/>
      <c r="N239" s="30"/>
      <c r="O239" s="54"/>
      <c r="P239" s="83">
        <v>45705</v>
      </c>
      <c r="Q239" s="89">
        <f t="shared" si="4"/>
        <v>5</v>
      </c>
      <c r="R239" s="101"/>
      <c r="S239" s="56"/>
    </row>
    <row r="240" spans="1:19" x14ac:dyDescent="0.3">
      <c r="A240">
        <v>238</v>
      </c>
      <c r="B240" s="170">
        <v>1550</v>
      </c>
      <c r="C240" s="171">
        <v>45700</v>
      </c>
      <c r="D240" s="209" t="s">
        <v>978</v>
      </c>
      <c r="E240" s="144" t="s">
        <v>23</v>
      </c>
      <c r="F240" s="145" t="s">
        <v>4</v>
      </c>
      <c r="G240" s="183">
        <v>45700</v>
      </c>
      <c r="H240" s="146"/>
      <c r="I240" s="100" t="s">
        <v>135</v>
      </c>
      <c r="J240" s="128"/>
      <c r="K240" s="128"/>
      <c r="L240" s="129"/>
      <c r="M240" s="130"/>
      <c r="N240" s="130"/>
      <c r="O240" s="131"/>
      <c r="P240" s="132">
        <v>45705</v>
      </c>
      <c r="Q240" s="89">
        <f t="shared" si="4"/>
        <v>5</v>
      </c>
      <c r="R240" s="101"/>
      <c r="S240" s="168"/>
    </row>
    <row r="241" spans="1:19" x14ac:dyDescent="0.3">
      <c r="A241">
        <v>239</v>
      </c>
      <c r="B241" s="170">
        <v>1550</v>
      </c>
      <c r="C241" s="171">
        <v>45701</v>
      </c>
      <c r="D241" s="149" t="s">
        <v>979</v>
      </c>
      <c r="E241" s="126" t="s">
        <v>3</v>
      </c>
      <c r="F241" s="127" t="s">
        <v>4</v>
      </c>
      <c r="G241" s="183">
        <v>45701</v>
      </c>
      <c r="H241" s="134"/>
      <c r="I241" s="100" t="s">
        <v>125</v>
      </c>
      <c r="J241" s="128"/>
      <c r="K241" s="128"/>
      <c r="L241" s="129"/>
      <c r="M241" s="130"/>
      <c r="N241" s="130"/>
      <c r="O241" s="131"/>
      <c r="P241" s="132">
        <v>45705</v>
      </c>
      <c r="Q241" s="89">
        <f t="shared" si="4"/>
        <v>4</v>
      </c>
      <c r="R241" s="101"/>
      <c r="S241" s="168"/>
    </row>
    <row r="242" spans="1:19" x14ac:dyDescent="0.3">
      <c r="A242">
        <v>240</v>
      </c>
      <c r="B242" s="170">
        <v>1550</v>
      </c>
      <c r="C242" s="171">
        <v>45701</v>
      </c>
      <c r="D242" s="209" t="s">
        <v>980</v>
      </c>
      <c r="E242" s="126" t="s">
        <v>23</v>
      </c>
      <c r="F242" s="127" t="s">
        <v>4</v>
      </c>
      <c r="G242" s="183">
        <v>45701</v>
      </c>
      <c r="H242" s="134"/>
      <c r="I242" s="100" t="s">
        <v>135</v>
      </c>
      <c r="J242" s="27"/>
      <c r="K242" s="50"/>
      <c r="L242" s="51"/>
      <c r="M242" s="29"/>
      <c r="N242" s="30"/>
      <c r="O242" s="54"/>
      <c r="P242" s="132">
        <v>45705</v>
      </c>
      <c r="Q242" s="89">
        <f t="shared" si="4"/>
        <v>4</v>
      </c>
      <c r="R242" s="101"/>
      <c r="S242" s="56"/>
    </row>
    <row r="243" spans="1:19" ht="43.2" x14ac:dyDescent="0.3">
      <c r="A243">
        <v>241</v>
      </c>
      <c r="B243" s="170">
        <v>1550</v>
      </c>
      <c r="C243" s="171">
        <v>45701</v>
      </c>
      <c r="D243" s="149" t="s">
        <v>981</v>
      </c>
      <c r="E243" s="144" t="s">
        <v>51</v>
      </c>
      <c r="F243" s="145" t="s">
        <v>8</v>
      </c>
      <c r="G243" s="183">
        <v>45701</v>
      </c>
      <c r="H243" s="146"/>
      <c r="I243" s="100" t="s">
        <v>99</v>
      </c>
      <c r="J243" s="27"/>
      <c r="K243" s="28"/>
      <c r="L243" s="51"/>
      <c r="M243" s="29"/>
      <c r="N243" s="30"/>
      <c r="O243" s="54"/>
      <c r="P243" s="83">
        <v>45705</v>
      </c>
      <c r="Q243" s="89">
        <f t="shared" si="4"/>
        <v>4</v>
      </c>
      <c r="R243" s="101" t="s">
        <v>147</v>
      </c>
      <c r="S243" s="57"/>
    </row>
    <row r="244" spans="1:19" ht="72" x14ac:dyDescent="0.3">
      <c r="A244">
        <v>242</v>
      </c>
      <c r="B244" s="170">
        <v>1550</v>
      </c>
      <c r="C244" s="171">
        <v>45701</v>
      </c>
      <c r="D244" s="149" t="s">
        <v>982</v>
      </c>
      <c r="E244" s="144" t="s">
        <v>1</v>
      </c>
      <c r="F244" s="145" t="s">
        <v>6</v>
      </c>
      <c r="G244" s="183">
        <v>45701</v>
      </c>
      <c r="H244" s="146"/>
      <c r="I244" s="100" t="s">
        <v>99</v>
      </c>
      <c r="J244" s="27"/>
      <c r="K244" s="28"/>
      <c r="L244" s="51"/>
      <c r="M244" s="29"/>
      <c r="N244" s="30"/>
      <c r="O244" s="54"/>
      <c r="P244" s="83">
        <v>45705</v>
      </c>
      <c r="Q244" s="89">
        <f t="shared" si="4"/>
        <v>4</v>
      </c>
      <c r="R244" s="101"/>
      <c r="S244" s="56"/>
    </row>
    <row r="245" spans="1:19" ht="43.2" x14ac:dyDescent="0.3">
      <c r="A245">
        <v>243</v>
      </c>
      <c r="B245" s="170">
        <v>1550</v>
      </c>
      <c r="C245" s="171">
        <v>45701</v>
      </c>
      <c r="D245" s="149" t="s">
        <v>983</v>
      </c>
      <c r="E245" s="144" t="s">
        <v>51</v>
      </c>
      <c r="F245" s="145" t="s">
        <v>8</v>
      </c>
      <c r="G245" s="183">
        <v>45701</v>
      </c>
      <c r="H245" s="146"/>
      <c r="I245" s="100" t="s">
        <v>99</v>
      </c>
      <c r="J245" s="27"/>
      <c r="K245" s="28"/>
      <c r="L245" s="51"/>
      <c r="M245" s="29"/>
      <c r="N245" s="30"/>
      <c r="O245" s="54"/>
      <c r="P245" s="83">
        <v>45705</v>
      </c>
      <c r="Q245" s="89">
        <f t="shared" si="4"/>
        <v>4</v>
      </c>
      <c r="R245" s="101" t="s">
        <v>190</v>
      </c>
      <c r="S245" s="56"/>
    </row>
    <row r="246" spans="1:19" ht="28.8" x14ac:dyDescent="0.3">
      <c r="A246">
        <v>244</v>
      </c>
      <c r="B246" s="86">
        <v>1550</v>
      </c>
      <c r="C246" s="92">
        <v>45701</v>
      </c>
      <c r="D246" s="149" t="s">
        <v>984</v>
      </c>
      <c r="E246" s="48" t="s">
        <v>23</v>
      </c>
      <c r="F246" s="80" t="s">
        <v>6</v>
      </c>
      <c r="G246" s="183">
        <v>45701</v>
      </c>
      <c r="H246" s="49"/>
      <c r="I246" s="100" t="s">
        <v>135</v>
      </c>
      <c r="J246" s="27"/>
      <c r="K246" s="28"/>
      <c r="L246" s="51"/>
      <c r="M246" s="29"/>
      <c r="N246" s="30"/>
      <c r="O246" s="54"/>
      <c r="P246" s="83">
        <v>45705</v>
      </c>
      <c r="Q246" s="89">
        <f t="shared" si="4"/>
        <v>4</v>
      </c>
      <c r="R246" s="101"/>
      <c r="S246" s="56"/>
    </row>
    <row r="247" spans="1:19" ht="28.8" x14ac:dyDescent="0.3">
      <c r="A247">
        <v>245</v>
      </c>
      <c r="B247" s="86">
        <v>1550</v>
      </c>
      <c r="C247" s="92">
        <v>45701</v>
      </c>
      <c r="D247" s="149" t="s">
        <v>985</v>
      </c>
      <c r="E247" s="47" t="s">
        <v>54</v>
      </c>
      <c r="F247" s="80" t="s">
        <v>8</v>
      </c>
      <c r="G247" s="183">
        <v>45701</v>
      </c>
      <c r="H247" s="49"/>
      <c r="I247" s="100" t="s">
        <v>253</v>
      </c>
      <c r="J247" s="128"/>
      <c r="K247" s="128"/>
      <c r="L247" s="129"/>
      <c r="M247" s="130"/>
      <c r="N247" s="130"/>
      <c r="O247" s="131"/>
      <c r="P247" s="132">
        <v>45705</v>
      </c>
      <c r="Q247" s="89">
        <f t="shared" si="4"/>
        <v>4</v>
      </c>
      <c r="R247" s="101" t="s">
        <v>205</v>
      </c>
      <c r="S247" s="168"/>
    </row>
    <row r="248" spans="1:19" ht="43.2" x14ac:dyDescent="0.3">
      <c r="A248">
        <v>246</v>
      </c>
      <c r="B248" s="86">
        <v>1550</v>
      </c>
      <c r="C248" s="92">
        <v>45702</v>
      </c>
      <c r="D248" s="149" t="s">
        <v>986</v>
      </c>
      <c r="E248" s="47" t="s">
        <v>51</v>
      </c>
      <c r="F248" s="145" t="s">
        <v>8</v>
      </c>
      <c r="G248" s="183">
        <v>45702</v>
      </c>
      <c r="H248" s="49"/>
      <c r="I248" s="100" t="s">
        <v>99</v>
      </c>
      <c r="J248" s="27"/>
      <c r="K248" s="28"/>
      <c r="L248" s="51"/>
      <c r="M248" s="29"/>
      <c r="N248" s="30"/>
      <c r="O248" s="54"/>
      <c r="P248" s="83">
        <v>45705</v>
      </c>
      <c r="Q248" s="89">
        <f t="shared" si="4"/>
        <v>3</v>
      </c>
      <c r="R248" s="101" t="s">
        <v>479</v>
      </c>
      <c r="S248" s="56"/>
    </row>
    <row r="249" spans="1:19" ht="43.2" x14ac:dyDescent="0.3">
      <c r="A249">
        <v>247</v>
      </c>
      <c r="B249" s="170" t="s">
        <v>80</v>
      </c>
      <c r="C249" s="171">
        <v>45702</v>
      </c>
      <c r="D249" s="149" t="s">
        <v>987</v>
      </c>
      <c r="E249" s="48" t="s">
        <v>51</v>
      </c>
      <c r="F249" s="80" t="s">
        <v>10</v>
      </c>
      <c r="G249" s="183">
        <v>45702</v>
      </c>
      <c r="H249" s="5"/>
      <c r="I249" s="100" t="s">
        <v>99</v>
      </c>
      <c r="J249" s="27"/>
      <c r="K249" s="28"/>
      <c r="L249" s="51"/>
      <c r="M249" s="29"/>
      <c r="N249" s="30"/>
      <c r="O249" s="54"/>
      <c r="P249" s="132">
        <v>45705</v>
      </c>
      <c r="Q249" s="89">
        <f t="shared" si="4"/>
        <v>3</v>
      </c>
      <c r="R249" s="101"/>
      <c r="S249" s="56"/>
    </row>
    <row r="250" spans="1:19" ht="43.2" x14ac:dyDescent="0.3">
      <c r="A250">
        <v>248</v>
      </c>
      <c r="B250" s="170" t="s">
        <v>80</v>
      </c>
      <c r="C250" s="171">
        <v>45702</v>
      </c>
      <c r="D250" s="149" t="s">
        <v>988</v>
      </c>
      <c r="E250" s="93" t="s">
        <v>51</v>
      </c>
      <c r="F250" s="80" t="s">
        <v>10</v>
      </c>
      <c r="G250" s="183">
        <v>45702</v>
      </c>
      <c r="H250" s="5"/>
      <c r="I250" s="100" t="s">
        <v>99</v>
      </c>
      <c r="J250" s="27"/>
      <c r="K250" s="28"/>
      <c r="L250" s="51"/>
      <c r="M250" s="29"/>
      <c r="N250" s="30"/>
      <c r="O250" s="54"/>
      <c r="P250" s="132">
        <v>45705</v>
      </c>
      <c r="Q250" s="89">
        <f t="shared" si="4"/>
        <v>3</v>
      </c>
      <c r="R250" s="101"/>
      <c r="S250" s="56"/>
    </row>
    <row r="251" spans="1:19" ht="43.2" x14ac:dyDescent="0.3">
      <c r="A251">
        <v>249</v>
      </c>
      <c r="B251" s="170" t="s">
        <v>80</v>
      </c>
      <c r="C251" s="171">
        <v>45702</v>
      </c>
      <c r="D251" s="149" t="s">
        <v>989</v>
      </c>
      <c r="E251" s="47" t="s">
        <v>51</v>
      </c>
      <c r="F251" s="81" t="s">
        <v>10</v>
      </c>
      <c r="G251" s="183">
        <v>45702</v>
      </c>
      <c r="H251" s="49"/>
      <c r="I251" s="100" t="s">
        <v>99</v>
      </c>
      <c r="J251" s="27"/>
      <c r="K251" s="28"/>
      <c r="L251" s="51"/>
      <c r="M251" s="29"/>
      <c r="N251" s="30"/>
      <c r="O251" s="54"/>
      <c r="P251" s="132">
        <v>45705</v>
      </c>
      <c r="Q251" s="89">
        <f t="shared" si="4"/>
        <v>3</v>
      </c>
      <c r="R251" s="101"/>
      <c r="S251" s="56"/>
    </row>
    <row r="252" spans="1:19" ht="43.2" x14ac:dyDescent="0.3">
      <c r="A252">
        <v>250</v>
      </c>
      <c r="B252" s="170" t="s">
        <v>80</v>
      </c>
      <c r="C252" s="171">
        <v>45702</v>
      </c>
      <c r="D252" s="98" t="s">
        <v>990</v>
      </c>
      <c r="E252" s="47" t="s">
        <v>51</v>
      </c>
      <c r="F252" s="81" t="s">
        <v>10</v>
      </c>
      <c r="G252" s="183">
        <v>45702</v>
      </c>
      <c r="H252" s="49"/>
      <c r="I252" s="100" t="s">
        <v>99</v>
      </c>
      <c r="J252" s="27"/>
      <c r="K252" s="28"/>
      <c r="L252" s="51"/>
      <c r="M252" s="29"/>
      <c r="N252" s="30"/>
      <c r="O252" s="54"/>
      <c r="P252" s="132">
        <v>45705</v>
      </c>
      <c r="Q252" s="89">
        <f t="shared" si="4"/>
        <v>3</v>
      </c>
      <c r="R252" s="101"/>
      <c r="S252" s="56"/>
    </row>
    <row r="253" spans="1:19" ht="43.2" x14ac:dyDescent="0.3">
      <c r="A253">
        <v>251</v>
      </c>
      <c r="B253" s="86">
        <v>1550</v>
      </c>
      <c r="C253" s="92">
        <v>45702</v>
      </c>
      <c r="D253" s="149" t="s">
        <v>991</v>
      </c>
      <c r="E253" s="166" t="s">
        <v>51</v>
      </c>
      <c r="F253" s="172" t="s">
        <v>6</v>
      </c>
      <c r="G253" s="183">
        <v>45702</v>
      </c>
      <c r="H253" s="173"/>
      <c r="I253" s="100" t="s">
        <v>99</v>
      </c>
      <c r="J253" s="27"/>
      <c r="K253" s="28"/>
      <c r="L253" s="51"/>
      <c r="M253" s="29"/>
      <c r="N253" s="30"/>
      <c r="O253" s="54"/>
      <c r="P253" s="132">
        <v>45705</v>
      </c>
      <c r="Q253" s="89">
        <f t="shared" si="4"/>
        <v>3</v>
      </c>
      <c r="R253" s="101"/>
      <c r="S253" s="56"/>
    </row>
    <row r="254" spans="1:19" ht="43.2" x14ac:dyDescent="0.3">
      <c r="A254">
        <v>252</v>
      </c>
      <c r="B254" s="86">
        <v>1550</v>
      </c>
      <c r="C254" s="92">
        <v>45705</v>
      </c>
      <c r="D254" s="215" t="s">
        <v>992</v>
      </c>
      <c r="E254" s="166" t="s">
        <v>49</v>
      </c>
      <c r="F254" s="172" t="s">
        <v>6</v>
      </c>
      <c r="G254" s="183">
        <v>45705</v>
      </c>
      <c r="H254" s="173"/>
      <c r="I254" s="100" t="s">
        <v>266</v>
      </c>
      <c r="J254" s="27"/>
      <c r="K254" s="28"/>
      <c r="L254" s="51"/>
      <c r="M254" s="29"/>
      <c r="N254" s="30"/>
      <c r="O254" s="54"/>
      <c r="P254" s="132">
        <v>45705</v>
      </c>
      <c r="Q254" s="89">
        <f t="shared" si="4"/>
        <v>0</v>
      </c>
      <c r="R254" s="101"/>
      <c r="S254" s="56"/>
    </row>
    <row r="255" spans="1:19" x14ac:dyDescent="0.3">
      <c r="A255">
        <v>253</v>
      </c>
      <c r="B255" s="86">
        <v>1550</v>
      </c>
      <c r="C255" s="92">
        <v>45705</v>
      </c>
      <c r="D255" s="95" t="s">
        <v>993</v>
      </c>
      <c r="E255" s="144" t="s">
        <v>24</v>
      </c>
      <c r="F255" s="145" t="s">
        <v>4</v>
      </c>
      <c r="G255" s="183">
        <v>45705</v>
      </c>
      <c r="H255" s="146"/>
      <c r="I255" s="100" t="s">
        <v>125</v>
      </c>
      <c r="J255" s="27"/>
      <c r="K255" s="28"/>
      <c r="L255" s="51"/>
      <c r="M255" s="29"/>
      <c r="N255" s="30"/>
      <c r="O255" s="54"/>
      <c r="P255" s="132">
        <v>45705</v>
      </c>
      <c r="Q255" s="89">
        <f t="shared" si="4"/>
        <v>0</v>
      </c>
      <c r="R255" s="101"/>
      <c r="S255" s="56"/>
    </row>
    <row r="256" spans="1:19" ht="43.2" x14ac:dyDescent="0.3">
      <c r="A256">
        <v>254</v>
      </c>
      <c r="B256" s="86">
        <v>1550</v>
      </c>
      <c r="C256" s="92">
        <v>45705</v>
      </c>
      <c r="D256" s="95" t="s">
        <v>994</v>
      </c>
      <c r="E256" s="166" t="s">
        <v>32</v>
      </c>
      <c r="F256" s="145" t="s">
        <v>4</v>
      </c>
      <c r="G256" s="183">
        <v>45705</v>
      </c>
      <c r="H256" s="173"/>
      <c r="I256" s="100" t="s">
        <v>106</v>
      </c>
      <c r="J256" s="27"/>
      <c r="K256" s="28"/>
      <c r="L256" s="51"/>
      <c r="M256" s="29"/>
      <c r="N256" s="30"/>
      <c r="O256" s="54"/>
      <c r="P256" s="132">
        <v>45705</v>
      </c>
      <c r="Q256" s="89">
        <f t="shared" si="4"/>
        <v>0</v>
      </c>
      <c r="R256" s="101"/>
      <c r="S256" s="56"/>
    </row>
    <row r="257" spans="1:19" ht="57.6" x14ac:dyDescent="0.3">
      <c r="A257">
        <v>255</v>
      </c>
      <c r="B257" s="86">
        <v>1550</v>
      </c>
      <c r="C257" s="92">
        <v>45705</v>
      </c>
      <c r="D257" s="95" t="s">
        <v>995</v>
      </c>
      <c r="E257" s="166" t="s">
        <v>5</v>
      </c>
      <c r="F257" s="145" t="s">
        <v>8</v>
      </c>
      <c r="G257" s="183">
        <v>45705</v>
      </c>
      <c r="H257" s="173"/>
      <c r="I257" s="100" t="s">
        <v>125</v>
      </c>
      <c r="J257" s="128"/>
      <c r="K257" s="128"/>
      <c r="L257" s="129"/>
      <c r="M257" s="130"/>
      <c r="N257" s="130"/>
      <c r="O257" s="131"/>
      <c r="P257" s="132">
        <v>45705</v>
      </c>
      <c r="Q257" s="89">
        <f t="shared" si="4"/>
        <v>0</v>
      </c>
      <c r="R257" s="101" t="s">
        <v>151</v>
      </c>
      <c r="S257" s="168"/>
    </row>
    <row r="258" spans="1:19" ht="57.6" x14ac:dyDescent="0.3">
      <c r="A258">
        <v>256</v>
      </c>
      <c r="B258" s="170" t="s">
        <v>80</v>
      </c>
      <c r="C258" s="171">
        <v>45705</v>
      </c>
      <c r="D258" s="95" t="s">
        <v>996</v>
      </c>
      <c r="E258" s="144" t="s">
        <v>26</v>
      </c>
      <c r="F258" s="145" t="s">
        <v>10</v>
      </c>
      <c r="G258" s="183">
        <v>45705</v>
      </c>
      <c r="H258" s="146">
        <v>10000265966</v>
      </c>
      <c r="I258" s="100" t="s">
        <v>135</v>
      </c>
      <c r="J258" s="128"/>
      <c r="K258" s="128"/>
      <c r="L258" s="129"/>
      <c r="M258" s="130"/>
      <c r="N258" s="130"/>
      <c r="O258" s="131"/>
      <c r="P258" s="83">
        <v>45705</v>
      </c>
      <c r="Q258" s="89">
        <f t="shared" si="4"/>
        <v>0</v>
      </c>
      <c r="R258" s="101"/>
      <c r="S258" s="168"/>
    </row>
    <row r="259" spans="1:19" ht="43.2" x14ac:dyDescent="0.3">
      <c r="A259">
        <v>257</v>
      </c>
      <c r="B259" s="170" t="s">
        <v>80</v>
      </c>
      <c r="C259" s="171">
        <v>45705</v>
      </c>
      <c r="D259" s="95" t="s">
        <v>997</v>
      </c>
      <c r="E259" s="48" t="s">
        <v>51</v>
      </c>
      <c r="F259" s="80" t="s">
        <v>10</v>
      </c>
      <c r="G259" s="183">
        <v>45705</v>
      </c>
      <c r="H259" s="5"/>
      <c r="I259" s="100" t="s">
        <v>99</v>
      </c>
      <c r="J259" s="128"/>
      <c r="K259" s="128"/>
      <c r="L259" s="129"/>
      <c r="M259" s="130"/>
      <c r="N259" s="130"/>
      <c r="O259" s="131"/>
      <c r="P259" s="83">
        <v>45705</v>
      </c>
      <c r="Q259" s="89">
        <f t="shared" si="4"/>
        <v>0</v>
      </c>
      <c r="R259" s="101"/>
      <c r="S259" s="168"/>
    </row>
    <row r="260" spans="1:19" ht="43.2" x14ac:dyDescent="0.3">
      <c r="A260">
        <v>258</v>
      </c>
      <c r="B260" s="170" t="s">
        <v>80</v>
      </c>
      <c r="C260" s="171">
        <v>45705</v>
      </c>
      <c r="D260" s="98" t="s">
        <v>998</v>
      </c>
      <c r="E260" s="48" t="s">
        <v>51</v>
      </c>
      <c r="F260" s="80" t="s">
        <v>10</v>
      </c>
      <c r="G260" s="183">
        <v>45705</v>
      </c>
      <c r="H260" s="5"/>
      <c r="I260" s="100" t="s">
        <v>99</v>
      </c>
      <c r="J260" s="128"/>
      <c r="K260" s="128"/>
      <c r="L260" s="129"/>
      <c r="M260" s="130"/>
      <c r="N260" s="130"/>
      <c r="O260" s="131"/>
      <c r="P260" s="83">
        <v>45705</v>
      </c>
      <c r="Q260" s="89">
        <f t="shared" si="4"/>
        <v>0</v>
      </c>
      <c r="R260" s="101"/>
      <c r="S260" s="168"/>
    </row>
    <row r="261" spans="1:19" ht="43.2" x14ac:dyDescent="0.3">
      <c r="A261">
        <v>259</v>
      </c>
      <c r="B261" s="170" t="s">
        <v>80</v>
      </c>
      <c r="C261" s="171">
        <v>45705</v>
      </c>
      <c r="D261" s="95" t="s">
        <v>999</v>
      </c>
      <c r="E261" s="47" t="s">
        <v>51</v>
      </c>
      <c r="F261" s="80" t="s">
        <v>10</v>
      </c>
      <c r="G261" s="183">
        <v>45705</v>
      </c>
      <c r="H261" s="49"/>
      <c r="I261" s="100" t="s">
        <v>99</v>
      </c>
      <c r="J261" s="128"/>
      <c r="K261" s="128"/>
      <c r="L261" s="129"/>
      <c r="M261" s="130"/>
      <c r="N261" s="130"/>
      <c r="O261" s="131"/>
      <c r="P261" s="83">
        <v>45705</v>
      </c>
      <c r="Q261" s="89">
        <f t="shared" si="4"/>
        <v>0</v>
      </c>
      <c r="R261" s="101"/>
      <c r="S261" s="168"/>
    </row>
    <row r="262" spans="1:19" ht="43.2" x14ac:dyDescent="0.3">
      <c r="A262">
        <v>260</v>
      </c>
      <c r="B262" s="170" t="s">
        <v>80</v>
      </c>
      <c r="C262" s="171">
        <v>45705</v>
      </c>
      <c r="D262" s="95" t="s">
        <v>1000</v>
      </c>
      <c r="E262" s="48" t="s">
        <v>51</v>
      </c>
      <c r="F262" s="80" t="s">
        <v>10</v>
      </c>
      <c r="G262" s="183">
        <v>45705</v>
      </c>
      <c r="H262" s="5"/>
      <c r="I262" s="100" t="s">
        <v>99</v>
      </c>
      <c r="J262" s="128"/>
      <c r="K262" s="128"/>
      <c r="L262" s="129"/>
      <c r="M262" s="130"/>
      <c r="N262" s="130"/>
      <c r="O262" s="131"/>
      <c r="P262" s="83">
        <v>45705</v>
      </c>
      <c r="Q262" s="89">
        <f t="shared" si="4"/>
        <v>0</v>
      </c>
      <c r="R262" s="101"/>
      <c r="S262" s="168"/>
    </row>
    <row r="263" spans="1:19" ht="115.2" x14ac:dyDescent="0.3">
      <c r="A263">
        <v>261</v>
      </c>
      <c r="B263" s="170" t="s">
        <v>80</v>
      </c>
      <c r="C263" s="171">
        <v>45705</v>
      </c>
      <c r="D263" s="97" t="s">
        <v>1001</v>
      </c>
      <c r="E263" s="47" t="s">
        <v>17</v>
      </c>
      <c r="F263" s="172" t="s">
        <v>10</v>
      </c>
      <c r="G263" s="183">
        <v>45705</v>
      </c>
      <c r="H263" s="49"/>
      <c r="I263" s="100" t="s">
        <v>82</v>
      </c>
      <c r="J263" s="128"/>
      <c r="K263" s="128"/>
      <c r="L263" s="129"/>
      <c r="M263" s="130"/>
      <c r="N263" s="130"/>
      <c r="O263" s="131"/>
      <c r="P263" s="65">
        <v>45705</v>
      </c>
      <c r="Q263" s="89">
        <f t="shared" si="4"/>
        <v>0</v>
      </c>
      <c r="R263" s="101"/>
      <c r="S263" s="168"/>
    </row>
    <row r="264" spans="1:19" ht="100.8" x14ac:dyDescent="0.3">
      <c r="A264">
        <v>262</v>
      </c>
      <c r="B264" s="86" t="s">
        <v>80</v>
      </c>
      <c r="C264" s="92">
        <v>45693</v>
      </c>
      <c r="D264" s="97" t="s">
        <v>1002</v>
      </c>
      <c r="E264" s="166" t="s">
        <v>21</v>
      </c>
      <c r="F264" s="81" t="s">
        <v>10</v>
      </c>
      <c r="G264" s="183">
        <v>45693</v>
      </c>
      <c r="H264" s="49"/>
      <c r="I264" s="100" t="s">
        <v>99</v>
      </c>
      <c r="J264" s="128"/>
      <c r="K264" s="128"/>
      <c r="L264" s="129"/>
      <c r="M264" s="130"/>
      <c r="N264" s="130"/>
      <c r="O264" s="131"/>
      <c r="P264" s="132">
        <v>45706</v>
      </c>
      <c r="Q264" s="89">
        <f t="shared" si="4"/>
        <v>13</v>
      </c>
      <c r="R264" s="101"/>
      <c r="S264" s="168"/>
    </row>
    <row r="265" spans="1:19" ht="57.6" x14ac:dyDescent="0.3">
      <c r="A265">
        <v>263</v>
      </c>
      <c r="B265" s="86" t="s">
        <v>80</v>
      </c>
      <c r="C265" s="92">
        <v>45695</v>
      </c>
      <c r="D265" s="97" t="s">
        <v>1003</v>
      </c>
      <c r="E265" s="47" t="s">
        <v>24</v>
      </c>
      <c r="F265" s="81" t="s">
        <v>10</v>
      </c>
      <c r="G265" s="183">
        <v>45695</v>
      </c>
      <c r="H265" s="49"/>
      <c r="I265" s="100" t="s">
        <v>125</v>
      </c>
      <c r="J265" s="128"/>
      <c r="K265" s="128"/>
      <c r="L265" s="129"/>
      <c r="M265" s="130"/>
      <c r="N265" s="130"/>
      <c r="O265" s="131"/>
      <c r="P265" s="83">
        <v>45706</v>
      </c>
      <c r="Q265" s="89">
        <f t="shared" si="4"/>
        <v>11</v>
      </c>
      <c r="R265" s="101"/>
      <c r="S265" s="168"/>
    </row>
    <row r="266" spans="1:19" ht="43.2" x14ac:dyDescent="0.3">
      <c r="A266">
        <v>264</v>
      </c>
      <c r="B266" s="86">
        <v>1550</v>
      </c>
      <c r="C266" s="92">
        <v>45699</v>
      </c>
      <c r="D266" s="97" t="s">
        <v>1004</v>
      </c>
      <c r="E266" s="166" t="s">
        <v>25</v>
      </c>
      <c r="F266" s="172" t="s">
        <v>8</v>
      </c>
      <c r="G266" s="183">
        <v>45699</v>
      </c>
      <c r="H266" s="173">
        <v>10000264074</v>
      </c>
      <c r="I266" s="100" t="s">
        <v>22</v>
      </c>
      <c r="J266" s="27"/>
      <c r="K266" s="28"/>
      <c r="L266" s="51"/>
      <c r="M266" s="29"/>
      <c r="N266" s="30"/>
      <c r="O266" s="54"/>
      <c r="P266" s="83">
        <v>45706</v>
      </c>
      <c r="Q266" s="89">
        <f t="shared" si="4"/>
        <v>7</v>
      </c>
      <c r="R266" s="101" t="s">
        <v>205</v>
      </c>
      <c r="S266" s="56"/>
    </row>
    <row r="267" spans="1:19" ht="72" x14ac:dyDescent="0.3">
      <c r="A267">
        <v>265</v>
      </c>
      <c r="B267" s="86" t="s">
        <v>80</v>
      </c>
      <c r="C267" s="92">
        <v>45700</v>
      </c>
      <c r="D267" s="97" t="s">
        <v>1005</v>
      </c>
      <c r="E267" s="166" t="s">
        <v>24</v>
      </c>
      <c r="F267" s="172" t="s">
        <v>10</v>
      </c>
      <c r="G267" s="183">
        <v>45700</v>
      </c>
      <c r="H267" s="173"/>
      <c r="I267" s="728" t="s">
        <v>383</v>
      </c>
      <c r="J267" s="128"/>
      <c r="K267" s="128"/>
      <c r="L267" s="129"/>
      <c r="M267" s="130"/>
      <c r="N267" s="130"/>
      <c r="O267" s="131"/>
      <c r="P267" s="83">
        <v>45706</v>
      </c>
      <c r="Q267" s="89">
        <f t="shared" si="4"/>
        <v>6</v>
      </c>
      <c r="R267" s="101"/>
      <c r="S267" s="168"/>
    </row>
    <row r="268" spans="1:19" ht="57.6" x14ac:dyDescent="0.3">
      <c r="A268">
        <v>266</v>
      </c>
      <c r="B268" s="170">
        <v>1550</v>
      </c>
      <c r="C268" s="171">
        <v>45701</v>
      </c>
      <c r="D268" s="149" t="s">
        <v>1006</v>
      </c>
      <c r="E268" s="166" t="s">
        <v>1</v>
      </c>
      <c r="F268" s="172" t="s">
        <v>6</v>
      </c>
      <c r="G268" s="183">
        <v>45701</v>
      </c>
      <c r="H268" s="173"/>
      <c r="I268" s="100" t="s">
        <v>125</v>
      </c>
      <c r="J268" s="27"/>
      <c r="K268" s="28"/>
      <c r="L268" s="51"/>
      <c r="M268" s="29"/>
      <c r="N268" s="30"/>
      <c r="O268" s="54"/>
      <c r="P268" s="132">
        <v>45706</v>
      </c>
      <c r="Q268" s="89">
        <f t="shared" si="4"/>
        <v>5</v>
      </c>
      <c r="R268" s="101"/>
      <c r="S268" s="56"/>
    </row>
    <row r="269" spans="1:19" ht="43.2" x14ac:dyDescent="0.3">
      <c r="A269">
        <v>267</v>
      </c>
      <c r="B269" s="86">
        <v>1550</v>
      </c>
      <c r="C269" s="92">
        <v>45705</v>
      </c>
      <c r="D269" s="209" t="s">
        <v>1007</v>
      </c>
      <c r="E269" s="126" t="s">
        <v>51</v>
      </c>
      <c r="F269" s="127" t="s">
        <v>4</v>
      </c>
      <c r="G269" s="183">
        <v>45705</v>
      </c>
      <c r="H269" s="134"/>
      <c r="I269" s="100" t="s">
        <v>99</v>
      </c>
      <c r="J269" s="27"/>
      <c r="K269" s="28"/>
      <c r="L269" s="51"/>
      <c r="M269" s="29"/>
      <c r="N269" s="30"/>
      <c r="O269" s="54"/>
      <c r="P269" s="132">
        <v>45706</v>
      </c>
      <c r="Q269" s="89">
        <f t="shared" si="4"/>
        <v>1</v>
      </c>
      <c r="R269" s="101"/>
      <c r="S269" s="56"/>
    </row>
    <row r="270" spans="1:19" ht="43.2" x14ac:dyDescent="0.3">
      <c r="A270">
        <v>268</v>
      </c>
      <c r="B270" s="86">
        <v>1550</v>
      </c>
      <c r="C270" s="92">
        <v>45705</v>
      </c>
      <c r="D270" s="149" t="s">
        <v>1008</v>
      </c>
      <c r="E270" s="47" t="s">
        <v>52</v>
      </c>
      <c r="F270" s="81" t="s">
        <v>6</v>
      </c>
      <c r="G270" s="183">
        <v>45705</v>
      </c>
      <c r="H270" s="49"/>
      <c r="I270" s="100" t="s">
        <v>253</v>
      </c>
      <c r="J270" s="27" t="s">
        <v>393</v>
      </c>
      <c r="K270" s="50">
        <v>45705</v>
      </c>
      <c r="L270" s="51"/>
      <c r="M270" s="29"/>
      <c r="N270" s="30"/>
      <c r="O270" s="54"/>
      <c r="P270" s="83">
        <v>45706</v>
      </c>
      <c r="Q270" s="89">
        <f t="shared" si="4"/>
        <v>1</v>
      </c>
      <c r="R270" s="101"/>
      <c r="S270" s="56"/>
    </row>
    <row r="271" spans="1:19" ht="43.2" x14ac:dyDescent="0.3">
      <c r="A271">
        <v>269</v>
      </c>
      <c r="B271" s="170" t="s">
        <v>80</v>
      </c>
      <c r="C271" s="171">
        <v>45705</v>
      </c>
      <c r="D271" s="149" t="s">
        <v>1009</v>
      </c>
      <c r="E271" s="166" t="s">
        <v>21</v>
      </c>
      <c r="F271" s="81" t="s">
        <v>10</v>
      </c>
      <c r="G271" s="183">
        <v>45705</v>
      </c>
      <c r="H271" s="173"/>
      <c r="I271" s="100" t="s">
        <v>125</v>
      </c>
      <c r="J271" s="128"/>
      <c r="K271" s="128"/>
      <c r="L271" s="129"/>
      <c r="M271" s="130"/>
      <c r="N271" s="130"/>
      <c r="O271" s="131"/>
      <c r="P271" s="83">
        <v>45706</v>
      </c>
      <c r="Q271" s="89">
        <f t="shared" si="4"/>
        <v>1</v>
      </c>
      <c r="R271" s="101"/>
      <c r="S271" s="168"/>
    </row>
    <row r="272" spans="1:19" x14ac:dyDescent="0.3">
      <c r="A272">
        <v>270</v>
      </c>
      <c r="B272" s="170">
        <v>1550</v>
      </c>
      <c r="C272" s="171">
        <v>45706</v>
      </c>
      <c r="D272" s="149" t="s">
        <v>1010</v>
      </c>
      <c r="E272" s="166" t="s">
        <v>24</v>
      </c>
      <c r="F272" s="172" t="s">
        <v>4</v>
      </c>
      <c r="G272" s="183">
        <v>45706</v>
      </c>
      <c r="H272" s="173"/>
      <c r="I272" s="100" t="s">
        <v>125</v>
      </c>
      <c r="J272" s="128"/>
      <c r="K272" s="128"/>
      <c r="L272" s="129"/>
      <c r="M272" s="130"/>
      <c r="N272" s="130"/>
      <c r="O272" s="131"/>
      <c r="P272" s="132">
        <v>45706</v>
      </c>
      <c r="Q272" s="89">
        <f t="shared" si="4"/>
        <v>0</v>
      </c>
      <c r="R272" s="101"/>
      <c r="S272" s="168"/>
    </row>
    <row r="273" spans="1:19" ht="43.2" x14ac:dyDescent="0.3">
      <c r="A273">
        <v>271</v>
      </c>
      <c r="B273" s="170" t="s">
        <v>80</v>
      </c>
      <c r="C273" s="171">
        <v>45706</v>
      </c>
      <c r="D273" s="149" t="s">
        <v>1011</v>
      </c>
      <c r="E273" s="166" t="s">
        <v>49</v>
      </c>
      <c r="F273" s="172" t="s">
        <v>10</v>
      </c>
      <c r="G273" s="183">
        <v>45706</v>
      </c>
      <c r="H273" s="173"/>
      <c r="I273" s="100" t="s">
        <v>266</v>
      </c>
      <c r="J273" s="128"/>
      <c r="K273" s="128"/>
      <c r="L273" s="129"/>
      <c r="M273" s="130"/>
      <c r="N273" s="130"/>
      <c r="O273" s="131"/>
      <c r="P273" s="132">
        <v>45706</v>
      </c>
      <c r="Q273" s="89">
        <f t="shared" si="4"/>
        <v>0</v>
      </c>
      <c r="R273" s="101"/>
      <c r="S273" s="168"/>
    </row>
    <row r="274" spans="1:19" ht="43.2" x14ac:dyDescent="0.3">
      <c r="A274">
        <v>272</v>
      </c>
      <c r="B274" s="170" t="s">
        <v>80</v>
      </c>
      <c r="C274" s="171">
        <v>45706</v>
      </c>
      <c r="D274" s="149" t="s">
        <v>1012</v>
      </c>
      <c r="E274" s="144" t="s">
        <v>49</v>
      </c>
      <c r="F274" s="172" t="s">
        <v>10</v>
      </c>
      <c r="G274" s="183">
        <v>45706</v>
      </c>
      <c r="H274" s="146"/>
      <c r="I274" s="100" t="s">
        <v>266</v>
      </c>
      <c r="J274" s="128"/>
      <c r="K274" s="128"/>
      <c r="L274" s="129"/>
      <c r="M274" s="130"/>
      <c r="N274" s="130"/>
      <c r="O274" s="131"/>
      <c r="P274" s="132">
        <v>45706</v>
      </c>
      <c r="Q274" s="89">
        <f t="shared" si="4"/>
        <v>0</v>
      </c>
      <c r="R274" s="101"/>
      <c r="S274" s="168"/>
    </row>
    <row r="275" spans="1:19" ht="43.2" x14ac:dyDescent="0.3">
      <c r="A275">
        <v>273</v>
      </c>
      <c r="B275" s="170" t="s">
        <v>80</v>
      </c>
      <c r="C275" s="171">
        <v>45706</v>
      </c>
      <c r="D275" s="98" t="s">
        <v>1013</v>
      </c>
      <c r="E275" s="144" t="s">
        <v>49</v>
      </c>
      <c r="F275" s="145" t="s">
        <v>10</v>
      </c>
      <c r="G275" s="183">
        <v>45706</v>
      </c>
      <c r="H275" s="146"/>
      <c r="I275" s="100" t="s">
        <v>266</v>
      </c>
      <c r="J275" s="128"/>
      <c r="K275" s="128"/>
      <c r="L275" s="129"/>
      <c r="M275" s="130"/>
      <c r="N275" s="130"/>
      <c r="O275" s="131"/>
      <c r="P275" s="132">
        <v>45706</v>
      </c>
      <c r="Q275" s="89">
        <f t="shared" si="4"/>
        <v>0</v>
      </c>
      <c r="R275" s="101"/>
      <c r="S275" s="168"/>
    </row>
    <row r="276" spans="1:19" ht="43.2" x14ac:dyDescent="0.3">
      <c r="A276">
        <v>274</v>
      </c>
      <c r="B276" s="170" t="s">
        <v>80</v>
      </c>
      <c r="C276" s="171">
        <v>45706</v>
      </c>
      <c r="D276" s="95" t="s">
        <v>1014</v>
      </c>
      <c r="E276" s="144" t="s">
        <v>49</v>
      </c>
      <c r="F276" s="145" t="s">
        <v>10</v>
      </c>
      <c r="G276" s="183">
        <v>45706</v>
      </c>
      <c r="H276" s="173"/>
      <c r="I276" s="100" t="s">
        <v>266</v>
      </c>
      <c r="J276" s="128"/>
      <c r="K276" s="128"/>
      <c r="L276" s="129"/>
      <c r="M276" s="130"/>
      <c r="N276" s="130"/>
      <c r="O276" s="131"/>
      <c r="P276" s="132">
        <v>45706</v>
      </c>
      <c r="Q276" s="89">
        <f t="shared" si="4"/>
        <v>0</v>
      </c>
      <c r="R276" s="101"/>
      <c r="S276" s="168"/>
    </row>
    <row r="277" spans="1:19" ht="43.2" x14ac:dyDescent="0.3">
      <c r="A277">
        <v>275</v>
      </c>
      <c r="B277" s="170" t="s">
        <v>80</v>
      </c>
      <c r="C277" s="171">
        <v>45706</v>
      </c>
      <c r="D277" s="95" t="s">
        <v>1015</v>
      </c>
      <c r="E277" s="166" t="s">
        <v>49</v>
      </c>
      <c r="F277" s="145" t="s">
        <v>10</v>
      </c>
      <c r="G277" s="183">
        <v>45706</v>
      </c>
      <c r="H277" s="173"/>
      <c r="I277" s="100" t="s">
        <v>266</v>
      </c>
      <c r="J277" s="128"/>
      <c r="K277" s="128"/>
      <c r="L277" s="129"/>
      <c r="M277" s="130"/>
      <c r="N277" s="130"/>
      <c r="O277" s="131"/>
      <c r="P277" s="132">
        <v>45706</v>
      </c>
      <c r="Q277" s="89">
        <f t="shared" si="4"/>
        <v>0</v>
      </c>
      <c r="R277" s="101"/>
      <c r="S277" s="168"/>
    </row>
    <row r="278" spans="1:19" ht="43.2" x14ac:dyDescent="0.3">
      <c r="A278">
        <v>276</v>
      </c>
      <c r="B278" s="170" t="s">
        <v>80</v>
      </c>
      <c r="C278" s="171">
        <v>45706</v>
      </c>
      <c r="D278" s="95" t="s">
        <v>1016</v>
      </c>
      <c r="E278" s="144" t="s">
        <v>49</v>
      </c>
      <c r="F278" s="145" t="s">
        <v>10</v>
      </c>
      <c r="G278" s="183">
        <v>45706</v>
      </c>
      <c r="H278" s="146"/>
      <c r="I278" s="100" t="s">
        <v>266</v>
      </c>
      <c r="J278" s="128"/>
      <c r="K278" s="128"/>
      <c r="L278" s="129"/>
      <c r="M278" s="130"/>
      <c r="N278" s="130"/>
      <c r="O278" s="131"/>
      <c r="P278" s="132">
        <v>45706</v>
      </c>
      <c r="Q278" s="89">
        <f t="shared" si="4"/>
        <v>0</v>
      </c>
      <c r="R278" s="101"/>
      <c r="S278" s="168"/>
    </row>
    <row r="279" spans="1:19" ht="29.25" customHeight="1" x14ac:dyDescent="0.3">
      <c r="A279">
        <v>277</v>
      </c>
      <c r="B279" s="86" t="s">
        <v>80</v>
      </c>
      <c r="C279" s="92">
        <v>45700</v>
      </c>
      <c r="D279" s="95" t="s">
        <v>1017</v>
      </c>
      <c r="E279" s="144" t="s">
        <v>23</v>
      </c>
      <c r="F279" s="145" t="s">
        <v>10</v>
      </c>
      <c r="G279" s="183">
        <v>45700</v>
      </c>
      <c r="H279" s="146"/>
      <c r="I279" s="100" t="s">
        <v>135</v>
      </c>
      <c r="J279" s="27"/>
      <c r="K279" s="28"/>
      <c r="L279" s="51"/>
      <c r="M279" s="29"/>
      <c r="N279" s="30"/>
      <c r="O279" s="54"/>
      <c r="P279" s="83">
        <v>45707</v>
      </c>
      <c r="Q279" s="89">
        <f t="shared" si="4"/>
        <v>7</v>
      </c>
      <c r="R279" s="101"/>
      <c r="S279" s="56"/>
    </row>
    <row r="280" spans="1:19" ht="28.8" x14ac:dyDescent="0.3">
      <c r="A280">
        <v>278</v>
      </c>
      <c r="B280" s="170">
        <v>1550</v>
      </c>
      <c r="C280" s="171">
        <v>45701</v>
      </c>
      <c r="D280" s="97" t="s">
        <v>1018</v>
      </c>
      <c r="E280" s="144" t="s">
        <v>1</v>
      </c>
      <c r="F280" s="172" t="s">
        <v>8</v>
      </c>
      <c r="G280" s="183">
        <v>45701</v>
      </c>
      <c r="H280" s="173"/>
      <c r="I280" s="100" t="s">
        <v>125</v>
      </c>
      <c r="J280" s="27"/>
      <c r="K280" s="28"/>
      <c r="L280" s="51"/>
      <c r="M280" s="29"/>
      <c r="N280" s="30"/>
      <c r="O280" s="54"/>
      <c r="P280" s="132">
        <v>45707</v>
      </c>
      <c r="Q280" s="89">
        <f t="shared" si="4"/>
        <v>6</v>
      </c>
      <c r="R280" s="101" t="s">
        <v>151</v>
      </c>
      <c r="S280" s="56"/>
    </row>
    <row r="281" spans="1:19" ht="43.2" x14ac:dyDescent="0.3">
      <c r="A281">
        <v>279</v>
      </c>
      <c r="B281" s="170">
        <v>1550</v>
      </c>
      <c r="C281" s="171">
        <v>45701</v>
      </c>
      <c r="D281" s="97" t="s">
        <v>1019</v>
      </c>
      <c r="E281" s="166" t="s">
        <v>12</v>
      </c>
      <c r="F281" s="172" t="s">
        <v>6</v>
      </c>
      <c r="G281" s="183">
        <v>45701</v>
      </c>
      <c r="H281" s="173"/>
      <c r="I281" s="107" t="s">
        <v>159</v>
      </c>
      <c r="J281" s="27"/>
      <c r="K281" s="28"/>
      <c r="L281" s="51"/>
      <c r="M281" s="29"/>
      <c r="N281" s="30"/>
      <c r="O281" s="54"/>
      <c r="P281" s="132">
        <v>45707</v>
      </c>
      <c r="Q281" s="89">
        <f t="shared" si="4"/>
        <v>6</v>
      </c>
      <c r="R281" s="101"/>
      <c r="S281" s="56"/>
    </row>
    <row r="282" spans="1:19" ht="86.4" x14ac:dyDescent="0.3">
      <c r="A282">
        <v>280</v>
      </c>
      <c r="B282" s="141" t="s">
        <v>80</v>
      </c>
      <c r="C282" s="142">
        <v>45701</v>
      </c>
      <c r="D282" s="98" t="s">
        <v>1020</v>
      </c>
      <c r="E282" s="217" t="s">
        <v>24</v>
      </c>
      <c r="F282" s="81" t="s">
        <v>10</v>
      </c>
      <c r="G282" s="183">
        <v>45701</v>
      </c>
      <c r="H282" s="49"/>
      <c r="I282" s="728" t="s">
        <v>383</v>
      </c>
      <c r="J282" s="27"/>
      <c r="K282" s="28"/>
      <c r="L282" s="51"/>
      <c r="M282" s="29"/>
      <c r="N282" s="30"/>
      <c r="O282" s="54"/>
      <c r="P282" s="132">
        <v>45707</v>
      </c>
      <c r="Q282" s="89">
        <f t="shared" si="4"/>
        <v>6</v>
      </c>
      <c r="R282" s="101"/>
      <c r="S282" s="56"/>
    </row>
    <row r="283" spans="1:19" ht="28.8" x14ac:dyDescent="0.3">
      <c r="A283">
        <v>281</v>
      </c>
      <c r="B283" s="135" t="s">
        <v>80</v>
      </c>
      <c r="C283" s="136">
        <v>45701</v>
      </c>
      <c r="D283" s="109" t="s">
        <v>1021</v>
      </c>
      <c r="E283" s="111" t="s">
        <v>15</v>
      </c>
      <c r="F283" s="81" t="s">
        <v>10</v>
      </c>
      <c r="G283" s="183">
        <v>45701</v>
      </c>
      <c r="H283" s="173"/>
      <c r="I283" s="100" t="s">
        <v>99</v>
      </c>
      <c r="J283" s="27"/>
      <c r="K283" s="28"/>
      <c r="L283" s="51"/>
      <c r="M283" s="29"/>
      <c r="N283" s="30"/>
      <c r="O283" s="54"/>
      <c r="P283" s="132">
        <v>45707</v>
      </c>
      <c r="Q283" s="89">
        <f t="shared" si="4"/>
        <v>6</v>
      </c>
      <c r="R283" s="101"/>
      <c r="S283" s="56" t="s">
        <v>1022</v>
      </c>
    </row>
    <row r="284" spans="1:19" ht="43.2" x14ac:dyDescent="0.3">
      <c r="A284">
        <v>282</v>
      </c>
      <c r="B284" s="177">
        <v>1550</v>
      </c>
      <c r="C284" s="177">
        <v>45705</v>
      </c>
      <c r="D284" s="211" t="s">
        <v>1023</v>
      </c>
      <c r="E284" s="150" t="s">
        <v>12</v>
      </c>
      <c r="F284" s="145" t="s">
        <v>8</v>
      </c>
      <c r="G284" s="183">
        <v>45705</v>
      </c>
      <c r="H284" s="173"/>
      <c r="I284" s="107" t="s">
        <v>159</v>
      </c>
      <c r="J284" s="128"/>
      <c r="K284" s="128"/>
      <c r="L284" s="129"/>
      <c r="M284" s="130"/>
      <c r="N284" s="130"/>
      <c r="O284" s="131"/>
      <c r="P284" s="132">
        <v>45707</v>
      </c>
      <c r="Q284" s="89">
        <f t="shared" si="4"/>
        <v>2</v>
      </c>
      <c r="R284" s="101" t="s">
        <v>190</v>
      </c>
      <c r="S284" s="168"/>
    </row>
    <row r="285" spans="1:19" ht="28.8" x14ac:dyDescent="0.3">
      <c r="A285">
        <v>283</v>
      </c>
      <c r="B285" s="176">
        <v>1550</v>
      </c>
      <c r="C285" s="177">
        <v>45705</v>
      </c>
      <c r="D285" s="211" t="s">
        <v>1024</v>
      </c>
      <c r="E285" s="126" t="s">
        <v>1</v>
      </c>
      <c r="F285" s="145" t="s">
        <v>4</v>
      </c>
      <c r="G285" s="183">
        <v>45705</v>
      </c>
      <c r="H285" s="191"/>
      <c r="I285" s="100" t="s">
        <v>125</v>
      </c>
      <c r="J285" s="128"/>
      <c r="K285" s="128"/>
      <c r="L285" s="129"/>
      <c r="M285" s="130"/>
      <c r="N285" s="130"/>
      <c r="O285" s="131"/>
      <c r="P285" s="132">
        <v>45707</v>
      </c>
      <c r="Q285" s="89">
        <f t="shared" si="4"/>
        <v>2</v>
      </c>
      <c r="R285" s="101"/>
      <c r="S285" s="168"/>
    </row>
    <row r="286" spans="1:19" ht="72" x14ac:dyDescent="0.3">
      <c r="A286">
        <v>284</v>
      </c>
      <c r="B286" s="204">
        <v>1550</v>
      </c>
      <c r="C286" s="205">
        <v>45705</v>
      </c>
      <c r="D286" s="149" t="s">
        <v>1025</v>
      </c>
      <c r="E286" s="126" t="s">
        <v>7</v>
      </c>
      <c r="F286" s="145" t="s">
        <v>6</v>
      </c>
      <c r="G286" s="183">
        <v>45705</v>
      </c>
      <c r="H286" s="224"/>
      <c r="I286" s="100" t="s">
        <v>174</v>
      </c>
      <c r="J286" s="27"/>
      <c r="K286" s="28"/>
      <c r="L286" s="51"/>
      <c r="M286" s="29"/>
      <c r="N286" s="30"/>
      <c r="O286" s="54"/>
      <c r="P286" s="83">
        <v>45707</v>
      </c>
      <c r="Q286" s="89">
        <f t="shared" si="4"/>
        <v>2</v>
      </c>
      <c r="R286" s="101"/>
      <c r="S286" s="57"/>
    </row>
    <row r="287" spans="1:19" ht="43.2" x14ac:dyDescent="0.3">
      <c r="A287">
        <v>285</v>
      </c>
      <c r="B287" s="176">
        <v>1550</v>
      </c>
      <c r="C287" s="177">
        <v>45706</v>
      </c>
      <c r="D287" s="149" t="s">
        <v>1026</v>
      </c>
      <c r="E287" s="166" t="s">
        <v>51</v>
      </c>
      <c r="F287" s="145" t="s">
        <v>6</v>
      </c>
      <c r="G287" s="183">
        <v>45706</v>
      </c>
      <c r="H287" s="173"/>
      <c r="I287" s="100" t="s">
        <v>99</v>
      </c>
      <c r="J287" s="128"/>
      <c r="K287" s="128"/>
      <c r="L287" s="129"/>
      <c r="M287" s="130"/>
      <c r="N287" s="130"/>
      <c r="O287" s="131"/>
      <c r="P287" s="132">
        <v>45707</v>
      </c>
      <c r="Q287" s="89">
        <f t="shared" ref="Q287:Q350" si="5">P287-G287</f>
        <v>1</v>
      </c>
      <c r="R287" s="101"/>
      <c r="S287" s="168"/>
    </row>
    <row r="288" spans="1:19" ht="43.2" x14ac:dyDescent="0.3">
      <c r="A288">
        <v>286</v>
      </c>
      <c r="B288" s="176">
        <v>1550</v>
      </c>
      <c r="C288" s="177">
        <v>45706</v>
      </c>
      <c r="D288" s="211" t="s">
        <v>1027</v>
      </c>
      <c r="E288" s="47" t="s">
        <v>51</v>
      </c>
      <c r="F288" s="145" t="s">
        <v>6</v>
      </c>
      <c r="G288" s="183">
        <v>45706</v>
      </c>
      <c r="H288" s="173"/>
      <c r="I288" s="100" t="s">
        <v>99</v>
      </c>
      <c r="J288" s="128"/>
      <c r="K288" s="128"/>
      <c r="L288" s="129"/>
      <c r="M288" s="130"/>
      <c r="N288" s="130"/>
      <c r="O288" s="131"/>
      <c r="P288" s="132">
        <v>45707</v>
      </c>
      <c r="Q288" s="89">
        <f t="shared" si="5"/>
        <v>1</v>
      </c>
      <c r="R288" s="101"/>
      <c r="S288" s="168"/>
    </row>
    <row r="289" spans="1:19" ht="43.2" x14ac:dyDescent="0.3">
      <c r="A289">
        <v>287</v>
      </c>
      <c r="B289" s="176">
        <v>1550</v>
      </c>
      <c r="C289" s="177">
        <v>45706</v>
      </c>
      <c r="D289" s="211" t="s">
        <v>1028</v>
      </c>
      <c r="E289" s="47" t="s">
        <v>51</v>
      </c>
      <c r="F289" s="145" t="s">
        <v>6</v>
      </c>
      <c r="G289" s="183">
        <v>45706</v>
      </c>
      <c r="H289" s="173"/>
      <c r="I289" s="100" t="s">
        <v>99</v>
      </c>
      <c r="J289" s="128"/>
      <c r="K289" s="128"/>
      <c r="L289" s="129"/>
      <c r="M289" s="130"/>
      <c r="N289" s="130"/>
      <c r="O289" s="131"/>
      <c r="P289" s="132">
        <v>45707</v>
      </c>
      <c r="Q289" s="89">
        <f t="shared" si="5"/>
        <v>1</v>
      </c>
      <c r="R289" s="101"/>
      <c r="S289" s="168"/>
    </row>
    <row r="290" spans="1:19" ht="28.8" x14ac:dyDescent="0.3">
      <c r="A290">
        <v>288</v>
      </c>
      <c r="B290" s="176">
        <v>1550</v>
      </c>
      <c r="C290" s="177">
        <v>45706</v>
      </c>
      <c r="D290" s="211" t="s">
        <v>1029</v>
      </c>
      <c r="E290" s="111" t="s">
        <v>3</v>
      </c>
      <c r="F290" s="127" t="s">
        <v>8</v>
      </c>
      <c r="G290" s="183">
        <v>45706</v>
      </c>
      <c r="H290" s="134">
        <v>10000266509</v>
      </c>
      <c r="I290" s="100" t="s">
        <v>82</v>
      </c>
      <c r="J290" s="128"/>
      <c r="K290" s="128"/>
      <c r="L290" s="129"/>
      <c r="M290" s="130"/>
      <c r="N290" s="130"/>
      <c r="O290" s="131"/>
      <c r="P290" s="132">
        <v>45707</v>
      </c>
      <c r="Q290" s="89">
        <f t="shared" si="5"/>
        <v>1</v>
      </c>
      <c r="R290" s="101" t="s">
        <v>899</v>
      </c>
      <c r="S290" s="168"/>
    </row>
    <row r="291" spans="1:19" ht="43.2" x14ac:dyDescent="0.3">
      <c r="A291">
        <v>289</v>
      </c>
      <c r="B291" s="176" t="s">
        <v>80</v>
      </c>
      <c r="C291" s="177">
        <v>45706</v>
      </c>
      <c r="D291" s="149" t="s">
        <v>1030</v>
      </c>
      <c r="E291" s="111" t="s">
        <v>51</v>
      </c>
      <c r="F291" s="125" t="s">
        <v>10</v>
      </c>
      <c r="G291" s="183">
        <v>45706</v>
      </c>
      <c r="H291" s="137"/>
      <c r="I291" s="100" t="s">
        <v>99</v>
      </c>
      <c r="J291" s="128"/>
      <c r="K291" s="128"/>
      <c r="L291" s="129"/>
      <c r="M291" s="130"/>
      <c r="N291" s="130"/>
      <c r="O291" s="131"/>
      <c r="P291" s="132">
        <v>45707</v>
      </c>
      <c r="Q291" s="89">
        <f t="shared" si="5"/>
        <v>1</v>
      </c>
      <c r="R291" s="101"/>
      <c r="S291" s="168"/>
    </row>
    <row r="292" spans="1:19" ht="43.2" x14ac:dyDescent="0.3">
      <c r="A292">
        <v>290</v>
      </c>
      <c r="B292" s="176" t="s">
        <v>80</v>
      </c>
      <c r="C292" s="177">
        <v>45706</v>
      </c>
      <c r="D292" s="149" t="s">
        <v>1031</v>
      </c>
      <c r="E292" s="111" t="s">
        <v>51</v>
      </c>
      <c r="F292" s="125" t="s">
        <v>10</v>
      </c>
      <c r="G292" s="183">
        <v>45706</v>
      </c>
      <c r="H292" s="137"/>
      <c r="I292" s="100" t="s">
        <v>99</v>
      </c>
      <c r="J292" s="27"/>
      <c r="K292" s="28"/>
      <c r="L292" s="51"/>
      <c r="M292" s="29"/>
      <c r="N292" s="30"/>
      <c r="O292" s="54"/>
      <c r="P292" s="132">
        <v>45707</v>
      </c>
      <c r="Q292" s="89">
        <f t="shared" si="5"/>
        <v>1</v>
      </c>
      <c r="R292" s="101"/>
      <c r="S292" s="56"/>
    </row>
    <row r="293" spans="1:19" ht="43.2" x14ac:dyDescent="0.3">
      <c r="A293">
        <v>291</v>
      </c>
      <c r="B293" s="176" t="s">
        <v>80</v>
      </c>
      <c r="C293" s="177">
        <v>45706</v>
      </c>
      <c r="D293" s="149" t="s">
        <v>1032</v>
      </c>
      <c r="E293" s="111" t="s">
        <v>51</v>
      </c>
      <c r="F293" s="125" t="s">
        <v>10</v>
      </c>
      <c r="G293" s="183">
        <v>45706</v>
      </c>
      <c r="H293" s="137"/>
      <c r="I293" s="100" t="s">
        <v>99</v>
      </c>
      <c r="J293" s="27"/>
      <c r="K293" s="28"/>
      <c r="L293" s="51"/>
      <c r="M293" s="29"/>
      <c r="N293" s="30"/>
      <c r="O293" s="54"/>
      <c r="P293" s="132">
        <v>45707</v>
      </c>
      <c r="Q293" s="89">
        <f t="shared" si="5"/>
        <v>1</v>
      </c>
      <c r="R293" s="101"/>
      <c r="S293" s="56"/>
    </row>
    <row r="294" spans="1:19" ht="43.2" x14ac:dyDescent="0.3">
      <c r="A294">
        <v>292</v>
      </c>
      <c r="B294" s="176" t="s">
        <v>80</v>
      </c>
      <c r="C294" s="177">
        <v>45706</v>
      </c>
      <c r="D294" s="149" t="s">
        <v>1033</v>
      </c>
      <c r="E294" s="48" t="s">
        <v>51</v>
      </c>
      <c r="F294" s="80" t="s">
        <v>10</v>
      </c>
      <c r="G294" s="183">
        <v>45706</v>
      </c>
      <c r="H294" s="5"/>
      <c r="I294" s="100" t="s">
        <v>99</v>
      </c>
      <c r="J294" s="27"/>
      <c r="K294" s="28"/>
      <c r="L294" s="51"/>
      <c r="M294" s="29"/>
      <c r="N294" s="30"/>
      <c r="O294" s="54"/>
      <c r="P294" s="132">
        <v>45707</v>
      </c>
      <c r="Q294" s="89">
        <f t="shared" si="5"/>
        <v>1</v>
      </c>
      <c r="R294" s="101"/>
      <c r="S294" s="56"/>
    </row>
    <row r="295" spans="1:19" ht="43.2" x14ac:dyDescent="0.3">
      <c r="A295">
        <v>293</v>
      </c>
      <c r="B295" s="176" t="s">
        <v>80</v>
      </c>
      <c r="C295" s="177">
        <v>45706</v>
      </c>
      <c r="D295" s="149" t="s">
        <v>1034</v>
      </c>
      <c r="E295" s="48" t="s">
        <v>51</v>
      </c>
      <c r="F295" s="80" t="s">
        <v>10</v>
      </c>
      <c r="G295" s="183">
        <v>45706</v>
      </c>
      <c r="H295" s="5"/>
      <c r="I295" s="100" t="s">
        <v>99</v>
      </c>
      <c r="J295" s="27"/>
      <c r="K295" s="28"/>
      <c r="L295" s="51"/>
      <c r="M295" s="29"/>
      <c r="N295" s="30"/>
      <c r="O295" s="54"/>
      <c r="P295" s="132">
        <v>45707</v>
      </c>
      <c r="Q295" s="89">
        <f t="shared" si="5"/>
        <v>1</v>
      </c>
      <c r="R295" s="101"/>
      <c r="S295" s="56"/>
    </row>
    <row r="296" spans="1:19" ht="43.2" x14ac:dyDescent="0.3">
      <c r="A296">
        <v>294</v>
      </c>
      <c r="B296" s="123" t="s">
        <v>80</v>
      </c>
      <c r="C296" s="124">
        <v>45706</v>
      </c>
      <c r="D296" s="192" t="s">
        <v>1035</v>
      </c>
      <c r="E296" s="48" t="s">
        <v>51</v>
      </c>
      <c r="F296" s="80" t="s">
        <v>10</v>
      </c>
      <c r="G296" s="183">
        <v>45706</v>
      </c>
      <c r="H296" s="5"/>
      <c r="I296" s="100" t="s">
        <v>99</v>
      </c>
      <c r="J296" s="27"/>
      <c r="K296" s="28"/>
      <c r="L296" s="51"/>
      <c r="M296" s="29"/>
      <c r="N296" s="30"/>
      <c r="O296" s="54"/>
      <c r="P296" s="132">
        <v>45707</v>
      </c>
      <c r="Q296" s="89">
        <f t="shared" si="5"/>
        <v>1</v>
      </c>
      <c r="R296" s="101"/>
      <c r="S296" s="56"/>
    </row>
    <row r="297" spans="1:19" ht="28.8" x14ac:dyDescent="0.3">
      <c r="A297">
        <v>295</v>
      </c>
      <c r="B297" s="86">
        <v>1550</v>
      </c>
      <c r="C297" s="92">
        <v>45707</v>
      </c>
      <c r="D297" s="174" t="s">
        <v>1036</v>
      </c>
      <c r="E297" s="48" t="s">
        <v>1</v>
      </c>
      <c r="F297" s="172" t="s">
        <v>8</v>
      </c>
      <c r="G297" s="183">
        <v>45707</v>
      </c>
      <c r="H297" s="49"/>
      <c r="I297" s="100" t="s">
        <v>361</v>
      </c>
      <c r="J297" s="27"/>
      <c r="K297" s="28"/>
      <c r="L297" s="51"/>
      <c r="M297" s="29"/>
      <c r="N297" s="30"/>
      <c r="O297" s="54"/>
      <c r="P297" s="83">
        <v>45707</v>
      </c>
      <c r="Q297" s="89">
        <f t="shared" si="5"/>
        <v>0</v>
      </c>
      <c r="R297" s="101" t="s">
        <v>160</v>
      </c>
      <c r="S297" s="56"/>
    </row>
    <row r="298" spans="1:19" ht="43.2" x14ac:dyDescent="0.3">
      <c r="A298">
        <v>296</v>
      </c>
      <c r="B298" s="86">
        <v>1550</v>
      </c>
      <c r="C298" s="92">
        <v>45706</v>
      </c>
      <c r="D298" s="174" t="s">
        <v>1037</v>
      </c>
      <c r="E298" s="47" t="s">
        <v>51</v>
      </c>
      <c r="F298" s="172" t="s">
        <v>6</v>
      </c>
      <c r="G298" s="183">
        <v>45706</v>
      </c>
      <c r="H298" s="173"/>
      <c r="I298" s="100" t="s">
        <v>99</v>
      </c>
      <c r="J298" s="128"/>
      <c r="K298" s="128"/>
      <c r="L298" s="129"/>
      <c r="M298" s="130"/>
      <c r="N298" s="130"/>
      <c r="O298" s="131"/>
      <c r="P298" s="132">
        <v>45707</v>
      </c>
      <c r="Q298" s="89">
        <f t="shared" si="5"/>
        <v>1</v>
      </c>
      <c r="R298" s="101"/>
      <c r="S298" s="56"/>
    </row>
    <row r="299" spans="1:19" ht="28.8" x14ac:dyDescent="0.3">
      <c r="A299">
        <v>297</v>
      </c>
      <c r="B299" s="86">
        <v>1550</v>
      </c>
      <c r="C299" s="92">
        <v>45707</v>
      </c>
      <c r="D299" s="84" t="s">
        <v>1038</v>
      </c>
      <c r="E299" s="48" t="s">
        <v>12</v>
      </c>
      <c r="F299" s="145" t="s">
        <v>8</v>
      </c>
      <c r="G299" s="183">
        <v>45707</v>
      </c>
      <c r="H299" s="5"/>
      <c r="I299" s="100" t="s">
        <v>159</v>
      </c>
      <c r="J299" s="27"/>
      <c r="K299" s="28"/>
      <c r="L299" s="51"/>
      <c r="M299" s="29"/>
      <c r="N299" s="30"/>
      <c r="O299" s="54"/>
      <c r="P299" s="83">
        <v>45707</v>
      </c>
      <c r="Q299" s="89">
        <f t="shared" si="5"/>
        <v>0</v>
      </c>
      <c r="R299" s="101" t="s">
        <v>151</v>
      </c>
      <c r="S299" s="56"/>
    </row>
    <row r="300" spans="1:19" ht="28.8" x14ac:dyDescent="0.3">
      <c r="A300">
        <v>298</v>
      </c>
      <c r="B300" s="86">
        <v>1550</v>
      </c>
      <c r="C300" s="92">
        <v>45707</v>
      </c>
      <c r="D300" s="161" t="s">
        <v>1039</v>
      </c>
      <c r="E300" s="48" t="s">
        <v>27</v>
      </c>
      <c r="F300" s="145" t="s">
        <v>6</v>
      </c>
      <c r="G300" s="183">
        <v>45707</v>
      </c>
      <c r="H300" s="5"/>
      <c r="I300" s="100" t="s">
        <v>99</v>
      </c>
      <c r="J300" s="27"/>
      <c r="K300" s="28"/>
      <c r="L300" s="51"/>
      <c r="M300" s="29"/>
      <c r="N300" s="30"/>
      <c r="O300" s="54"/>
      <c r="P300" s="83">
        <v>45707</v>
      </c>
      <c r="Q300" s="89">
        <f t="shared" si="5"/>
        <v>0</v>
      </c>
      <c r="R300" s="101"/>
      <c r="S300" s="56"/>
    </row>
    <row r="301" spans="1:19" ht="28.8" x14ac:dyDescent="0.3">
      <c r="A301">
        <v>299</v>
      </c>
      <c r="B301" s="86" t="s">
        <v>80</v>
      </c>
      <c r="C301" s="92">
        <v>45707</v>
      </c>
      <c r="D301" s="95" t="s">
        <v>1040</v>
      </c>
      <c r="E301" s="48" t="s">
        <v>23</v>
      </c>
      <c r="F301" s="80" t="s">
        <v>10</v>
      </c>
      <c r="G301" s="183">
        <v>45707</v>
      </c>
      <c r="H301" s="5"/>
      <c r="I301" s="100" t="s">
        <v>135</v>
      </c>
      <c r="J301" s="27"/>
      <c r="K301" s="28"/>
      <c r="L301" s="51"/>
      <c r="M301" s="29"/>
      <c r="N301" s="30"/>
      <c r="O301" s="54"/>
      <c r="P301" s="83">
        <v>45707</v>
      </c>
      <c r="Q301" s="89">
        <f t="shared" si="5"/>
        <v>0</v>
      </c>
      <c r="R301" s="101"/>
      <c r="S301" s="56"/>
    </row>
    <row r="302" spans="1:19" ht="28.8" x14ac:dyDescent="0.3">
      <c r="A302">
        <v>300</v>
      </c>
      <c r="B302" s="86" t="s">
        <v>80</v>
      </c>
      <c r="C302" s="92">
        <v>45707</v>
      </c>
      <c r="D302" s="98" t="s">
        <v>1041</v>
      </c>
      <c r="E302" s="48" t="s">
        <v>23</v>
      </c>
      <c r="F302" s="80" t="s">
        <v>10</v>
      </c>
      <c r="G302" s="183">
        <v>45707</v>
      </c>
      <c r="H302" s="5"/>
      <c r="I302" s="100" t="s">
        <v>135</v>
      </c>
      <c r="J302" s="27"/>
      <c r="K302" s="28"/>
      <c r="L302" s="51"/>
      <c r="M302" s="29"/>
      <c r="N302" s="30"/>
      <c r="O302" s="54"/>
      <c r="P302" s="83">
        <v>45707</v>
      </c>
      <c r="Q302" s="89">
        <f t="shared" si="5"/>
        <v>0</v>
      </c>
      <c r="R302" s="101"/>
      <c r="S302" s="56"/>
    </row>
    <row r="303" spans="1:19" ht="28.8" x14ac:dyDescent="0.3">
      <c r="A303">
        <v>301</v>
      </c>
      <c r="B303" s="86" t="s">
        <v>80</v>
      </c>
      <c r="C303" s="92">
        <v>45707</v>
      </c>
      <c r="D303" s="95" t="s">
        <v>1042</v>
      </c>
      <c r="E303" s="48" t="s">
        <v>23</v>
      </c>
      <c r="F303" s="80" t="s">
        <v>10</v>
      </c>
      <c r="G303" s="183">
        <v>45707</v>
      </c>
      <c r="H303" s="5"/>
      <c r="I303" s="100" t="s">
        <v>135</v>
      </c>
      <c r="J303" s="27"/>
      <c r="K303" s="28"/>
      <c r="L303" s="51"/>
      <c r="M303" s="29"/>
      <c r="N303" s="30"/>
      <c r="O303" s="54"/>
      <c r="P303" s="83">
        <v>45707</v>
      </c>
      <c r="Q303" s="89">
        <f t="shared" si="5"/>
        <v>0</v>
      </c>
      <c r="R303" s="101"/>
      <c r="S303" s="56"/>
    </row>
    <row r="304" spans="1:19" ht="100.8" x14ac:dyDescent="0.3">
      <c r="A304">
        <v>302</v>
      </c>
      <c r="B304" s="86" t="s">
        <v>80</v>
      </c>
      <c r="C304" s="92">
        <v>45695</v>
      </c>
      <c r="D304" s="95" t="s">
        <v>1043</v>
      </c>
      <c r="E304" s="48" t="s">
        <v>17</v>
      </c>
      <c r="F304" s="80" t="s">
        <v>10</v>
      </c>
      <c r="G304" s="183">
        <v>45695</v>
      </c>
      <c r="H304" s="146"/>
      <c r="I304" s="100" t="s">
        <v>82</v>
      </c>
      <c r="J304" s="128"/>
      <c r="K304" s="128"/>
      <c r="L304" s="129"/>
      <c r="M304" s="130"/>
      <c r="N304" s="130"/>
      <c r="O304" s="131"/>
      <c r="P304" s="83">
        <v>45708</v>
      </c>
      <c r="Q304" s="89">
        <f t="shared" si="5"/>
        <v>13</v>
      </c>
      <c r="R304" s="101"/>
      <c r="S304" s="168"/>
    </row>
    <row r="305" spans="1:19" ht="28.8" x14ac:dyDescent="0.3">
      <c r="A305">
        <v>303</v>
      </c>
      <c r="B305" s="86" t="s">
        <v>1044</v>
      </c>
      <c r="C305" s="92">
        <v>45698</v>
      </c>
      <c r="D305" s="95" t="s">
        <v>1045</v>
      </c>
      <c r="E305" s="47" t="s">
        <v>17</v>
      </c>
      <c r="F305" s="172" t="s">
        <v>4</v>
      </c>
      <c r="G305" s="183">
        <v>45698</v>
      </c>
      <c r="H305" s="49"/>
      <c r="I305" s="100" t="s">
        <v>82</v>
      </c>
      <c r="J305" s="27"/>
      <c r="K305" s="28"/>
      <c r="L305" s="51"/>
      <c r="M305" s="29"/>
      <c r="N305" s="30"/>
      <c r="O305" s="54"/>
      <c r="P305" s="83">
        <v>45708</v>
      </c>
      <c r="Q305" s="89">
        <f t="shared" si="5"/>
        <v>10</v>
      </c>
      <c r="R305" s="101"/>
      <c r="S305" s="56"/>
    </row>
    <row r="306" spans="1:19" ht="43.2" x14ac:dyDescent="0.3">
      <c r="A306">
        <v>304</v>
      </c>
      <c r="B306" s="141" t="s">
        <v>80</v>
      </c>
      <c r="C306" s="142">
        <v>45699</v>
      </c>
      <c r="D306" s="104" t="s">
        <v>1046</v>
      </c>
      <c r="E306" s="217" t="s">
        <v>17</v>
      </c>
      <c r="F306" s="178" t="s">
        <v>10</v>
      </c>
      <c r="G306" s="183">
        <v>45699</v>
      </c>
      <c r="H306" s="143"/>
      <c r="I306" s="100" t="s">
        <v>82</v>
      </c>
      <c r="J306" s="27"/>
      <c r="K306" s="28"/>
      <c r="L306" s="51"/>
      <c r="M306" s="29"/>
      <c r="N306" s="30"/>
      <c r="O306" s="54"/>
      <c r="P306" s="65">
        <v>45708</v>
      </c>
      <c r="Q306" s="89">
        <f t="shared" si="5"/>
        <v>9</v>
      </c>
      <c r="R306" s="101"/>
      <c r="S306" s="56"/>
    </row>
    <row r="307" spans="1:19" ht="28.8" x14ac:dyDescent="0.3">
      <c r="A307">
        <v>305</v>
      </c>
      <c r="B307" s="135" t="s">
        <v>80</v>
      </c>
      <c r="C307" s="136">
        <v>45700</v>
      </c>
      <c r="D307" s="109" t="s">
        <v>1047</v>
      </c>
      <c r="E307" s="111" t="s">
        <v>32</v>
      </c>
      <c r="F307" s="127" t="s">
        <v>10</v>
      </c>
      <c r="G307" s="183">
        <v>45700</v>
      </c>
      <c r="H307" s="137"/>
      <c r="I307" s="100" t="s">
        <v>253</v>
      </c>
      <c r="J307" s="27"/>
      <c r="K307" s="28"/>
      <c r="L307" s="51"/>
      <c r="M307" s="29"/>
      <c r="N307" s="30"/>
      <c r="O307" s="54"/>
      <c r="P307" s="83">
        <v>45708</v>
      </c>
      <c r="Q307" s="89">
        <f t="shared" si="5"/>
        <v>8</v>
      </c>
      <c r="R307" s="101"/>
      <c r="S307" s="56"/>
    </row>
    <row r="308" spans="1:19" ht="28.8" x14ac:dyDescent="0.3">
      <c r="A308">
        <v>306</v>
      </c>
      <c r="B308" s="135" t="s">
        <v>80</v>
      </c>
      <c r="C308" s="136">
        <v>45701</v>
      </c>
      <c r="D308" s="109" t="s">
        <v>1048</v>
      </c>
      <c r="E308" s="111" t="s">
        <v>32</v>
      </c>
      <c r="F308" s="125" t="s">
        <v>10</v>
      </c>
      <c r="G308" s="183">
        <v>45701</v>
      </c>
      <c r="H308" s="137"/>
      <c r="I308" s="100" t="s">
        <v>253</v>
      </c>
      <c r="J308" s="27"/>
      <c r="K308" s="28"/>
      <c r="L308" s="51"/>
      <c r="M308" s="31"/>
      <c r="N308" s="53"/>
      <c r="O308" s="55"/>
      <c r="P308" s="132">
        <v>45708</v>
      </c>
      <c r="Q308" s="89">
        <f t="shared" si="5"/>
        <v>7</v>
      </c>
      <c r="R308" s="101"/>
      <c r="S308" s="56"/>
    </row>
    <row r="309" spans="1:19" ht="57.6" x14ac:dyDescent="0.3">
      <c r="A309">
        <v>307</v>
      </c>
      <c r="B309" s="135">
        <v>1550</v>
      </c>
      <c r="C309" s="136">
        <v>45702</v>
      </c>
      <c r="D309" s="109" t="s">
        <v>1049</v>
      </c>
      <c r="E309" s="111" t="s">
        <v>14</v>
      </c>
      <c r="F309" s="127" t="s">
        <v>8</v>
      </c>
      <c r="G309" s="183">
        <v>45702</v>
      </c>
      <c r="H309" s="137"/>
      <c r="I309" s="100" t="s">
        <v>253</v>
      </c>
      <c r="J309" s="27"/>
      <c r="K309" s="28"/>
      <c r="L309" s="51"/>
      <c r="M309" s="29"/>
      <c r="N309" s="30"/>
      <c r="O309" s="54"/>
      <c r="P309" s="83">
        <v>45708</v>
      </c>
      <c r="Q309" s="89">
        <f t="shared" si="5"/>
        <v>6</v>
      </c>
      <c r="R309" s="101" t="s">
        <v>479</v>
      </c>
      <c r="S309" s="56"/>
    </row>
    <row r="310" spans="1:19" ht="28.8" x14ac:dyDescent="0.3">
      <c r="A310">
        <v>308</v>
      </c>
      <c r="B310" s="123" t="s">
        <v>80</v>
      </c>
      <c r="C310" s="124">
        <v>45702</v>
      </c>
      <c r="D310" s="149" t="s">
        <v>1050</v>
      </c>
      <c r="E310" s="126" t="s">
        <v>15</v>
      </c>
      <c r="F310" s="127" t="s">
        <v>10</v>
      </c>
      <c r="G310" s="183">
        <v>45702</v>
      </c>
      <c r="H310" s="134"/>
      <c r="I310" s="100" t="s">
        <v>99</v>
      </c>
      <c r="J310" s="128"/>
      <c r="K310" s="128"/>
      <c r="L310" s="129"/>
      <c r="M310" s="130"/>
      <c r="N310" s="130"/>
      <c r="O310" s="131"/>
      <c r="P310" s="132">
        <v>45708</v>
      </c>
      <c r="Q310" s="89">
        <f t="shared" si="5"/>
        <v>6</v>
      </c>
      <c r="R310" s="101"/>
      <c r="S310" s="168" t="s">
        <v>1051</v>
      </c>
    </row>
    <row r="311" spans="1:19" ht="28.8" x14ac:dyDescent="0.3">
      <c r="A311">
        <v>309</v>
      </c>
      <c r="B311" s="123" t="s">
        <v>80</v>
      </c>
      <c r="C311" s="124">
        <v>45702</v>
      </c>
      <c r="D311" s="149" t="s">
        <v>1052</v>
      </c>
      <c r="E311" s="47" t="s">
        <v>17</v>
      </c>
      <c r="F311" s="145" t="s">
        <v>10</v>
      </c>
      <c r="G311" s="183">
        <v>45702</v>
      </c>
      <c r="H311" s="49"/>
      <c r="I311" s="100" t="s">
        <v>82</v>
      </c>
      <c r="J311" s="27"/>
      <c r="K311" s="28"/>
      <c r="L311" s="51"/>
      <c r="M311" s="29"/>
      <c r="N311" s="30"/>
      <c r="O311" s="54"/>
      <c r="P311" s="132">
        <v>45708</v>
      </c>
      <c r="Q311" s="89">
        <f t="shared" si="5"/>
        <v>6</v>
      </c>
      <c r="R311" s="101"/>
      <c r="S311" s="56"/>
    </row>
    <row r="312" spans="1:19" ht="43.2" x14ac:dyDescent="0.3">
      <c r="A312">
        <v>310</v>
      </c>
      <c r="B312" s="135">
        <v>1550</v>
      </c>
      <c r="C312" s="136">
        <v>45705</v>
      </c>
      <c r="D312" s="149" t="s">
        <v>1053</v>
      </c>
      <c r="E312" s="111" t="s">
        <v>17</v>
      </c>
      <c r="F312" s="125" t="s">
        <v>1054</v>
      </c>
      <c r="G312" s="183">
        <v>45705</v>
      </c>
      <c r="H312" s="137"/>
      <c r="I312" s="100" t="s">
        <v>82</v>
      </c>
      <c r="J312" s="27"/>
      <c r="K312" s="28"/>
      <c r="L312" s="51"/>
      <c r="M312" s="29"/>
      <c r="N312" s="30"/>
      <c r="O312" s="54"/>
      <c r="P312" s="83">
        <v>45708</v>
      </c>
      <c r="Q312" s="89">
        <f t="shared" si="5"/>
        <v>3</v>
      </c>
      <c r="R312" s="101"/>
      <c r="S312" s="56"/>
    </row>
    <row r="313" spans="1:19" ht="31.5" customHeight="1" x14ac:dyDescent="0.3">
      <c r="A313">
        <v>311</v>
      </c>
      <c r="B313" s="123" t="s">
        <v>80</v>
      </c>
      <c r="C313" s="124">
        <v>45705</v>
      </c>
      <c r="D313" s="149" t="s">
        <v>1055</v>
      </c>
      <c r="E313" s="47" t="s">
        <v>17</v>
      </c>
      <c r="F313" s="172" t="s">
        <v>10</v>
      </c>
      <c r="G313" s="183">
        <v>45705</v>
      </c>
      <c r="H313" s="49"/>
      <c r="I313" s="100" t="s">
        <v>82</v>
      </c>
      <c r="J313" s="128"/>
      <c r="K313" s="128"/>
      <c r="L313" s="129"/>
      <c r="M313" s="130"/>
      <c r="N313" s="130"/>
      <c r="O313" s="131"/>
      <c r="P313" s="83">
        <v>45708</v>
      </c>
      <c r="Q313" s="89">
        <f t="shared" si="5"/>
        <v>3</v>
      </c>
      <c r="R313" s="101"/>
      <c r="S313" s="168"/>
    </row>
    <row r="314" spans="1:19" ht="30" customHeight="1" x14ac:dyDescent="0.3">
      <c r="A314">
        <v>312</v>
      </c>
      <c r="B314" s="123" t="s">
        <v>80</v>
      </c>
      <c r="C314" s="124">
        <v>45705</v>
      </c>
      <c r="D314" s="149" t="s">
        <v>1056</v>
      </c>
      <c r="E314" s="47" t="s">
        <v>32</v>
      </c>
      <c r="F314" s="81" t="s">
        <v>10</v>
      </c>
      <c r="G314" s="183">
        <v>45705</v>
      </c>
      <c r="H314" s="49"/>
      <c r="I314" s="100" t="s">
        <v>253</v>
      </c>
      <c r="J314" s="128"/>
      <c r="K314" s="128"/>
      <c r="L314" s="129"/>
      <c r="M314" s="130"/>
      <c r="N314" s="130"/>
      <c r="O314" s="131"/>
      <c r="P314" s="83">
        <v>45708</v>
      </c>
      <c r="Q314" s="89">
        <f t="shared" si="5"/>
        <v>3</v>
      </c>
      <c r="R314" s="101"/>
      <c r="S314" s="168"/>
    </row>
    <row r="315" spans="1:19" ht="30" customHeight="1" x14ac:dyDescent="0.3">
      <c r="A315">
        <v>313</v>
      </c>
      <c r="B315" s="123" t="s">
        <v>80</v>
      </c>
      <c r="C315" s="124">
        <v>45705</v>
      </c>
      <c r="D315" s="149" t="s">
        <v>1057</v>
      </c>
      <c r="E315" s="47" t="s">
        <v>32</v>
      </c>
      <c r="F315" s="81" t="s">
        <v>10</v>
      </c>
      <c r="G315" s="183">
        <v>45705</v>
      </c>
      <c r="H315" s="49"/>
      <c r="I315" s="100" t="s">
        <v>253</v>
      </c>
      <c r="J315" s="128"/>
      <c r="K315" s="128"/>
      <c r="L315" s="129"/>
      <c r="M315" s="130"/>
      <c r="N315" s="130"/>
      <c r="O315" s="131"/>
      <c r="P315" s="83">
        <v>45708</v>
      </c>
      <c r="Q315" s="89">
        <f t="shared" si="5"/>
        <v>3</v>
      </c>
      <c r="R315" s="101"/>
      <c r="S315" s="168"/>
    </row>
    <row r="316" spans="1:19" ht="30" customHeight="1" x14ac:dyDescent="0.3">
      <c r="A316">
        <v>314</v>
      </c>
      <c r="B316" s="123" t="s">
        <v>80</v>
      </c>
      <c r="C316" s="124">
        <v>45705</v>
      </c>
      <c r="D316" s="149" t="s">
        <v>1058</v>
      </c>
      <c r="E316" s="47" t="s">
        <v>32</v>
      </c>
      <c r="F316" s="81" t="s">
        <v>10</v>
      </c>
      <c r="G316" s="183">
        <v>45705</v>
      </c>
      <c r="H316" s="49"/>
      <c r="I316" s="100" t="s">
        <v>253</v>
      </c>
      <c r="J316" s="128"/>
      <c r="K316" s="128"/>
      <c r="L316" s="129"/>
      <c r="M316" s="130"/>
      <c r="N316" s="130"/>
      <c r="O316" s="131"/>
      <c r="P316" s="83">
        <v>45708</v>
      </c>
      <c r="Q316" s="89">
        <f t="shared" si="5"/>
        <v>3</v>
      </c>
      <c r="R316" s="101"/>
      <c r="S316" s="168"/>
    </row>
    <row r="317" spans="1:19" ht="30" customHeight="1" x14ac:dyDescent="0.3">
      <c r="A317">
        <v>315</v>
      </c>
      <c r="B317" s="123" t="s">
        <v>80</v>
      </c>
      <c r="C317" s="124">
        <v>45705</v>
      </c>
      <c r="D317" s="149" t="s">
        <v>1059</v>
      </c>
      <c r="E317" s="48" t="s">
        <v>32</v>
      </c>
      <c r="F317" s="125" t="s">
        <v>10</v>
      </c>
      <c r="G317" s="183">
        <v>45705</v>
      </c>
      <c r="H317" s="5"/>
      <c r="I317" s="100" t="s">
        <v>253</v>
      </c>
      <c r="J317" s="128"/>
      <c r="K317" s="128"/>
      <c r="L317" s="129"/>
      <c r="M317" s="130"/>
      <c r="N317" s="130"/>
      <c r="O317" s="131"/>
      <c r="P317" s="83">
        <v>45708</v>
      </c>
      <c r="Q317" s="89">
        <f t="shared" si="5"/>
        <v>3</v>
      </c>
      <c r="R317" s="101"/>
      <c r="S317" s="168"/>
    </row>
    <row r="318" spans="1:19" ht="30" customHeight="1" x14ac:dyDescent="0.3">
      <c r="A318">
        <v>316</v>
      </c>
      <c r="B318" s="123" t="s">
        <v>80</v>
      </c>
      <c r="C318" s="124">
        <v>45705</v>
      </c>
      <c r="D318" s="149" t="s">
        <v>1060</v>
      </c>
      <c r="E318" s="111" t="s">
        <v>32</v>
      </c>
      <c r="F318" s="125" t="s">
        <v>10</v>
      </c>
      <c r="G318" s="183">
        <v>45705</v>
      </c>
      <c r="H318" s="137"/>
      <c r="I318" s="100" t="s">
        <v>253</v>
      </c>
      <c r="J318" s="128"/>
      <c r="K318" s="128"/>
      <c r="L318" s="129"/>
      <c r="M318" s="130"/>
      <c r="N318" s="130"/>
      <c r="O318" s="131"/>
      <c r="P318" s="83">
        <v>45708</v>
      </c>
      <c r="Q318" s="89">
        <f t="shared" si="5"/>
        <v>3</v>
      </c>
      <c r="R318" s="101"/>
      <c r="S318" s="168"/>
    </row>
    <row r="319" spans="1:19" ht="30" customHeight="1" x14ac:dyDescent="0.3">
      <c r="A319">
        <v>317</v>
      </c>
      <c r="B319" s="123" t="s">
        <v>80</v>
      </c>
      <c r="C319" s="124">
        <v>45705</v>
      </c>
      <c r="D319" s="149" t="s">
        <v>1061</v>
      </c>
      <c r="E319" s="47" t="s">
        <v>32</v>
      </c>
      <c r="F319" s="81" t="s">
        <v>10</v>
      </c>
      <c r="G319" s="183">
        <v>45705</v>
      </c>
      <c r="H319" s="49"/>
      <c r="I319" s="100" t="s">
        <v>253</v>
      </c>
      <c r="J319" s="128"/>
      <c r="K319" s="128"/>
      <c r="L319" s="129"/>
      <c r="M319" s="130"/>
      <c r="N319" s="130"/>
      <c r="O319" s="131"/>
      <c r="P319" s="83">
        <v>45708</v>
      </c>
      <c r="Q319" s="89">
        <f t="shared" si="5"/>
        <v>3</v>
      </c>
      <c r="R319" s="101"/>
      <c r="S319" s="168"/>
    </row>
    <row r="320" spans="1:19" ht="30" customHeight="1" x14ac:dyDescent="0.3">
      <c r="A320">
        <v>318</v>
      </c>
      <c r="B320" s="123">
        <v>1550</v>
      </c>
      <c r="C320" s="124">
        <v>45706</v>
      </c>
      <c r="D320" s="149" t="s">
        <v>1062</v>
      </c>
      <c r="E320" s="166" t="s">
        <v>11</v>
      </c>
      <c r="F320" s="172" t="s">
        <v>8</v>
      </c>
      <c r="G320" s="183">
        <v>45706</v>
      </c>
      <c r="H320" s="173"/>
      <c r="I320" s="100" t="s">
        <v>106</v>
      </c>
      <c r="J320" s="128"/>
      <c r="K320" s="128"/>
      <c r="L320" s="129"/>
      <c r="M320" s="130"/>
      <c r="N320" s="130"/>
      <c r="O320" s="131"/>
      <c r="P320" s="132">
        <v>45708</v>
      </c>
      <c r="Q320" s="89">
        <f t="shared" si="5"/>
        <v>2</v>
      </c>
      <c r="R320" s="101" t="s">
        <v>151</v>
      </c>
      <c r="S320" s="168"/>
    </row>
    <row r="321" spans="1:19" ht="30" customHeight="1" x14ac:dyDescent="0.3">
      <c r="A321">
        <v>319</v>
      </c>
      <c r="B321" s="123" t="s">
        <v>80</v>
      </c>
      <c r="C321" s="124">
        <v>45706</v>
      </c>
      <c r="D321" s="149" t="s">
        <v>1063</v>
      </c>
      <c r="E321" s="111" t="s">
        <v>17</v>
      </c>
      <c r="F321" s="125" t="s">
        <v>10</v>
      </c>
      <c r="G321" s="183">
        <v>45706</v>
      </c>
      <c r="H321" s="134"/>
      <c r="I321" s="100" t="s">
        <v>82</v>
      </c>
      <c r="J321" s="128"/>
      <c r="K321" s="128"/>
      <c r="L321" s="129"/>
      <c r="M321" s="130"/>
      <c r="N321" s="130"/>
      <c r="O321" s="131"/>
      <c r="P321" s="132">
        <v>45708</v>
      </c>
      <c r="Q321" s="89">
        <f t="shared" si="5"/>
        <v>2</v>
      </c>
      <c r="R321" s="101"/>
      <c r="S321" s="168"/>
    </row>
    <row r="322" spans="1:19" ht="30" customHeight="1" x14ac:dyDescent="0.3">
      <c r="A322">
        <v>320</v>
      </c>
      <c r="B322" s="123" t="s">
        <v>80</v>
      </c>
      <c r="C322" s="124">
        <v>45706</v>
      </c>
      <c r="D322" s="95" t="s">
        <v>1064</v>
      </c>
      <c r="E322" s="111" t="s">
        <v>17</v>
      </c>
      <c r="F322" s="125" t="s">
        <v>10</v>
      </c>
      <c r="G322" s="183">
        <v>45706</v>
      </c>
      <c r="H322" s="134"/>
      <c r="I322" s="100" t="s">
        <v>82</v>
      </c>
      <c r="J322" s="128"/>
      <c r="K322" s="128"/>
      <c r="L322" s="129"/>
      <c r="M322" s="130"/>
      <c r="N322" s="130"/>
      <c r="O322" s="131"/>
      <c r="P322" s="132">
        <v>45708</v>
      </c>
      <c r="Q322" s="89">
        <f t="shared" si="5"/>
        <v>2</v>
      </c>
      <c r="R322" s="101"/>
      <c r="S322" s="56"/>
    </row>
    <row r="323" spans="1:19" ht="30" customHeight="1" x14ac:dyDescent="0.3">
      <c r="A323">
        <v>321</v>
      </c>
      <c r="B323" s="123" t="s">
        <v>80</v>
      </c>
      <c r="C323" s="124">
        <v>45706</v>
      </c>
      <c r="D323" s="95" t="s">
        <v>1065</v>
      </c>
      <c r="E323" s="47" t="s">
        <v>32</v>
      </c>
      <c r="F323" s="80" t="s">
        <v>10</v>
      </c>
      <c r="G323" s="183">
        <v>45706</v>
      </c>
      <c r="H323" s="49"/>
      <c r="I323" s="100" t="s">
        <v>253</v>
      </c>
      <c r="J323" s="27"/>
      <c r="K323" s="28"/>
      <c r="L323" s="51"/>
      <c r="M323" s="29"/>
      <c r="N323" s="30"/>
      <c r="O323" s="54"/>
      <c r="P323" s="132">
        <v>45708</v>
      </c>
      <c r="Q323" s="89">
        <f t="shared" si="5"/>
        <v>2</v>
      </c>
      <c r="R323" s="101"/>
      <c r="S323" s="56"/>
    </row>
    <row r="324" spans="1:19" ht="30" customHeight="1" x14ac:dyDescent="0.3">
      <c r="A324">
        <v>322</v>
      </c>
      <c r="B324" s="123" t="s">
        <v>80</v>
      </c>
      <c r="C324" s="124">
        <v>45706</v>
      </c>
      <c r="D324" s="95" t="s">
        <v>1066</v>
      </c>
      <c r="E324" s="47" t="s">
        <v>11</v>
      </c>
      <c r="F324" s="80" t="s">
        <v>10</v>
      </c>
      <c r="G324" s="183">
        <v>45706</v>
      </c>
      <c r="H324" s="49"/>
      <c r="I324" s="107" t="s">
        <v>106</v>
      </c>
      <c r="J324" s="27"/>
      <c r="K324" s="28"/>
      <c r="L324" s="51"/>
      <c r="M324" s="29"/>
      <c r="N324" s="30"/>
      <c r="O324" s="54"/>
      <c r="P324" s="132">
        <v>45708</v>
      </c>
      <c r="Q324" s="89">
        <f t="shared" si="5"/>
        <v>2</v>
      </c>
      <c r="R324" s="101"/>
      <c r="S324" s="56"/>
    </row>
    <row r="325" spans="1:19" ht="30" customHeight="1" x14ac:dyDescent="0.3">
      <c r="A325">
        <v>323</v>
      </c>
      <c r="B325" s="123" t="s">
        <v>80</v>
      </c>
      <c r="C325" s="124">
        <v>45706</v>
      </c>
      <c r="D325" s="95" t="s">
        <v>1067</v>
      </c>
      <c r="E325" s="48" t="s">
        <v>51</v>
      </c>
      <c r="F325" s="80" t="s">
        <v>10</v>
      </c>
      <c r="G325" s="183">
        <v>45706</v>
      </c>
      <c r="H325" s="5"/>
      <c r="I325" s="100" t="s">
        <v>99</v>
      </c>
      <c r="J325" s="27"/>
      <c r="K325" s="28"/>
      <c r="L325" s="51"/>
      <c r="M325" s="29"/>
      <c r="N325" s="30"/>
      <c r="O325" s="54"/>
      <c r="P325" s="132">
        <v>45708</v>
      </c>
      <c r="Q325" s="89">
        <f t="shared" si="5"/>
        <v>2</v>
      </c>
      <c r="R325" s="101"/>
      <c r="S325" s="147"/>
    </row>
    <row r="326" spans="1:19" ht="30" customHeight="1" x14ac:dyDescent="0.3">
      <c r="A326">
        <v>324</v>
      </c>
      <c r="B326" s="135">
        <v>1550</v>
      </c>
      <c r="C326" s="136">
        <v>45707</v>
      </c>
      <c r="D326" s="84" t="s">
        <v>1068</v>
      </c>
      <c r="E326" s="144" t="s">
        <v>51</v>
      </c>
      <c r="F326" s="145" t="s">
        <v>8</v>
      </c>
      <c r="G326" s="183">
        <v>45707</v>
      </c>
      <c r="H326" s="146"/>
      <c r="I326" s="100" t="s">
        <v>99</v>
      </c>
      <c r="J326" s="27"/>
      <c r="K326" s="28"/>
      <c r="L326" s="51"/>
      <c r="M326" s="29"/>
      <c r="N326" s="30"/>
      <c r="O326" s="54"/>
      <c r="P326" s="83">
        <v>45708</v>
      </c>
      <c r="Q326" s="89">
        <f t="shared" si="5"/>
        <v>1</v>
      </c>
      <c r="R326" s="101" t="s">
        <v>151</v>
      </c>
      <c r="S326" s="56"/>
    </row>
    <row r="327" spans="1:19" ht="30" customHeight="1" x14ac:dyDescent="0.3">
      <c r="A327">
        <v>325</v>
      </c>
      <c r="B327" s="135">
        <v>1550</v>
      </c>
      <c r="C327" s="136">
        <v>45707</v>
      </c>
      <c r="D327" s="84" t="s">
        <v>1069</v>
      </c>
      <c r="E327" s="48" t="s">
        <v>51</v>
      </c>
      <c r="F327" s="145" t="s">
        <v>6</v>
      </c>
      <c r="G327" s="183">
        <v>45707</v>
      </c>
      <c r="H327" s="5"/>
      <c r="I327" s="100" t="s">
        <v>99</v>
      </c>
      <c r="J327" s="27"/>
      <c r="K327" s="28"/>
      <c r="L327" s="51"/>
      <c r="M327" s="29"/>
      <c r="N327" s="30"/>
      <c r="O327" s="54"/>
      <c r="P327" s="83">
        <v>45708</v>
      </c>
      <c r="Q327" s="89">
        <f t="shared" si="5"/>
        <v>1</v>
      </c>
      <c r="R327" s="101"/>
      <c r="S327" s="56"/>
    </row>
    <row r="328" spans="1:19" ht="30" customHeight="1" x14ac:dyDescent="0.3">
      <c r="A328">
        <v>326</v>
      </c>
      <c r="B328" s="135">
        <v>1550</v>
      </c>
      <c r="C328" s="136">
        <v>45707</v>
      </c>
      <c r="D328" s="84" t="s">
        <v>1070</v>
      </c>
      <c r="E328" s="144" t="s">
        <v>24</v>
      </c>
      <c r="F328" s="145" t="s">
        <v>4</v>
      </c>
      <c r="G328" s="183">
        <v>45707</v>
      </c>
      <c r="H328" s="146"/>
      <c r="I328" s="100" t="s">
        <v>361</v>
      </c>
      <c r="J328" s="27"/>
      <c r="K328" s="28"/>
      <c r="L328" s="51"/>
      <c r="M328" s="29"/>
      <c r="N328" s="30"/>
      <c r="O328" s="54"/>
      <c r="P328" s="83">
        <v>45708</v>
      </c>
      <c r="Q328" s="89">
        <f t="shared" si="5"/>
        <v>1</v>
      </c>
      <c r="R328" s="101"/>
      <c r="S328" s="56"/>
    </row>
    <row r="329" spans="1:19" ht="30" customHeight="1" x14ac:dyDescent="0.3">
      <c r="A329">
        <v>327</v>
      </c>
      <c r="B329" s="135" t="s">
        <v>80</v>
      </c>
      <c r="C329" s="136">
        <v>45707</v>
      </c>
      <c r="D329" s="109" t="s">
        <v>1071</v>
      </c>
      <c r="E329" s="111" t="s">
        <v>51</v>
      </c>
      <c r="F329" s="125" t="s">
        <v>10</v>
      </c>
      <c r="G329" s="183">
        <v>45707</v>
      </c>
      <c r="H329" s="137"/>
      <c r="I329" s="100" t="s">
        <v>99</v>
      </c>
      <c r="J329" s="27"/>
      <c r="K329" s="28"/>
      <c r="L329" s="51"/>
      <c r="M329" s="29"/>
      <c r="N329" s="30"/>
      <c r="O329" s="54"/>
      <c r="P329" s="83">
        <v>45708</v>
      </c>
      <c r="Q329" s="89">
        <f t="shared" si="5"/>
        <v>1</v>
      </c>
      <c r="R329" s="101"/>
      <c r="S329" s="56"/>
    </row>
    <row r="330" spans="1:19" ht="30" customHeight="1" x14ac:dyDescent="0.3">
      <c r="A330">
        <v>328</v>
      </c>
      <c r="B330" s="135" t="s">
        <v>80</v>
      </c>
      <c r="C330" s="136">
        <v>45707</v>
      </c>
      <c r="D330" s="109" t="s">
        <v>1072</v>
      </c>
      <c r="E330" s="111" t="s">
        <v>51</v>
      </c>
      <c r="F330" s="125" t="s">
        <v>10</v>
      </c>
      <c r="G330" s="183">
        <v>45707</v>
      </c>
      <c r="H330" s="137"/>
      <c r="I330" s="100" t="s">
        <v>99</v>
      </c>
      <c r="J330" s="27"/>
      <c r="K330" s="28"/>
      <c r="L330" s="51"/>
      <c r="M330" s="29"/>
      <c r="N330" s="30"/>
      <c r="O330" s="54"/>
      <c r="P330" s="83">
        <v>45708</v>
      </c>
      <c r="Q330" s="89">
        <f t="shared" si="5"/>
        <v>1</v>
      </c>
      <c r="R330" s="101"/>
      <c r="S330" s="56"/>
    </row>
    <row r="331" spans="1:19" ht="30" customHeight="1" x14ac:dyDescent="0.3">
      <c r="A331">
        <v>329</v>
      </c>
      <c r="B331" s="135" t="s">
        <v>80</v>
      </c>
      <c r="C331" s="136">
        <v>45707</v>
      </c>
      <c r="D331" s="109" t="s">
        <v>1073</v>
      </c>
      <c r="E331" s="111" t="s">
        <v>17</v>
      </c>
      <c r="F331" s="125" t="s">
        <v>10</v>
      </c>
      <c r="G331" s="183">
        <v>45707</v>
      </c>
      <c r="H331" s="137"/>
      <c r="I331" s="100" t="s">
        <v>82</v>
      </c>
      <c r="J331" s="27"/>
      <c r="K331" s="28"/>
      <c r="L331" s="51"/>
      <c r="M331" s="29"/>
      <c r="N331" s="30"/>
      <c r="O331" s="54"/>
      <c r="P331" s="83">
        <v>45708</v>
      </c>
      <c r="Q331" s="89">
        <f t="shared" si="5"/>
        <v>1</v>
      </c>
      <c r="R331" s="101"/>
      <c r="S331" s="56"/>
    </row>
    <row r="332" spans="1:19" ht="30" customHeight="1" x14ac:dyDescent="0.3">
      <c r="A332">
        <v>330</v>
      </c>
      <c r="B332" s="135" t="s">
        <v>80</v>
      </c>
      <c r="C332" s="136">
        <v>45707</v>
      </c>
      <c r="D332" s="149" t="s">
        <v>1074</v>
      </c>
      <c r="E332" s="48" t="s">
        <v>17</v>
      </c>
      <c r="F332" s="80" t="s">
        <v>10</v>
      </c>
      <c r="G332" s="183">
        <v>45707</v>
      </c>
      <c r="H332" s="5"/>
      <c r="I332" s="100" t="s">
        <v>82</v>
      </c>
      <c r="J332" s="27"/>
      <c r="K332" s="28"/>
      <c r="L332" s="51"/>
      <c r="M332" s="29"/>
      <c r="N332" s="30"/>
      <c r="O332" s="54"/>
      <c r="P332" s="83">
        <v>45708</v>
      </c>
      <c r="Q332" s="89">
        <f t="shared" si="5"/>
        <v>1</v>
      </c>
      <c r="R332" s="101"/>
      <c r="S332" s="56"/>
    </row>
    <row r="333" spans="1:19" ht="30" customHeight="1" x14ac:dyDescent="0.3">
      <c r="A333">
        <v>331</v>
      </c>
      <c r="B333" s="135">
        <v>1550</v>
      </c>
      <c r="C333" s="136">
        <v>45708</v>
      </c>
      <c r="D333" s="149" t="s">
        <v>1075</v>
      </c>
      <c r="E333" s="111" t="s">
        <v>23</v>
      </c>
      <c r="F333" s="125" t="s">
        <v>6</v>
      </c>
      <c r="G333" s="183">
        <v>45708</v>
      </c>
      <c r="H333" s="137"/>
      <c r="I333" s="100" t="s">
        <v>135</v>
      </c>
      <c r="J333" s="27"/>
      <c r="K333" s="28"/>
      <c r="L333" s="51"/>
      <c r="M333" s="29"/>
      <c r="N333" s="30"/>
      <c r="O333" s="54"/>
      <c r="P333" s="83">
        <v>45708</v>
      </c>
      <c r="Q333" s="89">
        <f t="shared" si="5"/>
        <v>0</v>
      </c>
      <c r="R333" s="101"/>
      <c r="S333" s="56"/>
    </row>
    <row r="334" spans="1:19" ht="30" customHeight="1" x14ac:dyDescent="0.3">
      <c r="A334">
        <v>332</v>
      </c>
      <c r="B334" s="135">
        <v>1550</v>
      </c>
      <c r="C334" s="136">
        <v>45708</v>
      </c>
      <c r="D334" s="149" t="s">
        <v>1076</v>
      </c>
      <c r="E334" s="48" t="s">
        <v>23</v>
      </c>
      <c r="F334" s="80" t="s">
        <v>6</v>
      </c>
      <c r="G334" s="183">
        <v>45708</v>
      </c>
      <c r="H334" s="5"/>
      <c r="I334" s="100" t="s">
        <v>135</v>
      </c>
      <c r="J334" s="27"/>
      <c r="K334" s="28"/>
      <c r="L334" s="51"/>
      <c r="M334" s="29"/>
      <c r="N334" s="30"/>
      <c r="O334" s="54"/>
      <c r="P334" s="83">
        <v>45708</v>
      </c>
      <c r="Q334" s="89">
        <f t="shared" si="5"/>
        <v>0</v>
      </c>
      <c r="R334" s="101"/>
      <c r="S334" s="56"/>
    </row>
    <row r="335" spans="1:19" ht="30" customHeight="1" x14ac:dyDescent="0.3">
      <c r="A335">
        <v>333</v>
      </c>
      <c r="B335" s="135">
        <v>1550</v>
      </c>
      <c r="C335" s="136">
        <v>45708</v>
      </c>
      <c r="D335" s="149" t="s">
        <v>1077</v>
      </c>
      <c r="E335" s="48" t="s">
        <v>3</v>
      </c>
      <c r="F335" s="80" t="s">
        <v>8</v>
      </c>
      <c r="G335" s="183">
        <v>45708</v>
      </c>
      <c r="H335" s="105">
        <v>10000267467</v>
      </c>
      <c r="I335" s="100" t="s">
        <v>82</v>
      </c>
      <c r="J335" s="27"/>
      <c r="K335" s="28"/>
      <c r="L335" s="51"/>
      <c r="M335" s="29"/>
      <c r="N335" s="30"/>
      <c r="O335" s="54"/>
      <c r="P335" s="83">
        <v>45708</v>
      </c>
      <c r="Q335" s="89">
        <f t="shared" si="5"/>
        <v>0</v>
      </c>
      <c r="R335" s="101" t="s">
        <v>169</v>
      </c>
      <c r="S335" s="56"/>
    </row>
    <row r="336" spans="1:19" ht="30" customHeight="1" x14ac:dyDescent="0.3">
      <c r="A336">
        <v>334</v>
      </c>
      <c r="B336" s="135">
        <v>1550</v>
      </c>
      <c r="C336" s="136">
        <v>45708</v>
      </c>
      <c r="D336" s="210" t="s">
        <v>1078</v>
      </c>
      <c r="E336" s="48" t="s">
        <v>23</v>
      </c>
      <c r="F336" s="80" t="s">
        <v>6</v>
      </c>
      <c r="G336" s="183">
        <v>45708</v>
      </c>
      <c r="H336" s="5"/>
      <c r="I336" s="100" t="s">
        <v>135</v>
      </c>
      <c r="J336" s="27"/>
      <c r="K336" s="28"/>
      <c r="L336" s="51"/>
      <c r="M336" s="29"/>
      <c r="N336" s="30"/>
      <c r="O336" s="54"/>
      <c r="P336" s="83">
        <v>45708</v>
      </c>
      <c r="Q336" s="89">
        <f t="shared" si="5"/>
        <v>0</v>
      </c>
      <c r="R336" s="101"/>
      <c r="S336" s="56"/>
    </row>
    <row r="337" spans="1:19" ht="30" customHeight="1" x14ac:dyDescent="0.3">
      <c r="A337">
        <v>335</v>
      </c>
      <c r="B337" s="135">
        <v>1550</v>
      </c>
      <c r="C337" s="136">
        <v>45708</v>
      </c>
      <c r="D337" s="210" t="s">
        <v>1079</v>
      </c>
      <c r="E337" s="48" t="s">
        <v>23</v>
      </c>
      <c r="F337" s="80" t="s">
        <v>6</v>
      </c>
      <c r="G337" s="183">
        <v>45708</v>
      </c>
      <c r="H337" s="5"/>
      <c r="I337" s="100" t="s">
        <v>135</v>
      </c>
      <c r="J337" s="27"/>
      <c r="K337" s="28"/>
      <c r="L337" s="51"/>
      <c r="M337" s="29"/>
      <c r="N337" s="30"/>
      <c r="O337" s="54"/>
      <c r="P337" s="83">
        <v>45708</v>
      </c>
      <c r="Q337" s="89">
        <f t="shared" si="5"/>
        <v>0</v>
      </c>
      <c r="R337" s="101"/>
      <c r="S337" s="56"/>
    </row>
    <row r="338" spans="1:19" ht="30" customHeight="1" x14ac:dyDescent="0.3">
      <c r="A338">
        <v>336</v>
      </c>
      <c r="B338" s="135">
        <v>1550</v>
      </c>
      <c r="C338" s="136">
        <v>45708</v>
      </c>
      <c r="D338" s="149" t="s">
        <v>1080</v>
      </c>
      <c r="E338" s="144" t="s">
        <v>23</v>
      </c>
      <c r="F338" s="145" t="s">
        <v>8</v>
      </c>
      <c r="G338" s="183">
        <v>45708</v>
      </c>
      <c r="H338" s="146"/>
      <c r="I338" s="102" t="s">
        <v>135</v>
      </c>
      <c r="J338" s="27"/>
      <c r="K338" s="28"/>
      <c r="L338" s="51"/>
      <c r="M338" s="29"/>
      <c r="N338" s="30"/>
      <c r="O338" s="54"/>
      <c r="P338" s="83">
        <v>45708</v>
      </c>
      <c r="Q338" s="89">
        <f t="shared" si="5"/>
        <v>0</v>
      </c>
      <c r="R338" s="101" t="s">
        <v>136</v>
      </c>
      <c r="S338" s="56"/>
    </row>
    <row r="339" spans="1:19" ht="30" customHeight="1" x14ac:dyDescent="0.3">
      <c r="A339">
        <v>337</v>
      </c>
      <c r="B339" s="135">
        <v>1550</v>
      </c>
      <c r="C339" s="136">
        <v>45708</v>
      </c>
      <c r="D339" s="149" t="s">
        <v>1081</v>
      </c>
      <c r="E339" s="126" t="s">
        <v>7</v>
      </c>
      <c r="F339" s="127" t="s">
        <v>8</v>
      </c>
      <c r="G339" s="183">
        <v>45708</v>
      </c>
      <c r="H339" s="134"/>
      <c r="I339" s="113" t="s">
        <v>125</v>
      </c>
      <c r="J339" s="27"/>
      <c r="K339" s="28"/>
      <c r="L339" s="51"/>
      <c r="M339" s="29"/>
      <c r="N339" s="30"/>
      <c r="O339" s="54"/>
      <c r="P339" s="83">
        <v>45708</v>
      </c>
      <c r="Q339" s="89">
        <f t="shared" si="5"/>
        <v>0</v>
      </c>
      <c r="R339" s="101" t="s">
        <v>160</v>
      </c>
      <c r="S339" s="56"/>
    </row>
    <row r="340" spans="1:19" ht="30" customHeight="1" x14ac:dyDescent="0.3">
      <c r="A340">
        <v>338</v>
      </c>
      <c r="B340" s="135">
        <v>1550</v>
      </c>
      <c r="C340" s="136">
        <v>45708</v>
      </c>
      <c r="D340" s="149" t="s">
        <v>1082</v>
      </c>
      <c r="E340" s="111" t="s">
        <v>23</v>
      </c>
      <c r="F340" s="127" t="s">
        <v>8</v>
      </c>
      <c r="G340" s="183">
        <v>45708</v>
      </c>
      <c r="H340" s="137"/>
      <c r="I340" s="38" t="s">
        <v>135</v>
      </c>
      <c r="J340" s="27"/>
      <c r="K340" s="28"/>
      <c r="L340" s="51"/>
      <c r="M340" s="29"/>
      <c r="N340" s="30"/>
      <c r="O340" s="54"/>
      <c r="P340" s="83">
        <v>45708</v>
      </c>
      <c r="Q340" s="89">
        <f t="shared" si="5"/>
        <v>0</v>
      </c>
      <c r="R340" s="101" t="s">
        <v>151</v>
      </c>
      <c r="S340" s="56"/>
    </row>
    <row r="341" spans="1:19" ht="30" customHeight="1" x14ac:dyDescent="0.3">
      <c r="A341">
        <v>339</v>
      </c>
      <c r="B341" s="135">
        <v>1550</v>
      </c>
      <c r="C341" s="136">
        <v>45708</v>
      </c>
      <c r="D341" s="149" t="s">
        <v>1083</v>
      </c>
      <c r="E341" s="111" t="s">
        <v>23</v>
      </c>
      <c r="F341" s="125" t="s">
        <v>6</v>
      </c>
      <c r="G341" s="183">
        <v>45708</v>
      </c>
      <c r="H341" s="137"/>
      <c r="I341" s="107" t="s">
        <v>135</v>
      </c>
      <c r="J341" s="27"/>
      <c r="K341" s="28"/>
      <c r="L341" s="51"/>
      <c r="M341" s="29"/>
      <c r="N341" s="30"/>
      <c r="O341" s="54"/>
      <c r="P341" s="83">
        <v>45708</v>
      </c>
      <c r="Q341" s="89">
        <f t="shared" si="5"/>
        <v>0</v>
      </c>
      <c r="R341" s="101"/>
      <c r="S341" s="56"/>
    </row>
    <row r="342" spans="1:19" ht="30" customHeight="1" x14ac:dyDescent="0.3">
      <c r="A342">
        <v>340</v>
      </c>
      <c r="B342" s="135">
        <v>1550</v>
      </c>
      <c r="C342" s="136">
        <v>45708</v>
      </c>
      <c r="D342" s="149" t="s">
        <v>1084</v>
      </c>
      <c r="E342" s="111" t="s">
        <v>23</v>
      </c>
      <c r="F342" s="125" t="s">
        <v>6</v>
      </c>
      <c r="G342" s="183">
        <v>45708</v>
      </c>
      <c r="H342" s="137"/>
      <c r="I342" s="100" t="s">
        <v>135</v>
      </c>
      <c r="J342" s="27"/>
      <c r="K342" s="28"/>
      <c r="L342" s="51"/>
      <c r="M342" s="29"/>
      <c r="N342" s="30"/>
      <c r="O342" s="54"/>
      <c r="P342" s="83">
        <v>45708</v>
      </c>
      <c r="Q342" s="89">
        <f t="shared" si="5"/>
        <v>0</v>
      </c>
      <c r="R342" s="101"/>
      <c r="S342" s="56"/>
    </row>
    <row r="343" spans="1:19" x14ac:dyDescent="0.3">
      <c r="A343">
        <v>341</v>
      </c>
      <c r="B343" s="135">
        <v>1550</v>
      </c>
      <c r="C343" s="136">
        <v>45708</v>
      </c>
      <c r="D343" s="149" t="s">
        <v>1085</v>
      </c>
      <c r="E343" s="111" t="s">
        <v>23</v>
      </c>
      <c r="F343" s="125" t="s">
        <v>6</v>
      </c>
      <c r="G343" s="183">
        <v>45708</v>
      </c>
      <c r="H343" s="137"/>
      <c r="I343" s="100" t="s">
        <v>135</v>
      </c>
      <c r="J343" s="27"/>
      <c r="K343" s="28"/>
      <c r="L343" s="51"/>
      <c r="M343" s="29"/>
      <c r="N343" s="30"/>
      <c r="O343" s="54"/>
      <c r="P343" s="83">
        <v>45708</v>
      </c>
      <c r="Q343" s="89">
        <f t="shared" si="5"/>
        <v>0</v>
      </c>
      <c r="R343" s="101"/>
      <c r="S343" s="56"/>
    </row>
    <row r="344" spans="1:19" x14ac:dyDescent="0.3">
      <c r="A344">
        <v>342</v>
      </c>
      <c r="B344" s="135">
        <v>1550</v>
      </c>
      <c r="C344" s="136">
        <v>45708</v>
      </c>
      <c r="D344" s="149" t="s">
        <v>1086</v>
      </c>
      <c r="E344" s="111" t="s">
        <v>23</v>
      </c>
      <c r="F344" s="125" t="s">
        <v>6</v>
      </c>
      <c r="G344" s="183">
        <v>45708</v>
      </c>
      <c r="H344" s="137"/>
      <c r="I344" s="100" t="s">
        <v>135</v>
      </c>
      <c r="J344" s="27"/>
      <c r="K344" s="28"/>
      <c r="L344" s="51"/>
      <c r="M344" s="29"/>
      <c r="N344" s="30"/>
      <c r="O344" s="54"/>
      <c r="P344" s="83">
        <v>45708</v>
      </c>
      <c r="Q344" s="89">
        <f t="shared" si="5"/>
        <v>0</v>
      </c>
      <c r="R344" s="101"/>
      <c r="S344" s="56"/>
    </row>
    <row r="345" spans="1:19" x14ac:dyDescent="0.3">
      <c r="A345">
        <v>343</v>
      </c>
      <c r="B345" s="135">
        <v>1550</v>
      </c>
      <c r="C345" s="136">
        <v>45708</v>
      </c>
      <c r="D345" s="149" t="s">
        <v>1087</v>
      </c>
      <c r="E345" s="111" t="s">
        <v>23</v>
      </c>
      <c r="F345" s="125" t="s">
        <v>6</v>
      </c>
      <c r="G345" s="183">
        <v>45708</v>
      </c>
      <c r="H345" s="137"/>
      <c r="I345" s="100" t="s">
        <v>135</v>
      </c>
      <c r="J345" s="27"/>
      <c r="K345" s="28"/>
      <c r="L345" s="51"/>
      <c r="M345" s="29"/>
      <c r="N345" s="30"/>
      <c r="O345" s="54"/>
      <c r="P345" s="83">
        <v>45708</v>
      </c>
      <c r="Q345" s="89">
        <f t="shared" si="5"/>
        <v>0</v>
      </c>
      <c r="R345" s="101"/>
      <c r="S345" s="56"/>
    </row>
    <row r="346" spans="1:19" x14ac:dyDescent="0.3">
      <c r="A346">
        <v>344</v>
      </c>
      <c r="B346" s="135">
        <v>1550</v>
      </c>
      <c r="C346" s="136">
        <v>45708</v>
      </c>
      <c r="D346" s="149" t="s">
        <v>1088</v>
      </c>
      <c r="E346" s="111" t="s">
        <v>23</v>
      </c>
      <c r="F346" s="125" t="s">
        <v>6</v>
      </c>
      <c r="G346" s="183">
        <v>45708</v>
      </c>
      <c r="H346" s="137"/>
      <c r="I346" s="100" t="s">
        <v>135</v>
      </c>
      <c r="J346" s="27"/>
      <c r="K346" s="28"/>
      <c r="L346" s="51"/>
      <c r="M346" s="29"/>
      <c r="N346" s="30"/>
      <c r="O346" s="54"/>
      <c r="P346" s="83">
        <v>45708</v>
      </c>
      <c r="Q346" s="89">
        <f t="shared" si="5"/>
        <v>0</v>
      </c>
      <c r="R346" s="101"/>
      <c r="S346" s="56"/>
    </row>
    <row r="347" spans="1:19" ht="43.2" x14ac:dyDescent="0.3">
      <c r="A347">
        <v>345</v>
      </c>
      <c r="B347" s="135">
        <v>1550</v>
      </c>
      <c r="C347" s="136">
        <v>45708</v>
      </c>
      <c r="D347" s="149" t="s">
        <v>1089</v>
      </c>
      <c r="E347" s="111" t="s">
        <v>23</v>
      </c>
      <c r="F347" s="125" t="s">
        <v>8</v>
      </c>
      <c r="G347" s="183">
        <v>45708</v>
      </c>
      <c r="H347" s="137"/>
      <c r="I347" s="100" t="s">
        <v>135</v>
      </c>
      <c r="J347" s="27"/>
      <c r="K347" s="28"/>
      <c r="L347" s="51"/>
      <c r="M347" s="29"/>
      <c r="N347" s="30"/>
      <c r="O347" s="54"/>
      <c r="P347" s="83">
        <v>45708</v>
      </c>
      <c r="Q347" s="89">
        <f t="shared" si="5"/>
        <v>0</v>
      </c>
      <c r="R347" s="101" t="s">
        <v>899</v>
      </c>
      <c r="S347" s="56"/>
    </row>
    <row r="348" spans="1:19" ht="43.2" x14ac:dyDescent="0.3">
      <c r="A348">
        <v>346</v>
      </c>
      <c r="B348" s="135">
        <v>1550</v>
      </c>
      <c r="C348" s="136">
        <v>45708</v>
      </c>
      <c r="D348" s="149" t="s">
        <v>1090</v>
      </c>
      <c r="E348" s="111" t="s">
        <v>23</v>
      </c>
      <c r="F348" s="125" t="s">
        <v>8</v>
      </c>
      <c r="G348" s="183">
        <v>45708</v>
      </c>
      <c r="H348" s="137"/>
      <c r="I348" s="100" t="s">
        <v>135</v>
      </c>
      <c r="J348" s="27"/>
      <c r="K348" s="28"/>
      <c r="L348" s="51"/>
      <c r="M348" s="29"/>
      <c r="N348" s="30"/>
      <c r="O348" s="54"/>
      <c r="P348" s="83">
        <v>45708</v>
      </c>
      <c r="Q348" s="89">
        <f t="shared" si="5"/>
        <v>0</v>
      </c>
      <c r="R348" s="101" t="s">
        <v>899</v>
      </c>
      <c r="S348" s="56"/>
    </row>
    <row r="349" spans="1:19" ht="43.2" x14ac:dyDescent="0.3">
      <c r="A349">
        <v>347</v>
      </c>
      <c r="B349" s="135">
        <v>1550</v>
      </c>
      <c r="C349" s="136">
        <v>45708</v>
      </c>
      <c r="D349" s="149" t="s">
        <v>1091</v>
      </c>
      <c r="E349" s="111" t="s">
        <v>23</v>
      </c>
      <c r="F349" s="125" t="s">
        <v>8</v>
      </c>
      <c r="G349" s="183">
        <v>45708</v>
      </c>
      <c r="H349" s="137"/>
      <c r="I349" s="100" t="s">
        <v>135</v>
      </c>
      <c r="J349" s="27"/>
      <c r="K349" s="28"/>
      <c r="L349" s="51"/>
      <c r="M349" s="29"/>
      <c r="N349" s="30"/>
      <c r="O349" s="54"/>
      <c r="P349" s="83">
        <v>45708</v>
      </c>
      <c r="Q349" s="89">
        <f t="shared" si="5"/>
        <v>0</v>
      </c>
      <c r="R349" s="101" t="s">
        <v>151</v>
      </c>
      <c r="S349" s="56"/>
    </row>
    <row r="350" spans="1:19" ht="43.2" x14ac:dyDescent="0.3">
      <c r="A350">
        <v>348</v>
      </c>
      <c r="B350" s="135">
        <v>1550</v>
      </c>
      <c r="C350" s="136">
        <v>45701</v>
      </c>
      <c r="D350" s="149" t="s">
        <v>1092</v>
      </c>
      <c r="E350" s="48" t="s">
        <v>1</v>
      </c>
      <c r="F350" s="125" t="s">
        <v>6</v>
      </c>
      <c r="G350" s="183">
        <v>45701</v>
      </c>
      <c r="H350" s="5"/>
      <c r="I350" s="100" t="s">
        <v>125</v>
      </c>
      <c r="J350" s="128"/>
      <c r="K350" s="128"/>
      <c r="L350" s="129"/>
      <c r="M350" s="130"/>
      <c r="N350" s="130"/>
      <c r="O350" s="131"/>
      <c r="P350" s="132">
        <v>45709</v>
      </c>
      <c r="Q350" s="89">
        <f t="shared" si="5"/>
        <v>8</v>
      </c>
      <c r="R350" s="101"/>
      <c r="S350" s="168"/>
    </row>
    <row r="351" spans="1:19" x14ac:dyDescent="0.3">
      <c r="A351">
        <v>349</v>
      </c>
      <c r="B351" s="135">
        <v>1550</v>
      </c>
      <c r="C351" s="136">
        <v>45708</v>
      </c>
      <c r="D351" s="36" t="s">
        <v>1093</v>
      </c>
      <c r="E351" s="111" t="s">
        <v>23</v>
      </c>
      <c r="F351" s="80" t="s">
        <v>4</v>
      </c>
      <c r="G351" s="183">
        <v>45708</v>
      </c>
      <c r="H351" s="137"/>
      <c r="I351" s="100" t="s">
        <v>135</v>
      </c>
      <c r="J351" s="27"/>
      <c r="K351" s="28"/>
      <c r="L351" s="51"/>
      <c r="M351" s="29"/>
      <c r="N351" s="30"/>
      <c r="O351" s="54"/>
      <c r="P351" s="83">
        <v>45709</v>
      </c>
      <c r="Q351" s="89">
        <f t="shared" ref="Q351:Q414" si="6">P351-G351</f>
        <v>1</v>
      </c>
      <c r="R351" s="101"/>
      <c r="S351" s="56"/>
    </row>
    <row r="352" spans="1:19" x14ac:dyDescent="0.3">
      <c r="A352">
        <v>350</v>
      </c>
      <c r="B352" s="135">
        <v>1550</v>
      </c>
      <c r="C352" s="136">
        <v>45708</v>
      </c>
      <c r="D352" s="36" t="s">
        <v>1094</v>
      </c>
      <c r="E352" s="48" t="s">
        <v>23</v>
      </c>
      <c r="F352" s="145" t="s">
        <v>4</v>
      </c>
      <c r="G352" s="183">
        <v>45708</v>
      </c>
      <c r="H352" s="5"/>
      <c r="I352" s="100" t="s">
        <v>135</v>
      </c>
      <c r="J352" s="27"/>
      <c r="K352" s="28"/>
      <c r="L352" s="51"/>
      <c r="M352" s="29"/>
      <c r="N352" s="30"/>
      <c r="O352" s="54"/>
      <c r="P352" s="83">
        <v>45709</v>
      </c>
      <c r="Q352" s="89">
        <f t="shared" si="6"/>
        <v>1</v>
      </c>
      <c r="R352" s="101"/>
      <c r="S352" s="56"/>
    </row>
    <row r="353" spans="1:19" x14ac:dyDescent="0.3">
      <c r="A353">
        <v>351</v>
      </c>
      <c r="B353" s="135">
        <v>1550</v>
      </c>
      <c r="C353" s="136">
        <v>45708</v>
      </c>
      <c r="D353" s="36" t="s">
        <v>1095</v>
      </c>
      <c r="E353" s="48" t="s">
        <v>23</v>
      </c>
      <c r="F353" s="145" t="s">
        <v>4</v>
      </c>
      <c r="G353" s="183">
        <v>45708</v>
      </c>
      <c r="H353" s="5"/>
      <c r="I353" s="37" t="s">
        <v>135</v>
      </c>
      <c r="J353" s="27"/>
      <c r="K353" s="28"/>
      <c r="L353" s="51"/>
      <c r="M353" s="29"/>
      <c r="N353" s="30"/>
      <c r="O353" s="54"/>
      <c r="P353" s="83">
        <v>45709</v>
      </c>
      <c r="Q353" s="89">
        <f t="shared" si="6"/>
        <v>1</v>
      </c>
      <c r="R353" s="101"/>
      <c r="S353" s="56"/>
    </row>
    <row r="354" spans="1:19" ht="28.8" x14ac:dyDescent="0.3">
      <c r="A354">
        <v>352</v>
      </c>
      <c r="B354" s="135" t="s">
        <v>80</v>
      </c>
      <c r="C354" s="136">
        <v>45708</v>
      </c>
      <c r="D354" s="109" t="s">
        <v>1096</v>
      </c>
      <c r="E354" s="111" t="s">
        <v>23</v>
      </c>
      <c r="F354" s="125" t="s">
        <v>10</v>
      </c>
      <c r="G354" s="183">
        <v>45708</v>
      </c>
      <c r="H354" s="137"/>
      <c r="I354" s="100" t="s">
        <v>135</v>
      </c>
      <c r="J354" s="27"/>
      <c r="K354" s="28"/>
      <c r="L354" s="51"/>
      <c r="M354" s="29"/>
      <c r="N354" s="30"/>
      <c r="O354" s="54"/>
      <c r="P354" s="83">
        <v>45709</v>
      </c>
      <c r="Q354" s="89">
        <f t="shared" si="6"/>
        <v>1</v>
      </c>
      <c r="R354" s="101"/>
      <c r="S354" s="56"/>
    </row>
    <row r="355" spans="1:19" ht="28.8" x14ac:dyDescent="0.3">
      <c r="A355">
        <v>353</v>
      </c>
      <c r="B355" s="135" t="s">
        <v>80</v>
      </c>
      <c r="C355" s="136">
        <v>45708</v>
      </c>
      <c r="D355" s="109" t="s">
        <v>1097</v>
      </c>
      <c r="E355" s="111" t="s">
        <v>23</v>
      </c>
      <c r="F355" s="125" t="s">
        <v>10</v>
      </c>
      <c r="G355" s="183">
        <v>45708</v>
      </c>
      <c r="H355" s="137"/>
      <c r="I355" s="100" t="s">
        <v>135</v>
      </c>
      <c r="J355" s="27"/>
      <c r="K355" s="28"/>
      <c r="L355" s="51"/>
      <c r="M355" s="29"/>
      <c r="N355" s="30"/>
      <c r="O355" s="54"/>
      <c r="P355" s="83">
        <v>45709</v>
      </c>
      <c r="Q355" s="89">
        <f t="shared" si="6"/>
        <v>1</v>
      </c>
      <c r="R355" s="101"/>
      <c r="S355" s="56"/>
    </row>
    <row r="356" spans="1:19" ht="43.2" x14ac:dyDescent="0.3">
      <c r="A356">
        <v>354</v>
      </c>
      <c r="B356" s="135" t="s">
        <v>80</v>
      </c>
      <c r="C356" s="136">
        <v>45708</v>
      </c>
      <c r="D356" s="109" t="s">
        <v>1098</v>
      </c>
      <c r="E356" s="48" t="s">
        <v>51</v>
      </c>
      <c r="F356" s="80" t="s">
        <v>10</v>
      </c>
      <c r="G356" s="183">
        <v>45708</v>
      </c>
      <c r="H356" s="5"/>
      <c r="I356" s="100" t="s">
        <v>99</v>
      </c>
      <c r="J356" s="27"/>
      <c r="K356" s="28"/>
      <c r="L356" s="51"/>
      <c r="M356" s="29"/>
      <c r="N356" s="30"/>
      <c r="O356" s="54"/>
      <c r="P356" s="83">
        <v>45709</v>
      </c>
      <c r="Q356" s="89">
        <f t="shared" si="6"/>
        <v>1</v>
      </c>
      <c r="R356" s="101"/>
      <c r="S356" s="56"/>
    </row>
    <row r="357" spans="1:19" ht="43.2" x14ac:dyDescent="0.3">
      <c r="A357">
        <v>355</v>
      </c>
      <c r="B357" s="135" t="s">
        <v>80</v>
      </c>
      <c r="C357" s="136">
        <v>45708</v>
      </c>
      <c r="D357" s="109" t="s">
        <v>1099</v>
      </c>
      <c r="E357" s="111" t="s">
        <v>51</v>
      </c>
      <c r="F357" s="80" t="s">
        <v>10</v>
      </c>
      <c r="G357" s="183">
        <v>45708</v>
      </c>
      <c r="H357" s="137"/>
      <c r="I357" s="100" t="s">
        <v>99</v>
      </c>
      <c r="J357" s="27"/>
      <c r="K357" s="28"/>
      <c r="L357" s="51"/>
      <c r="M357" s="29"/>
      <c r="N357" s="30"/>
      <c r="O357" s="54"/>
      <c r="P357" s="83">
        <v>45709</v>
      </c>
      <c r="Q357" s="89">
        <f t="shared" si="6"/>
        <v>1</v>
      </c>
      <c r="R357" s="101"/>
      <c r="S357" s="56"/>
    </row>
    <row r="358" spans="1:19" ht="43.2" x14ac:dyDescent="0.3">
      <c r="A358">
        <v>356</v>
      </c>
      <c r="B358" s="135" t="s">
        <v>80</v>
      </c>
      <c r="C358" s="136">
        <v>45708</v>
      </c>
      <c r="D358" s="109" t="s">
        <v>1100</v>
      </c>
      <c r="E358" s="111" t="s">
        <v>51</v>
      </c>
      <c r="F358" s="80" t="s">
        <v>10</v>
      </c>
      <c r="G358" s="183">
        <v>45708</v>
      </c>
      <c r="H358" s="137"/>
      <c r="I358" s="100" t="s">
        <v>99</v>
      </c>
      <c r="J358" s="27"/>
      <c r="K358" s="28"/>
      <c r="L358" s="51"/>
      <c r="M358" s="29"/>
      <c r="N358" s="30"/>
      <c r="O358" s="54"/>
      <c r="P358" s="83">
        <v>45709</v>
      </c>
      <c r="Q358" s="89">
        <f t="shared" si="6"/>
        <v>1</v>
      </c>
      <c r="R358" s="101"/>
      <c r="S358" s="56"/>
    </row>
    <row r="359" spans="1:19" ht="28.8" x14ac:dyDescent="0.3">
      <c r="A359">
        <v>357</v>
      </c>
      <c r="B359" s="135" t="s">
        <v>80</v>
      </c>
      <c r="C359" s="136">
        <v>45708</v>
      </c>
      <c r="D359" s="109" t="s">
        <v>1101</v>
      </c>
      <c r="E359" s="111" t="s">
        <v>23</v>
      </c>
      <c r="F359" s="80" t="s">
        <v>10</v>
      </c>
      <c r="G359" s="183">
        <v>45708</v>
      </c>
      <c r="H359" s="137"/>
      <c r="I359" s="100" t="s">
        <v>135</v>
      </c>
      <c r="J359" s="27"/>
      <c r="K359" s="28"/>
      <c r="L359" s="51"/>
      <c r="M359" s="29"/>
      <c r="N359" s="30"/>
      <c r="O359" s="54"/>
      <c r="P359" s="83">
        <v>45709</v>
      </c>
      <c r="Q359" s="89">
        <f t="shared" si="6"/>
        <v>1</v>
      </c>
      <c r="R359" s="101"/>
      <c r="S359" s="56"/>
    </row>
    <row r="360" spans="1:19" ht="28.8" x14ac:dyDescent="0.3">
      <c r="A360">
        <v>358</v>
      </c>
      <c r="B360" s="135" t="s">
        <v>80</v>
      </c>
      <c r="C360" s="136">
        <v>45708</v>
      </c>
      <c r="D360" s="149" t="s">
        <v>1102</v>
      </c>
      <c r="E360" s="111" t="s">
        <v>23</v>
      </c>
      <c r="F360" s="125" t="s">
        <v>10</v>
      </c>
      <c r="G360" s="183">
        <v>45708</v>
      </c>
      <c r="H360" s="137"/>
      <c r="I360" s="100" t="s">
        <v>135</v>
      </c>
      <c r="J360" s="27"/>
      <c r="K360" s="28"/>
      <c r="L360" s="51"/>
      <c r="M360" s="29"/>
      <c r="N360" s="30"/>
      <c r="O360" s="54"/>
      <c r="P360" s="83">
        <v>45709</v>
      </c>
      <c r="Q360" s="89">
        <f t="shared" si="6"/>
        <v>1</v>
      </c>
      <c r="R360" s="101"/>
      <c r="S360" s="56"/>
    </row>
    <row r="361" spans="1:19" ht="28.8" x14ac:dyDescent="0.3">
      <c r="A361">
        <v>359</v>
      </c>
      <c r="B361" s="135" t="s">
        <v>80</v>
      </c>
      <c r="C361" s="136">
        <v>45708</v>
      </c>
      <c r="D361" s="149" t="s">
        <v>1103</v>
      </c>
      <c r="E361" s="111" t="s">
        <v>23</v>
      </c>
      <c r="F361" s="125" t="s">
        <v>10</v>
      </c>
      <c r="G361" s="183">
        <v>45708</v>
      </c>
      <c r="H361" s="137"/>
      <c r="I361" s="100" t="s">
        <v>135</v>
      </c>
      <c r="J361" s="27"/>
      <c r="K361" s="28"/>
      <c r="L361" s="51"/>
      <c r="M361" s="29"/>
      <c r="N361" s="30"/>
      <c r="O361" s="54"/>
      <c r="P361" s="83">
        <v>45709</v>
      </c>
      <c r="Q361" s="89">
        <f t="shared" si="6"/>
        <v>1</v>
      </c>
      <c r="R361" s="101"/>
      <c r="S361" s="56"/>
    </row>
    <row r="362" spans="1:19" ht="28.8" x14ac:dyDescent="0.3">
      <c r="A362">
        <v>360</v>
      </c>
      <c r="B362" s="135" t="s">
        <v>80</v>
      </c>
      <c r="C362" s="136">
        <v>45708</v>
      </c>
      <c r="D362" s="149" t="s">
        <v>1104</v>
      </c>
      <c r="E362" s="111" t="s">
        <v>23</v>
      </c>
      <c r="F362" s="125" t="s">
        <v>10</v>
      </c>
      <c r="G362" s="183">
        <v>45708</v>
      </c>
      <c r="H362" s="137"/>
      <c r="I362" s="100" t="s">
        <v>135</v>
      </c>
      <c r="J362" s="27"/>
      <c r="K362" s="28"/>
      <c r="L362" s="51"/>
      <c r="M362" s="29"/>
      <c r="N362" s="30"/>
      <c r="O362" s="54"/>
      <c r="P362" s="83">
        <v>45709</v>
      </c>
      <c r="Q362" s="89">
        <f t="shared" si="6"/>
        <v>1</v>
      </c>
      <c r="R362" s="101"/>
      <c r="S362" s="56"/>
    </row>
    <row r="363" spans="1:19" ht="43.2" x14ac:dyDescent="0.3">
      <c r="A363">
        <v>361</v>
      </c>
      <c r="B363" s="135" t="s">
        <v>80</v>
      </c>
      <c r="C363" s="136">
        <v>45708</v>
      </c>
      <c r="D363" s="149" t="s">
        <v>1105</v>
      </c>
      <c r="E363" s="111" t="s">
        <v>51</v>
      </c>
      <c r="F363" s="125" t="s">
        <v>10</v>
      </c>
      <c r="G363" s="183">
        <v>45708</v>
      </c>
      <c r="H363" s="137"/>
      <c r="I363" s="100" t="s">
        <v>99</v>
      </c>
      <c r="J363" s="27"/>
      <c r="K363" s="28"/>
      <c r="L363" s="51"/>
      <c r="M363" s="29"/>
      <c r="N363" s="30"/>
      <c r="O363" s="54"/>
      <c r="P363" s="83">
        <v>45709</v>
      </c>
      <c r="Q363" s="89">
        <f t="shared" si="6"/>
        <v>1</v>
      </c>
      <c r="R363" s="101"/>
      <c r="S363" s="56"/>
    </row>
    <row r="364" spans="1:19" ht="28.8" x14ac:dyDescent="0.3">
      <c r="A364">
        <v>362</v>
      </c>
      <c r="B364" s="135" t="s">
        <v>80</v>
      </c>
      <c r="C364" s="136">
        <v>45708</v>
      </c>
      <c r="D364" s="149" t="s">
        <v>1106</v>
      </c>
      <c r="E364" s="111" t="s">
        <v>23</v>
      </c>
      <c r="F364" s="125" t="s">
        <v>10</v>
      </c>
      <c r="G364" s="183">
        <v>45708</v>
      </c>
      <c r="H364" s="137"/>
      <c r="I364" s="107" t="s">
        <v>135</v>
      </c>
      <c r="J364" s="27"/>
      <c r="K364" s="28"/>
      <c r="L364" s="51"/>
      <c r="M364" s="29"/>
      <c r="N364" s="30"/>
      <c r="O364" s="54"/>
      <c r="P364" s="83">
        <v>45709</v>
      </c>
      <c r="Q364" s="89">
        <f t="shared" si="6"/>
        <v>1</v>
      </c>
      <c r="R364" s="101"/>
      <c r="S364" s="56"/>
    </row>
    <row r="365" spans="1:19" ht="28.8" x14ac:dyDescent="0.3">
      <c r="A365">
        <v>363</v>
      </c>
      <c r="B365" s="135" t="s">
        <v>80</v>
      </c>
      <c r="C365" s="136">
        <v>45708</v>
      </c>
      <c r="D365" s="149" t="s">
        <v>1107</v>
      </c>
      <c r="E365" s="111" t="s">
        <v>23</v>
      </c>
      <c r="F365" s="125" t="s">
        <v>10</v>
      </c>
      <c r="G365" s="183">
        <v>45708</v>
      </c>
      <c r="H365" s="137"/>
      <c r="I365" s="100" t="s">
        <v>135</v>
      </c>
      <c r="J365" s="27"/>
      <c r="K365" s="28"/>
      <c r="L365" s="51"/>
      <c r="M365" s="29"/>
      <c r="N365" s="30"/>
      <c r="O365" s="54"/>
      <c r="P365" s="83">
        <v>45709</v>
      </c>
      <c r="Q365" s="89">
        <f t="shared" si="6"/>
        <v>1</v>
      </c>
      <c r="R365" s="101"/>
      <c r="S365" s="56"/>
    </row>
    <row r="366" spans="1:19" ht="28.8" x14ac:dyDescent="0.3">
      <c r="A366">
        <v>364</v>
      </c>
      <c r="B366" s="135" t="s">
        <v>80</v>
      </c>
      <c r="C366" s="136">
        <v>45708</v>
      </c>
      <c r="D366" s="149" t="s">
        <v>1108</v>
      </c>
      <c r="E366" s="111" t="s">
        <v>23</v>
      </c>
      <c r="F366" s="125" t="s">
        <v>10</v>
      </c>
      <c r="G366" s="183">
        <v>45708</v>
      </c>
      <c r="H366" s="137"/>
      <c r="I366" s="100" t="s">
        <v>135</v>
      </c>
      <c r="J366" s="27"/>
      <c r="K366" s="28"/>
      <c r="L366" s="51"/>
      <c r="M366" s="29"/>
      <c r="N366" s="30"/>
      <c r="O366" s="54"/>
      <c r="P366" s="83">
        <v>45709</v>
      </c>
      <c r="Q366" s="89">
        <f t="shared" si="6"/>
        <v>1</v>
      </c>
      <c r="R366" s="101"/>
      <c r="S366" s="56"/>
    </row>
    <row r="367" spans="1:19" ht="28.8" x14ac:dyDescent="0.3">
      <c r="A367">
        <v>365</v>
      </c>
      <c r="B367" s="135" t="s">
        <v>80</v>
      </c>
      <c r="C367" s="136">
        <v>45708</v>
      </c>
      <c r="D367" s="149" t="s">
        <v>1109</v>
      </c>
      <c r="E367" s="111" t="s">
        <v>23</v>
      </c>
      <c r="F367" s="125" t="s">
        <v>10</v>
      </c>
      <c r="G367" s="183">
        <v>45708</v>
      </c>
      <c r="H367" s="137"/>
      <c r="I367" s="100" t="s">
        <v>135</v>
      </c>
      <c r="J367" s="27"/>
      <c r="K367" s="28"/>
      <c r="L367" s="51"/>
      <c r="M367" s="29"/>
      <c r="N367" s="30"/>
      <c r="O367" s="54"/>
      <c r="P367" s="83">
        <v>45709</v>
      </c>
      <c r="Q367" s="89">
        <f t="shared" si="6"/>
        <v>1</v>
      </c>
      <c r="R367" s="101"/>
      <c r="S367" s="56"/>
    </row>
    <row r="368" spans="1:19" ht="28.8" x14ac:dyDescent="0.3">
      <c r="A368">
        <v>366</v>
      </c>
      <c r="B368" s="135" t="s">
        <v>80</v>
      </c>
      <c r="C368" s="136">
        <v>45708</v>
      </c>
      <c r="D368" s="149" t="s">
        <v>1110</v>
      </c>
      <c r="E368" s="111" t="s">
        <v>23</v>
      </c>
      <c r="F368" s="125" t="s">
        <v>10</v>
      </c>
      <c r="G368" s="183">
        <v>45708</v>
      </c>
      <c r="H368" s="137"/>
      <c r="I368" s="107" t="s">
        <v>135</v>
      </c>
      <c r="J368" s="27"/>
      <c r="K368" s="28"/>
      <c r="L368" s="51"/>
      <c r="M368" s="29"/>
      <c r="N368" s="30"/>
      <c r="O368" s="54"/>
      <c r="P368" s="83">
        <v>45709</v>
      </c>
      <c r="Q368" s="89">
        <f t="shared" si="6"/>
        <v>1</v>
      </c>
      <c r="R368" s="101"/>
      <c r="S368" s="56"/>
    </row>
    <row r="369" spans="1:19" ht="43.2" x14ac:dyDescent="0.3">
      <c r="A369">
        <v>367</v>
      </c>
      <c r="B369" s="135" t="s">
        <v>80</v>
      </c>
      <c r="C369" s="136">
        <v>45708</v>
      </c>
      <c r="D369" s="149" t="s">
        <v>1111</v>
      </c>
      <c r="E369" s="111" t="s">
        <v>51</v>
      </c>
      <c r="F369" s="125" t="s">
        <v>10</v>
      </c>
      <c r="G369" s="183">
        <v>45708</v>
      </c>
      <c r="H369" s="137"/>
      <c r="I369" s="100" t="s">
        <v>99</v>
      </c>
      <c r="J369" s="27"/>
      <c r="K369" s="28"/>
      <c r="L369" s="51"/>
      <c r="M369" s="29"/>
      <c r="N369" s="30"/>
      <c r="O369" s="54"/>
      <c r="P369" s="83">
        <v>45709</v>
      </c>
      <c r="Q369" s="89">
        <f t="shared" si="6"/>
        <v>1</v>
      </c>
      <c r="R369" s="101"/>
      <c r="S369" s="56"/>
    </row>
    <row r="370" spans="1:19" ht="28.8" x14ac:dyDescent="0.3">
      <c r="A370">
        <v>368</v>
      </c>
      <c r="B370" s="135" t="s">
        <v>80</v>
      </c>
      <c r="C370" s="136">
        <v>45708</v>
      </c>
      <c r="D370" s="109" t="s">
        <v>1112</v>
      </c>
      <c r="E370" s="111" t="s">
        <v>23</v>
      </c>
      <c r="F370" s="125" t="s">
        <v>10</v>
      </c>
      <c r="G370" s="183">
        <v>45708</v>
      </c>
      <c r="H370" s="137"/>
      <c r="I370" s="125" t="s">
        <v>135</v>
      </c>
      <c r="J370" s="27"/>
      <c r="K370" s="28"/>
      <c r="L370" s="51"/>
      <c r="M370" s="29"/>
      <c r="N370" s="30"/>
      <c r="O370" s="54"/>
      <c r="P370" s="83">
        <v>45709</v>
      </c>
      <c r="Q370" s="89">
        <f t="shared" si="6"/>
        <v>1</v>
      </c>
      <c r="R370" s="101"/>
      <c r="S370" s="56"/>
    </row>
    <row r="371" spans="1:19" ht="129.6" x14ac:dyDescent="0.3">
      <c r="A371">
        <v>369</v>
      </c>
      <c r="B371" s="135" t="s">
        <v>80</v>
      </c>
      <c r="C371" s="136">
        <v>45708</v>
      </c>
      <c r="D371" s="109" t="s">
        <v>1113</v>
      </c>
      <c r="E371" s="111" t="s">
        <v>1</v>
      </c>
      <c r="F371" s="125" t="s">
        <v>10</v>
      </c>
      <c r="G371" s="183">
        <v>45708</v>
      </c>
      <c r="H371" s="140"/>
      <c r="I371" s="102" t="s">
        <v>125</v>
      </c>
      <c r="J371" s="27"/>
      <c r="K371" s="28"/>
      <c r="L371" s="51"/>
      <c r="M371" s="29"/>
      <c r="N371" s="30"/>
      <c r="O371" s="54"/>
      <c r="P371" s="83">
        <v>45709</v>
      </c>
      <c r="Q371" s="89">
        <f t="shared" si="6"/>
        <v>1</v>
      </c>
      <c r="R371" s="101"/>
      <c r="S371" s="56"/>
    </row>
    <row r="372" spans="1:19" ht="28.8" x14ac:dyDescent="0.3">
      <c r="A372">
        <v>370</v>
      </c>
      <c r="B372" s="135" t="s">
        <v>80</v>
      </c>
      <c r="C372" s="136">
        <v>45708</v>
      </c>
      <c r="D372" s="109" t="s">
        <v>1114</v>
      </c>
      <c r="E372" s="111" t="s">
        <v>23</v>
      </c>
      <c r="F372" s="125" t="s">
        <v>10</v>
      </c>
      <c r="G372" s="183">
        <v>45708</v>
      </c>
      <c r="H372" s="137"/>
      <c r="I372" s="125" t="s">
        <v>135</v>
      </c>
      <c r="J372" s="27"/>
      <c r="K372" s="28"/>
      <c r="L372" s="51"/>
      <c r="M372" s="29"/>
      <c r="N372" s="30"/>
      <c r="O372" s="54"/>
      <c r="P372" s="83">
        <v>45709</v>
      </c>
      <c r="Q372" s="89">
        <f t="shared" si="6"/>
        <v>1</v>
      </c>
      <c r="R372" s="101"/>
      <c r="S372" s="56"/>
    </row>
    <row r="373" spans="1:19" ht="28.8" x14ac:dyDescent="0.3">
      <c r="A373">
        <v>371</v>
      </c>
      <c r="B373" s="135" t="s">
        <v>80</v>
      </c>
      <c r="C373" s="136">
        <v>45708</v>
      </c>
      <c r="D373" s="213" t="s">
        <v>1115</v>
      </c>
      <c r="E373" s="111" t="s">
        <v>23</v>
      </c>
      <c r="F373" s="125" t="s">
        <v>10</v>
      </c>
      <c r="G373" s="183">
        <v>45708</v>
      </c>
      <c r="H373" s="137"/>
      <c r="I373" s="125" t="s">
        <v>135</v>
      </c>
      <c r="J373" s="27"/>
      <c r="K373" s="28"/>
      <c r="L373" s="51"/>
      <c r="M373" s="29"/>
      <c r="N373" s="30"/>
      <c r="O373" s="54"/>
      <c r="P373" s="83">
        <v>45709</v>
      </c>
      <c r="Q373" s="89">
        <f t="shared" si="6"/>
        <v>1</v>
      </c>
      <c r="R373" s="101"/>
      <c r="S373" s="56"/>
    </row>
    <row r="374" spans="1:19" ht="28.8" x14ac:dyDescent="0.3">
      <c r="A374">
        <v>372</v>
      </c>
      <c r="B374" s="135" t="s">
        <v>80</v>
      </c>
      <c r="C374" s="136">
        <v>45708</v>
      </c>
      <c r="D374" s="110" t="s">
        <v>1116</v>
      </c>
      <c r="E374" s="111" t="s">
        <v>23</v>
      </c>
      <c r="F374" s="125" t="s">
        <v>10</v>
      </c>
      <c r="G374" s="183">
        <v>45708</v>
      </c>
      <c r="H374" s="137"/>
      <c r="I374" s="125" t="s">
        <v>135</v>
      </c>
      <c r="J374" s="27"/>
      <c r="K374" s="28"/>
      <c r="L374" s="51"/>
      <c r="M374" s="29"/>
      <c r="N374" s="30"/>
      <c r="O374" s="54"/>
      <c r="P374" s="83">
        <v>45709</v>
      </c>
      <c r="Q374" s="89">
        <f t="shared" si="6"/>
        <v>1</v>
      </c>
      <c r="R374" s="101"/>
      <c r="S374" s="56"/>
    </row>
    <row r="375" spans="1:19" ht="86.4" x14ac:dyDescent="0.3">
      <c r="A375">
        <v>373</v>
      </c>
      <c r="B375" s="135" t="s">
        <v>80</v>
      </c>
      <c r="C375" s="136">
        <v>45708</v>
      </c>
      <c r="D375" s="98" t="s">
        <v>1117</v>
      </c>
      <c r="E375" s="111" t="s">
        <v>1</v>
      </c>
      <c r="F375" s="125" t="s">
        <v>10</v>
      </c>
      <c r="G375" s="183">
        <v>45708</v>
      </c>
      <c r="H375" s="137"/>
      <c r="I375" s="125" t="s">
        <v>361</v>
      </c>
      <c r="J375" s="27"/>
      <c r="K375" s="28"/>
      <c r="L375" s="51"/>
      <c r="M375" s="29"/>
      <c r="N375" s="30"/>
      <c r="O375" s="54"/>
      <c r="P375" s="83">
        <v>45709</v>
      </c>
      <c r="Q375" s="89">
        <f t="shared" si="6"/>
        <v>1</v>
      </c>
      <c r="R375" s="101"/>
      <c r="S375" s="56"/>
    </row>
    <row r="376" spans="1:19" ht="43.2" x14ac:dyDescent="0.3">
      <c r="A376">
        <v>374</v>
      </c>
      <c r="B376" s="135" t="s">
        <v>80</v>
      </c>
      <c r="C376" s="136">
        <v>45708</v>
      </c>
      <c r="D376" s="98" t="s">
        <v>1118</v>
      </c>
      <c r="E376" s="111" t="s">
        <v>51</v>
      </c>
      <c r="F376" s="80" t="s">
        <v>10</v>
      </c>
      <c r="G376" s="183">
        <v>45708</v>
      </c>
      <c r="H376" s="137"/>
      <c r="I376" s="100" t="s">
        <v>99</v>
      </c>
      <c r="J376" s="27"/>
      <c r="K376" s="28"/>
      <c r="L376" s="51"/>
      <c r="M376" s="29"/>
      <c r="N376" s="30"/>
      <c r="O376" s="54"/>
      <c r="P376" s="83">
        <v>45709</v>
      </c>
      <c r="Q376" s="89">
        <f t="shared" si="6"/>
        <v>1</v>
      </c>
      <c r="R376" s="101"/>
      <c r="S376" s="56"/>
    </row>
    <row r="377" spans="1:19" ht="28.8" x14ac:dyDescent="0.3">
      <c r="A377">
        <v>375</v>
      </c>
      <c r="B377" s="135" t="s">
        <v>80</v>
      </c>
      <c r="C377" s="136">
        <v>45708</v>
      </c>
      <c r="D377" s="98" t="s">
        <v>1119</v>
      </c>
      <c r="E377" s="111" t="s">
        <v>23</v>
      </c>
      <c r="F377" s="80" t="s">
        <v>10</v>
      </c>
      <c r="G377" s="183">
        <v>45708</v>
      </c>
      <c r="H377" s="137"/>
      <c r="I377" s="107" t="s">
        <v>135</v>
      </c>
      <c r="J377" s="27"/>
      <c r="K377" s="28"/>
      <c r="L377" s="51"/>
      <c r="M377" s="29"/>
      <c r="N377" s="30"/>
      <c r="O377" s="54"/>
      <c r="P377" s="83">
        <v>45709</v>
      </c>
      <c r="Q377" s="89">
        <f t="shared" si="6"/>
        <v>1</v>
      </c>
      <c r="R377" s="101"/>
      <c r="S377" s="56"/>
    </row>
    <row r="378" spans="1:19" ht="43.2" x14ac:dyDescent="0.3">
      <c r="A378">
        <v>376</v>
      </c>
      <c r="B378" s="135" t="s">
        <v>80</v>
      </c>
      <c r="C378" s="136">
        <v>45709</v>
      </c>
      <c r="D378" s="59" t="s">
        <v>1120</v>
      </c>
      <c r="E378" s="48" t="s">
        <v>49</v>
      </c>
      <c r="F378" s="80" t="s">
        <v>10</v>
      </c>
      <c r="G378" s="183">
        <v>45709</v>
      </c>
      <c r="H378" s="146"/>
      <c r="I378" s="100" t="s">
        <v>266</v>
      </c>
      <c r="J378" s="128"/>
      <c r="K378" s="128"/>
      <c r="L378" s="129"/>
      <c r="M378" s="130"/>
      <c r="N378" s="130"/>
      <c r="O378" s="131"/>
      <c r="P378" s="132">
        <v>45709</v>
      </c>
      <c r="Q378" s="89">
        <f t="shared" si="6"/>
        <v>0</v>
      </c>
      <c r="R378" s="101"/>
      <c r="S378" s="168"/>
    </row>
    <row r="379" spans="1:19" ht="43.2" x14ac:dyDescent="0.3">
      <c r="A379">
        <v>377</v>
      </c>
      <c r="B379" s="135" t="s">
        <v>80</v>
      </c>
      <c r="C379" s="136">
        <v>45709</v>
      </c>
      <c r="D379" s="59" t="s">
        <v>1121</v>
      </c>
      <c r="E379" s="48" t="s">
        <v>49</v>
      </c>
      <c r="F379" s="80" t="s">
        <v>10</v>
      </c>
      <c r="G379" s="183">
        <v>45709</v>
      </c>
      <c r="H379" s="146"/>
      <c r="I379" s="100" t="s">
        <v>266</v>
      </c>
      <c r="J379" s="128"/>
      <c r="K379" s="128"/>
      <c r="L379" s="129"/>
      <c r="M379" s="130"/>
      <c r="N379" s="130"/>
      <c r="O379" s="131"/>
      <c r="P379" s="132">
        <v>45709</v>
      </c>
      <c r="Q379" s="89">
        <f t="shared" si="6"/>
        <v>0</v>
      </c>
      <c r="R379" s="101"/>
      <c r="S379" s="101" t="s">
        <v>1122</v>
      </c>
    </row>
    <row r="380" spans="1:19" ht="43.2" x14ac:dyDescent="0.3">
      <c r="A380">
        <v>378</v>
      </c>
      <c r="B380" s="135" t="s">
        <v>80</v>
      </c>
      <c r="C380" s="136">
        <v>45709</v>
      </c>
      <c r="D380" s="59" t="s">
        <v>1123</v>
      </c>
      <c r="E380" s="111" t="s">
        <v>49</v>
      </c>
      <c r="F380" s="80" t="s">
        <v>10</v>
      </c>
      <c r="G380" s="183">
        <v>45709</v>
      </c>
      <c r="H380" s="134"/>
      <c r="I380" s="107" t="s">
        <v>266</v>
      </c>
      <c r="J380" s="128"/>
      <c r="K380" s="128"/>
      <c r="L380" s="129"/>
      <c r="M380" s="130"/>
      <c r="N380" s="130"/>
      <c r="O380" s="131"/>
      <c r="P380" s="132">
        <v>45709</v>
      </c>
      <c r="Q380" s="89">
        <f t="shared" si="6"/>
        <v>0</v>
      </c>
      <c r="R380" s="101"/>
      <c r="S380" s="168"/>
    </row>
    <row r="381" spans="1:19" ht="28.8" x14ac:dyDescent="0.3">
      <c r="A381">
        <v>379</v>
      </c>
      <c r="B381" s="135">
        <v>1550</v>
      </c>
      <c r="C381" s="136">
        <v>45700</v>
      </c>
      <c r="D381" s="109" t="s">
        <v>1124</v>
      </c>
      <c r="E381" s="111" t="s">
        <v>1</v>
      </c>
      <c r="F381" s="125" t="s">
        <v>4</v>
      </c>
      <c r="G381" s="183">
        <v>45700</v>
      </c>
      <c r="H381" s="137"/>
      <c r="I381" s="125" t="s">
        <v>125</v>
      </c>
      <c r="J381" s="27"/>
      <c r="K381" s="28"/>
      <c r="L381" s="51"/>
      <c r="M381" s="29"/>
      <c r="N381" s="30"/>
      <c r="O381" s="54"/>
      <c r="P381" s="83">
        <v>45712</v>
      </c>
      <c r="Q381" s="89">
        <f t="shared" si="6"/>
        <v>12</v>
      </c>
      <c r="R381" s="101"/>
      <c r="S381" s="56"/>
    </row>
    <row r="382" spans="1:19" ht="43.2" x14ac:dyDescent="0.3">
      <c r="A382">
        <v>380</v>
      </c>
      <c r="B382" s="135">
        <v>1550</v>
      </c>
      <c r="C382" s="136">
        <v>45705</v>
      </c>
      <c r="D382" s="109" t="s">
        <v>1125</v>
      </c>
      <c r="E382" s="126" t="s">
        <v>25</v>
      </c>
      <c r="F382" s="127" t="s">
        <v>176</v>
      </c>
      <c r="G382" s="183">
        <v>45705</v>
      </c>
      <c r="H382" s="134">
        <v>10000265952</v>
      </c>
      <c r="I382" s="125" t="s">
        <v>135</v>
      </c>
      <c r="J382" s="27"/>
      <c r="K382" s="28"/>
      <c r="L382" s="51"/>
      <c r="M382" s="29"/>
      <c r="N382" s="30"/>
      <c r="O382" s="54"/>
      <c r="P382" s="132">
        <v>45712</v>
      </c>
      <c r="Q382" s="89">
        <f t="shared" si="6"/>
        <v>7</v>
      </c>
      <c r="R382" s="101"/>
      <c r="S382" s="56"/>
    </row>
    <row r="383" spans="1:19" ht="28.8" x14ac:dyDescent="0.3">
      <c r="A383">
        <v>381</v>
      </c>
      <c r="B383" s="135">
        <v>1550</v>
      </c>
      <c r="C383" s="136">
        <v>45707</v>
      </c>
      <c r="D383" s="175" t="s">
        <v>1126</v>
      </c>
      <c r="E383" s="111" t="s">
        <v>1</v>
      </c>
      <c r="F383" s="127" t="s">
        <v>8</v>
      </c>
      <c r="G383" s="183">
        <v>45707</v>
      </c>
      <c r="H383" s="137"/>
      <c r="I383" s="125" t="s">
        <v>125</v>
      </c>
      <c r="J383" s="27"/>
      <c r="K383" s="28"/>
      <c r="L383" s="51"/>
      <c r="M383" s="29"/>
      <c r="N383" s="30"/>
      <c r="O383" s="54"/>
      <c r="P383" s="83">
        <v>45712</v>
      </c>
      <c r="Q383" s="89">
        <f t="shared" si="6"/>
        <v>5</v>
      </c>
      <c r="R383" s="101" t="s">
        <v>138</v>
      </c>
      <c r="S383" s="56"/>
    </row>
    <row r="384" spans="1:19" ht="72" x14ac:dyDescent="0.3">
      <c r="A384">
        <v>382</v>
      </c>
      <c r="B384" s="135" t="s">
        <v>80</v>
      </c>
      <c r="C384" s="136">
        <v>45707</v>
      </c>
      <c r="D384" s="109" t="s">
        <v>1127</v>
      </c>
      <c r="E384" s="111" t="s">
        <v>11</v>
      </c>
      <c r="F384" s="125" t="s">
        <v>10</v>
      </c>
      <c r="G384" s="183">
        <v>45707</v>
      </c>
      <c r="H384" s="137"/>
      <c r="I384" s="125" t="s">
        <v>106</v>
      </c>
      <c r="J384" s="27"/>
      <c r="K384" s="28"/>
      <c r="L384" s="51"/>
      <c r="M384" s="29"/>
      <c r="N384" s="30"/>
      <c r="O384" s="54"/>
      <c r="P384" s="83">
        <v>45712</v>
      </c>
      <c r="Q384" s="89">
        <f t="shared" si="6"/>
        <v>5</v>
      </c>
      <c r="R384" s="101"/>
      <c r="S384" s="56"/>
    </row>
    <row r="385" spans="1:19" ht="72" x14ac:dyDescent="0.3">
      <c r="A385">
        <v>383</v>
      </c>
      <c r="B385" s="135">
        <v>1550</v>
      </c>
      <c r="C385" s="136">
        <v>45708</v>
      </c>
      <c r="D385" s="109" t="s">
        <v>1128</v>
      </c>
      <c r="E385" s="111" t="s">
        <v>12</v>
      </c>
      <c r="F385" s="127" t="s">
        <v>6</v>
      </c>
      <c r="G385" s="183">
        <v>45708</v>
      </c>
      <c r="H385" s="137"/>
      <c r="I385" s="107" t="s">
        <v>159</v>
      </c>
      <c r="J385" s="27"/>
      <c r="K385" s="28"/>
      <c r="L385" s="51"/>
      <c r="M385" s="29"/>
      <c r="N385" s="30"/>
      <c r="O385" s="54"/>
      <c r="P385" s="83">
        <v>45712</v>
      </c>
      <c r="Q385" s="89">
        <f t="shared" si="6"/>
        <v>4</v>
      </c>
      <c r="R385" s="101"/>
      <c r="S385" s="56"/>
    </row>
    <row r="386" spans="1:19" ht="28.8" x14ac:dyDescent="0.3">
      <c r="A386">
        <v>384</v>
      </c>
      <c r="B386" s="135">
        <v>1550</v>
      </c>
      <c r="C386" s="136">
        <v>45709</v>
      </c>
      <c r="D386" s="109" t="s">
        <v>1129</v>
      </c>
      <c r="E386" s="111" t="s">
        <v>23</v>
      </c>
      <c r="F386" s="80" t="s">
        <v>6</v>
      </c>
      <c r="G386" s="183">
        <v>45709</v>
      </c>
      <c r="H386" s="137"/>
      <c r="I386" s="127" t="s">
        <v>135</v>
      </c>
      <c r="J386" s="27"/>
      <c r="K386" s="28"/>
      <c r="L386" s="51"/>
      <c r="M386" s="29"/>
      <c r="N386" s="30"/>
      <c r="O386" s="54"/>
      <c r="P386" s="83">
        <v>45712</v>
      </c>
      <c r="Q386" s="89">
        <f t="shared" si="6"/>
        <v>3</v>
      </c>
      <c r="R386" s="101"/>
      <c r="S386" s="56"/>
    </row>
    <row r="387" spans="1:19" ht="43.2" x14ac:dyDescent="0.3">
      <c r="A387">
        <v>385</v>
      </c>
      <c r="B387" s="135">
        <v>1550</v>
      </c>
      <c r="C387" s="136">
        <v>45709</v>
      </c>
      <c r="D387" s="109" t="s">
        <v>1130</v>
      </c>
      <c r="E387" s="111" t="s">
        <v>23</v>
      </c>
      <c r="F387" s="125" t="s">
        <v>8</v>
      </c>
      <c r="G387" s="183">
        <v>45709</v>
      </c>
      <c r="H387" s="137"/>
      <c r="I387" s="125" t="s">
        <v>135</v>
      </c>
      <c r="J387" s="27"/>
      <c r="K387" s="28"/>
      <c r="L387" s="51"/>
      <c r="M387" s="29"/>
      <c r="N387" s="30"/>
      <c r="O387" s="54"/>
      <c r="P387" s="83">
        <v>45712</v>
      </c>
      <c r="Q387" s="89">
        <f t="shared" si="6"/>
        <v>3</v>
      </c>
      <c r="R387" s="101" t="s">
        <v>270</v>
      </c>
      <c r="S387" s="56"/>
    </row>
    <row r="388" spans="1:19" x14ac:dyDescent="0.3">
      <c r="A388">
        <v>386</v>
      </c>
      <c r="B388" s="135">
        <v>1550</v>
      </c>
      <c r="C388" s="136">
        <v>45709</v>
      </c>
      <c r="D388" s="109" t="s">
        <v>1131</v>
      </c>
      <c r="E388" s="111" t="s">
        <v>23</v>
      </c>
      <c r="F388" s="125" t="s">
        <v>6</v>
      </c>
      <c r="G388" s="183">
        <v>45709</v>
      </c>
      <c r="H388" s="137"/>
      <c r="I388" s="127" t="s">
        <v>135</v>
      </c>
      <c r="J388" s="27"/>
      <c r="K388" s="28"/>
      <c r="L388" s="51"/>
      <c r="M388" s="29"/>
      <c r="N388" s="30"/>
      <c r="O388" s="54"/>
      <c r="P388" s="83">
        <v>45712</v>
      </c>
      <c r="Q388" s="89">
        <f t="shared" si="6"/>
        <v>3</v>
      </c>
      <c r="R388" s="101"/>
      <c r="S388" s="56"/>
    </row>
    <row r="389" spans="1:19" ht="28.8" x14ac:dyDescent="0.3">
      <c r="A389">
        <v>387</v>
      </c>
      <c r="B389" s="135">
        <v>1550</v>
      </c>
      <c r="C389" s="136">
        <v>45709</v>
      </c>
      <c r="D389" s="109" t="s">
        <v>1132</v>
      </c>
      <c r="E389" s="111" t="s">
        <v>23</v>
      </c>
      <c r="F389" s="125" t="s">
        <v>6</v>
      </c>
      <c r="G389" s="183">
        <v>45709</v>
      </c>
      <c r="H389" s="137"/>
      <c r="I389" s="127" t="s">
        <v>135</v>
      </c>
      <c r="J389" s="27"/>
      <c r="K389" s="28"/>
      <c r="L389" s="51"/>
      <c r="M389" s="29"/>
      <c r="N389" s="30"/>
      <c r="O389" s="54"/>
      <c r="P389" s="83">
        <v>45712</v>
      </c>
      <c r="Q389" s="89">
        <f t="shared" si="6"/>
        <v>3</v>
      </c>
      <c r="R389" s="101"/>
      <c r="S389" s="56"/>
    </row>
    <row r="390" spans="1:19" ht="28.8" x14ac:dyDescent="0.3">
      <c r="A390">
        <v>388</v>
      </c>
      <c r="B390" s="135">
        <v>1550</v>
      </c>
      <c r="C390" s="136">
        <v>45709</v>
      </c>
      <c r="D390" s="109" t="s">
        <v>1133</v>
      </c>
      <c r="E390" s="111" t="s">
        <v>23</v>
      </c>
      <c r="F390" s="125" t="s">
        <v>6</v>
      </c>
      <c r="G390" s="183">
        <v>45709</v>
      </c>
      <c r="H390" s="137"/>
      <c r="I390" s="127" t="s">
        <v>135</v>
      </c>
      <c r="J390" s="27"/>
      <c r="K390" s="28"/>
      <c r="L390" s="51"/>
      <c r="M390" s="29"/>
      <c r="N390" s="30"/>
      <c r="O390" s="54"/>
      <c r="P390" s="83">
        <v>45712</v>
      </c>
      <c r="Q390" s="89">
        <f t="shared" si="6"/>
        <v>3</v>
      </c>
      <c r="R390" s="101"/>
      <c r="S390" s="56"/>
    </row>
    <row r="391" spans="1:19" x14ac:dyDescent="0.3">
      <c r="A391">
        <v>389</v>
      </c>
      <c r="B391" s="135">
        <v>1550</v>
      </c>
      <c r="C391" s="136">
        <v>45709</v>
      </c>
      <c r="D391" s="209" t="s">
        <v>1134</v>
      </c>
      <c r="E391" s="111" t="s">
        <v>23</v>
      </c>
      <c r="F391" s="125" t="s">
        <v>4</v>
      </c>
      <c r="G391" s="183">
        <v>45709</v>
      </c>
      <c r="H391" s="137"/>
      <c r="I391" s="100" t="s">
        <v>135</v>
      </c>
      <c r="J391" s="27"/>
      <c r="K391" s="28"/>
      <c r="L391" s="51"/>
      <c r="M391" s="29"/>
      <c r="N391" s="30"/>
      <c r="O391" s="54"/>
      <c r="P391" s="83">
        <v>45712</v>
      </c>
      <c r="Q391" s="89">
        <f t="shared" si="6"/>
        <v>3</v>
      </c>
      <c r="R391" s="101"/>
      <c r="S391" s="56"/>
    </row>
    <row r="392" spans="1:19" x14ac:dyDescent="0.3">
      <c r="A392">
        <v>390</v>
      </c>
      <c r="B392" s="135">
        <v>1550</v>
      </c>
      <c r="C392" s="136">
        <v>45709</v>
      </c>
      <c r="D392" s="149" t="s">
        <v>1135</v>
      </c>
      <c r="E392" s="111" t="s">
        <v>23</v>
      </c>
      <c r="F392" s="125" t="s">
        <v>6</v>
      </c>
      <c r="G392" s="183">
        <v>45709</v>
      </c>
      <c r="H392" s="137"/>
      <c r="I392" s="102" t="s">
        <v>135</v>
      </c>
      <c r="J392" s="27"/>
      <c r="K392" s="28"/>
      <c r="L392" s="51"/>
      <c r="M392" s="29"/>
      <c r="N392" s="30"/>
      <c r="O392" s="54"/>
      <c r="P392" s="83">
        <v>45712</v>
      </c>
      <c r="Q392" s="89">
        <f t="shared" si="6"/>
        <v>3</v>
      </c>
      <c r="R392" s="101"/>
      <c r="S392" s="56"/>
    </row>
    <row r="393" spans="1:19" x14ac:dyDescent="0.3">
      <c r="A393">
        <v>391</v>
      </c>
      <c r="B393" s="135">
        <v>1550</v>
      </c>
      <c r="C393" s="136">
        <v>45709</v>
      </c>
      <c r="D393" s="149" t="s">
        <v>1136</v>
      </c>
      <c r="E393" s="111" t="s">
        <v>23</v>
      </c>
      <c r="F393" s="125" t="s">
        <v>6</v>
      </c>
      <c r="G393" s="183">
        <v>45709</v>
      </c>
      <c r="H393" s="137"/>
      <c r="I393" s="102" t="s">
        <v>135</v>
      </c>
      <c r="J393" s="27"/>
      <c r="K393" s="28"/>
      <c r="L393" s="51"/>
      <c r="M393" s="29"/>
      <c r="N393" s="30"/>
      <c r="O393" s="54"/>
      <c r="P393" s="83">
        <v>45712</v>
      </c>
      <c r="Q393" s="89">
        <f t="shared" si="6"/>
        <v>3</v>
      </c>
      <c r="R393" s="101"/>
      <c r="S393" s="56"/>
    </row>
    <row r="394" spans="1:19" x14ac:dyDescent="0.3">
      <c r="A394">
        <v>392</v>
      </c>
      <c r="B394" s="135">
        <v>1550</v>
      </c>
      <c r="C394" s="136">
        <v>45709</v>
      </c>
      <c r="D394" s="149" t="s">
        <v>1137</v>
      </c>
      <c r="E394" s="111" t="s">
        <v>23</v>
      </c>
      <c r="F394" s="125" t="s">
        <v>6</v>
      </c>
      <c r="G394" s="183">
        <v>45709</v>
      </c>
      <c r="H394" s="137"/>
      <c r="I394" s="113" t="s">
        <v>135</v>
      </c>
      <c r="J394" s="27"/>
      <c r="K394" s="28"/>
      <c r="L394" s="51"/>
      <c r="M394" s="29"/>
      <c r="N394" s="30"/>
      <c r="O394" s="54"/>
      <c r="P394" s="83">
        <v>45712</v>
      </c>
      <c r="Q394" s="89">
        <f t="shared" si="6"/>
        <v>3</v>
      </c>
      <c r="R394" s="101"/>
      <c r="S394" s="56"/>
    </row>
    <row r="395" spans="1:19" ht="72" x14ac:dyDescent="0.3">
      <c r="A395">
        <v>393</v>
      </c>
      <c r="B395" s="135">
        <v>1550</v>
      </c>
      <c r="C395" s="136">
        <v>45709</v>
      </c>
      <c r="D395" s="149" t="s">
        <v>1138</v>
      </c>
      <c r="E395" s="111" t="s">
        <v>25</v>
      </c>
      <c r="F395" s="125" t="s">
        <v>4</v>
      </c>
      <c r="G395" s="183">
        <v>45709</v>
      </c>
      <c r="H395" s="139">
        <v>10000268010</v>
      </c>
      <c r="I395" s="100" t="s">
        <v>135</v>
      </c>
      <c r="J395" s="27"/>
      <c r="K395" s="28"/>
      <c r="L395" s="51"/>
      <c r="M395" s="29"/>
      <c r="N395" s="30"/>
      <c r="O395" s="54"/>
      <c r="P395" s="83">
        <v>45712</v>
      </c>
      <c r="Q395" s="89">
        <f t="shared" si="6"/>
        <v>3</v>
      </c>
      <c r="R395" s="101"/>
      <c r="S395" s="56"/>
    </row>
    <row r="396" spans="1:19" ht="28.8" x14ac:dyDescent="0.3">
      <c r="A396">
        <v>394</v>
      </c>
      <c r="B396" s="135">
        <v>1550</v>
      </c>
      <c r="C396" s="136">
        <v>45709</v>
      </c>
      <c r="D396" s="149" t="s">
        <v>1139</v>
      </c>
      <c r="E396" s="111" t="s">
        <v>1</v>
      </c>
      <c r="F396" s="125" t="s">
        <v>8</v>
      </c>
      <c r="G396" s="183">
        <v>45709</v>
      </c>
      <c r="H396" s="137"/>
      <c r="I396" s="100" t="s">
        <v>125</v>
      </c>
      <c r="J396" s="27"/>
      <c r="K396" s="28"/>
      <c r="L396" s="51"/>
      <c r="M396" s="29"/>
      <c r="N396" s="30"/>
      <c r="O396" s="54"/>
      <c r="P396" s="83">
        <v>45712</v>
      </c>
      <c r="Q396" s="89">
        <f t="shared" si="6"/>
        <v>3</v>
      </c>
      <c r="R396" s="101" t="s">
        <v>160</v>
      </c>
      <c r="S396" s="56"/>
    </row>
    <row r="397" spans="1:19" x14ac:dyDescent="0.3">
      <c r="A397">
        <v>395</v>
      </c>
      <c r="B397" s="135">
        <v>1550</v>
      </c>
      <c r="C397" s="136">
        <v>45709</v>
      </c>
      <c r="D397" s="209" t="s">
        <v>1140</v>
      </c>
      <c r="E397" s="111" t="s">
        <v>23</v>
      </c>
      <c r="F397" s="125" t="s">
        <v>4</v>
      </c>
      <c r="G397" s="183">
        <v>45709</v>
      </c>
      <c r="H397" s="137"/>
      <c r="I397" s="100" t="s">
        <v>135</v>
      </c>
      <c r="J397" s="27"/>
      <c r="K397" s="28"/>
      <c r="L397" s="51"/>
      <c r="M397" s="29"/>
      <c r="N397" s="30"/>
      <c r="O397" s="54"/>
      <c r="P397" s="83">
        <v>45712</v>
      </c>
      <c r="Q397" s="89">
        <f t="shared" si="6"/>
        <v>3</v>
      </c>
      <c r="R397" s="101"/>
      <c r="S397" s="56"/>
    </row>
    <row r="398" spans="1:19" ht="43.2" x14ac:dyDescent="0.3">
      <c r="A398">
        <v>396</v>
      </c>
      <c r="B398" s="135" t="s">
        <v>80</v>
      </c>
      <c r="C398" s="136">
        <v>45709</v>
      </c>
      <c r="D398" s="149" t="s">
        <v>1141</v>
      </c>
      <c r="E398" s="111" t="s">
        <v>51</v>
      </c>
      <c r="F398" s="125" t="s">
        <v>10</v>
      </c>
      <c r="G398" s="183">
        <v>45709</v>
      </c>
      <c r="H398" s="137"/>
      <c r="I398" s="100" t="s">
        <v>99</v>
      </c>
      <c r="J398" s="27"/>
      <c r="K398" s="28"/>
      <c r="L398" s="51"/>
      <c r="M398" s="29"/>
      <c r="N398" s="30"/>
      <c r="O398" s="54"/>
      <c r="P398" s="83">
        <v>45712</v>
      </c>
      <c r="Q398" s="89">
        <f t="shared" si="6"/>
        <v>3</v>
      </c>
      <c r="R398" s="101"/>
      <c r="S398" s="56"/>
    </row>
    <row r="399" spans="1:19" ht="28.8" x14ac:dyDescent="0.3">
      <c r="A399">
        <v>397</v>
      </c>
      <c r="B399" s="135" t="s">
        <v>80</v>
      </c>
      <c r="C399" s="136">
        <v>45709</v>
      </c>
      <c r="D399" s="149" t="s">
        <v>1142</v>
      </c>
      <c r="E399" s="111" t="s">
        <v>23</v>
      </c>
      <c r="F399" s="125" t="s">
        <v>10</v>
      </c>
      <c r="G399" s="183">
        <v>45709</v>
      </c>
      <c r="H399" s="137"/>
      <c r="I399" s="100" t="s">
        <v>135</v>
      </c>
      <c r="J399" s="27"/>
      <c r="K399" s="28"/>
      <c r="L399" s="51"/>
      <c r="M399" s="29"/>
      <c r="N399" s="30"/>
      <c r="O399" s="54"/>
      <c r="P399" s="83">
        <v>45712</v>
      </c>
      <c r="Q399" s="89">
        <f t="shared" si="6"/>
        <v>3</v>
      </c>
      <c r="R399" s="101"/>
      <c r="S399" s="56"/>
    </row>
    <row r="400" spans="1:19" ht="28.8" x14ac:dyDescent="0.3">
      <c r="A400">
        <v>398</v>
      </c>
      <c r="B400" s="135" t="s">
        <v>80</v>
      </c>
      <c r="C400" s="136">
        <v>45709</v>
      </c>
      <c r="D400" s="149" t="s">
        <v>1143</v>
      </c>
      <c r="E400" s="111" t="s">
        <v>23</v>
      </c>
      <c r="F400" s="125" t="s">
        <v>10</v>
      </c>
      <c r="G400" s="183">
        <v>45709</v>
      </c>
      <c r="H400" s="137"/>
      <c r="I400" s="100" t="s">
        <v>135</v>
      </c>
      <c r="J400" s="27"/>
      <c r="K400" s="28"/>
      <c r="L400" s="51"/>
      <c r="M400" s="29"/>
      <c r="N400" s="30"/>
      <c r="O400" s="54"/>
      <c r="P400" s="83">
        <v>45712</v>
      </c>
      <c r="Q400" s="89">
        <f t="shared" si="6"/>
        <v>3</v>
      </c>
      <c r="R400" s="101"/>
      <c r="S400" s="56"/>
    </row>
    <row r="401" spans="1:19" ht="28.8" x14ac:dyDescent="0.3">
      <c r="A401">
        <v>399</v>
      </c>
      <c r="B401" s="135" t="s">
        <v>80</v>
      </c>
      <c r="C401" s="136">
        <v>45709</v>
      </c>
      <c r="D401" s="149" t="s">
        <v>1144</v>
      </c>
      <c r="E401" s="111" t="s">
        <v>23</v>
      </c>
      <c r="F401" s="125" t="s">
        <v>10</v>
      </c>
      <c r="G401" s="183">
        <v>45709</v>
      </c>
      <c r="H401" s="137"/>
      <c r="I401" s="107" t="s">
        <v>135</v>
      </c>
      <c r="J401" s="27"/>
      <c r="K401" s="28"/>
      <c r="L401" s="51"/>
      <c r="M401" s="29"/>
      <c r="N401" s="30"/>
      <c r="O401" s="54"/>
      <c r="P401" s="83">
        <v>45712</v>
      </c>
      <c r="Q401" s="89">
        <f t="shared" si="6"/>
        <v>3</v>
      </c>
      <c r="R401" s="101"/>
      <c r="S401" s="56"/>
    </row>
    <row r="402" spans="1:19" ht="43.2" x14ac:dyDescent="0.3">
      <c r="A402">
        <v>400</v>
      </c>
      <c r="B402" s="135" t="s">
        <v>80</v>
      </c>
      <c r="C402" s="136">
        <v>45709</v>
      </c>
      <c r="D402" s="149" t="s">
        <v>1145</v>
      </c>
      <c r="E402" s="111" t="s">
        <v>51</v>
      </c>
      <c r="F402" s="125" t="s">
        <v>10</v>
      </c>
      <c r="G402" s="183">
        <v>45709</v>
      </c>
      <c r="H402" s="137"/>
      <c r="I402" s="100" t="s">
        <v>99</v>
      </c>
      <c r="J402" s="27"/>
      <c r="K402" s="28"/>
      <c r="L402" s="51"/>
      <c r="M402" s="29"/>
      <c r="N402" s="30"/>
      <c r="O402" s="54"/>
      <c r="P402" s="83">
        <v>45712</v>
      </c>
      <c r="Q402" s="89">
        <f t="shared" si="6"/>
        <v>3</v>
      </c>
      <c r="R402" s="101"/>
      <c r="S402" s="56"/>
    </row>
    <row r="403" spans="1:19" ht="43.2" x14ac:dyDescent="0.3">
      <c r="A403">
        <v>401</v>
      </c>
      <c r="B403" s="135" t="s">
        <v>80</v>
      </c>
      <c r="C403" s="136">
        <v>45709</v>
      </c>
      <c r="D403" s="149" t="s">
        <v>1146</v>
      </c>
      <c r="E403" s="111" t="s">
        <v>51</v>
      </c>
      <c r="F403" s="125" t="s">
        <v>10</v>
      </c>
      <c r="G403" s="183">
        <v>45709</v>
      </c>
      <c r="H403" s="137"/>
      <c r="I403" s="100" t="s">
        <v>99</v>
      </c>
      <c r="J403" s="27"/>
      <c r="K403" s="28"/>
      <c r="L403" s="51"/>
      <c r="M403" s="29"/>
      <c r="N403" s="30"/>
      <c r="O403" s="54"/>
      <c r="P403" s="83">
        <v>45712</v>
      </c>
      <c r="Q403" s="89">
        <f t="shared" si="6"/>
        <v>3</v>
      </c>
      <c r="R403" s="101"/>
      <c r="S403" s="56"/>
    </row>
    <row r="404" spans="1:19" ht="28.8" x14ac:dyDescent="0.3">
      <c r="A404">
        <v>402</v>
      </c>
      <c r="B404" s="135" t="s">
        <v>80</v>
      </c>
      <c r="C404" s="136">
        <v>45709</v>
      </c>
      <c r="D404" s="149" t="s">
        <v>1147</v>
      </c>
      <c r="E404" s="111" t="s">
        <v>23</v>
      </c>
      <c r="F404" s="125" t="s">
        <v>10</v>
      </c>
      <c r="G404" s="183">
        <v>45709</v>
      </c>
      <c r="H404" s="137"/>
      <c r="I404" s="100" t="s">
        <v>135</v>
      </c>
      <c r="J404" s="27"/>
      <c r="K404" s="28"/>
      <c r="L404" s="51"/>
      <c r="M404" s="29"/>
      <c r="N404" s="30"/>
      <c r="O404" s="54"/>
      <c r="P404" s="83">
        <v>45712</v>
      </c>
      <c r="Q404" s="89">
        <f t="shared" si="6"/>
        <v>3</v>
      </c>
      <c r="R404" s="101"/>
      <c r="S404" s="56"/>
    </row>
    <row r="405" spans="1:19" ht="43.2" x14ac:dyDescent="0.3">
      <c r="A405">
        <v>403</v>
      </c>
      <c r="B405" s="135" t="s">
        <v>80</v>
      </c>
      <c r="C405" s="136">
        <v>45709</v>
      </c>
      <c r="D405" s="149" t="s">
        <v>1148</v>
      </c>
      <c r="E405" s="111" t="s">
        <v>51</v>
      </c>
      <c r="F405" s="125" t="s">
        <v>10</v>
      </c>
      <c r="G405" s="183">
        <v>45709</v>
      </c>
      <c r="H405" s="137"/>
      <c r="I405" s="100" t="s">
        <v>99</v>
      </c>
      <c r="J405" s="27"/>
      <c r="K405" s="50"/>
      <c r="L405" s="51"/>
      <c r="M405" s="29"/>
      <c r="N405" s="30"/>
      <c r="O405" s="54"/>
      <c r="P405" s="83">
        <v>45712</v>
      </c>
      <c r="Q405" s="89">
        <f t="shared" si="6"/>
        <v>3</v>
      </c>
      <c r="R405" s="101"/>
      <c r="S405" s="56"/>
    </row>
    <row r="406" spans="1:19" ht="43.2" x14ac:dyDescent="0.3">
      <c r="A406">
        <v>404</v>
      </c>
      <c r="B406" s="135" t="s">
        <v>80</v>
      </c>
      <c r="C406" s="136">
        <v>45709</v>
      </c>
      <c r="D406" s="211" t="s">
        <v>1149</v>
      </c>
      <c r="E406" s="111" t="s">
        <v>51</v>
      </c>
      <c r="F406" s="125" t="s">
        <v>10</v>
      </c>
      <c r="G406" s="183">
        <v>45709</v>
      </c>
      <c r="H406" s="137"/>
      <c r="I406" s="100" t="s">
        <v>99</v>
      </c>
      <c r="J406" s="128"/>
      <c r="K406" s="128"/>
      <c r="L406" s="129"/>
      <c r="M406" s="130"/>
      <c r="N406" s="130"/>
      <c r="O406" s="131"/>
      <c r="P406" s="83">
        <v>45712</v>
      </c>
      <c r="Q406" s="89">
        <f t="shared" si="6"/>
        <v>3</v>
      </c>
      <c r="R406" s="101"/>
      <c r="S406" s="168"/>
    </row>
    <row r="407" spans="1:19" ht="28.8" x14ac:dyDescent="0.3">
      <c r="A407">
        <v>405</v>
      </c>
      <c r="B407" s="135" t="s">
        <v>80</v>
      </c>
      <c r="C407" s="136">
        <v>45709</v>
      </c>
      <c r="D407" s="211" t="s">
        <v>1150</v>
      </c>
      <c r="E407" s="111" t="s">
        <v>23</v>
      </c>
      <c r="F407" s="125" t="s">
        <v>10</v>
      </c>
      <c r="G407" s="183">
        <v>45709</v>
      </c>
      <c r="H407" s="137"/>
      <c r="I407" s="100" t="s">
        <v>135</v>
      </c>
      <c r="J407" s="128"/>
      <c r="K407" s="128"/>
      <c r="L407" s="129"/>
      <c r="M407" s="130"/>
      <c r="N407" s="130"/>
      <c r="O407" s="131"/>
      <c r="P407" s="83">
        <v>45712</v>
      </c>
      <c r="Q407" s="89">
        <f t="shared" si="6"/>
        <v>3</v>
      </c>
      <c r="R407" s="101"/>
      <c r="S407" s="168"/>
    </row>
    <row r="408" spans="1:19" ht="28.8" x14ac:dyDescent="0.3">
      <c r="A408">
        <v>406</v>
      </c>
      <c r="B408" s="135" t="s">
        <v>80</v>
      </c>
      <c r="C408" s="136">
        <v>45709</v>
      </c>
      <c r="D408" s="211" t="s">
        <v>1151</v>
      </c>
      <c r="E408" s="111" t="s">
        <v>23</v>
      </c>
      <c r="F408" s="125" t="s">
        <v>10</v>
      </c>
      <c r="G408" s="183">
        <v>45709</v>
      </c>
      <c r="H408" s="137"/>
      <c r="I408" s="100" t="s">
        <v>135</v>
      </c>
      <c r="J408" s="128"/>
      <c r="K408" s="128"/>
      <c r="L408" s="129"/>
      <c r="M408" s="130"/>
      <c r="N408" s="130"/>
      <c r="O408" s="131"/>
      <c r="P408" s="83">
        <v>45712</v>
      </c>
      <c r="Q408" s="89">
        <f t="shared" si="6"/>
        <v>3</v>
      </c>
      <c r="R408" s="101"/>
      <c r="S408" s="168"/>
    </row>
    <row r="409" spans="1:19" ht="28.8" x14ac:dyDescent="0.3">
      <c r="A409">
        <v>407</v>
      </c>
      <c r="B409" s="135" t="s">
        <v>80</v>
      </c>
      <c r="C409" s="136">
        <v>45709</v>
      </c>
      <c r="D409" s="211" t="s">
        <v>1152</v>
      </c>
      <c r="E409" s="111" t="s">
        <v>23</v>
      </c>
      <c r="F409" s="125" t="s">
        <v>10</v>
      </c>
      <c r="G409" s="183">
        <v>45709</v>
      </c>
      <c r="H409" s="137"/>
      <c r="I409" s="100" t="s">
        <v>135</v>
      </c>
      <c r="J409" s="128"/>
      <c r="K409" s="128"/>
      <c r="L409" s="129"/>
      <c r="M409" s="130"/>
      <c r="N409" s="130"/>
      <c r="O409" s="131"/>
      <c r="P409" s="83">
        <v>45712</v>
      </c>
      <c r="Q409" s="89">
        <f t="shared" si="6"/>
        <v>3</v>
      </c>
      <c r="R409" s="101"/>
      <c r="S409" s="168"/>
    </row>
    <row r="410" spans="1:19" ht="28.8" x14ac:dyDescent="0.3">
      <c r="A410">
        <v>408</v>
      </c>
      <c r="B410" s="135" t="s">
        <v>80</v>
      </c>
      <c r="C410" s="136">
        <v>45709</v>
      </c>
      <c r="D410" s="211" t="s">
        <v>1153</v>
      </c>
      <c r="E410" s="111" t="s">
        <v>23</v>
      </c>
      <c r="F410" s="125" t="s">
        <v>10</v>
      </c>
      <c r="G410" s="183">
        <v>45709</v>
      </c>
      <c r="H410" s="137"/>
      <c r="I410" s="100" t="s">
        <v>135</v>
      </c>
      <c r="J410" s="128"/>
      <c r="K410" s="128"/>
      <c r="L410" s="129"/>
      <c r="M410" s="130"/>
      <c r="N410" s="130"/>
      <c r="O410" s="131"/>
      <c r="P410" s="83">
        <v>45712</v>
      </c>
      <c r="Q410" s="89">
        <f t="shared" si="6"/>
        <v>3</v>
      </c>
      <c r="R410" s="101"/>
      <c r="S410" s="168"/>
    </row>
    <row r="411" spans="1:19" ht="28.8" x14ac:dyDescent="0.3">
      <c r="A411">
        <v>409</v>
      </c>
      <c r="B411" s="135" t="s">
        <v>80</v>
      </c>
      <c r="C411" s="136">
        <v>45709</v>
      </c>
      <c r="D411" s="211" t="s">
        <v>1154</v>
      </c>
      <c r="E411" s="111" t="s">
        <v>23</v>
      </c>
      <c r="F411" s="125" t="s">
        <v>10</v>
      </c>
      <c r="G411" s="183">
        <v>45709</v>
      </c>
      <c r="H411" s="137"/>
      <c r="I411" s="100" t="s">
        <v>135</v>
      </c>
      <c r="J411" s="128"/>
      <c r="K411" s="128"/>
      <c r="L411" s="129"/>
      <c r="M411" s="130"/>
      <c r="N411" s="130"/>
      <c r="O411" s="131"/>
      <c r="P411" s="83">
        <v>45712</v>
      </c>
      <c r="Q411" s="89">
        <f t="shared" si="6"/>
        <v>3</v>
      </c>
      <c r="R411" s="101"/>
      <c r="S411" s="168"/>
    </row>
    <row r="412" spans="1:19" ht="28.8" x14ac:dyDescent="0.3">
      <c r="A412">
        <v>410</v>
      </c>
      <c r="B412" s="135" t="s">
        <v>80</v>
      </c>
      <c r="C412" s="136">
        <v>45709</v>
      </c>
      <c r="D412" s="211" t="s">
        <v>1155</v>
      </c>
      <c r="E412" s="111" t="s">
        <v>23</v>
      </c>
      <c r="F412" s="125" t="s">
        <v>10</v>
      </c>
      <c r="G412" s="183">
        <v>45709</v>
      </c>
      <c r="H412" s="137"/>
      <c r="I412" s="100" t="s">
        <v>135</v>
      </c>
      <c r="J412" s="128"/>
      <c r="K412" s="128"/>
      <c r="L412" s="129"/>
      <c r="M412" s="130"/>
      <c r="N412" s="130"/>
      <c r="O412" s="131"/>
      <c r="P412" s="83">
        <v>45712</v>
      </c>
      <c r="Q412" s="89">
        <f t="shared" si="6"/>
        <v>3</v>
      </c>
      <c r="R412" s="101"/>
      <c r="S412" s="168"/>
    </row>
    <row r="413" spans="1:19" ht="28.8" x14ac:dyDescent="0.3">
      <c r="A413">
        <v>411</v>
      </c>
      <c r="B413" s="135" t="s">
        <v>80</v>
      </c>
      <c r="C413" s="136">
        <v>45709</v>
      </c>
      <c r="D413" s="211" t="s">
        <v>1156</v>
      </c>
      <c r="E413" s="111" t="s">
        <v>23</v>
      </c>
      <c r="F413" s="125" t="s">
        <v>10</v>
      </c>
      <c r="G413" s="183">
        <v>45709</v>
      </c>
      <c r="H413" s="137"/>
      <c r="I413" s="100" t="s">
        <v>135</v>
      </c>
      <c r="J413" s="128"/>
      <c r="K413" s="128"/>
      <c r="L413" s="129"/>
      <c r="M413" s="130"/>
      <c r="N413" s="130"/>
      <c r="O413" s="131"/>
      <c r="P413" s="83">
        <v>45712</v>
      </c>
      <c r="Q413" s="89">
        <f t="shared" si="6"/>
        <v>3</v>
      </c>
      <c r="R413" s="101"/>
      <c r="S413" s="168"/>
    </row>
    <row r="414" spans="1:19" ht="43.2" x14ac:dyDescent="0.3">
      <c r="A414">
        <v>412</v>
      </c>
      <c r="B414" s="135" t="s">
        <v>80</v>
      </c>
      <c r="C414" s="136">
        <v>45709</v>
      </c>
      <c r="D414" s="211" t="s">
        <v>1157</v>
      </c>
      <c r="E414" s="111" t="s">
        <v>51</v>
      </c>
      <c r="F414" s="125" t="s">
        <v>10</v>
      </c>
      <c r="G414" s="183">
        <v>45709</v>
      </c>
      <c r="H414" s="137"/>
      <c r="I414" s="100" t="s">
        <v>99</v>
      </c>
      <c r="J414" s="128"/>
      <c r="K414" s="128"/>
      <c r="L414" s="129"/>
      <c r="M414" s="130"/>
      <c r="N414" s="130"/>
      <c r="O414" s="131"/>
      <c r="P414" s="83">
        <v>45712</v>
      </c>
      <c r="Q414" s="89">
        <f t="shared" si="6"/>
        <v>3</v>
      </c>
      <c r="R414" s="101"/>
      <c r="S414" s="168"/>
    </row>
    <row r="415" spans="1:19" ht="43.2" x14ac:dyDescent="0.3">
      <c r="A415">
        <v>413</v>
      </c>
      <c r="B415" s="135" t="s">
        <v>80</v>
      </c>
      <c r="C415" s="136">
        <v>45709</v>
      </c>
      <c r="D415" s="211" t="s">
        <v>1158</v>
      </c>
      <c r="E415" s="111" t="s">
        <v>51</v>
      </c>
      <c r="F415" s="125" t="s">
        <v>10</v>
      </c>
      <c r="G415" s="183">
        <v>45709</v>
      </c>
      <c r="H415" s="137"/>
      <c r="I415" s="100" t="s">
        <v>99</v>
      </c>
      <c r="J415" s="128"/>
      <c r="K415" s="128"/>
      <c r="L415" s="129"/>
      <c r="M415" s="130"/>
      <c r="N415" s="130"/>
      <c r="O415" s="131"/>
      <c r="P415" s="83">
        <v>45712</v>
      </c>
      <c r="Q415" s="89">
        <f t="shared" ref="Q415:Q478" si="7">P415-G415</f>
        <v>3</v>
      </c>
      <c r="R415" s="101"/>
      <c r="S415" s="168"/>
    </row>
    <row r="416" spans="1:19" ht="28.8" x14ac:dyDescent="0.3">
      <c r="A416">
        <v>414</v>
      </c>
      <c r="B416" s="135" t="s">
        <v>80</v>
      </c>
      <c r="C416" s="136">
        <v>45709</v>
      </c>
      <c r="D416" s="211" t="s">
        <v>1159</v>
      </c>
      <c r="E416" s="111" t="s">
        <v>23</v>
      </c>
      <c r="F416" s="125" t="s">
        <v>10</v>
      </c>
      <c r="G416" s="183">
        <v>45709</v>
      </c>
      <c r="H416" s="137"/>
      <c r="I416" s="100" t="s">
        <v>135</v>
      </c>
      <c r="J416" s="128"/>
      <c r="K416" s="128"/>
      <c r="L416" s="129"/>
      <c r="M416" s="130"/>
      <c r="N416" s="130"/>
      <c r="O416" s="131"/>
      <c r="P416" s="83">
        <v>45712</v>
      </c>
      <c r="Q416" s="89">
        <f t="shared" si="7"/>
        <v>3</v>
      </c>
      <c r="R416" s="101"/>
      <c r="S416" s="168"/>
    </row>
    <row r="417" spans="1:19" ht="28.8" x14ac:dyDescent="0.3">
      <c r="A417">
        <v>415</v>
      </c>
      <c r="B417" s="135" t="s">
        <v>80</v>
      </c>
      <c r="C417" s="136">
        <v>45709</v>
      </c>
      <c r="D417" s="211" t="s">
        <v>1160</v>
      </c>
      <c r="E417" s="111" t="s">
        <v>23</v>
      </c>
      <c r="F417" s="125" t="s">
        <v>10</v>
      </c>
      <c r="G417" s="183">
        <v>45709</v>
      </c>
      <c r="H417" s="137"/>
      <c r="I417" s="100" t="s">
        <v>135</v>
      </c>
      <c r="J417" s="128"/>
      <c r="K417" s="128"/>
      <c r="L417" s="129"/>
      <c r="M417" s="130"/>
      <c r="N417" s="130"/>
      <c r="O417" s="131"/>
      <c r="P417" s="83">
        <v>45712</v>
      </c>
      <c r="Q417" s="89">
        <f t="shared" si="7"/>
        <v>3</v>
      </c>
      <c r="R417" s="101"/>
      <c r="S417" s="168"/>
    </row>
    <row r="418" spans="1:19" x14ac:dyDescent="0.3">
      <c r="A418">
        <v>416</v>
      </c>
      <c r="B418" s="123">
        <v>1550</v>
      </c>
      <c r="C418" s="124">
        <v>45707</v>
      </c>
      <c r="D418" s="175" t="s">
        <v>1161</v>
      </c>
      <c r="E418" s="111" t="s">
        <v>31</v>
      </c>
      <c r="F418" s="127" t="s">
        <v>4</v>
      </c>
      <c r="G418" s="222">
        <v>45707</v>
      </c>
      <c r="H418" s="134">
        <v>10000266961</v>
      </c>
      <c r="I418" s="100" t="s">
        <v>135</v>
      </c>
      <c r="J418" s="128"/>
      <c r="K418" s="128"/>
      <c r="L418" s="129"/>
      <c r="M418" s="130"/>
      <c r="N418" s="130"/>
      <c r="O418" s="131"/>
      <c r="P418" s="83">
        <v>45712</v>
      </c>
      <c r="Q418" s="89">
        <f t="shared" si="7"/>
        <v>5</v>
      </c>
      <c r="R418" s="101"/>
      <c r="S418" s="168"/>
    </row>
    <row r="419" spans="1:19" ht="43.2" x14ac:dyDescent="0.3">
      <c r="A419">
        <v>417</v>
      </c>
      <c r="B419" s="123" t="s">
        <v>80</v>
      </c>
      <c r="C419" s="124">
        <v>45712</v>
      </c>
      <c r="D419" s="175" t="s">
        <v>1145</v>
      </c>
      <c r="E419" s="111" t="s">
        <v>51</v>
      </c>
      <c r="F419" s="125" t="s">
        <v>10</v>
      </c>
      <c r="G419" s="222">
        <v>45712</v>
      </c>
      <c r="H419" s="137"/>
      <c r="I419" s="100" t="s">
        <v>99</v>
      </c>
      <c r="J419" s="128"/>
      <c r="K419" s="128"/>
      <c r="L419" s="129"/>
      <c r="M419" s="130"/>
      <c r="N419" s="130"/>
      <c r="O419" s="131"/>
      <c r="P419" s="132">
        <v>45712</v>
      </c>
      <c r="Q419" s="89">
        <f t="shared" si="7"/>
        <v>0</v>
      </c>
      <c r="R419" s="101"/>
      <c r="S419" s="168"/>
    </row>
    <row r="420" spans="1:19" ht="72" x14ac:dyDescent="0.3">
      <c r="A420">
        <v>418</v>
      </c>
      <c r="B420" s="123" t="s">
        <v>80</v>
      </c>
      <c r="C420" s="124">
        <v>45712</v>
      </c>
      <c r="D420" s="175" t="s">
        <v>1162</v>
      </c>
      <c r="E420" s="111" t="s">
        <v>17</v>
      </c>
      <c r="F420" s="127" t="s">
        <v>10</v>
      </c>
      <c r="G420" s="222">
        <v>45712</v>
      </c>
      <c r="H420" s="137"/>
      <c r="I420" s="100" t="s">
        <v>82</v>
      </c>
      <c r="J420" s="128"/>
      <c r="K420" s="128"/>
      <c r="L420" s="129"/>
      <c r="M420" s="130"/>
      <c r="N420" s="130"/>
      <c r="O420" s="131"/>
      <c r="P420" s="132">
        <v>45712</v>
      </c>
      <c r="Q420" s="89">
        <f t="shared" si="7"/>
        <v>0</v>
      </c>
      <c r="R420" s="101"/>
      <c r="S420" s="168"/>
    </row>
    <row r="421" spans="1:19" ht="43.2" x14ac:dyDescent="0.3">
      <c r="A421">
        <v>419</v>
      </c>
      <c r="B421" s="123" t="s">
        <v>80</v>
      </c>
      <c r="C421" s="124">
        <v>45712</v>
      </c>
      <c r="D421" s="175" t="s">
        <v>1163</v>
      </c>
      <c r="E421" s="111" t="s">
        <v>12</v>
      </c>
      <c r="F421" s="127" t="s">
        <v>10</v>
      </c>
      <c r="G421" s="222">
        <v>45712</v>
      </c>
      <c r="H421" s="134"/>
      <c r="I421" s="107" t="s">
        <v>159</v>
      </c>
      <c r="J421" s="128"/>
      <c r="K421" s="128"/>
      <c r="L421" s="129"/>
      <c r="M421" s="130"/>
      <c r="N421" s="130"/>
      <c r="O421" s="202"/>
      <c r="P421" s="132">
        <v>45712</v>
      </c>
      <c r="Q421" s="89">
        <f t="shared" si="7"/>
        <v>0</v>
      </c>
      <c r="R421" s="101"/>
      <c r="S421" s="168"/>
    </row>
    <row r="422" spans="1:19" ht="158.4" x14ac:dyDescent="0.3">
      <c r="A422">
        <v>420</v>
      </c>
      <c r="B422" s="123" t="s">
        <v>80</v>
      </c>
      <c r="C422" s="124">
        <v>45712</v>
      </c>
      <c r="D422" s="175" t="s">
        <v>1164</v>
      </c>
      <c r="E422" s="111" t="s">
        <v>7</v>
      </c>
      <c r="F422" s="127" t="s">
        <v>10</v>
      </c>
      <c r="G422" s="222">
        <v>45712</v>
      </c>
      <c r="H422" s="134"/>
      <c r="I422" s="100" t="s">
        <v>174</v>
      </c>
      <c r="J422" s="128"/>
      <c r="K422" s="128"/>
      <c r="L422" s="129"/>
      <c r="M422" s="130"/>
      <c r="N422" s="130"/>
      <c r="O422" s="131"/>
      <c r="P422" s="132">
        <v>45712</v>
      </c>
      <c r="Q422" s="89">
        <f t="shared" si="7"/>
        <v>0</v>
      </c>
      <c r="R422" s="101"/>
      <c r="S422" s="168"/>
    </row>
    <row r="423" spans="1:19" ht="28.8" x14ac:dyDescent="0.3">
      <c r="A423">
        <v>421</v>
      </c>
      <c r="B423" s="135">
        <v>1550</v>
      </c>
      <c r="C423" s="136">
        <v>45693</v>
      </c>
      <c r="D423" s="98" t="s">
        <v>1165</v>
      </c>
      <c r="E423" s="111" t="s">
        <v>3</v>
      </c>
      <c r="F423" s="125" t="s">
        <v>8</v>
      </c>
      <c r="G423" s="183">
        <v>45693</v>
      </c>
      <c r="H423" s="140">
        <v>10000260742</v>
      </c>
      <c r="I423" s="100" t="s">
        <v>82</v>
      </c>
      <c r="J423" s="27"/>
      <c r="K423" s="28"/>
      <c r="L423" s="51"/>
      <c r="M423" s="29"/>
      <c r="N423" s="30"/>
      <c r="O423" s="54"/>
      <c r="P423" s="83">
        <v>45713</v>
      </c>
      <c r="Q423" s="89">
        <f t="shared" si="7"/>
        <v>20</v>
      </c>
      <c r="R423" s="101" t="s">
        <v>151</v>
      </c>
      <c r="S423" s="56"/>
    </row>
    <row r="424" spans="1:19" ht="28.8" x14ac:dyDescent="0.3">
      <c r="A424">
        <v>422</v>
      </c>
      <c r="B424" s="123">
        <v>1550</v>
      </c>
      <c r="C424" s="124">
        <v>45702</v>
      </c>
      <c r="D424" s="175" t="s">
        <v>1166</v>
      </c>
      <c r="E424" s="111" t="s">
        <v>3</v>
      </c>
      <c r="F424" s="127" t="s">
        <v>6</v>
      </c>
      <c r="G424" s="183">
        <v>45702</v>
      </c>
      <c r="H424" s="134"/>
      <c r="I424" s="100" t="s">
        <v>82</v>
      </c>
      <c r="J424" s="128"/>
      <c r="K424" s="128"/>
      <c r="L424" s="129"/>
      <c r="M424" s="130"/>
      <c r="N424" s="130"/>
      <c r="O424" s="131"/>
      <c r="P424" s="132">
        <v>45713</v>
      </c>
      <c r="Q424" s="89">
        <f t="shared" si="7"/>
        <v>11</v>
      </c>
      <c r="R424" s="101"/>
      <c r="S424" s="168"/>
    </row>
    <row r="425" spans="1:19" ht="28.8" x14ac:dyDescent="0.3">
      <c r="A425">
        <v>423</v>
      </c>
      <c r="B425" s="135">
        <v>1550</v>
      </c>
      <c r="C425" s="136">
        <v>45707</v>
      </c>
      <c r="D425" s="175" t="s">
        <v>1167</v>
      </c>
      <c r="E425" s="126" t="s">
        <v>3</v>
      </c>
      <c r="F425" s="127" t="s">
        <v>8</v>
      </c>
      <c r="G425" s="183">
        <v>45707</v>
      </c>
      <c r="H425" s="134">
        <v>10000267410</v>
      </c>
      <c r="I425" s="100" t="s">
        <v>82</v>
      </c>
      <c r="J425" s="27"/>
      <c r="K425" s="28"/>
      <c r="L425" s="51"/>
      <c r="M425" s="29"/>
      <c r="N425" s="30"/>
      <c r="O425" s="54"/>
      <c r="P425" s="83">
        <v>45713</v>
      </c>
      <c r="Q425" s="89">
        <f t="shared" si="7"/>
        <v>6</v>
      </c>
      <c r="R425" s="101" t="s">
        <v>138</v>
      </c>
      <c r="S425" s="56"/>
    </row>
    <row r="426" spans="1:19" ht="72" x14ac:dyDescent="0.3">
      <c r="A426">
        <v>424</v>
      </c>
      <c r="B426" s="135" t="s">
        <v>80</v>
      </c>
      <c r="C426" s="136">
        <v>45708</v>
      </c>
      <c r="D426" s="109" t="s">
        <v>1168</v>
      </c>
      <c r="E426" s="111" t="s">
        <v>11</v>
      </c>
      <c r="F426" s="125" t="s">
        <v>10</v>
      </c>
      <c r="G426" s="183">
        <v>45708</v>
      </c>
      <c r="H426" s="137"/>
      <c r="I426" s="37" t="s">
        <v>106</v>
      </c>
      <c r="J426" s="27"/>
      <c r="K426" s="28"/>
      <c r="L426" s="51"/>
      <c r="M426" s="29"/>
      <c r="N426" s="30"/>
      <c r="O426" s="54"/>
      <c r="P426" s="83">
        <v>45713</v>
      </c>
      <c r="Q426" s="89">
        <f t="shared" si="7"/>
        <v>5</v>
      </c>
      <c r="R426" s="101"/>
      <c r="S426" s="56"/>
    </row>
    <row r="427" spans="1:19" ht="72" x14ac:dyDescent="0.3">
      <c r="A427">
        <v>425</v>
      </c>
      <c r="B427" s="135" t="s">
        <v>80</v>
      </c>
      <c r="C427" s="136">
        <v>45709</v>
      </c>
      <c r="D427" s="109" t="s">
        <v>1169</v>
      </c>
      <c r="E427" s="111" t="s">
        <v>11</v>
      </c>
      <c r="F427" s="125" t="s">
        <v>10</v>
      </c>
      <c r="G427" s="183">
        <v>45709</v>
      </c>
      <c r="H427" s="137"/>
      <c r="I427" s="125" t="s">
        <v>106</v>
      </c>
      <c r="J427" s="27"/>
      <c r="K427" s="28"/>
      <c r="L427" s="51"/>
      <c r="M427" s="29"/>
      <c r="N427" s="30"/>
      <c r="O427" s="54"/>
      <c r="P427" s="83">
        <v>45713</v>
      </c>
      <c r="Q427" s="89">
        <f t="shared" si="7"/>
        <v>4</v>
      </c>
      <c r="R427" s="101"/>
      <c r="S427" s="56"/>
    </row>
    <row r="428" spans="1:19" ht="72" x14ac:dyDescent="0.3">
      <c r="A428">
        <v>426</v>
      </c>
      <c r="B428" s="135" t="s">
        <v>80</v>
      </c>
      <c r="C428" s="136">
        <v>45691</v>
      </c>
      <c r="D428" s="109" t="s">
        <v>1170</v>
      </c>
      <c r="E428" s="111" t="s">
        <v>17</v>
      </c>
      <c r="F428" s="125" t="s">
        <v>10</v>
      </c>
      <c r="G428" s="183">
        <v>45691</v>
      </c>
      <c r="H428" s="137">
        <v>10000266739</v>
      </c>
      <c r="I428" s="100" t="s">
        <v>82</v>
      </c>
      <c r="J428" s="27"/>
      <c r="K428" s="28"/>
      <c r="L428" s="51"/>
      <c r="M428" s="29"/>
      <c r="N428" s="30"/>
      <c r="O428" s="54"/>
      <c r="P428" s="83">
        <v>45714</v>
      </c>
      <c r="Q428" s="89">
        <f t="shared" si="7"/>
        <v>23</v>
      </c>
      <c r="R428" s="101" t="s">
        <v>85</v>
      </c>
      <c r="S428" s="56"/>
    </row>
    <row r="429" spans="1:19" ht="72" x14ac:dyDescent="0.3">
      <c r="A429">
        <v>427</v>
      </c>
      <c r="B429" s="62" t="s">
        <v>80</v>
      </c>
      <c r="C429" s="136">
        <v>45691</v>
      </c>
      <c r="D429" s="780" t="s">
        <v>1171</v>
      </c>
      <c r="E429" s="111" t="s">
        <v>17</v>
      </c>
      <c r="F429" s="125" t="s">
        <v>10</v>
      </c>
      <c r="G429" s="183">
        <v>45691</v>
      </c>
      <c r="H429" s="137">
        <v>10000259833</v>
      </c>
      <c r="I429" s="100" t="s">
        <v>82</v>
      </c>
      <c r="J429" s="27"/>
      <c r="K429" s="28"/>
      <c r="L429" s="51"/>
      <c r="M429" s="29"/>
      <c r="N429" s="30"/>
      <c r="O429" s="54"/>
      <c r="P429" s="83">
        <v>45726</v>
      </c>
      <c r="Q429" s="89">
        <f t="shared" si="7"/>
        <v>35</v>
      </c>
      <c r="R429" s="101" t="s">
        <v>1172</v>
      </c>
      <c r="S429" s="56"/>
    </row>
    <row r="430" spans="1:19" ht="100.8" x14ac:dyDescent="0.3">
      <c r="A430">
        <v>428</v>
      </c>
      <c r="B430" s="135" t="s">
        <v>80</v>
      </c>
      <c r="C430" s="136">
        <v>45693</v>
      </c>
      <c r="D430" s="109" t="s">
        <v>1173</v>
      </c>
      <c r="E430" s="126" t="s">
        <v>15</v>
      </c>
      <c r="F430" s="125" t="s">
        <v>10</v>
      </c>
      <c r="G430" s="183">
        <v>45693</v>
      </c>
      <c r="H430" s="137"/>
      <c r="I430" s="100" t="s">
        <v>99</v>
      </c>
      <c r="J430" s="128"/>
      <c r="K430" s="128"/>
      <c r="L430" s="129"/>
      <c r="M430" s="130"/>
      <c r="N430" s="130"/>
      <c r="O430" s="131"/>
      <c r="P430" s="132">
        <v>45768</v>
      </c>
      <c r="Q430" s="89">
        <f t="shared" si="7"/>
        <v>75</v>
      </c>
      <c r="R430" s="101"/>
      <c r="S430" s="168"/>
    </row>
    <row r="431" spans="1:19" ht="28.8" x14ac:dyDescent="0.3">
      <c r="A431">
        <v>429</v>
      </c>
      <c r="B431" s="123">
        <v>1550</v>
      </c>
      <c r="C431" s="124">
        <v>45694</v>
      </c>
      <c r="D431" s="109" t="s">
        <v>1174</v>
      </c>
      <c r="E431" s="126" t="s">
        <v>17</v>
      </c>
      <c r="F431" s="127" t="s">
        <v>8</v>
      </c>
      <c r="G431" s="183">
        <v>45694</v>
      </c>
      <c r="H431" s="134">
        <v>10000266742</v>
      </c>
      <c r="I431" s="100" t="s">
        <v>82</v>
      </c>
      <c r="J431" s="27"/>
      <c r="K431" s="28"/>
      <c r="L431" s="51"/>
      <c r="M431" s="29"/>
      <c r="N431" s="30"/>
      <c r="O431" s="54"/>
      <c r="P431" s="83">
        <v>45714</v>
      </c>
      <c r="Q431" s="89">
        <f t="shared" si="7"/>
        <v>20</v>
      </c>
      <c r="R431" s="101" t="s">
        <v>138</v>
      </c>
      <c r="S431" s="147" t="s">
        <v>1175</v>
      </c>
    </row>
    <row r="432" spans="1:19" ht="115.2" x14ac:dyDescent="0.3">
      <c r="A432">
        <v>430</v>
      </c>
      <c r="B432" s="123" t="s">
        <v>80</v>
      </c>
      <c r="C432" s="124">
        <v>45694</v>
      </c>
      <c r="D432" s="109" t="s">
        <v>1176</v>
      </c>
      <c r="E432" s="111" t="s">
        <v>17</v>
      </c>
      <c r="F432" s="125" t="s">
        <v>10</v>
      </c>
      <c r="G432" s="183">
        <v>45694</v>
      </c>
      <c r="H432" s="134">
        <v>10000266744</v>
      </c>
      <c r="I432" s="100" t="s">
        <v>82</v>
      </c>
      <c r="J432" s="128"/>
      <c r="K432" s="128"/>
      <c r="L432" s="129"/>
      <c r="M432" s="130"/>
      <c r="N432" s="130"/>
      <c r="O432" s="131"/>
      <c r="P432" s="83">
        <v>45720</v>
      </c>
      <c r="Q432" s="89">
        <f t="shared" si="7"/>
        <v>26</v>
      </c>
      <c r="R432" s="101"/>
      <c r="S432" s="168"/>
    </row>
    <row r="433" spans="1:19" ht="28.8" x14ac:dyDescent="0.3">
      <c r="A433">
        <v>431</v>
      </c>
      <c r="B433" s="135">
        <v>1550</v>
      </c>
      <c r="C433" s="136">
        <v>45695</v>
      </c>
      <c r="D433" s="109" t="s">
        <v>1177</v>
      </c>
      <c r="E433" s="111" t="s">
        <v>17</v>
      </c>
      <c r="F433" s="125" t="s">
        <v>4</v>
      </c>
      <c r="G433" s="183">
        <v>45695</v>
      </c>
      <c r="H433" s="134">
        <v>10000266746</v>
      </c>
      <c r="I433" s="100" t="s">
        <v>82</v>
      </c>
      <c r="J433" s="128"/>
      <c r="K433" s="128"/>
      <c r="L433" s="129"/>
      <c r="M433" s="130"/>
      <c r="N433" s="130"/>
      <c r="O433" s="131"/>
      <c r="P433" s="83">
        <v>45714</v>
      </c>
      <c r="Q433" s="89">
        <f t="shared" si="7"/>
        <v>19</v>
      </c>
      <c r="R433" s="101"/>
      <c r="S433" s="56" t="s">
        <v>1178</v>
      </c>
    </row>
    <row r="434" spans="1:19" ht="57.6" x14ac:dyDescent="0.3">
      <c r="A434">
        <v>432</v>
      </c>
      <c r="B434" s="135" t="s">
        <v>80</v>
      </c>
      <c r="C434" s="136">
        <v>45695</v>
      </c>
      <c r="D434" s="109" t="s">
        <v>1179</v>
      </c>
      <c r="E434" s="111" t="s">
        <v>17</v>
      </c>
      <c r="F434" s="125" t="s">
        <v>10</v>
      </c>
      <c r="G434" s="183">
        <v>45695</v>
      </c>
      <c r="H434" s="134">
        <v>10000266748</v>
      </c>
      <c r="I434" s="100" t="s">
        <v>82</v>
      </c>
      <c r="J434" s="27"/>
      <c r="K434" s="28"/>
      <c r="L434" s="51"/>
      <c r="M434" s="29"/>
      <c r="N434" s="30"/>
      <c r="O434" s="54"/>
      <c r="P434" s="83">
        <v>45720</v>
      </c>
      <c r="Q434" s="89">
        <f t="shared" si="7"/>
        <v>25</v>
      </c>
      <c r="R434" s="101"/>
      <c r="S434" s="56"/>
    </row>
    <row r="435" spans="1:19" ht="72" x14ac:dyDescent="0.3">
      <c r="A435">
        <v>433</v>
      </c>
      <c r="B435" s="135" t="s">
        <v>80</v>
      </c>
      <c r="C435" s="136">
        <v>45695</v>
      </c>
      <c r="D435" s="109" t="s">
        <v>1180</v>
      </c>
      <c r="E435" s="111" t="s">
        <v>17</v>
      </c>
      <c r="F435" s="125" t="s">
        <v>10</v>
      </c>
      <c r="G435" s="183">
        <v>45695</v>
      </c>
      <c r="H435" s="134">
        <v>10000267225</v>
      </c>
      <c r="I435" s="100" t="s">
        <v>82</v>
      </c>
      <c r="J435" s="27"/>
      <c r="K435" s="28"/>
      <c r="L435" s="51"/>
      <c r="M435" s="29"/>
      <c r="N435" s="30"/>
      <c r="O435" s="54"/>
      <c r="P435" s="83">
        <v>45714</v>
      </c>
      <c r="Q435" s="89">
        <f t="shared" si="7"/>
        <v>19</v>
      </c>
      <c r="R435" s="101"/>
      <c r="S435" s="56"/>
    </row>
    <row r="436" spans="1:19" ht="72" x14ac:dyDescent="0.3">
      <c r="A436">
        <v>434</v>
      </c>
      <c r="B436" s="135" t="s">
        <v>80</v>
      </c>
      <c r="C436" s="136">
        <v>45695</v>
      </c>
      <c r="D436" s="109" t="s">
        <v>1181</v>
      </c>
      <c r="E436" s="111" t="s">
        <v>17</v>
      </c>
      <c r="F436" s="125" t="s">
        <v>10</v>
      </c>
      <c r="G436" s="183">
        <v>45695</v>
      </c>
      <c r="H436" s="134">
        <v>10000267229</v>
      </c>
      <c r="I436" s="100" t="s">
        <v>82</v>
      </c>
      <c r="J436" s="27"/>
      <c r="K436" s="28"/>
      <c r="L436" s="51"/>
      <c r="M436" s="29"/>
      <c r="N436" s="30"/>
      <c r="O436" s="54"/>
      <c r="P436" s="83">
        <v>45720</v>
      </c>
      <c r="Q436" s="89">
        <f t="shared" si="7"/>
        <v>25</v>
      </c>
      <c r="R436" s="101"/>
      <c r="S436" s="56"/>
    </row>
    <row r="437" spans="1:19" ht="43.2" x14ac:dyDescent="0.3">
      <c r="A437">
        <v>435</v>
      </c>
      <c r="B437" s="123" t="s">
        <v>80</v>
      </c>
      <c r="C437" s="124">
        <v>45716</v>
      </c>
      <c r="D437" s="175" t="s">
        <v>1182</v>
      </c>
      <c r="E437" s="111" t="s">
        <v>48</v>
      </c>
      <c r="F437" s="125" t="s">
        <v>10</v>
      </c>
      <c r="G437" s="222">
        <v>45716</v>
      </c>
      <c r="H437" s="137"/>
      <c r="I437" s="100" t="s">
        <v>99</v>
      </c>
      <c r="J437" s="27"/>
      <c r="K437" s="50"/>
      <c r="L437" s="51"/>
      <c r="M437" s="29"/>
      <c r="N437" s="30"/>
      <c r="O437" s="54"/>
      <c r="P437" s="83">
        <v>45740</v>
      </c>
      <c r="Q437" s="89">
        <f t="shared" si="7"/>
        <v>24</v>
      </c>
      <c r="R437" s="101"/>
      <c r="S437" s="168" t="s">
        <v>1183</v>
      </c>
    </row>
    <row r="438" spans="1:19" ht="43.2" x14ac:dyDescent="0.3">
      <c r="A438">
        <v>436</v>
      </c>
      <c r="B438" s="135" t="s">
        <v>80</v>
      </c>
      <c r="C438" s="136">
        <v>45698</v>
      </c>
      <c r="D438" s="109" t="s">
        <v>1184</v>
      </c>
      <c r="E438" s="126" t="s">
        <v>17</v>
      </c>
      <c r="F438" s="127" t="s">
        <v>10</v>
      </c>
      <c r="G438" s="183">
        <v>45698</v>
      </c>
      <c r="H438" s="137">
        <v>10000263690</v>
      </c>
      <c r="I438" s="100" t="s">
        <v>82</v>
      </c>
      <c r="J438" s="128"/>
      <c r="K438" s="128"/>
      <c r="L438" s="129"/>
      <c r="M438" s="130"/>
      <c r="N438" s="130"/>
      <c r="O438" s="131"/>
      <c r="P438" s="83">
        <v>45723</v>
      </c>
      <c r="Q438" s="89">
        <f t="shared" si="7"/>
        <v>25</v>
      </c>
      <c r="R438" s="101"/>
      <c r="S438" s="168"/>
    </row>
    <row r="439" spans="1:19" ht="43.2" x14ac:dyDescent="0.3">
      <c r="A439">
        <v>437</v>
      </c>
      <c r="B439" s="135">
        <v>1550</v>
      </c>
      <c r="C439" s="136">
        <v>45699</v>
      </c>
      <c r="D439" s="98" t="s">
        <v>1185</v>
      </c>
      <c r="E439" s="126" t="s">
        <v>12</v>
      </c>
      <c r="F439" s="127" t="s">
        <v>8</v>
      </c>
      <c r="G439" s="183">
        <v>45699</v>
      </c>
      <c r="H439" s="134"/>
      <c r="I439" s="107" t="s">
        <v>159</v>
      </c>
      <c r="J439" s="27"/>
      <c r="K439" s="28"/>
      <c r="L439" s="51"/>
      <c r="M439" s="29"/>
      <c r="N439" s="30"/>
      <c r="O439" s="54"/>
      <c r="P439" s="83">
        <v>45714</v>
      </c>
      <c r="Q439" s="89">
        <f t="shared" si="7"/>
        <v>15</v>
      </c>
      <c r="R439" s="94" t="s">
        <v>138</v>
      </c>
      <c r="S439" s="56"/>
    </row>
    <row r="440" spans="1:19" ht="28.8" x14ac:dyDescent="0.3">
      <c r="A440">
        <v>438</v>
      </c>
      <c r="B440" s="135">
        <v>1550</v>
      </c>
      <c r="C440" s="136">
        <v>45699</v>
      </c>
      <c r="D440" s="109" t="s">
        <v>1186</v>
      </c>
      <c r="E440" s="195" t="s">
        <v>31</v>
      </c>
      <c r="F440" s="127" t="s">
        <v>4</v>
      </c>
      <c r="G440" s="183">
        <v>45699</v>
      </c>
      <c r="H440" s="173"/>
      <c r="I440" s="100" t="s">
        <v>82</v>
      </c>
      <c r="J440" s="128"/>
      <c r="K440" s="128"/>
      <c r="L440" s="129"/>
      <c r="M440" s="130"/>
      <c r="N440" s="130"/>
      <c r="O440" s="131"/>
      <c r="P440" s="83">
        <v>45713</v>
      </c>
      <c r="Q440" s="89">
        <f t="shared" si="7"/>
        <v>14</v>
      </c>
      <c r="R440" s="101"/>
      <c r="S440" s="168" t="s">
        <v>1187</v>
      </c>
    </row>
    <row r="441" spans="1:19" ht="72" x14ac:dyDescent="0.3">
      <c r="A441">
        <v>439</v>
      </c>
      <c r="B441" s="135" t="s">
        <v>80</v>
      </c>
      <c r="C441" s="136">
        <v>45699</v>
      </c>
      <c r="D441" s="109" t="s">
        <v>1188</v>
      </c>
      <c r="E441" s="111" t="s">
        <v>17</v>
      </c>
      <c r="F441" s="127" t="s">
        <v>10</v>
      </c>
      <c r="G441" s="183">
        <v>45699</v>
      </c>
      <c r="H441" s="137">
        <v>10000267259</v>
      </c>
      <c r="I441" s="100" t="s">
        <v>82</v>
      </c>
      <c r="J441" s="27"/>
      <c r="K441" s="28"/>
      <c r="L441" s="51"/>
      <c r="M441" s="29"/>
      <c r="N441" s="30"/>
      <c r="O441" s="54"/>
      <c r="P441" s="83">
        <v>45714</v>
      </c>
      <c r="Q441" s="89">
        <f t="shared" si="7"/>
        <v>15</v>
      </c>
      <c r="R441" s="101"/>
      <c r="S441" s="56"/>
    </row>
    <row r="442" spans="1:19" ht="43.2" x14ac:dyDescent="0.3">
      <c r="A442">
        <v>440</v>
      </c>
      <c r="B442" s="123" t="s">
        <v>80</v>
      </c>
      <c r="C442" s="124">
        <v>45716</v>
      </c>
      <c r="D442" s="175" t="s">
        <v>1189</v>
      </c>
      <c r="E442" s="111" t="s">
        <v>48</v>
      </c>
      <c r="F442" s="125" t="s">
        <v>10</v>
      </c>
      <c r="G442" s="222">
        <v>45716</v>
      </c>
      <c r="H442" s="137"/>
      <c r="I442" s="100" t="s">
        <v>99</v>
      </c>
      <c r="J442" s="27"/>
      <c r="K442" s="50"/>
      <c r="L442" s="51"/>
      <c r="M442" s="29"/>
      <c r="N442" s="30"/>
      <c r="O442" s="54"/>
      <c r="P442" s="83">
        <v>45740</v>
      </c>
      <c r="Q442" s="89">
        <f t="shared" si="7"/>
        <v>24</v>
      </c>
      <c r="R442" s="101"/>
      <c r="S442" s="168" t="s">
        <v>1183</v>
      </c>
    </row>
    <row r="443" spans="1:19" ht="86.4" x14ac:dyDescent="0.3">
      <c r="A443">
        <v>441</v>
      </c>
      <c r="B443" s="135" t="s">
        <v>80</v>
      </c>
      <c r="C443" s="136">
        <v>45700</v>
      </c>
      <c r="D443" s="109" t="s">
        <v>1190</v>
      </c>
      <c r="E443" s="126" t="s">
        <v>12</v>
      </c>
      <c r="F443" s="127" t="s">
        <v>10</v>
      </c>
      <c r="G443" s="183">
        <v>45700</v>
      </c>
      <c r="H443" s="134"/>
      <c r="I443" s="107" t="s">
        <v>159</v>
      </c>
      <c r="J443" s="27"/>
      <c r="K443" s="28"/>
      <c r="L443" s="51"/>
      <c r="M443" s="29"/>
      <c r="N443" s="30"/>
      <c r="O443" s="54"/>
      <c r="P443" s="83">
        <v>45716</v>
      </c>
      <c r="Q443" s="89">
        <f t="shared" si="7"/>
        <v>16</v>
      </c>
      <c r="R443" s="101"/>
      <c r="S443" s="56"/>
    </row>
    <row r="444" spans="1:19" ht="57.6" x14ac:dyDescent="0.3">
      <c r="A444">
        <v>442</v>
      </c>
      <c r="B444" s="135" t="s">
        <v>80</v>
      </c>
      <c r="C444" s="136">
        <v>45700</v>
      </c>
      <c r="D444" s="109" t="s">
        <v>1191</v>
      </c>
      <c r="E444" s="151" t="s">
        <v>17</v>
      </c>
      <c r="F444" s="127" t="s">
        <v>10</v>
      </c>
      <c r="G444" s="183">
        <v>45700</v>
      </c>
      <c r="H444" s="49">
        <v>10000267269</v>
      </c>
      <c r="I444" s="100" t="s">
        <v>82</v>
      </c>
      <c r="J444" s="27"/>
      <c r="K444" s="28"/>
      <c r="L444" s="51"/>
      <c r="M444" s="29"/>
      <c r="N444" s="30"/>
      <c r="O444" s="54"/>
      <c r="P444" s="83">
        <v>45720</v>
      </c>
      <c r="Q444" s="89">
        <f t="shared" si="7"/>
        <v>20</v>
      </c>
      <c r="R444" s="101"/>
      <c r="S444" s="56"/>
    </row>
    <row r="445" spans="1:19" ht="115.2" x14ac:dyDescent="0.3">
      <c r="A445">
        <v>443</v>
      </c>
      <c r="B445" s="135" t="s">
        <v>80</v>
      </c>
      <c r="C445" s="136">
        <v>45700</v>
      </c>
      <c r="D445" s="109" t="s">
        <v>1192</v>
      </c>
      <c r="E445" s="151" t="s">
        <v>17</v>
      </c>
      <c r="F445" s="127" t="s">
        <v>10</v>
      </c>
      <c r="G445" s="183">
        <v>45700</v>
      </c>
      <c r="H445" s="49">
        <v>10000267273</v>
      </c>
      <c r="I445" s="100" t="s">
        <v>82</v>
      </c>
      <c r="J445" s="27"/>
      <c r="K445" s="28"/>
      <c r="L445" s="51"/>
      <c r="M445" s="29"/>
      <c r="N445" s="30"/>
      <c r="O445" s="54"/>
      <c r="P445" s="83">
        <v>45714</v>
      </c>
      <c r="Q445" s="89">
        <f t="shared" si="7"/>
        <v>14</v>
      </c>
      <c r="R445" s="101"/>
      <c r="S445" s="56"/>
    </row>
    <row r="446" spans="1:19" ht="43.2" x14ac:dyDescent="0.3">
      <c r="A446">
        <v>444</v>
      </c>
      <c r="B446" s="135" t="s">
        <v>80</v>
      </c>
      <c r="C446" s="136">
        <v>45700</v>
      </c>
      <c r="D446" s="109" t="s">
        <v>1193</v>
      </c>
      <c r="E446" s="111" t="s">
        <v>29</v>
      </c>
      <c r="F446" s="127" t="s">
        <v>10</v>
      </c>
      <c r="G446" s="183">
        <v>45700</v>
      </c>
      <c r="H446" s="137"/>
      <c r="I446" s="100" t="s">
        <v>253</v>
      </c>
      <c r="J446" s="27"/>
      <c r="K446" s="28"/>
      <c r="L446" s="51"/>
      <c r="M446" s="29"/>
      <c r="N446" s="30"/>
      <c r="O446" s="54"/>
      <c r="P446" s="83">
        <v>45714</v>
      </c>
      <c r="Q446" s="89">
        <f t="shared" si="7"/>
        <v>14</v>
      </c>
      <c r="R446" s="101"/>
      <c r="S446" s="56"/>
    </row>
    <row r="447" spans="1:19" ht="43.2" x14ac:dyDescent="0.3">
      <c r="A447">
        <v>445</v>
      </c>
      <c r="B447" s="135" t="s">
        <v>80</v>
      </c>
      <c r="C447" s="136">
        <v>45701</v>
      </c>
      <c r="D447" s="109" t="s">
        <v>1194</v>
      </c>
      <c r="E447" s="111" t="s">
        <v>48</v>
      </c>
      <c r="F447" s="125" t="s">
        <v>10</v>
      </c>
      <c r="G447" s="183">
        <v>45701</v>
      </c>
      <c r="H447" s="49"/>
      <c r="I447" s="100" t="s">
        <v>99</v>
      </c>
      <c r="J447" s="27"/>
      <c r="K447" s="28"/>
      <c r="L447" s="51"/>
      <c r="M447" s="29"/>
      <c r="N447" s="30"/>
      <c r="O447" s="54"/>
      <c r="P447" s="132">
        <v>45713</v>
      </c>
      <c r="Q447" s="89">
        <f t="shared" si="7"/>
        <v>12</v>
      </c>
      <c r="R447" s="101"/>
      <c r="S447" s="56" t="s">
        <v>1195</v>
      </c>
    </row>
    <row r="448" spans="1:19" ht="43.2" x14ac:dyDescent="0.3">
      <c r="A448">
        <v>446</v>
      </c>
      <c r="B448" s="123" t="s">
        <v>80</v>
      </c>
      <c r="C448" s="124">
        <v>45702</v>
      </c>
      <c r="D448" s="109" t="s">
        <v>1196</v>
      </c>
      <c r="E448" s="111" t="s">
        <v>17</v>
      </c>
      <c r="F448" s="127" t="s">
        <v>10</v>
      </c>
      <c r="G448" s="183">
        <v>45702</v>
      </c>
      <c r="H448" s="49">
        <v>10000267275</v>
      </c>
      <c r="I448" s="100" t="s">
        <v>82</v>
      </c>
      <c r="J448" s="128"/>
      <c r="K448" s="128"/>
      <c r="L448" s="129"/>
      <c r="M448" s="130"/>
      <c r="N448" s="130"/>
      <c r="O448" s="131"/>
      <c r="P448" s="132">
        <v>45714</v>
      </c>
      <c r="Q448" s="89">
        <f t="shared" si="7"/>
        <v>12</v>
      </c>
      <c r="R448" s="101"/>
      <c r="S448" s="56"/>
    </row>
    <row r="449" spans="1:19" ht="72" x14ac:dyDescent="0.3">
      <c r="A449">
        <v>447</v>
      </c>
      <c r="B449" s="123" t="s">
        <v>80</v>
      </c>
      <c r="C449" s="124">
        <v>45702</v>
      </c>
      <c r="D449" s="109" t="s">
        <v>1197</v>
      </c>
      <c r="E449" s="111" t="s">
        <v>17</v>
      </c>
      <c r="F449" s="127" t="s">
        <v>10</v>
      </c>
      <c r="G449" s="183">
        <v>45702</v>
      </c>
      <c r="H449" s="49">
        <v>10000267294</v>
      </c>
      <c r="I449" s="100" t="s">
        <v>82</v>
      </c>
      <c r="J449" s="27"/>
      <c r="K449" s="28"/>
      <c r="L449" s="51"/>
      <c r="M449" s="29"/>
      <c r="N449" s="30"/>
      <c r="O449" s="54"/>
      <c r="P449" s="132">
        <v>45714</v>
      </c>
      <c r="Q449" s="89">
        <f t="shared" si="7"/>
        <v>12</v>
      </c>
      <c r="R449" s="101"/>
      <c r="S449" s="56"/>
    </row>
    <row r="450" spans="1:19" ht="72" x14ac:dyDescent="0.3">
      <c r="A450">
        <v>448</v>
      </c>
      <c r="B450" s="123">
        <v>1550</v>
      </c>
      <c r="C450" s="136">
        <v>45705</v>
      </c>
      <c r="D450" s="109" t="s">
        <v>1198</v>
      </c>
      <c r="E450" s="111" t="s">
        <v>3</v>
      </c>
      <c r="F450" s="125" t="s">
        <v>6</v>
      </c>
      <c r="G450" s="183">
        <v>45705</v>
      </c>
      <c r="H450" s="137"/>
      <c r="I450" s="125" t="s">
        <v>82</v>
      </c>
      <c r="J450" s="27"/>
      <c r="K450" s="28"/>
      <c r="L450" s="51"/>
      <c r="M450" s="29"/>
      <c r="N450" s="30"/>
      <c r="O450" s="54"/>
      <c r="P450" s="83">
        <v>45714</v>
      </c>
      <c r="Q450" s="89">
        <f t="shared" si="7"/>
        <v>9</v>
      </c>
      <c r="R450" s="101"/>
      <c r="S450" s="56"/>
    </row>
    <row r="451" spans="1:19" ht="172.8" x14ac:dyDescent="0.3">
      <c r="A451">
        <v>449</v>
      </c>
      <c r="B451" s="123" t="s">
        <v>80</v>
      </c>
      <c r="C451" s="124">
        <v>45705</v>
      </c>
      <c r="D451" s="109" t="s">
        <v>1199</v>
      </c>
      <c r="E451" s="111" t="s">
        <v>17</v>
      </c>
      <c r="F451" s="127" t="s">
        <v>10</v>
      </c>
      <c r="G451" s="183">
        <v>45705</v>
      </c>
      <c r="H451" s="137"/>
      <c r="I451" s="100" t="s">
        <v>82</v>
      </c>
      <c r="J451" s="128"/>
      <c r="K451" s="128"/>
      <c r="L451" s="129"/>
      <c r="M451" s="130"/>
      <c r="N451" s="130"/>
      <c r="O451" s="131"/>
      <c r="P451" s="83">
        <v>45722</v>
      </c>
      <c r="Q451" s="89">
        <f t="shared" si="7"/>
        <v>17</v>
      </c>
      <c r="R451" s="101"/>
      <c r="S451" s="168"/>
    </row>
    <row r="452" spans="1:19" ht="43.2" x14ac:dyDescent="0.3">
      <c r="A452">
        <v>450</v>
      </c>
      <c r="B452" s="123">
        <v>1550</v>
      </c>
      <c r="C452" s="124">
        <v>45706</v>
      </c>
      <c r="D452" s="109" t="s">
        <v>1200</v>
      </c>
      <c r="E452" s="126" t="s">
        <v>17</v>
      </c>
      <c r="F452" s="127" t="s">
        <v>6</v>
      </c>
      <c r="G452" s="183">
        <v>45706</v>
      </c>
      <c r="H452" s="134"/>
      <c r="I452" s="100" t="s">
        <v>82</v>
      </c>
      <c r="J452" s="128"/>
      <c r="K452" s="128"/>
      <c r="L452" s="129"/>
      <c r="M452" s="130"/>
      <c r="N452" s="130"/>
      <c r="O452" s="131"/>
      <c r="P452" s="132">
        <v>45720</v>
      </c>
      <c r="Q452" s="89">
        <f t="shared" si="7"/>
        <v>14</v>
      </c>
      <c r="R452" s="101"/>
      <c r="S452" s="168"/>
    </row>
    <row r="453" spans="1:19" ht="72" x14ac:dyDescent="0.3">
      <c r="A453">
        <v>451</v>
      </c>
      <c r="B453" s="123" t="s">
        <v>80</v>
      </c>
      <c r="C453" s="124">
        <v>45716</v>
      </c>
      <c r="D453" s="246" t="s">
        <v>1201</v>
      </c>
      <c r="E453" s="111" t="s">
        <v>27</v>
      </c>
      <c r="F453" s="127" t="s">
        <v>10</v>
      </c>
      <c r="G453" s="222">
        <v>45716</v>
      </c>
      <c r="H453" s="137"/>
      <c r="I453" s="100" t="s">
        <v>82</v>
      </c>
      <c r="J453" s="27"/>
      <c r="K453" s="50"/>
      <c r="L453" s="51"/>
      <c r="M453" s="29"/>
      <c r="N453" s="30"/>
      <c r="O453" s="54"/>
      <c r="P453" s="83">
        <v>45730</v>
      </c>
      <c r="Q453" s="89">
        <f t="shared" si="7"/>
        <v>14</v>
      </c>
      <c r="R453" s="101"/>
      <c r="S453" s="101"/>
    </row>
    <row r="454" spans="1:19" ht="115.2" x14ac:dyDescent="0.3">
      <c r="A454">
        <v>452</v>
      </c>
      <c r="B454" s="123" t="s">
        <v>80</v>
      </c>
      <c r="C454" s="124">
        <v>45706</v>
      </c>
      <c r="D454" s="109" t="s">
        <v>1202</v>
      </c>
      <c r="E454" s="195" t="s">
        <v>7</v>
      </c>
      <c r="F454" s="125" t="s">
        <v>10</v>
      </c>
      <c r="G454" s="183">
        <v>45706</v>
      </c>
      <c r="H454" s="173"/>
      <c r="I454" s="125" t="s">
        <v>174</v>
      </c>
      <c r="J454" s="27"/>
      <c r="K454" s="28"/>
      <c r="L454" s="51"/>
      <c r="M454" s="29"/>
      <c r="N454" s="30"/>
      <c r="O454" s="54"/>
      <c r="P454" s="132">
        <v>45712</v>
      </c>
      <c r="Q454" s="89">
        <f t="shared" si="7"/>
        <v>6</v>
      </c>
      <c r="R454" s="101"/>
      <c r="S454" s="56"/>
    </row>
    <row r="455" spans="1:19" ht="28.8" x14ac:dyDescent="0.3">
      <c r="A455">
        <v>453</v>
      </c>
      <c r="B455" s="123" t="s">
        <v>80</v>
      </c>
      <c r="C455" s="124">
        <v>45715</v>
      </c>
      <c r="D455" s="175" t="s">
        <v>1203</v>
      </c>
      <c r="E455" s="111" t="s">
        <v>15</v>
      </c>
      <c r="F455" s="127" t="s">
        <v>10</v>
      </c>
      <c r="G455" s="222">
        <v>45715</v>
      </c>
      <c r="H455" s="134"/>
      <c r="I455" s="100" t="s">
        <v>99</v>
      </c>
      <c r="J455" s="128"/>
      <c r="K455" s="128"/>
      <c r="L455" s="129"/>
      <c r="M455" s="130"/>
      <c r="N455" s="130"/>
      <c r="O455" s="131"/>
      <c r="P455" s="132">
        <v>45728</v>
      </c>
      <c r="Q455" s="89">
        <f t="shared" si="7"/>
        <v>13</v>
      </c>
      <c r="R455" s="101"/>
      <c r="S455" s="168" t="s">
        <v>1204</v>
      </c>
    </row>
    <row r="456" spans="1:19" ht="57.6" x14ac:dyDescent="0.3">
      <c r="A456">
        <v>454</v>
      </c>
      <c r="B456" s="135" t="s">
        <v>80</v>
      </c>
      <c r="C456" s="136">
        <v>45707</v>
      </c>
      <c r="D456" s="109" t="s">
        <v>1205</v>
      </c>
      <c r="E456" s="111" t="s">
        <v>17</v>
      </c>
      <c r="F456" s="125" t="s">
        <v>10</v>
      </c>
      <c r="G456" s="183">
        <v>45707</v>
      </c>
      <c r="H456" s="137"/>
      <c r="I456" s="100" t="s">
        <v>82</v>
      </c>
      <c r="J456" s="27"/>
      <c r="K456" s="28"/>
      <c r="L456" s="51"/>
      <c r="M456" s="29"/>
      <c r="N456" s="30"/>
      <c r="O456" s="54"/>
      <c r="P456" s="83">
        <v>45723</v>
      </c>
      <c r="Q456" s="89">
        <f t="shared" si="7"/>
        <v>16</v>
      </c>
      <c r="R456" s="101"/>
      <c r="S456" s="56"/>
    </row>
    <row r="457" spans="1:19" ht="43.2" x14ac:dyDescent="0.3">
      <c r="A457">
        <v>455</v>
      </c>
      <c r="B457" s="135" t="s">
        <v>80</v>
      </c>
      <c r="C457" s="136">
        <v>45708</v>
      </c>
      <c r="D457" s="109" t="s">
        <v>1206</v>
      </c>
      <c r="E457" s="111" t="s">
        <v>17</v>
      </c>
      <c r="F457" s="125" t="s">
        <v>10</v>
      </c>
      <c r="G457" s="183">
        <v>45708</v>
      </c>
      <c r="H457" s="137">
        <v>10000271359</v>
      </c>
      <c r="I457" s="100" t="s">
        <v>82</v>
      </c>
      <c r="J457" s="27"/>
      <c r="K457" s="28"/>
      <c r="L457" s="51"/>
      <c r="M457" s="29"/>
      <c r="N457" s="30"/>
      <c r="O457" s="54"/>
      <c r="P457" s="83">
        <v>45722</v>
      </c>
      <c r="Q457" s="89">
        <f t="shared" si="7"/>
        <v>14</v>
      </c>
      <c r="R457" s="101"/>
      <c r="S457" s="56"/>
    </row>
    <row r="458" spans="1:19" ht="129.6" x14ac:dyDescent="0.3">
      <c r="A458">
        <v>456</v>
      </c>
      <c r="B458" s="135" t="s">
        <v>80</v>
      </c>
      <c r="C458" s="136">
        <v>45708</v>
      </c>
      <c r="D458" s="213" t="s">
        <v>1207</v>
      </c>
      <c r="E458" s="111" t="s">
        <v>1</v>
      </c>
      <c r="F458" s="125" t="s">
        <v>10</v>
      </c>
      <c r="G458" s="183">
        <v>45708</v>
      </c>
      <c r="H458" s="49"/>
      <c r="I458" s="127" t="s">
        <v>125</v>
      </c>
      <c r="J458" s="27"/>
      <c r="K458" s="28"/>
      <c r="L458" s="51"/>
      <c r="M458" s="29"/>
      <c r="N458" s="30"/>
      <c r="O458" s="54"/>
      <c r="P458" s="83">
        <v>45716</v>
      </c>
      <c r="Q458" s="89">
        <f t="shared" si="7"/>
        <v>8</v>
      </c>
      <c r="R458" s="101"/>
      <c r="S458" s="56"/>
    </row>
    <row r="459" spans="1:19" ht="43.2" x14ac:dyDescent="0.3">
      <c r="A459">
        <v>457</v>
      </c>
      <c r="B459" s="135" t="s">
        <v>80</v>
      </c>
      <c r="C459" s="136">
        <v>45709</v>
      </c>
      <c r="D459" s="212" t="s">
        <v>1208</v>
      </c>
      <c r="E459" s="111" t="s">
        <v>17</v>
      </c>
      <c r="F459" s="125" t="s">
        <v>10</v>
      </c>
      <c r="G459" s="183">
        <v>45709</v>
      </c>
      <c r="H459" s="173">
        <v>10000271370</v>
      </c>
      <c r="I459" s="100" t="s">
        <v>82</v>
      </c>
      <c r="J459" s="128"/>
      <c r="K459" s="128"/>
      <c r="L459" s="129"/>
      <c r="M459" s="130"/>
      <c r="N459" s="130"/>
      <c r="O459" s="131"/>
      <c r="P459" s="83">
        <v>45722</v>
      </c>
      <c r="Q459" s="89">
        <f t="shared" si="7"/>
        <v>13</v>
      </c>
      <c r="R459" s="101"/>
      <c r="S459" s="168"/>
    </row>
    <row r="460" spans="1:19" ht="28.8" x14ac:dyDescent="0.3">
      <c r="A460">
        <v>458</v>
      </c>
      <c r="B460" s="135" t="s">
        <v>80</v>
      </c>
      <c r="C460" s="136">
        <v>45709</v>
      </c>
      <c r="D460" s="212" t="s">
        <v>1209</v>
      </c>
      <c r="E460" s="111" t="s">
        <v>14</v>
      </c>
      <c r="F460" s="125" t="s">
        <v>10</v>
      </c>
      <c r="G460" s="183">
        <v>45709</v>
      </c>
      <c r="H460" s="173"/>
      <c r="I460" s="125" t="s">
        <v>253</v>
      </c>
      <c r="J460" s="128"/>
      <c r="K460" s="128"/>
      <c r="L460" s="129"/>
      <c r="M460" s="130"/>
      <c r="N460" s="130"/>
      <c r="O460" s="131"/>
      <c r="P460" s="83">
        <v>45716</v>
      </c>
      <c r="Q460" s="89">
        <f t="shared" si="7"/>
        <v>7</v>
      </c>
      <c r="R460" s="101"/>
      <c r="S460" s="168"/>
    </row>
    <row r="461" spans="1:19" ht="39.75" customHeight="1" x14ac:dyDescent="0.3">
      <c r="A461">
        <v>459</v>
      </c>
      <c r="B461" s="86" t="s">
        <v>80</v>
      </c>
      <c r="C461" s="83">
        <v>45709</v>
      </c>
      <c r="D461" s="249" t="s">
        <v>1210</v>
      </c>
      <c r="E461" s="111" t="s">
        <v>17</v>
      </c>
      <c r="F461" s="81" t="s">
        <v>10</v>
      </c>
      <c r="G461" s="99">
        <v>45709</v>
      </c>
      <c r="H461" s="173">
        <v>10000273311</v>
      </c>
      <c r="I461" s="100" t="s">
        <v>82</v>
      </c>
      <c r="J461" s="128"/>
      <c r="K461" s="128"/>
      <c r="L461" s="129"/>
      <c r="M461" s="130"/>
      <c r="N461" s="130"/>
      <c r="O461" s="131"/>
      <c r="P461" s="83">
        <v>45792</v>
      </c>
      <c r="Q461" s="89">
        <f t="shared" si="7"/>
        <v>83</v>
      </c>
      <c r="R461" s="101"/>
      <c r="S461" s="168"/>
    </row>
    <row r="462" spans="1:19" ht="28.8" x14ac:dyDescent="0.3">
      <c r="A462">
        <v>460</v>
      </c>
      <c r="B462" s="170" t="s">
        <v>80</v>
      </c>
      <c r="C462" s="132">
        <v>45715</v>
      </c>
      <c r="D462" s="175" t="s">
        <v>1211</v>
      </c>
      <c r="E462" s="126" t="s">
        <v>14</v>
      </c>
      <c r="F462" s="172" t="s">
        <v>10</v>
      </c>
      <c r="G462" s="106">
        <v>45715</v>
      </c>
      <c r="H462" s="173"/>
      <c r="I462" s="125" t="s">
        <v>253</v>
      </c>
      <c r="J462" s="128"/>
      <c r="K462" s="128"/>
      <c r="L462" s="129"/>
      <c r="M462" s="130"/>
      <c r="N462" s="130"/>
      <c r="O462" s="131"/>
      <c r="P462" s="132">
        <v>45724</v>
      </c>
      <c r="Q462" s="89">
        <f t="shared" si="7"/>
        <v>9</v>
      </c>
      <c r="R462" s="101"/>
      <c r="S462" s="168"/>
    </row>
    <row r="463" spans="1:19" ht="43.2" x14ac:dyDescent="0.3">
      <c r="A463">
        <v>461</v>
      </c>
      <c r="B463" s="86" t="s">
        <v>80</v>
      </c>
      <c r="C463" s="83">
        <v>45709</v>
      </c>
      <c r="D463" s="175" t="s">
        <v>1212</v>
      </c>
      <c r="E463" s="111" t="s">
        <v>48</v>
      </c>
      <c r="F463" s="81" t="s">
        <v>10</v>
      </c>
      <c r="G463" s="99">
        <v>45709</v>
      </c>
      <c r="H463" s="173"/>
      <c r="I463" s="100" t="s">
        <v>99</v>
      </c>
      <c r="J463" s="128"/>
      <c r="K463" s="128"/>
      <c r="L463" s="129"/>
      <c r="M463" s="130"/>
      <c r="N463" s="130"/>
      <c r="O463" s="131"/>
      <c r="P463" s="83">
        <v>45723</v>
      </c>
      <c r="Q463" s="89">
        <f t="shared" si="7"/>
        <v>14</v>
      </c>
      <c r="R463" s="101"/>
      <c r="S463" s="168" t="s">
        <v>1213</v>
      </c>
    </row>
    <row r="464" spans="1:19" ht="43.2" x14ac:dyDescent="0.3">
      <c r="A464">
        <v>462</v>
      </c>
      <c r="B464" s="86" t="s">
        <v>80</v>
      </c>
      <c r="C464" s="83">
        <v>45709</v>
      </c>
      <c r="D464" s="175" t="s">
        <v>1214</v>
      </c>
      <c r="E464" s="111" t="s">
        <v>48</v>
      </c>
      <c r="F464" s="81" t="s">
        <v>10</v>
      </c>
      <c r="G464" s="99">
        <v>45709</v>
      </c>
      <c r="H464" s="173"/>
      <c r="I464" s="100" t="s">
        <v>99</v>
      </c>
      <c r="J464" s="128"/>
      <c r="K464" s="128"/>
      <c r="L464" s="129"/>
      <c r="M464" s="130"/>
      <c r="N464" s="130"/>
      <c r="O464" s="131"/>
      <c r="P464" s="83">
        <v>45723</v>
      </c>
      <c r="Q464" s="89">
        <f t="shared" si="7"/>
        <v>14</v>
      </c>
      <c r="R464" s="101"/>
      <c r="S464" s="168" t="s">
        <v>1213</v>
      </c>
    </row>
    <row r="465" spans="1:19" ht="72" x14ac:dyDescent="0.3">
      <c r="A465">
        <v>463</v>
      </c>
      <c r="B465" s="86" t="s">
        <v>80</v>
      </c>
      <c r="C465" s="83">
        <v>45709</v>
      </c>
      <c r="D465" s="175" t="s">
        <v>1215</v>
      </c>
      <c r="E465" s="111" t="s">
        <v>11</v>
      </c>
      <c r="F465" s="81" t="s">
        <v>10</v>
      </c>
      <c r="G465" s="99">
        <v>45709</v>
      </c>
      <c r="H465" s="173"/>
      <c r="I465" s="125" t="s">
        <v>106</v>
      </c>
      <c r="J465" s="128"/>
      <c r="K465" s="128"/>
      <c r="L465" s="129"/>
      <c r="M465" s="130"/>
      <c r="N465" s="130"/>
      <c r="O465" s="131"/>
      <c r="P465" s="83">
        <v>45715</v>
      </c>
      <c r="Q465" s="89">
        <f t="shared" si="7"/>
        <v>6</v>
      </c>
      <c r="R465" s="101"/>
      <c r="S465" s="168"/>
    </row>
    <row r="466" spans="1:19" ht="100.8" x14ac:dyDescent="0.3">
      <c r="A466">
        <v>464</v>
      </c>
      <c r="B466" s="170">
        <v>1550</v>
      </c>
      <c r="C466" s="132">
        <v>45712</v>
      </c>
      <c r="D466" s="84" t="s">
        <v>1216</v>
      </c>
      <c r="E466" s="111" t="s">
        <v>32</v>
      </c>
      <c r="F466" s="172" t="s">
        <v>6</v>
      </c>
      <c r="G466" s="106">
        <v>45712</v>
      </c>
      <c r="H466" s="173"/>
      <c r="I466" s="125" t="s">
        <v>106</v>
      </c>
      <c r="J466" s="128"/>
      <c r="K466" s="128"/>
      <c r="L466" s="129"/>
      <c r="M466" s="130"/>
      <c r="N466" s="130"/>
      <c r="O466" s="131"/>
      <c r="P466" s="132">
        <v>45714</v>
      </c>
      <c r="Q466" s="89">
        <f t="shared" si="7"/>
        <v>2</v>
      </c>
      <c r="R466" s="101"/>
      <c r="S466" s="201" t="s">
        <v>1217</v>
      </c>
    </row>
    <row r="467" spans="1:19" ht="86.4" x14ac:dyDescent="0.3">
      <c r="A467">
        <v>465</v>
      </c>
      <c r="B467" s="170">
        <v>1550</v>
      </c>
      <c r="C467" s="132">
        <v>45712</v>
      </c>
      <c r="D467" s="175" t="s">
        <v>1218</v>
      </c>
      <c r="E467" s="111" t="s">
        <v>32</v>
      </c>
      <c r="F467" s="172" t="s">
        <v>6</v>
      </c>
      <c r="G467" s="106">
        <v>45712</v>
      </c>
      <c r="H467" s="173"/>
      <c r="I467" s="125" t="s">
        <v>106</v>
      </c>
      <c r="J467" s="128"/>
      <c r="K467" s="128"/>
      <c r="L467" s="129"/>
      <c r="M467" s="130"/>
      <c r="N467" s="130"/>
      <c r="O467" s="131"/>
      <c r="P467" s="132">
        <v>45714</v>
      </c>
      <c r="Q467" s="89">
        <f t="shared" si="7"/>
        <v>2</v>
      </c>
      <c r="R467" s="101"/>
      <c r="S467" s="201" t="s">
        <v>1217</v>
      </c>
    </row>
    <row r="468" spans="1:19" ht="100.8" x14ac:dyDescent="0.3">
      <c r="A468">
        <v>466</v>
      </c>
      <c r="B468" s="170">
        <v>1550</v>
      </c>
      <c r="C468" s="132">
        <v>45712</v>
      </c>
      <c r="D468" s="175" t="s">
        <v>1219</v>
      </c>
      <c r="E468" s="111" t="s">
        <v>32</v>
      </c>
      <c r="F468" s="172" t="s">
        <v>6</v>
      </c>
      <c r="G468" s="106">
        <v>45712</v>
      </c>
      <c r="H468" s="173"/>
      <c r="I468" s="125" t="s">
        <v>106</v>
      </c>
      <c r="J468" s="128"/>
      <c r="K468" s="128"/>
      <c r="L468" s="129"/>
      <c r="M468" s="130"/>
      <c r="N468" s="130"/>
      <c r="O468" s="131"/>
      <c r="P468" s="132">
        <v>45714</v>
      </c>
      <c r="Q468" s="89">
        <f t="shared" si="7"/>
        <v>2</v>
      </c>
      <c r="R468" s="101"/>
      <c r="S468" s="201" t="s">
        <v>1217</v>
      </c>
    </row>
    <row r="469" spans="1:19" ht="72" x14ac:dyDescent="0.3">
      <c r="A469">
        <v>467</v>
      </c>
      <c r="B469" s="170">
        <v>1550</v>
      </c>
      <c r="C469" s="132">
        <v>45712</v>
      </c>
      <c r="D469" s="175" t="s">
        <v>1220</v>
      </c>
      <c r="E469" s="111" t="s">
        <v>32</v>
      </c>
      <c r="F469" s="172" t="s">
        <v>6</v>
      </c>
      <c r="G469" s="106">
        <v>45712</v>
      </c>
      <c r="H469" s="173"/>
      <c r="I469" s="125" t="s">
        <v>106</v>
      </c>
      <c r="J469" s="128"/>
      <c r="K469" s="128"/>
      <c r="L469" s="129"/>
      <c r="M469" s="130"/>
      <c r="N469" s="130"/>
      <c r="O469" s="131"/>
      <c r="P469" s="132">
        <v>45714</v>
      </c>
      <c r="Q469" s="89">
        <f t="shared" si="7"/>
        <v>2</v>
      </c>
      <c r="R469" s="101"/>
      <c r="S469" s="201" t="s">
        <v>1217</v>
      </c>
    </row>
    <row r="470" spans="1:19" ht="86.4" x14ac:dyDescent="0.3">
      <c r="A470">
        <v>468</v>
      </c>
      <c r="B470" s="170">
        <v>1550</v>
      </c>
      <c r="C470" s="132">
        <v>45712</v>
      </c>
      <c r="D470" s="175" t="s">
        <v>1221</v>
      </c>
      <c r="E470" s="111" t="s">
        <v>32</v>
      </c>
      <c r="F470" s="172" t="s">
        <v>6</v>
      </c>
      <c r="G470" s="106">
        <v>45712</v>
      </c>
      <c r="H470" s="173"/>
      <c r="I470" s="125" t="s">
        <v>106</v>
      </c>
      <c r="J470" s="128"/>
      <c r="K470" s="128"/>
      <c r="L470" s="129"/>
      <c r="M470" s="130"/>
      <c r="N470" s="130"/>
      <c r="O470" s="131"/>
      <c r="P470" s="132">
        <v>45714</v>
      </c>
      <c r="Q470" s="89">
        <f t="shared" si="7"/>
        <v>2</v>
      </c>
      <c r="R470" s="101"/>
      <c r="S470" s="201" t="s">
        <v>1217</v>
      </c>
    </row>
    <row r="471" spans="1:19" ht="57.6" x14ac:dyDescent="0.3">
      <c r="A471">
        <v>469</v>
      </c>
      <c r="B471" s="170">
        <v>1550</v>
      </c>
      <c r="C471" s="132">
        <v>45712</v>
      </c>
      <c r="D471" s="109" t="s">
        <v>1222</v>
      </c>
      <c r="E471" s="111" t="s">
        <v>5</v>
      </c>
      <c r="F471" s="172" t="s">
        <v>4</v>
      </c>
      <c r="G471" s="106">
        <v>45712</v>
      </c>
      <c r="H471" s="173"/>
      <c r="I471" s="100" t="s">
        <v>125</v>
      </c>
      <c r="J471" s="128"/>
      <c r="K471" s="128"/>
      <c r="L471" s="129"/>
      <c r="M471" s="130"/>
      <c r="N471" s="130"/>
      <c r="O471" s="131"/>
      <c r="P471" s="132">
        <v>45715</v>
      </c>
      <c r="Q471" s="89">
        <f t="shared" si="7"/>
        <v>3</v>
      </c>
      <c r="R471" s="101"/>
      <c r="S471" s="168"/>
    </row>
    <row r="472" spans="1:19" ht="43.2" x14ac:dyDescent="0.3">
      <c r="A472">
        <v>470</v>
      </c>
      <c r="B472" s="86" t="s">
        <v>80</v>
      </c>
      <c r="C472" s="83">
        <v>45709</v>
      </c>
      <c r="D472" s="175" t="s">
        <v>1223</v>
      </c>
      <c r="E472" s="151" t="s">
        <v>48</v>
      </c>
      <c r="F472" s="81" t="s">
        <v>10</v>
      </c>
      <c r="G472" s="99">
        <v>45709</v>
      </c>
      <c r="H472" s="173"/>
      <c r="I472" s="100" t="s">
        <v>99</v>
      </c>
      <c r="J472" s="128"/>
      <c r="K472" s="128"/>
      <c r="L472" s="129"/>
      <c r="M472" s="130"/>
      <c r="N472" s="130"/>
      <c r="O472" s="131"/>
      <c r="P472" s="83">
        <v>45723</v>
      </c>
      <c r="Q472" s="89">
        <f t="shared" si="7"/>
        <v>14</v>
      </c>
      <c r="R472" s="101"/>
      <c r="S472" s="168" t="s">
        <v>1213</v>
      </c>
    </row>
    <row r="473" spans="1:19" ht="57.6" x14ac:dyDescent="0.3">
      <c r="A473">
        <v>471</v>
      </c>
      <c r="B473" s="170">
        <v>1550</v>
      </c>
      <c r="C473" s="132">
        <v>45712</v>
      </c>
      <c r="D473" s="175" t="s">
        <v>1224</v>
      </c>
      <c r="E473" s="111" t="s">
        <v>32</v>
      </c>
      <c r="F473" s="127" t="s">
        <v>6</v>
      </c>
      <c r="G473" s="106">
        <v>45712</v>
      </c>
      <c r="H473" s="134"/>
      <c r="I473" s="100" t="s">
        <v>106</v>
      </c>
      <c r="J473" s="128"/>
      <c r="K473" s="128"/>
      <c r="L473" s="129"/>
      <c r="M473" s="130"/>
      <c r="N473" s="130"/>
      <c r="O473" s="131"/>
      <c r="P473" s="132">
        <v>45714</v>
      </c>
      <c r="Q473" s="89">
        <f t="shared" si="7"/>
        <v>2</v>
      </c>
      <c r="R473" s="101"/>
      <c r="S473" s="201" t="s">
        <v>1217</v>
      </c>
    </row>
    <row r="474" spans="1:19" ht="43.2" x14ac:dyDescent="0.3">
      <c r="A474">
        <v>472</v>
      </c>
      <c r="B474" s="170">
        <v>1550</v>
      </c>
      <c r="C474" s="132">
        <v>45712</v>
      </c>
      <c r="D474" s="175" t="s">
        <v>1225</v>
      </c>
      <c r="E474" s="111" t="s">
        <v>32</v>
      </c>
      <c r="F474" s="172" t="s">
        <v>6</v>
      </c>
      <c r="G474" s="106">
        <v>45712</v>
      </c>
      <c r="H474" s="134"/>
      <c r="I474" s="100" t="s">
        <v>106</v>
      </c>
      <c r="J474" s="128"/>
      <c r="K474" s="128"/>
      <c r="L474" s="129"/>
      <c r="M474" s="130"/>
      <c r="N474" s="130"/>
      <c r="O474" s="131"/>
      <c r="P474" s="132">
        <v>45714</v>
      </c>
      <c r="Q474" s="89">
        <f t="shared" si="7"/>
        <v>2</v>
      </c>
      <c r="R474" s="101"/>
      <c r="S474" s="168"/>
    </row>
    <row r="475" spans="1:19" ht="72" x14ac:dyDescent="0.3">
      <c r="A475">
        <v>473</v>
      </c>
      <c r="B475" s="170" t="s">
        <v>80</v>
      </c>
      <c r="C475" s="132">
        <v>45712</v>
      </c>
      <c r="D475" s="175" t="s">
        <v>1226</v>
      </c>
      <c r="E475" s="111" t="s">
        <v>32</v>
      </c>
      <c r="F475" s="172" t="s">
        <v>10</v>
      </c>
      <c r="G475" s="106">
        <v>45712</v>
      </c>
      <c r="H475" s="173"/>
      <c r="I475" s="100" t="s">
        <v>106</v>
      </c>
      <c r="J475" s="128"/>
      <c r="K475" s="128"/>
      <c r="L475" s="129"/>
      <c r="M475" s="130"/>
      <c r="N475" s="130"/>
      <c r="O475" s="131"/>
      <c r="P475" s="132">
        <v>45714</v>
      </c>
      <c r="Q475" s="89">
        <f t="shared" si="7"/>
        <v>2</v>
      </c>
      <c r="R475" s="101"/>
      <c r="S475" s="168"/>
    </row>
    <row r="476" spans="1:19" ht="129.6" x14ac:dyDescent="0.3">
      <c r="A476">
        <v>474</v>
      </c>
      <c r="B476" s="170" t="s">
        <v>80</v>
      </c>
      <c r="C476" s="132">
        <v>45712</v>
      </c>
      <c r="D476" s="175" t="s">
        <v>1227</v>
      </c>
      <c r="E476" s="111" t="s">
        <v>1</v>
      </c>
      <c r="F476" s="127" t="s">
        <v>10</v>
      </c>
      <c r="G476" s="106">
        <v>45712</v>
      </c>
      <c r="H476" s="134"/>
      <c r="I476" s="100" t="s">
        <v>174</v>
      </c>
      <c r="J476" s="128"/>
      <c r="K476" s="128"/>
      <c r="L476" s="129"/>
      <c r="M476" s="130"/>
      <c r="N476" s="130"/>
      <c r="O476" s="131"/>
      <c r="P476" s="132">
        <v>45713</v>
      </c>
      <c r="Q476" s="89">
        <f t="shared" si="7"/>
        <v>1</v>
      </c>
      <c r="R476" s="101"/>
      <c r="S476" s="168"/>
    </row>
    <row r="477" spans="1:19" ht="43.2" x14ac:dyDescent="0.3">
      <c r="A477">
        <v>475</v>
      </c>
      <c r="B477" s="170" t="s">
        <v>80</v>
      </c>
      <c r="C477" s="132">
        <v>45712</v>
      </c>
      <c r="D477" s="175" t="s">
        <v>1228</v>
      </c>
      <c r="E477" s="111" t="s">
        <v>51</v>
      </c>
      <c r="F477" s="125" t="s">
        <v>10</v>
      </c>
      <c r="G477" s="106">
        <v>45712</v>
      </c>
      <c r="H477" s="137"/>
      <c r="I477" s="100" t="s">
        <v>99</v>
      </c>
      <c r="J477" s="128"/>
      <c r="K477" s="128"/>
      <c r="L477" s="129"/>
      <c r="M477" s="130"/>
      <c r="N477" s="130"/>
      <c r="O477" s="131"/>
      <c r="P477" s="132">
        <v>45713</v>
      </c>
      <c r="Q477" s="89">
        <f t="shared" si="7"/>
        <v>1</v>
      </c>
      <c r="R477" s="101"/>
      <c r="S477" s="168"/>
    </row>
    <row r="478" spans="1:19" ht="43.2" x14ac:dyDescent="0.3">
      <c r="A478">
        <v>476</v>
      </c>
      <c r="B478" s="170" t="s">
        <v>80</v>
      </c>
      <c r="C478" s="132">
        <v>45712</v>
      </c>
      <c r="D478" s="175" t="s">
        <v>1229</v>
      </c>
      <c r="E478" s="111" t="s">
        <v>25</v>
      </c>
      <c r="F478" s="127" t="s">
        <v>10</v>
      </c>
      <c r="G478" s="106">
        <v>45712</v>
      </c>
      <c r="H478" s="137">
        <v>10000268373</v>
      </c>
      <c r="I478" s="102" t="s">
        <v>135</v>
      </c>
      <c r="J478" s="128"/>
      <c r="K478" s="128"/>
      <c r="L478" s="129"/>
      <c r="M478" s="130"/>
      <c r="N478" s="130"/>
      <c r="O478" s="131"/>
      <c r="P478" s="132">
        <v>45712</v>
      </c>
      <c r="Q478" s="89">
        <f t="shared" si="7"/>
        <v>0</v>
      </c>
      <c r="R478" s="101"/>
      <c r="S478" s="168"/>
    </row>
    <row r="479" spans="1:19" ht="43.2" x14ac:dyDescent="0.3">
      <c r="A479">
        <v>477</v>
      </c>
      <c r="B479" s="170" t="s">
        <v>80</v>
      </c>
      <c r="C479" s="132">
        <v>45712</v>
      </c>
      <c r="D479" s="175" t="s">
        <v>1230</v>
      </c>
      <c r="E479" s="111" t="s">
        <v>25</v>
      </c>
      <c r="F479" s="172" t="s">
        <v>10</v>
      </c>
      <c r="G479" s="106">
        <v>45712</v>
      </c>
      <c r="H479" s="134">
        <v>10000268480</v>
      </c>
      <c r="I479" s="113" t="s">
        <v>135</v>
      </c>
      <c r="J479" s="128"/>
      <c r="K479" s="128"/>
      <c r="L479" s="129"/>
      <c r="M479" s="130"/>
      <c r="N479" s="130"/>
      <c r="O479" s="131"/>
      <c r="P479" s="132">
        <v>45712</v>
      </c>
      <c r="Q479" s="89">
        <f t="shared" ref="Q479:Q542" si="8">P479-G479</f>
        <v>0</v>
      </c>
      <c r="R479" s="101"/>
      <c r="S479" s="168"/>
    </row>
    <row r="480" spans="1:19" ht="43.2" x14ac:dyDescent="0.3">
      <c r="A480">
        <v>478</v>
      </c>
      <c r="B480" s="170" t="s">
        <v>80</v>
      </c>
      <c r="C480" s="132">
        <v>45712</v>
      </c>
      <c r="D480" s="175" t="s">
        <v>1231</v>
      </c>
      <c r="E480" s="111" t="s">
        <v>51</v>
      </c>
      <c r="F480" s="125" t="s">
        <v>10</v>
      </c>
      <c r="G480" s="106">
        <v>45712</v>
      </c>
      <c r="H480" s="137"/>
      <c r="I480" s="100" t="s">
        <v>99</v>
      </c>
      <c r="J480" s="128"/>
      <c r="K480" s="128"/>
      <c r="L480" s="129"/>
      <c r="M480" s="130"/>
      <c r="N480" s="130"/>
      <c r="O480" s="131"/>
      <c r="P480" s="132">
        <v>45713</v>
      </c>
      <c r="Q480" s="89">
        <f t="shared" si="8"/>
        <v>1</v>
      </c>
      <c r="R480" s="101"/>
      <c r="S480" s="168"/>
    </row>
    <row r="481" spans="1:19" ht="43.2" x14ac:dyDescent="0.3">
      <c r="A481">
        <v>479</v>
      </c>
      <c r="B481" s="170" t="s">
        <v>80</v>
      </c>
      <c r="C481" s="132">
        <v>45712</v>
      </c>
      <c r="D481" s="175" t="s">
        <v>1232</v>
      </c>
      <c r="E481" s="111" t="s">
        <v>51</v>
      </c>
      <c r="F481" s="125" t="s">
        <v>10</v>
      </c>
      <c r="G481" s="106">
        <v>45712</v>
      </c>
      <c r="H481" s="137"/>
      <c r="I481" s="100" t="s">
        <v>99</v>
      </c>
      <c r="J481" s="128"/>
      <c r="K481" s="128"/>
      <c r="L481" s="129"/>
      <c r="M481" s="130"/>
      <c r="N481" s="130"/>
      <c r="O481" s="131"/>
      <c r="P481" s="132">
        <v>45713</v>
      </c>
      <c r="Q481" s="89">
        <f t="shared" si="8"/>
        <v>1</v>
      </c>
      <c r="R481" s="101"/>
      <c r="S481" s="168"/>
    </row>
    <row r="482" spans="1:19" ht="43.2" x14ac:dyDescent="0.3">
      <c r="A482">
        <v>480</v>
      </c>
      <c r="B482" s="170" t="s">
        <v>80</v>
      </c>
      <c r="C482" s="132">
        <v>45712</v>
      </c>
      <c r="D482" s="175" t="s">
        <v>1233</v>
      </c>
      <c r="E482" s="111" t="s">
        <v>51</v>
      </c>
      <c r="F482" s="81" t="s">
        <v>10</v>
      </c>
      <c r="G482" s="106">
        <v>45712</v>
      </c>
      <c r="H482" s="49"/>
      <c r="I482" s="100" t="s">
        <v>99</v>
      </c>
      <c r="J482" s="128"/>
      <c r="K482" s="128"/>
      <c r="L482" s="129"/>
      <c r="M482" s="130"/>
      <c r="N482" s="130"/>
      <c r="O482" s="131"/>
      <c r="P482" s="132">
        <v>45713</v>
      </c>
      <c r="Q482" s="89">
        <f t="shared" si="8"/>
        <v>1</v>
      </c>
      <c r="R482" s="101"/>
      <c r="S482" s="168"/>
    </row>
    <row r="483" spans="1:19" ht="43.2" x14ac:dyDescent="0.3">
      <c r="A483">
        <v>481</v>
      </c>
      <c r="B483" s="170" t="s">
        <v>80</v>
      </c>
      <c r="C483" s="132">
        <v>45712</v>
      </c>
      <c r="D483" s="175" t="s">
        <v>1234</v>
      </c>
      <c r="E483" s="111" t="s">
        <v>51</v>
      </c>
      <c r="F483" s="81" t="s">
        <v>10</v>
      </c>
      <c r="G483" s="106">
        <v>45712</v>
      </c>
      <c r="H483" s="49"/>
      <c r="I483" s="100" t="s">
        <v>99</v>
      </c>
      <c r="J483" s="128"/>
      <c r="K483" s="128"/>
      <c r="L483" s="129"/>
      <c r="M483" s="130"/>
      <c r="N483" s="130"/>
      <c r="O483" s="131"/>
      <c r="P483" s="132">
        <v>45713</v>
      </c>
      <c r="Q483" s="89">
        <f t="shared" si="8"/>
        <v>1</v>
      </c>
      <c r="R483" s="101"/>
      <c r="S483" s="168"/>
    </row>
    <row r="484" spans="1:19" ht="43.2" x14ac:dyDescent="0.3">
      <c r="A484">
        <v>482</v>
      </c>
      <c r="B484" s="170" t="s">
        <v>80</v>
      </c>
      <c r="C484" s="132">
        <v>45715</v>
      </c>
      <c r="D484" s="175" t="s">
        <v>1235</v>
      </c>
      <c r="E484" s="111" t="s">
        <v>48</v>
      </c>
      <c r="F484" s="172" t="s">
        <v>10</v>
      </c>
      <c r="G484" s="106">
        <v>45715</v>
      </c>
      <c r="H484" s="173"/>
      <c r="I484" s="100" t="s">
        <v>99</v>
      </c>
      <c r="J484" s="128"/>
      <c r="K484" s="128"/>
      <c r="L484" s="129"/>
      <c r="M484" s="130"/>
      <c r="N484" s="130"/>
      <c r="O484" s="131"/>
      <c r="P484" s="132">
        <v>45723</v>
      </c>
      <c r="Q484" s="89">
        <f t="shared" si="8"/>
        <v>8</v>
      </c>
      <c r="R484" s="101"/>
      <c r="S484" s="168" t="s">
        <v>1236</v>
      </c>
    </row>
    <row r="485" spans="1:19" ht="43.2" x14ac:dyDescent="0.3">
      <c r="A485">
        <v>483</v>
      </c>
      <c r="B485" s="170" t="s">
        <v>80</v>
      </c>
      <c r="C485" s="132">
        <v>45712</v>
      </c>
      <c r="D485" s="175" t="s">
        <v>1237</v>
      </c>
      <c r="E485" s="111" t="s">
        <v>51</v>
      </c>
      <c r="F485" s="125" t="s">
        <v>10</v>
      </c>
      <c r="G485" s="106">
        <v>45712</v>
      </c>
      <c r="H485" s="137"/>
      <c r="I485" s="100" t="s">
        <v>99</v>
      </c>
      <c r="J485" s="128"/>
      <c r="K485" s="128"/>
      <c r="L485" s="129"/>
      <c r="M485" s="130"/>
      <c r="N485" s="130"/>
      <c r="O485" s="131"/>
      <c r="P485" s="132">
        <v>45713</v>
      </c>
      <c r="Q485" s="89">
        <f t="shared" si="8"/>
        <v>1</v>
      </c>
      <c r="R485" s="101"/>
      <c r="S485" s="168"/>
    </row>
    <row r="486" spans="1:19" ht="100.8" x14ac:dyDescent="0.3">
      <c r="A486">
        <v>484</v>
      </c>
      <c r="B486" s="170" t="s">
        <v>80</v>
      </c>
      <c r="C486" s="132">
        <v>45712</v>
      </c>
      <c r="D486" s="175" t="s">
        <v>1238</v>
      </c>
      <c r="E486" s="111" t="s">
        <v>12</v>
      </c>
      <c r="F486" s="172" t="s">
        <v>10</v>
      </c>
      <c r="G486" s="106">
        <v>45712</v>
      </c>
      <c r="H486" s="173"/>
      <c r="I486" s="107" t="s">
        <v>159</v>
      </c>
      <c r="J486" s="128"/>
      <c r="K486" s="128"/>
      <c r="L486" s="129"/>
      <c r="M486" s="130"/>
      <c r="N486" s="130"/>
      <c r="O486" s="131"/>
      <c r="P486" s="132">
        <v>45716</v>
      </c>
      <c r="Q486" s="89">
        <f t="shared" si="8"/>
        <v>4</v>
      </c>
      <c r="R486" s="101"/>
      <c r="S486" s="168"/>
    </row>
    <row r="487" spans="1:19" ht="43.2" x14ac:dyDescent="0.3">
      <c r="A487">
        <v>485</v>
      </c>
      <c r="B487" s="170" t="s">
        <v>80</v>
      </c>
      <c r="C487" s="132">
        <v>45712</v>
      </c>
      <c r="D487" s="175" t="s">
        <v>1239</v>
      </c>
      <c r="E487" s="111" t="s">
        <v>51</v>
      </c>
      <c r="F487" s="125" t="s">
        <v>10</v>
      </c>
      <c r="G487" s="106">
        <v>45712</v>
      </c>
      <c r="H487" s="137"/>
      <c r="I487" s="100" t="s">
        <v>99</v>
      </c>
      <c r="J487" s="128"/>
      <c r="K487" s="128"/>
      <c r="L487" s="129"/>
      <c r="M487" s="130"/>
      <c r="N487" s="130"/>
      <c r="O487" s="131"/>
      <c r="P487" s="132">
        <v>45713</v>
      </c>
      <c r="Q487" s="89">
        <f t="shared" si="8"/>
        <v>1</v>
      </c>
      <c r="R487" s="101"/>
      <c r="S487" s="168"/>
    </row>
    <row r="488" spans="1:19" ht="72" x14ac:dyDescent="0.3">
      <c r="A488">
        <v>486</v>
      </c>
      <c r="B488" s="170" t="s">
        <v>80</v>
      </c>
      <c r="C488" s="132">
        <v>45712</v>
      </c>
      <c r="D488" s="175" t="s">
        <v>1240</v>
      </c>
      <c r="E488" s="111" t="s">
        <v>17</v>
      </c>
      <c r="F488" s="172" t="s">
        <v>10</v>
      </c>
      <c r="G488" s="106">
        <v>45712</v>
      </c>
      <c r="H488" s="137"/>
      <c r="I488" s="100" t="s">
        <v>82</v>
      </c>
      <c r="J488" s="128"/>
      <c r="K488" s="128"/>
      <c r="L488" s="129"/>
      <c r="M488" s="130"/>
      <c r="N488" s="130"/>
      <c r="O488" s="131"/>
      <c r="P488" s="132">
        <v>45720</v>
      </c>
      <c r="Q488" s="89">
        <f t="shared" si="8"/>
        <v>8</v>
      </c>
      <c r="R488" s="101"/>
      <c r="S488" s="168"/>
    </row>
    <row r="489" spans="1:19" ht="43.2" x14ac:dyDescent="0.3">
      <c r="A489">
        <v>487</v>
      </c>
      <c r="B489" s="170" t="s">
        <v>80</v>
      </c>
      <c r="C489" s="132">
        <v>45712</v>
      </c>
      <c r="D489" s="175" t="s">
        <v>1241</v>
      </c>
      <c r="E489" s="111" t="s">
        <v>51</v>
      </c>
      <c r="F489" s="125" t="s">
        <v>10</v>
      </c>
      <c r="G489" s="106">
        <v>45712</v>
      </c>
      <c r="H489" s="137"/>
      <c r="I489" s="100" t="s">
        <v>99</v>
      </c>
      <c r="J489" s="128"/>
      <c r="K489" s="128"/>
      <c r="L489" s="129"/>
      <c r="M489" s="130"/>
      <c r="N489" s="130"/>
      <c r="O489" s="131"/>
      <c r="P489" s="132">
        <v>45713</v>
      </c>
      <c r="Q489" s="89">
        <f t="shared" si="8"/>
        <v>1</v>
      </c>
      <c r="R489" s="101"/>
      <c r="S489" s="168"/>
    </row>
    <row r="490" spans="1:19" ht="43.2" x14ac:dyDescent="0.3">
      <c r="A490">
        <v>488</v>
      </c>
      <c r="B490" s="170">
        <v>1550</v>
      </c>
      <c r="C490" s="132">
        <v>45713</v>
      </c>
      <c r="D490" s="175" t="s">
        <v>1242</v>
      </c>
      <c r="E490" s="111" t="s">
        <v>51</v>
      </c>
      <c r="F490" s="172" t="s">
        <v>4</v>
      </c>
      <c r="G490" s="106">
        <v>45713</v>
      </c>
      <c r="H490" s="173"/>
      <c r="I490" s="100" t="s">
        <v>99</v>
      </c>
      <c r="J490" s="128"/>
      <c r="K490" s="128"/>
      <c r="L490" s="129"/>
      <c r="M490" s="130"/>
      <c r="N490" s="130"/>
      <c r="O490" s="131"/>
      <c r="P490" s="132">
        <v>45713</v>
      </c>
      <c r="Q490" s="89">
        <f t="shared" si="8"/>
        <v>0</v>
      </c>
      <c r="R490" s="101"/>
      <c r="S490" s="168"/>
    </row>
    <row r="491" spans="1:19" ht="28.8" x14ac:dyDescent="0.3">
      <c r="A491">
        <v>489</v>
      </c>
      <c r="B491" s="170">
        <v>1550</v>
      </c>
      <c r="C491" s="132">
        <v>45713</v>
      </c>
      <c r="D491" s="175" t="s">
        <v>1243</v>
      </c>
      <c r="E491" s="111" t="s">
        <v>32</v>
      </c>
      <c r="F491" s="172" t="s">
        <v>8</v>
      </c>
      <c r="G491" s="106">
        <v>45713</v>
      </c>
      <c r="H491" s="173"/>
      <c r="I491" s="125" t="s">
        <v>106</v>
      </c>
      <c r="J491" s="128"/>
      <c r="K491" s="128"/>
      <c r="L491" s="129"/>
      <c r="M491" s="130"/>
      <c r="N491" s="130"/>
      <c r="O491" s="131"/>
      <c r="P491" s="132">
        <v>45714</v>
      </c>
      <c r="Q491" s="89">
        <f t="shared" si="8"/>
        <v>1</v>
      </c>
      <c r="R491" s="101" t="s">
        <v>169</v>
      </c>
      <c r="S491" s="168"/>
    </row>
    <row r="492" spans="1:19" ht="86.4" x14ac:dyDescent="0.3">
      <c r="A492">
        <v>490</v>
      </c>
      <c r="B492" s="170">
        <v>1550</v>
      </c>
      <c r="C492" s="132">
        <v>45713</v>
      </c>
      <c r="D492" s="175" t="s">
        <v>1244</v>
      </c>
      <c r="E492" s="111" t="s">
        <v>32</v>
      </c>
      <c r="F492" s="172" t="s">
        <v>6</v>
      </c>
      <c r="G492" s="106">
        <v>45713</v>
      </c>
      <c r="H492" s="173"/>
      <c r="I492" s="125" t="s">
        <v>106</v>
      </c>
      <c r="J492" s="128"/>
      <c r="K492" s="128"/>
      <c r="L492" s="129"/>
      <c r="M492" s="130"/>
      <c r="N492" s="130"/>
      <c r="O492" s="131"/>
      <c r="P492" s="132">
        <v>45714</v>
      </c>
      <c r="Q492" s="89">
        <f t="shared" si="8"/>
        <v>1</v>
      </c>
      <c r="R492" s="101"/>
      <c r="S492" s="168"/>
    </row>
    <row r="493" spans="1:19" ht="28.8" x14ac:dyDescent="0.3">
      <c r="A493">
        <v>491</v>
      </c>
      <c r="B493" s="170">
        <v>1550</v>
      </c>
      <c r="C493" s="132">
        <v>45713</v>
      </c>
      <c r="D493" s="175" t="s">
        <v>1245</v>
      </c>
      <c r="E493" s="111" t="s">
        <v>32</v>
      </c>
      <c r="F493" s="172" t="s">
        <v>8</v>
      </c>
      <c r="G493" s="106">
        <v>45713</v>
      </c>
      <c r="H493" s="173"/>
      <c r="I493" s="125" t="s">
        <v>106</v>
      </c>
      <c r="J493" s="128"/>
      <c r="K493" s="128"/>
      <c r="L493" s="129"/>
      <c r="M493" s="130"/>
      <c r="N493" s="130"/>
      <c r="O493" s="131"/>
      <c r="P493" s="132">
        <v>45714</v>
      </c>
      <c r="Q493" s="89">
        <f t="shared" si="8"/>
        <v>1</v>
      </c>
      <c r="R493" s="101" t="s">
        <v>1246</v>
      </c>
      <c r="S493" s="168"/>
    </row>
    <row r="494" spans="1:19" ht="43.2" x14ac:dyDescent="0.3">
      <c r="A494">
        <v>492</v>
      </c>
      <c r="B494" s="170">
        <v>1550</v>
      </c>
      <c r="C494" s="132">
        <v>45713</v>
      </c>
      <c r="D494" s="175" t="s">
        <v>1247</v>
      </c>
      <c r="E494" s="111" t="s">
        <v>32</v>
      </c>
      <c r="F494" s="172" t="s">
        <v>6</v>
      </c>
      <c r="G494" s="106">
        <v>45713</v>
      </c>
      <c r="H494" s="173"/>
      <c r="I494" s="125" t="s">
        <v>106</v>
      </c>
      <c r="J494" s="128"/>
      <c r="K494" s="128"/>
      <c r="L494" s="129"/>
      <c r="M494" s="130"/>
      <c r="N494" s="130"/>
      <c r="O494" s="131"/>
      <c r="P494" s="132">
        <v>45714</v>
      </c>
      <c r="Q494" s="89">
        <f t="shared" si="8"/>
        <v>1</v>
      </c>
      <c r="R494" s="101"/>
      <c r="S494" s="168"/>
    </row>
    <row r="495" spans="1:19" ht="43.2" x14ac:dyDescent="0.3">
      <c r="A495">
        <v>493</v>
      </c>
      <c r="B495" s="170">
        <v>1550</v>
      </c>
      <c r="C495" s="132">
        <v>45713</v>
      </c>
      <c r="D495" s="175" t="s">
        <v>1248</v>
      </c>
      <c r="E495" s="111" t="s">
        <v>32</v>
      </c>
      <c r="F495" s="172" t="s">
        <v>4</v>
      </c>
      <c r="G495" s="106">
        <v>45713</v>
      </c>
      <c r="H495" s="173"/>
      <c r="I495" s="125" t="s">
        <v>106</v>
      </c>
      <c r="J495" s="128"/>
      <c r="K495" s="128"/>
      <c r="L495" s="129"/>
      <c r="M495" s="130"/>
      <c r="N495" s="130"/>
      <c r="O495" s="131"/>
      <c r="P495" s="132">
        <v>45714</v>
      </c>
      <c r="Q495" s="89">
        <f t="shared" si="8"/>
        <v>1</v>
      </c>
      <c r="R495" s="101"/>
      <c r="S495" s="168"/>
    </row>
    <row r="496" spans="1:19" ht="43.2" x14ac:dyDescent="0.3">
      <c r="A496">
        <v>494</v>
      </c>
      <c r="B496" s="170">
        <v>1550</v>
      </c>
      <c r="C496" s="132">
        <v>45713</v>
      </c>
      <c r="D496" s="175" t="s">
        <v>1249</v>
      </c>
      <c r="E496" s="111" t="s">
        <v>32</v>
      </c>
      <c r="F496" s="172" t="s">
        <v>4</v>
      </c>
      <c r="G496" s="106">
        <v>45713</v>
      </c>
      <c r="H496" s="173"/>
      <c r="I496" s="125" t="s">
        <v>106</v>
      </c>
      <c r="J496" s="128"/>
      <c r="K496" s="128"/>
      <c r="L496" s="129"/>
      <c r="M496" s="130"/>
      <c r="N496" s="130"/>
      <c r="O496" s="131"/>
      <c r="P496" s="132">
        <v>45714</v>
      </c>
      <c r="Q496" s="89">
        <f t="shared" si="8"/>
        <v>1</v>
      </c>
      <c r="R496" s="101"/>
      <c r="S496" s="168"/>
    </row>
    <row r="497" spans="1:19" ht="43.2" x14ac:dyDescent="0.3">
      <c r="A497">
        <v>495</v>
      </c>
      <c r="B497" s="170">
        <v>1550</v>
      </c>
      <c r="C497" s="132">
        <v>45713</v>
      </c>
      <c r="D497" s="175" t="s">
        <v>1250</v>
      </c>
      <c r="E497" s="111" t="s">
        <v>32</v>
      </c>
      <c r="F497" s="172" t="s">
        <v>4</v>
      </c>
      <c r="G497" s="106">
        <v>45713</v>
      </c>
      <c r="H497" s="173"/>
      <c r="I497" s="125" t="s">
        <v>106</v>
      </c>
      <c r="J497" s="128"/>
      <c r="K497" s="128"/>
      <c r="L497" s="129"/>
      <c r="M497" s="130"/>
      <c r="N497" s="130"/>
      <c r="O497" s="131"/>
      <c r="P497" s="132">
        <v>45714</v>
      </c>
      <c r="Q497" s="89">
        <f t="shared" si="8"/>
        <v>1</v>
      </c>
      <c r="R497" s="101"/>
      <c r="S497" s="168"/>
    </row>
    <row r="498" spans="1:19" ht="57.6" x14ac:dyDescent="0.3">
      <c r="A498">
        <v>496</v>
      </c>
      <c r="B498" s="170">
        <v>1550</v>
      </c>
      <c r="C498" s="132">
        <v>45713</v>
      </c>
      <c r="D498" s="175" t="s">
        <v>1251</v>
      </c>
      <c r="E498" s="111" t="s">
        <v>1</v>
      </c>
      <c r="F498" s="172" t="s">
        <v>6</v>
      </c>
      <c r="G498" s="106">
        <v>45713</v>
      </c>
      <c r="H498" s="173"/>
      <c r="I498" s="125" t="s">
        <v>129</v>
      </c>
      <c r="J498" s="128"/>
      <c r="K498" s="128"/>
      <c r="L498" s="129"/>
      <c r="M498" s="130"/>
      <c r="N498" s="130"/>
      <c r="O498" s="131"/>
      <c r="P498" s="132">
        <v>45713</v>
      </c>
      <c r="Q498" s="89">
        <f t="shared" si="8"/>
        <v>0</v>
      </c>
      <c r="R498" s="101"/>
      <c r="S498" s="168"/>
    </row>
    <row r="499" spans="1:19" ht="28.8" x14ac:dyDescent="0.3">
      <c r="A499">
        <v>497</v>
      </c>
      <c r="B499" s="170">
        <v>1550</v>
      </c>
      <c r="C499" s="132">
        <v>45713</v>
      </c>
      <c r="D499" s="175" t="s">
        <v>1252</v>
      </c>
      <c r="E499" s="111" t="s">
        <v>1</v>
      </c>
      <c r="F499" s="172" t="s">
        <v>8</v>
      </c>
      <c r="G499" s="106">
        <v>45713</v>
      </c>
      <c r="H499" s="173"/>
      <c r="I499" s="125" t="s">
        <v>361</v>
      </c>
      <c r="J499" s="128"/>
      <c r="K499" s="128"/>
      <c r="L499" s="129"/>
      <c r="M499" s="130"/>
      <c r="N499" s="130"/>
      <c r="O499" s="131"/>
      <c r="P499" s="132">
        <v>45716</v>
      </c>
      <c r="Q499" s="89">
        <f t="shared" si="8"/>
        <v>3</v>
      </c>
      <c r="R499" s="101" t="s">
        <v>899</v>
      </c>
      <c r="S499" s="168"/>
    </row>
    <row r="500" spans="1:19" ht="28.8" x14ac:dyDescent="0.3">
      <c r="A500">
        <v>498</v>
      </c>
      <c r="B500" s="170">
        <v>1550</v>
      </c>
      <c r="C500" s="132">
        <v>45713</v>
      </c>
      <c r="D500" s="175" t="s">
        <v>1253</v>
      </c>
      <c r="E500" s="111" t="s">
        <v>1</v>
      </c>
      <c r="F500" s="172" t="s">
        <v>4</v>
      </c>
      <c r="G500" s="106">
        <v>45713</v>
      </c>
      <c r="H500" s="173"/>
      <c r="I500" s="125" t="s">
        <v>174</v>
      </c>
      <c r="J500" s="128"/>
      <c r="K500" s="128"/>
      <c r="L500" s="129"/>
      <c r="M500" s="130"/>
      <c r="N500" s="130"/>
      <c r="O500" s="131"/>
      <c r="P500" s="132">
        <v>45714</v>
      </c>
      <c r="Q500" s="89">
        <f t="shared" si="8"/>
        <v>1</v>
      </c>
      <c r="R500" s="101"/>
      <c r="S500" s="168"/>
    </row>
    <row r="501" spans="1:19" ht="28.8" x14ac:dyDescent="0.3">
      <c r="A501">
        <v>499</v>
      </c>
      <c r="B501" s="170">
        <v>1550</v>
      </c>
      <c r="C501" s="132">
        <v>45713</v>
      </c>
      <c r="D501" s="175" t="s">
        <v>1254</v>
      </c>
      <c r="E501" s="111" t="s">
        <v>3</v>
      </c>
      <c r="F501" s="172" t="s">
        <v>176</v>
      </c>
      <c r="G501" s="106">
        <v>45713</v>
      </c>
      <c r="H501" s="173"/>
      <c r="I501" s="125" t="s">
        <v>125</v>
      </c>
      <c r="J501" s="128"/>
      <c r="K501" s="128"/>
      <c r="L501" s="129"/>
      <c r="M501" s="130"/>
      <c r="N501" s="130"/>
      <c r="O501" s="131"/>
      <c r="P501" s="132">
        <v>45714</v>
      </c>
      <c r="Q501" s="89">
        <f t="shared" si="8"/>
        <v>1</v>
      </c>
      <c r="R501" s="101"/>
      <c r="S501" s="168"/>
    </row>
    <row r="502" spans="1:19" ht="43.2" x14ac:dyDescent="0.3">
      <c r="A502">
        <v>500</v>
      </c>
      <c r="B502" s="170">
        <v>1550</v>
      </c>
      <c r="C502" s="132">
        <v>45713</v>
      </c>
      <c r="D502" s="175" t="s">
        <v>1255</v>
      </c>
      <c r="E502" s="151" t="s">
        <v>25</v>
      </c>
      <c r="F502" s="125" t="s">
        <v>8</v>
      </c>
      <c r="G502" s="106">
        <v>45713</v>
      </c>
      <c r="H502" s="173"/>
      <c r="I502" s="125" t="s">
        <v>22</v>
      </c>
      <c r="J502" s="233" t="s">
        <v>262</v>
      </c>
      <c r="K502" s="231">
        <v>45714</v>
      </c>
      <c r="L502" s="232" t="s">
        <v>22</v>
      </c>
      <c r="M502" s="130"/>
      <c r="N502" s="130"/>
      <c r="O502" s="131"/>
      <c r="P502" s="132">
        <v>45714</v>
      </c>
      <c r="Q502" s="89">
        <f t="shared" si="8"/>
        <v>1</v>
      </c>
      <c r="R502" s="101" t="s">
        <v>160</v>
      </c>
      <c r="S502" s="168"/>
    </row>
    <row r="503" spans="1:19" ht="43.2" x14ac:dyDescent="0.3">
      <c r="A503">
        <v>501</v>
      </c>
      <c r="B503" s="170" t="s">
        <v>80</v>
      </c>
      <c r="C503" s="132">
        <v>45713</v>
      </c>
      <c r="D503" s="175" t="s">
        <v>1256</v>
      </c>
      <c r="E503" s="111" t="s">
        <v>51</v>
      </c>
      <c r="F503" s="125" t="s">
        <v>10</v>
      </c>
      <c r="G503" s="106">
        <v>45713</v>
      </c>
      <c r="H503" s="137"/>
      <c r="I503" s="100" t="s">
        <v>99</v>
      </c>
      <c r="J503" s="128"/>
      <c r="K503" s="128"/>
      <c r="L503" s="129"/>
      <c r="M503" s="130"/>
      <c r="N503" s="130"/>
      <c r="O503" s="131"/>
      <c r="P503" s="132">
        <v>45715</v>
      </c>
      <c r="Q503" s="89">
        <f t="shared" si="8"/>
        <v>2</v>
      </c>
      <c r="R503" s="101"/>
      <c r="S503" s="168"/>
    </row>
    <row r="504" spans="1:19" ht="57.6" x14ac:dyDescent="0.3">
      <c r="A504">
        <v>502</v>
      </c>
      <c r="B504" s="170" t="s">
        <v>80</v>
      </c>
      <c r="C504" s="132">
        <v>45713</v>
      </c>
      <c r="D504" s="175" t="s">
        <v>1257</v>
      </c>
      <c r="E504" s="111" t="s">
        <v>17</v>
      </c>
      <c r="F504" s="172" t="s">
        <v>10</v>
      </c>
      <c r="G504" s="106">
        <v>45713</v>
      </c>
      <c r="H504" s="137"/>
      <c r="I504" s="100" t="s">
        <v>82</v>
      </c>
      <c r="J504" s="128"/>
      <c r="K504" s="128"/>
      <c r="L504" s="129"/>
      <c r="M504" s="130"/>
      <c r="N504" s="130"/>
      <c r="O504" s="131"/>
      <c r="P504" s="132">
        <v>45720</v>
      </c>
      <c r="Q504" s="89">
        <f t="shared" si="8"/>
        <v>7</v>
      </c>
      <c r="R504" s="101"/>
      <c r="S504" s="168"/>
    </row>
    <row r="505" spans="1:19" ht="86.4" x14ac:dyDescent="0.3">
      <c r="A505">
        <v>503</v>
      </c>
      <c r="B505" s="170" t="s">
        <v>80</v>
      </c>
      <c r="C505" s="132">
        <v>45713</v>
      </c>
      <c r="D505" s="175" t="s">
        <v>1258</v>
      </c>
      <c r="E505" s="111" t="s">
        <v>17</v>
      </c>
      <c r="F505" s="172" t="s">
        <v>10</v>
      </c>
      <c r="G505" s="106">
        <v>45713</v>
      </c>
      <c r="H505" s="137">
        <v>10000271361</v>
      </c>
      <c r="I505" s="100" t="s">
        <v>82</v>
      </c>
      <c r="J505" s="128"/>
      <c r="K505" s="128"/>
      <c r="L505" s="129"/>
      <c r="M505" s="130"/>
      <c r="N505" s="130"/>
      <c r="O505" s="131"/>
      <c r="P505" s="132">
        <v>45721</v>
      </c>
      <c r="Q505" s="89">
        <f t="shared" si="8"/>
        <v>8</v>
      </c>
      <c r="R505" s="101"/>
      <c r="S505" s="168"/>
    </row>
    <row r="506" spans="1:19" ht="28.8" x14ac:dyDescent="0.3">
      <c r="A506">
        <v>504</v>
      </c>
      <c r="B506" s="170">
        <v>1550</v>
      </c>
      <c r="C506" s="132">
        <v>45714</v>
      </c>
      <c r="D506" s="175" t="s">
        <v>1259</v>
      </c>
      <c r="E506" s="111" t="s">
        <v>1</v>
      </c>
      <c r="F506" s="125" t="s">
        <v>8</v>
      </c>
      <c r="G506" s="106">
        <v>45714</v>
      </c>
      <c r="H506" s="137"/>
      <c r="I506" s="102" t="s">
        <v>1260</v>
      </c>
      <c r="J506" s="233" t="s">
        <v>262</v>
      </c>
      <c r="K506" s="231">
        <v>45714</v>
      </c>
      <c r="L506" s="232" t="s">
        <v>1261</v>
      </c>
      <c r="M506" s="130"/>
      <c r="N506" s="130"/>
      <c r="O506" s="131"/>
      <c r="P506" s="132">
        <v>45714</v>
      </c>
      <c r="Q506" s="89">
        <f t="shared" si="8"/>
        <v>0</v>
      </c>
      <c r="R506" s="101" t="s">
        <v>205</v>
      </c>
      <c r="S506" s="168"/>
    </row>
    <row r="507" spans="1:19" x14ac:dyDescent="0.3">
      <c r="A507">
        <v>505</v>
      </c>
      <c r="B507" s="170">
        <v>1550</v>
      </c>
      <c r="C507" s="132">
        <v>45713</v>
      </c>
      <c r="D507" t="s">
        <v>1262</v>
      </c>
      <c r="E507" s="111" t="s">
        <v>31</v>
      </c>
      <c r="F507" s="125" t="s">
        <v>4</v>
      </c>
      <c r="G507" s="106">
        <v>45713</v>
      </c>
      <c r="H507" s="137">
        <v>10000268832</v>
      </c>
      <c r="I507" s="102" t="s">
        <v>135</v>
      </c>
      <c r="J507" s="128"/>
      <c r="K507" s="128"/>
      <c r="L507" s="129"/>
      <c r="M507" s="130"/>
      <c r="N507" s="130"/>
      <c r="O507" s="131"/>
      <c r="P507" s="132">
        <v>45715</v>
      </c>
      <c r="Q507" s="89">
        <f t="shared" si="8"/>
        <v>2</v>
      </c>
      <c r="R507" s="101"/>
      <c r="S507" s="168"/>
    </row>
    <row r="508" spans="1:19" ht="57.6" x14ac:dyDescent="0.3">
      <c r="A508">
        <v>506</v>
      </c>
      <c r="B508" s="170">
        <v>1550</v>
      </c>
      <c r="C508" s="132">
        <v>45712</v>
      </c>
      <c r="D508" s="175" t="s">
        <v>1263</v>
      </c>
      <c r="E508" s="111" t="s">
        <v>23</v>
      </c>
      <c r="F508" s="172" t="s">
        <v>6</v>
      </c>
      <c r="G508" s="106">
        <v>45712</v>
      </c>
      <c r="H508" s="173"/>
      <c r="I508" s="107" t="s">
        <v>135</v>
      </c>
      <c r="J508" s="128"/>
      <c r="K508" s="128"/>
      <c r="L508" s="129"/>
      <c r="M508" s="130"/>
      <c r="N508" s="130"/>
      <c r="O508" s="131"/>
      <c r="P508" s="132">
        <v>45722</v>
      </c>
      <c r="Q508" s="89">
        <f t="shared" si="8"/>
        <v>10</v>
      </c>
      <c r="R508" s="101"/>
      <c r="S508" s="201" t="s">
        <v>1264</v>
      </c>
    </row>
    <row r="509" spans="1:19" ht="28.8" x14ac:dyDescent="0.3">
      <c r="A509">
        <v>507</v>
      </c>
      <c r="B509" s="170">
        <v>1550</v>
      </c>
      <c r="C509" s="132">
        <v>45714</v>
      </c>
      <c r="D509" s="175" t="s">
        <v>1265</v>
      </c>
      <c r="E509" s="111" t="s">
        <v>12</v>
      </c>
      <c r="F509" s="172" t="s">
        <v>6</v>
      </c>
      <c r="G509" s="106">
        <v>45714</v>
      </c>
      <c r="H509" s="173"/>
      <c r="I509" s="107" t="s">
        <v>159</v>
      </c>
      <c r="J509" s="128"/>
      <c r="K509" s="128"/>
      <c r="L509" s="129"/>
      <c r="M509" s="130"/>
      <c r="N509" s="130"/>
      <c r="O509" s="131"/>
      <c r="P509" s="132">
        <v>45716</v>
      </c>
      <c r="Q509" s="89">
        <f t="shared" si="8"/>
        <v>2</v>
      </c>
      <c r="R509" s="101"/>
      <c r="S509" s="168"/>
    </row>
    <row r="510" spans="1:19" ht="43.2" x14ac:dyDescent="0.3">
      <c r="A510">
        <v>508</v>
      </c>
      <c r="B510" s="170">
        <v>1550</v>
      </c>
      <c r="C510" s="132">
        <v>45714</v>
      </c>
      <c r="D510" t="s">
        <v>1266</v>
      </c>
      <c r="E510" s="111" t="s">
        <v>51</v>
      </c>
      <c r="F510" s="172" t="s">
        <v>4</v>
      </c>
      <c r="G510" s="106">
        <v>45714</v>
      </c>
      <c r="H510" s="173"/>
      <c r="I510" s="100" t="s">
        <v>99</v>
      </c>
      <c r="J510" s="128"/>
      <c r="K510" s="128"/>
      <c r="L510" s="129"/>
      <c r="M510" s="130"/>
      <c r="N510" s="130"/>
      <c r="O510" s="131"/>
      <c r="P510" s="132">
        <v>45716</v>
      </c>
      <c r="Q510" s="89">
        <f t="shared" si="8"/>
        <v>2</v>
      </c>
      <c r="R510" s="101"/>
      <c r="S510" s="168"/>
    </row>
    <row r="511" spans="1:19" ht="43.2" x14ac:dyDescent="0.3">
      <c r="A511">
        <v>509</v>
      </c>
      <c r="B511" s="170">
        <v>1550</v>
      </c>
      <c r="C511" s="132">
        <v>45714</v>
      </c>
      <c r="D511" s="175" t="s">
        <v>1267</v>
      </c>
      <c r="E511" s="111" t="s">
        <v>51</v>
      </c>
      <c r="F511" s="172" t="s">
        <v>4</v>
      </c>
      <c r="G511" s="106">
        <v>45714</v>
      </c>
      <c r="H511" s="173"/>
      <c r="I511" s="100" t="s">
        <v>99</v>
      </c>
      <c r="J511" s="128"/>
      <c r="K511" s="128"/>
      <c r="L511" s="129"/>
      <c r="M511" s="130"/>
      <c r="N511" s="130"/>
      <c r="O511" s="131"/>
      <c r="P511" s="132">
        <v>45714</v>
      </c>
      <c r="Q511" s="89">
        <f t="shared" si="8"/>
        <v>0</v>
      </c>
      <c r="R511" s="101"/>
      <c r="S511" s="168"/>
    </row>
    <row r="512" spans="1:19" ht="57.6" x14ac:dyDescent="0.3">
      <c r="A512">
        <v>510</v>
      </c>
      <c r="B512" s="170">
        <v>1550</v>
      </c>
      <c r="C512" s="132">
        <v>45714</v>
      </c>
      <c r="D512" s="175" t="s">
        <v>1268</v>
      </c>
      <c r="E512" s="111" t="s">
        <v>12</v>
      </c>
      <c r="F512" s="172" t="s">
        <v>6</v>
      </c>
      <c r="G512" s="106">
        <v>45714</v>
      </c>
      <c r="H512" s="173"/>
      <c r="I512" s="107" t="s">
        <v>159</v>
      </c>
      <c r="J512" s="128"/>
      <c r="K512" s="128"/>
      <c r="L512" s="129"/>
      <c r="M512" s="130"/>
      <c r="N512" s="130"/>
      <c r="O512" s="131"/>
      <c r="P512" s="132">
        <v>45716</v>
      </c>
      <c r="Q512" s="89">
        <f t="shared" si="8"/>
        <v>2</v>
      </c>
      <c r="R512" s="101"/>
      <c r="S512" s="168"/>
    </row>
    <row r="513" spans="1:19" ht="72" x14ac:dyDescent="0.3">
      <c r="A513">
        <v>511</v>
      </c>
      <c r="B513" s="170" t="s">
        <v>80</v>
      </c>
      <c r="C513" s="132">
        <v>45716</v>
      </c>
      <c r="D513" s="175" t="s">
        <v>1269</v>
      </c>
      <c r="E513" s="111" t="s">
        <v>11</v>
      </c>
      <c r="F513" s="172" t="s">
        <v>10</v>
      </c>
      <c r="G513" s="106">
        <v>45716</v>
      </c>
      <c r="H513" s="49"/>
      <c r="I513" s="127" t="s">
        <v>106</v>
      </c>
      <c r="J513" s="27"/>
      <c r="K513" s="50"/>
      <c r="L513" s="51"/>
      <c r="M513" s="29"/>
      <c r="N513" s="30"/>
      <c r="O513" s="54"/>
      <c r="P513" s="83">
        <v>45721</v>
      </c>
      <c r="Q513" s="89">
        <f t="shared" si="8"/>
        <v>5</v>
      </c>
      <c r="R513" s="101"/>
      <c r="S513" s="101"/>
    </row>
    <row r="514" spans="1:19" ht="43.2" x14ac:dyDescent="0.3">
      <c r="A514">
        <v>512</v>
      </c>
      <c r="B514" s="170">
        <v>1550</v>
      </c>
      <c r="C514" s="132">
        <v>45714</v>
      </c>
      <c r="D514" s="175" t="s">
        <v>1270</v>
      </c>
      <c r="E514" s="111" t="s">
        <v>14</v>
      </c>
      <c r="F514" s="172" t="s">
        <v>6</v>
      </c>
      <c r="G514" s="106">
        <v>45714</v>
      </c>
      <c r="H514" s="173"/>
      <c r="I514" s="125" t="s">
        <v>253</v>
      </c>
      <c r="J514" s="128"/>
      <c r="K514" s="128"/>
      <c r="L514" s="129"/>
      <c r="M514" s="130"/>
      <c r="N514" s="130"/>
      <c r="O514" s="131"/>
      <c r="P514" s="132">
        <v>45714</v>
      </c>
      <c r="Q514" s="89">
        <f t="shared" si="8"/>
        <v>0</v>
      </c>
      <c r="R514" s="101"/>
      <c r="S514" s="168"/>
    </row>
    <row r="515" spans="1:19" ht="129.6" x14ac:dyDescent="0.3">
      <c r="A515">
        <v>513</v>
      </c>
      <c r="B515" s="170">
        <v>1550</v>
      </c>
      <c r="C515" s="132">
        <v>45714</v>
      </c>
      <c r="D515" s="175" t="s">
        <v>1271</v>
      </c>
      <c r="E515" s="111" t="s">
        <v>21</v>
      </c>
      <c r="F515" s="172" t="s">
        <v>6</v>
      </c>
      <c r="G515" s="106">
        <v>45714</v>
      </c>
      <c r="H515" s="173"/>
      <c r="I515" s="125" t="s">
        <v>125</v>
      </c>
      <c r="J515" s="128"/>
      <c r="K515" s="128"/>
      <c r="L515" s="129"/>
      <c r="M515" s="130"/>
      <c r="N515" s="130"/>
      <c r="O515" s="131"/>
      <c r="P515" s="132">
        <v>45715</v>
      </c>
      <c r="Q515" s="89">
        <f t="shared" si="8"/>
        <v>1</v>
      </c>
      <c r="R515" s="101"/>
      <c r="S515" s="168"/>
    </row>
    <row r="516" spans="1:19" ht="28.8" x14ac:dyDescent="0.3">
      <c r="A516">
        <v>514</v>
      </c>
      <c r="B516" s="170" t="s">
        <v>80</v>
      </c>
      <c r="C516" s="132">
        <v>45714</v>
      </c>
      <c r="D516" s="175" t="s">
        <v>1272</v>
      </c>
      <c r="E516" s="111" t="s">
        <v>32</v>
      </c>
      <c r="F516" s="172" t="s">
        <v>10</v>
      </c>
      <c r="G516" s="106">
        <v>45714</v>
      </c>
      <c r="H516" s="173"/>
      <c r="I516" s="100" t="s">
        <v>253</v>
      </c>
      <c r="J516" s="128"/>
      <c r="K516" s="128"/>
      <c r="L516" s="129"/>
      <c r="M516" s="130"/>
      <c r="N516" s="130"/>
      <c r="O516" s="131"/>
      <c r="P516" s="132">
        <v>45714</v>
      </c>
      <c r="Q516" s="89">
        <f t="shared" si="8"/>
        <v>0</v>
      </c>
      <c r="R516" s="101"/>
      <c r="S516" s="168"/>
    </row>
    <row r="517" spans="1:19" ht="43.2" x14ac:dyDescent="0.3">
      <c r="A517">
        <v>515</v>
      </c>
      <c r="B517" s="170" t="s">
        <v>80</v>
      </c>
      <c r="C517" s="132">
        <v>45714</v>
      </c>
      <c r="D517" s="175" t="s">
        <v>1273</v>
      </c>
      <c r="E517" s="111" t="s">
        <v>51</v>
      </c>
      <c r="F517" s="125" t="s">
        <v>10</v>
      </c>
      <c r="G517" s="106">
        <v>45714</v>
      </c>
      <c r="H517" s="137"/>
      <c r="I517" s="100" t="s">
        <v>99</v>
      </c>
      <c r="J517" s="128"/>
      <c r="K517" s="128"/>
      <c r="L517" s="129"/>
      <c r="M517" s="130"/>
      <c r="N517" s="130"/>
      <c r="O517" s="131"/>
      <c r="P517" s="132">
        <v>45715</v>
      </c>
      <c r="Q517" s="89">
        <f t="shared" si="8"/>
        <v>1</v>
      </c>
      <c r="R517" s="101"/>
      <c r="S517" s="168"/>
    </row>
    <row r="518" spans="1:19" ht="43.2" x14ac:dyDescent="0.3">
      <c r="A518">
        <v>516</v>
      </c>
      <c r="B518" s="170" t="s">
        <v>80</v>
      </c>
      <c r="C518" s="132">
        <v>45714</v>
      </c>
      <c r="D518" s="175" t="s">
        <v>1274</v>
      </c>
      <c r="E518" s="111" t="s">
        <v>17</v>
      </c>
      <c r="F518" s="172" t="s">
        <v>10</v>
      </c>
      <c r="G518" s="106">
        <v>45714</v>
      </c>
      <c r="H518" s="137">
        <v>10000271364</v>
      </c>
      <c r="I518" s="100" t="s">
        <v>82</v>
      </c>
      <c r="J518" s="128"/>
      <c r="K518" s="128"/>
      <c r="L518" s="129"/>
      <c r="M518" s="130"/>
      <c r="N518" s="130"/>
      <c r="O518" s="131"/>
      <c r="P518" s="132">
        <v>45721</v>
      </c>
      <c r="Q518" s="89">
        <f t="shared" si="8"/>
        <v>7</v>
      </c>
      <c r="R518" s="101"/>
      <c r="S518" s="168"/>
    </row>
    <row r="519" spans="1:19" ht="43.2" x14ac:dyDescent="0.3">
      <c r="A519">
        <v>517</v>
      </c>
      <c r="B519" s="170" t="s">
        <v>80</v>
      </c>
      <c r="C519" s="132">
        <v>45714</v>
      </c>
      <c r="D519" s="175" t="s">
        <v>1275</v>
      </c>
      <c r="E519" s="111" t="s">
        <v>51</v>
      </c>
      <c r="F519" s="125" t="s">
        <v>10</v>
      </c>
      <c r="G519" s="106">
        <v>45714</v>
      </c>
      <c r="H519" s="137"/>
      <c r="I519" s="100" t="s">
        <v>99</v>
      </c>
      <c r="J519" s="128"/>
      <c r="K519" s="128"/>
      <c r="L519" s="129"/>
      <c r="M519" s="130"/>
      <c r="N519" s="130"/>
      <c r="O519" s="131"/>
      <c r="P519" s="132">
        <v>45715</v>
      </c>
      <c r="Q519" s="89">
        <f t="shared" si="8"/>
        <v>1</v>
      </c>
      <c r="R519" s="101"/>
      <c r="S519" s="168"/>
    </row>
    <row r="520" spans="1:19" ht="72" x14ac:dyDescent="0.3">
      <c r="A520">
        <v>518</v>
      </c>
      <c r="B520" s="170" t="s">
        <v>80</v>
      </c>
      <c r="C520" s="132">
        <v>45714</v>
      </c>
      <c r="D520" s="175" t="s">
        <v>1276</v>
      </c>
      <c r="E520" s="111" t="s">
        <v>17</v>
      </c>
      <c r="F520" s="172" t="s">
        <v>10</v>
      </c>
      <c r="G520" s="106">
        <v>45714</v>
      </c>
      <c r="H520" s="137"/>
      <c r="I520" s="100" t="s">
        <v>82</v>
      </c>
      <c r="J520" s="128"/>
      <c r="K520" s="128"/>
      <c r="L520" s="129"/>
      <c r="M520" s="130"/>
      <c r="N520" s="130"/>
      <c r="O520" s="131"/>
      <c r="P520" s="132">
        <v>45720</v>
      </c>
      <c r="Q520" s="89">
        <f t="shared" si="8"/>
        <v>6</v>
      </c>
      <c r="R520" s="101"/>
      <c r="S520" s="168"/>
    </row>
    <row r="521" spans="1:19" ht="72" x14ac:dyDescent="0.3">
      <c r="A521">
        <v>519</v>
      </c>
      <c r="B521" s="170">
        <v>1550</v>
      </c>
      <c r="C521" s="132">
        <v>45715</v>
      </c>
      <c r="D521" s="175" t="s">
        <v>1277</v>
      </c>
      <c r="E521" s="111" t="s">
        <v>1</v>
      </c>
      <c r="F521" s="172" t="s">
        <v>6</v>
      </c>
      <c r="G521" s="106">
        <v>45715</v>
      </c>
      <c r="H521" s="173"/>
      <c r="I521" s="125" t="s">
        <v>174</v>
      </c>
      <c r="J521" s="128"/>
      <c r="K521" s="128"/>
      <c r="L521" s="129"/>
      <c r="M521" s="130"/>
      <c r="N521" s="130"/>
      <c r="O521" s="131"/>
      <c r="P521" s="132">
        <v>45715</v>
      </c>
      <c r="Q521" s="89">
        <f t="shared" si="8"/>
        <v>0</v>
      </c>
      <c r="R521" s="101"/>
      <c r="S521" s="168"/>
    </row>
    <row r="522" spans="1:19" ht="28.8" x14ac:dyDescent="0.3">
      <c r="A522">
        <v>520</v>
      </c>
      <c r="B522" s="170">
        <v>1550</v>
      </c>
      <c r="C522" s="132">
        <v>45715</v>
      </c>
      <c r="D522" s="175" t="s">
        <v>1278</v>
      </c>
      <c r="E522" s="111" t="s">
        <v>1</v>
      </c>
      <c r="F522" s="172" t="s">
        <v>4</v>
      </c>
      <c r="G522" s="106">
        <v>45715</v>
      </c>
      <c r="H522" s="173"/>
      <c r="I522" s="125" t="s">
        <v>174</v>
      </c>
      <c r="J522" s="128"/>
      <c r="K522" s="128"/>
      <c r="L522" s="129"/>
      <c r="M522" s="130"/>
      <c r="N522" s="130"/>
      <c r="O522" s="131"/>
      <c r="P522" s="132">
        <v>45715</v>
      </c>
      <c r="Q522" s="89">
        <f t="shared" si="8"/>
        <v>0</v>
      </c>
      <c r="R522" s="101"/>
      <c r="S522" s="168"/>
    </row>
    <row r="523" spans="1:19" x14ac:dyDescent="0.3">
      <c r="A523">
        <v>521</v>
      </c>
      <c r="B523" s="170">
        <v>1550</v>
      </c>
      <c r="C523" s="132">
        <v>45715</v>
      </c>
      <c r="D523" s="175" t="s">
        <v>1279</v>
      </c>
      <c r="E523" s="111" t="s">
        <v>24</v>
      </c>
      <c r="F523" s="172" t="s">
        <v>6</v>
      </c>
      <c r="G523" s="106">
        <v>45715</v>
      </c>
      <c r="H523" s="173"/>
      <c r="I523" s="125" t="s">
        <v>129</v>
      </c>
      <c r="J523" s="128"/>
      <c r="K523" s="128"/>
      <c r="L523" s="129"/>
      <c r="M523" s="130"/>
      <c r="N523" s="130"/>
      <c r="O523" s="131"/>
      <c r="P523" s="132">
        <v>45716</v>
      </c>
      <c r="Q523" s="89">
        <f t="shared" si="8"/>
        <v>1</v>
      </c>
      <c r="R523" s="101"/>
      <c r="S523" s="168"/>
    </row>
    <row r="524" spans="1:19" ht="72" x14ac:dyDescent="0.3">
      <c r="A524">
        <v>522</v>
      </c>
      <c r="B524" s="295" t="s">
        <v>80</v>
      </c>
      <c r="C524" s="229">
        <v>45698</v>
      </c>
      <c r="D524" s="214" t="s">
        <v>1280</v>
      </c>
      <c r="E524" s="219" t="s">
        <v>1</v>
      </c>
      <c r="F524" s="172" t="s">
        <v>10</v>
      </c>
      <c r="G524" s="99">
        <v>45698</v>
      </c>
      <c r="H524" s="49"/>
      <c r="I524" s="100" t="s">
        <v>99</v>
      </c>
      <c r="J524" s="128"/>
      <c r="K524" s="128"/>
      <c r="L524" s="129"/>
      <c r="M524" s="130"/>
      <c r="N524" s="130"/>
      <c r="O524" s="131"/>
      <c r="P524" s="229">
        <v>45720</v>
      </c>
      <c r="Q524" s="199">
        <f t="shared" si="8"/>
        <v>22</v>
      </c>
      <c r="R524" s="200"/>
      <c r="S524" s="230"/>
    </row>
    <row r="525" spans="1:19" ht="57.6" x14ac:dyDescent="0.3">
      <c r="A525">
        <v>523</v>
      </c>
      <c r="B525" s="170">
        <v>1550</v>
      </c>
      <c r="C525" s="346">
        <v>45700</v>
      </c>
      <c r="D525" s="109" t="s">
        <v>1281</v>
      </c>
      <c r="E525" s="111" t="s">
        <v>3</v>
      </c>
      <c r="F525" s="172" t="s">
        <v>6</v>
      </c>
      <c r="G525" s="99">
        <v>45700</v>
      </c>
      <c r="H525" s="173"/>
      <c r="I525" s="100" t="s">
        <v>82</v>
      </c>
      <c r="J525" s="128"/>
      <c r="K525" s="128"/>
      <c r="L525" s="129"/>
      <c r="M525" s="130"/>
      <c r="N525" s="130"/>
      <c r="O525" s="131"/>
      <c r="P525" s="132">
        <v>45720</v>
      </c>
      <c r="Q525" s="89">
        <f t="shared" si="8"/>
        <v>20</v>
      </c>
      <c r="R525" s="101"/>
      <c r="S525" s="201" t="s">
        <v>1282</v>
      </c>
    </row>
    <row r="526" spans="1:19" ht="115.2" x14ac:dyDescent="0.3">
      <c r="A526">
        <v>524</v>
      </c>
      <c r="B526" s="170" t="s">
        <v>80</v>
      </c>
      <c r="C526" s="132">
        <v>45715</v>
      </c>
      <c r="D526" s="175" t="s">
        <v>1283</v>
      </c>
      <c r="E526" s="111" t="s">
        <v>3</v>
      </c>
      <c r="F526" s="172" t="s">
        <v>10</v>
      </c>
      <c r="G526" s="106">
        <v>45715</v>
      </c>
      <c r="H526" s="173"/>
      <c r="I526" s="100" t="s">
        <v>82</v>
      </c>
      <c r="J526" s="128"/>
      <c r="K526" s="128"/>
      <c r="L526" s="129"/>
      <c r="M526" s="130"/>
      <c r="N526" s="130"/>
      <c r="O526" s="131"/>
      <c r="P526" s="132">
        <v>45715</v>
      </c>
      <c r="Q526" s="89">
        <f t="shared" si="8"/>
        <v>0</v>
      </c>
      <c r="R526" s="101"/>
      <c r="S526" s="168"/>
    </row>
    <row r="527" spans="1:19" ht="72" x14ac:dyDescent="0.3">
      <c r="A527">
        <v>525</v>
      </c>
      <c r="B527" s="170" t="s">
        <v>80</v>
      </c>
      <c r="C527" s="132">
        <v>45715</v>
      </c>
      <c r="D527" s="175" t="s">
        <v>1284</v>
      </c>
      <c r="E527" s="111" t="s">
        <v>17</v>
      </c>
      <c r="F527" s="172" t="s">
        <v>10</v>
      </c>
      <c r="G527" s="106">
        <v>45715</v>
      </c>
      <c r="H527" s="173"/>
      <c r="I527" s="100" t="s">
        <v>82</v>
      </c>
      <c r="J527" s="128"/>
      <c r="K527" s="128"/>
      <c r="L527" s="129"/>
      <c r="M527" s="130"/>
      <c r="N527" s="130"/>
      <c r="O527" s="131"/>
      <c r="P527" s="132">
        <v>45722</v>
      </c>
      <c r="Q527" s="89">
        <f t="shared" si="8"/>
        <v>7</v>
      </c>
      <c r="R527" s="101"/>
      <c r="S527" s="168"/>
    </row>
    <row r="528" spans="1:19" ht="43.2" x14ac:dyDescent="0.3">
      <c r="A528">
        <v>526</v>
      </c>
      <c r="B528" s="170" t="s">
        <v>80</v>
      </c>
      <c r="C528" s="132">
        <v>45715</v>
      </c>
      <c r="D528" s="175" t="s">
        <v>1285</v>
      </c>
      <c r="E528" s="111" t="s">
        <v>51</v>
      </c>
      <c r="F528" s="125" t="s">
        <v>10</v>
      </c>
      <c r="G528" s="106">
        <v>45715</v>
      </c>
      <c r="H528" s="137"/>
      <c r="I528" s="100" t="s">
        <v>99</v>
      </c>
      <c r="J528" s="128"/>
      <c r="K528" s="128"/>
      <c r="L528" s="129"/>
      <c r="M528" s="130"/>
      <c r="N528" s="130"/>
      <c r="O528" s="131"/>
      <c r="P528" s="132">
        <v>45715</v>
      </c>
      <c r="Q528" s="89">
        <f t="shared" si="8"/>
        <v>0</v>
      </c>
      <c r="R528" s="101"/>
      <c r="S528" s="168"/>
    </row>
    <row r="529" spans="1:19" ht="43.2" x14ac:dyDescent="0.3">
      <c r="A529">
        <v>527</v>
      </c>
      <c r="B529" s="170" t="s">
        <v>80</v>
      </c>
      <c r="C529" s="132">
        <v>45715</v>
      </c>
      <c r="D529" s="175" t="s">
        <v>1286</v>
      </c>
      <c r="E529" s="111" t="s">
        <v>51</v>
      </c>
      <c r="F529" s="125" t="s">
        <v>10</v>
      </c>
      <c r="G529" s="106">
        <v>45715</v>
      </c>
      <c r="H529" s="137"/>
      <c r="I529" s="100" t="s">
        <v>99</v>
      </c>
      <c r="J529" s="128"/>
      <c r="K529" s="128"/>
      <c r="L529" s="129"/>
      <c r="M529" s="130"/>
      <c r="N529" s="130"/>
      <c r="O529" s="131"/>
      <c r="P529" s="132">
        <v>45715</v>
      </c>
      <c r="Q529" s="89">
        <f t="shared" si="8"/>
        <v>0</v>
      </c>
      <c r="R529" s="101"/>
      <c r="S529" s="168"/>
    </row>
    <row r="530" spans="1:19" ht="43.2" x14ac:dyDescent="0.3">
      <c r="A530">
        <v>528</v>
      </c>
      <c r="B530" s="170" t="s">
        <v>80</v>
      </c>
      <c r="C530" s="132">
        <v>45715</v>
      </c>
      <c r="D530" s="175" t="s">
        <v>1287</v>
      </c>
      <c r="E530" s="111" t="s">
        <v>51</v>
      </c>
      <c r="F530" s="125" t="s">
        <v>10</v>
      </c>
      <c r="G530" s="106">
        <v>45715</v>
      </c>
      <c r="H530" s="137"/>
      <c r="I530" s="100" t="s">
        <v>99</v>
      </c>
      <c r="J530" s="128"/>
      <c r="K530" s="128"/>
      <c r="L530" s="129"/>
      <c r="M530" s="130"/>
      <c r="N530" s="130"/>
      <c r="O530" s="131"/>
      <c r="P530" s="132">
        <v>45715</v>
      </c>
      <c r="Q530" s="89">
        <f t="shared" si="8"/>
        <v>0</v>
      </c>
      <c r="R530" s="101"/>
      <c r="S530" s="168"/>
    </row>
    <row r="531" spans="1:19" ht="86.4" x14ac:dyDescent="0.3">
      <c r="A531">
        <v>529</v>
      </c>
      <c r="B531" s="170" t="s">
        <v>80</v>
      </c>
      <c r="C531" s="132">
        <v>45715</v>
      </c>
      <c r="D531" s="175" t="s">
        <v>1288</v>
      </c>
      <c r="E531" s="111" t="s">
        <v>7</v>
      </c>
      <c r="F531" s="172" t="s">
        <v>10</v>
      </c>
      <c r="G531" s="106">
        <v>45715</v>
      </c>
      <c r="H531" s="173"/>
      <c r="I531" s="125" t="s">
        <v>361</v>
      </c>
      <c r="J531" s="128"/>
      <c r="K531" s="128"/>
      <c r="L531" s="129"/>
      <c r="M531" s="130"/>
      <c r="N531" s="130"/>
      <c r="O531" s="131"/>
      <c r="P531" s="132">
        <v>45716</v>
      </c>
      <c r="Q531" s="89">
        <f t="shared" si="8"/>
        <v>1</v>
      </c>
      <c r="R531" s="101"/>
      <c r="S531" s="168"/>
    </row>
    <row r="532" spans="1:19" ht="72" x14ac:dyDescent="0.3">
      <c r="A532">
        <v>530</v>
      </c>
      <c r="B532" s="86" t="s">
        <v>80</v>
      </c>
      <c r="C532" s="83">
        <v>45707</v>
      </c>
      <c r="D532" s="109" t="s">
        <v>1289</v>
      </c>
      <c r="E532" s="111" t="s">
        <v>39</v>
      </c>
      <c r="F532" s="81" t="s">
        <v>10</v>
      </c>
      <c r="G532" s="99">
        <v>45707</v>
      </c>
      <c r="H532" s="49">
        <v>10000267097</v>
      </c>
      <c r="I532" s="125" t="s">
        <v>135</v>
      </c>
      <c r="J532" s="27"/>
      <c r="K532" s="28"/>
      <c r="L532" s="51"/>
      <c r="M532" s="29"/>
      <c r="N532" s="30"/>
      <c r="O532" s="54"/>
      <c r="P532" s="83">
        <v>45720</v>
      </c>
      <c r="Q532" s="89">
        <f t="shared" si="8"/>
        <v>13</v>
      </c>
      <c r="R532" s="101"/>
      <c r="S532" s="56"/>
    </row>
    <row r="533" spans="1:19" ht="43.2" x14ac:dyDescent="0.3">
      <c r="A533">
        <v>531</v>
      </c>
      <c r="B533" s="170">
        <v>1550</v>
      </c>
      <c r="C533" s="132">
        <v>45716</v>
      </c>
      <c r="D533" s="175" t="s">
        <v>1290</v>
      </c>
      <c r="E533" s="111" t="s">
        <v>3</v>
      </c>
      <c r="F533" s="125" t="s">
        <v>6</v>
      </c>
      <c r="G533" s="106">
        <v>45716</v>
      </c>
      <c r="H533" s="137"/>
      <c r="I533" s="102" t="s">
        <v>82</v>
      </c>
      <c r="J533" s="27"/>
      <c r="K533" s="50"/>
      <c r="L533" s="51"/>
      <c r="M533" s="29"/>
      <c r="N533" s="30"/>
      <c r="O533" s="54"/>
      <c r="P533" s="83">
        <v>45720</v>
      </c>
      <c r="Q533" s="89">
        <f t="shared" si="8"/>
        <v>4</v>
      </c>
      <c r="R533" s="101"/>
      <c r="S533" s="101"/>
    </row>
    <row r="534" spans="1:19" ht="28.8" x14ac:dyDescent="0.3">
      <c r="A534">
        <v>532</v>
      </c>
      <c r="B534" s="170">
        <v>1550</v>
      </c>
      <c r="C534" s="132">
        <v>45716</v>
      </c>
      <c r="D534" s="175" t="s">
        <v>1291</v>
      </c>
      <c r="E534" s="111" t="s">
        <v>23</v>
      </c>
      <c r="F534" s="125" t="s">
        <v>6</v>
      </c>
      <c r="G534" s="106">
        <v>45716</v>
      </c>
      <c r="H534" s="137"/>
      <c r="I534" s="102" t="s">
        <v>135</v>
      </c>
      <c r="J534" s="27"/>
      <c r="K534" s="50"/>
      <c r="L534" s="51"/>
      <c r="M534" s="29"/>
      <c r="N534" s="30"/>
      <c r="O534" s="54"/>
      <c r="P534" s="83">
        <v>45716</v>
      </c>
      <c r="Q534" s="89">
        <f t="shared" si="8"/>
        <v>0</v>
      </c>
      <c r="R534" s="101"/>
      <c r="S534" s="101"/>
    </row>
    <row r="535" spans="1:19" ht="100.8" x14ac:dyDescent="0.3">
      <c r="A535">
        <v>533</v>
      </c>
      <c r="B535" s="170" t="s">
        <v>80</v>
      </c>
      <c r="C535" s="132">
        <v>45716</v>
      </c>
      <c r="D535" s="175" t="s">
        <v>1292</v>
      </c>
      <c r="E535" s="111" t="s">
        <v>12</v>
      </c>
      <c r="F535" s="127" t="s">
        <v>10</v>
      </c>
      <c r="G535" s="106">
        <v>45716</v>
      </c>
      <c r="H535" s="137"/>
      <c r="I535" s="107" t="s">
        <v>159</v>
      </c>
      <c r="J535" s="27"/>
      <c r="K535" s="50"/>
      <c r="L535" s="51"/>
      <c r="M535" s="29"/>
      <c r="N535" s="30"/>
      <c r="O535" s="54"/>
      <c r="P535" s="83">
        <v>45720</v>
      </c>
      <c r="Q535" s="89">
        <f t="shared" si="8"/>
        <v>4</v>
      </c>
      <c r="R535" s="101"/>
      <c r="S535" s="101"/>
    </row>
    <row r="536" spans="1:19" ht="115.2" x14ac:dyDescent="0.3">
      <c r="A536">
        <v>534</v>
      </c>
      <c r="B536" s="170" t="s">
        <v>80</v>
      </c>
      <c r="C536" s="132">
        <v>45716</v>
      </c>
      <c r="D536" s="175" t="s">
        <v>1293</v>
      </c>
      <c r="E536" s="111" t="s">
        <v>1</v>
      </c>
      <c r="F536" s="127" t="s">
        <v>10</v>
      </c>
      <c r="G536" s="106">
        <v>45716</v>
      </c>
      <c r="H536" s="137"/>
      <c r="I536" s="102" t="s">
        <v>125</v>
      </c>
      <c r="J536" s="27"/>
      <c r="K536" s="50"/>
      <c r="L536" s="51"/>
      <c r="M536" s="29"/>
      <c r="N536" s="30"/>
      <c r="O536" s="54"/>
      <c r="P536" s="83">
        <v>45720</v>
      </c>
      <c r="Q536" s="89">
        <f t="shared" si="8"/>
        <v>4</v>
      </c>
      <c r="R536" s="101"/>
      <c r="S536" s="101"/>
    </row>
    <row r="537" spans="1:19" ht="129.6" x14ac:dyDescent="0.3">
      <c r="A537">
        <v>535</v>
      </c>
      <c r="B537" s="170" t="s">
        <v>80</v>
      </c>
      <c r="C537" s="132">
        <v>45716</v>
      </c>
      <c r="D537" s="175" t="s">
        <v>1294</v>
      </c>
      <c r="E537" s="111" t="s">
        <v>12</v>
      </c>
      <c r="F537" s="127" t="s">
        <v>10</v>
      </c>
      <c r="G537" s="106">
        <v>45716</v>
      </c>
      <c r="H537" s="137"/>
      <c r="I537" s="107" t="s">
        <v>159</v>
      </c>
      <c r="J537" s="27"/>
      <c r="K537" s="50"/>
      <c r="L537" s="51"/>
      <c r="M537" s="29"/>
      <c r="N537" s="30"/>
      <c r="O537" s="54"/>
      <c r="P537" s="83">
        <v>45720</v>
      </c>
      <c r="Q537" s="89">
        <f t="shared" si="8"/>
        <v>4</v>
      </c>
      <c r="R537" s="101"/>
      <c r="S537" s="101"/>
    </row>
    <row r="538" spans="1:19" ht="43.2" x14ac:dyDescent="0.3">
      <c r="A538">
        <v>536</v>
      </c>
      <c r="B538" s="170" t="s">
        <v>80</v>
      </c>
      <c r="C538" s="132">
        <v>45716</v>
      </c>
      <c r="D538" s="175" t="s">
        <v>1295</v>
      </c>
      <c r="E538" s="111" t="s">
        <v>17</v>
      </c>
      <c r="F538" s="172" t="s">
        <v>10</v>
      </c>
      <c r="G538" s="106">
        <v>45716</v>
      </c>
      <c r="H538" s="173"/>
      <c r="I538" s="100" t="s">
        <v>82</v>
      </c>
      <c r="J538" s="27"/>
      <c r="K538" s="50"/>
      <c r="L538" s="51"/>
      <c r="M538" s="29"/>
      <c r="N538" s="30"/>
      <c r="O538" s="54"/>
      <c r="P538" s="83">
        <v>45720</v>
      </c>
      <c r="Q538" s="89">
        <f t="shared" si="8"/>
        <v>4</v>
      </c>
      <c r="R538" s="101"/>
      <c r="S538" s="101"/>
    </row>
    <row r="539" spans="1:19" ht="86.4" x14ac:dyDescent="0.3">
      <c r="A539">
        <v>537</v>
      </c>
      <c r="B539" s="170" t="s">
        <v>80</v>
      </c>
      <c r="C539" s="132">
        <v>45706</v>
      </c>
      <c r="D539" s="109" t="s">
        <v>1296</v>
      </c>
      <c r="E539" s="111" t="s">
        <v>3</v>
      </c>
      <c r="F539" s="81" t="s">
        <v>10</v>
      </c>
      <c r="G539" s="99">
        <v>45706</v>
      </c>
      <c r="H539" s="134"/>
      <c r="I539" s="100" t="s">
        <v>82</v>
      </c>
      <c r="J539" s="128"/>
      <c r="K539" s="128"/>
      <c r="L539" s="129"/>
      <c r="M539" s="130"/>
      <c r="N539" s="130"/>
      <c r="O539" s="131"/>
      <c r="P539" s="132">
        <v>45719</v>
      </c>
      <c r="Q539" s="89">
        <f t="shared" si="8"/>
        <v>13</v>
      </c>
      <c r="R539" s="101"/>
      <c r="S539" s="168"/>
    </row>
    <row r="540" spans="1:19" ht="100.8" x14ac:dyDescent="0.3">
      <c r="A540">
        <v>538</v>
      </c>
      <c r="B540" s="170" t="s">
        <v>80</v>
      </c>
      <c r="C540" s="132">
        <v>45716</v>
      </c>
      <c r="D540" s="175" t="s">
        <v>1297</v>
      </c>
      <c r="E540" s="111" t="s">
        <v>17</v>
      </c>
      <c r="F540" s="172" t="s">
        <v>10</v>
      </c>
      <c r="G540" s="106">
        <v>45716</v>
      </c>
      <c r="H540" s="137"/>
      <c r="I540" s="100" t="s">
        <v>82</v>
      </c>
      <c r="J540" s="27"/>
      <c r="K540" s="50"/>
      <c r="L540" s="51"/>
      <c r="M540" s="29"/>
      <c r="N540" s="30"/>
      <c r="O540" s="54"/>
      <c r="P540" s="83">
        <v>45722</v>
      </c>
      <c r="Q540" s="89">
        <f t="shared" si="8"/>
        <v>6</v>
      </c>
      <c r="R540" s="101"/>
      <c r="S540" s="101"/>
    </row>
    <row r="541" spans="1:19" ht="43.2" x14ac:dyDescent="0.3">
      <c r="A541">
        <v>539</v>
      </c>
      <c r="B541" s="170" t="s">
        <v>80</v>
      </c>
      <c r="C541" s="132">
        <v>45712</v>
      </c>
      <c r="D541" s="175" t="s">
        <v>1298</v>
      </c>
      <c r="E541" s="111" t="s">
        <v>25</v>
      </c>
      <c r="F541" s="172" t="s">
        <v>10</v>
      </c>
      <c r="G541" s="106">
        <v>45712</v>
      </c>
      <c r="H541" s="134">
        <v>10000268552</v>
      </c>
      <c r="I541" s="107" t="s">
        <v>135</v>
      </c>
      <c r="J541" s="128"/>
      <c r="K541" s="128"/>
      <c r="L541" s="129"/>
      <c r="M541" s="130"/>
      <c r="N541" s="130"/>
      <c r="O541" s="131"/>
      <c r="P541" s="132">
        <v>45719</v>
      </c>
      <c r="Q541" s="89">
        <f t="shared" si="8"/>
        <v>7</v>
      </c>
      <c r="R541" s="101"/>
      <c r="S541" s="168"/>
    </row>
    <row r="542" spans="1:19" ht="72" x14ac:dyDescent="0.3">
      <c r="A542">
        <v>540</v>
      </c>
      <c r="B542" s="170" t="s">
        <v>80</v>
      </c>
      <c r="C542" s="132">
        <v>45716</v>
      </c>
      <c r="D542" s="248" t="s">
        <v>1299</v>
      </c>
      <c r="E542" s="111" t="s">
        <v>17</v>
      </c>
      <c r="F542" s="172" t="s">
        <v>10</v>
      </c>
      <c r="G542" s="106">
        <v>45716</v>
      </c>
      <c r="H542" s="137"/>
      <c r="I542" s="100" t="s">
        <v>82</v>
      </c>
      <c r="J542" s="27"/>
      <c r="K542" s="50"/>
      <c r="L542" s="51"/>
      <c r="M542" s="29"/>
      <c r="N542" s="30"/>
      <c r="O542" s="54"/>
      <c r="P542" s="83">
        <v>45768</v>
      </c>
      <c r="Q542" s="89">
        <f t="shared" si="8"/>
        <v>52</v>
      </c>
      <c r="R542" s="101"/>
      <c r="S542" s="101"/>
    </row>
    <row r="543" spans="1:19" ht="43.2" x14ac:dyDescent="0.3">
      <c r="A543">
        <v>541</v>
      </c>
      <c r="B543" s="170">
        <v>1550</v>
      </c>
      <c r="C543" s="132">
        <v>45714</v>
      </c>
      <c r="D543" s="175" t="s">
        <v>1300</v>
      </c>
      <c r="E543" s="111" t="s">
        <v>3</v>
      </c>
      <c r="F543" s="172" t="s">
        <v>4</v>
      </c>
      <c r="G543" s="106">
        <v>45714</v>
      </c>
      <c r="H543" s="134"/>
      <c r="I543" s="100" t="s">
        <v>82</v>
      </c>
      <c r="J543" s="128"/>
      <c r="K543" s="128"/>
      <c r="L543" s="129"/>
      <c r="M543" s="130"/>
      <c r="N543" s="130"/>
      <c r="O543" s="131"/>
      <c r="P543" s="132">
        <v>45719</v>
      </c>
      <c r="Q543" s="89">
        <f t="shared" ref="Q543:Q548" si="9">P543-G543</f>
        <v>5</v>
      </c>
      <c r="R543" s="101"/>
      <c r="S543" s="168"/>
    </row>
    <row r="544" spans="1:19" ht="57.6" x14ac:dyDescent="0.3">
      <c r="A544">
        <v>542</v>
      </c>
      <c r="B544" s="170" t="s">
        <v>80</v>
      </c>
      <c r="C544" s="132">
        <v>45716</v>
      </c>
      <c r="D544" s="175" t="s">
        <v>1301</v>
      </c>
      <c r="E544" s="111" t="s">
        <v>17</v>
      </c>
      <c r="F544" s="172" t="s">
        <v>10</v>
      </c>
      <c r="G544" s="106">
        <v>45716</v>
      </c>
      <c r="H544" s="137"/>
      <c r="I544" s="100" t="s">
        <v>82</v>
      </c>
      <c r="J544" s="27"/>
      <c r="K544" s="50"/>
      <c r="L544" s="51"/>
      <c r="M544" s="29"/>
      <c r="N544" s="30"/>
      <c r="O544" s="54"/>
      <c r="P544" s="83">
        <v>45716</v>
      </c>
      <c r="Q544" s="89">
        <f t="shared" si="9"/>
        <v>0</v>
      </c>
      <c r="R544" s="101"/>
      <c r="S544" s="101"/>
    </row>
    <row r="545" spans="1:19" ht="72" x14ac:dyDescent="0.3">
      <c r="A545">
        <v>543</v>
      </c>
      <c r="B545" s="170">
        <v>1550</v>
      </c>
      <c r="C545" s="132">
        <v>45714</v>
      </c>
      <c r="D545" s="175" t="s">
        <v>1302</v>
      </c>
      <c r="E545" s="111" t="s">
        <v>14</v>
      </c>
      <c r="F545" s="172" t="s">
        <v>8</v>
      </c>
      <c r="G545" s="106">
        <v>45714</v>
      </c>
      <c r="H545" s="134"/>
      <c r="I545" s="100" t="s">
        <v>253</v>
      </c>
      <c r="J545" s="128"/>
      <c r="K545" s="128"/>
      <c r="L545" s="129"/>
      <c r="M545" s="130"/>
      <c r="N545" s="130"/>
      <c r="O545" s="131"/>
      <c r="P545" s="132">
        <v>45719</v>
      </c>
      <c r="Q545" s="89">
        <f t="shared" si="9"/>
        <v>5</v>
      </c>
      <c r="R545" s="101" t="s">
        <v>758</v>
      </c>
      <c r="S545" s="168"/>
    </row>
    <row r="546" spans="1:19" ht="43.2" x14ac:dyDescent="0.3">
      <c r="A546">
        <v>544</v>
      </c>
      <c r="B546" s="170" t="s">
        <v>80</v>
      </c>
      <c r="C546" s="132">
        <v>45715</v>
      </c>
      <c r="D546" s="175" t="s">
        <v>1303</v>
      </c>
      <c r="E546" s="111" t="s">
        <v>51</v>
      </c>
      <c r="F546" s="125" t="s">
        <v>10</v>
      </c>
      <c r="G546" s="106">
        <v>45715</v>
      </c>
      <c r="H546" s="137"/>
      <c r="I546" s="100" t="s">
        <v>99</v>
      </c>
      <c r="J546" s="27"/>
      <c r="K546" s="50"/>
      <c r="L546" s="51"/>
      <c r="M546" s="29"/>
      <c r="N546" s="30"/>
      <c r="O546" s="54"/>
      <c r="P546" s="83">
        <v>45719</v>
      </c>
      <c r="Q546" s="89">
        <f t="shared" si="9"/>
        <v>4</v>
      </c>
      <c r="R546" s="101"/>
      <c r="S546" s="56"/>
    </row>
    <row r="547" spans="1:19" ht="43.2" x14ac:dyDescent="0.3">
      <c r="A547">
        <v>545</v>
      </c>
      <c r="B547" s="170" t="s">
        <v>80</v>
      </c>
      <c r="C547" s="132">
        <v>45716</v>
      </c>
      <c r="D547" s="175" t="s">
        <v>1304</v>
      </c>
      <c r="E547" s="111" t="s">
        <v>51</v>
      </c>
      <c r="F547" s="125" t="s">
        <v>10</v>
      </c>
      <c r="G547" s="106">
        <v>45716</v>
      </c>
      <c r="H547" s="137"/>
      <c r="I547" s="100" t="s">
        <v>99</v>
      </c>
      <c r="J547" s="27"/>
      <c r="K547" s="50"/>
      <c r="L547" s="51"/>
      <c r="M547" s="29"/>
      <c r="N547" s="30"/>
      <c r="O547" s="54"/>
      <c r="P547" s="83">
        <v>45719</v>
      </c>
      <c r="Q547" s="89">
        <f t="shared" si="9"/>
        <v>3</v>
      </c>
      <c r="R547" s="101"/>
      <c r="S547" s="101"/>
    </row>
    <row r="548" spans="1:19" ht="43.2" x14ac:dyDescent="0.3">
      <c r="A548">
        <v>546</v>
      </c>
      <c r="B548" s="170" t="s">
        <v>80</v>
      </c>
      <c r="C548" s="132">
        <v>45716</v>
      </c>
      <c r="D548" s="175" t="s">
        <v>1305</v>
      </c>
      <c r="E548" s="111" t="s">
        <v>17</v>
      </c>
      <c r="F548" s="172" t="s">
        <v>10</v>
      </c>
      <c r="G548" s="106">
        <v>45716</v>
      </c>
      <c r="H548" s="137"/>
      <c r="I548" s="100" t="s">
        <v>82</v>
      </c>
      <c r="J548" s="27"/>
      <c r="K548" s="50"/>
      <c r="L548" s="51"/>
      <c r="M548" s="29"/>
      <c r="N548" s="30"/>
      <c r="O548" s="54"/>
      <c r="P548" s="83">
        <v>45723</v>
      </c>
      <c r="Q548" s="89">
        <f t="shared" si="9"/>
        <v>7</v>
      </c>
      <c r="R548" s="101"/>
      <c r="S548" s="101"/>
    </row>
    <row r="549" spans="1:19" ht="43.2" x14ac:dyDescent="0.3">
      <c r="A549">
        <v>547</v>
      </c>
      <c r="B549" s="170" t="s">
        <v>80</v>
      </c>
      <c r="C549" s="132">
        <v>45716</v>
      </c>
      <c r="D549" s="175" t="s">
        <v>1306</v>
      </c>
      <c r="E549" s="111" t="s">
        <v>51</v>
      </c>
      <c r="F549" s="81" t="s">
        <v>10</v>
      </c>
      <c r="G549" s="106">
        <v>45716</v>
      </c>
      <c r="H549" s="137"/>
      <c r="I549" s="100" t="s">
        <v>99</v>
      </c>
      <c r="J549" s="27"/>
      <c r="K549" s="50"/>
      <c r="L549" s="51"/>
      <c r="M549" s="29"/>
      <c r="N549" s="30"/>
      <c r="O549" s="54"/>
      <c r="P549" s="83">
        <v>45719</v>
      </c>
      <c r="Q549" s="89">
        <f t="shared" ref="Q549:Q550" si="10">P549-G549</f>
        <v>3</v>
      </c>
      <c r="R549" s="101"/>
      <c r="S549" s="101"/>
    </row>
    <row r="550" spans="1:19" ht="57.6" x14ac:dyDescent="0.3">
      <c r="A550">
        <v>548</v>
      </c>
      <c r="B550" s="170" t="s">
        <v>80</v>
      </c>
      <c r="C550" s="132">
        <v>45716</v>
      </c>
      <c r="D550" s="175" t="s">
        <v>1307</v>
      </c>
      <c r="E550" s="111" t="s">
        <v>3</v>
      </c>
      <c r="F550" s="172" t="s">
        <v>10</v>
      </c>
      <c r="G550" s="106">
        <v>45716</v>
      </c>
      <c r="H550" s="137"/>
      <c r="I550" s="100" t="s">
        <v>82</v>
      </c>
      <c r="J550" s="27"/>
      <c r="K550" s="50"/>
      <c r="L550" s="51"/>
      <c r="M550" s="29"/>
      <c r="N550" s="30"/>
      <c r="O550" s="54"/>
      <c r="P550" s="83">
        <v>45750</v>
      </c>
      <c r="Q550" s="89">
        <f t="shared" si="10"/>
        <v>34</v>
      </c>
      <c r="R550" s="101"/>
      <c r="S550" s="101"/>
    </row>
  </sheetData>
  <autoFilter ref="B2:S550" xr:uid="{EF78475D-7488-42AE-91DC-A1D66B6D7B48}">
    <sortState xmlns:xlrd2="http://schemas.microsoft.com/office/spreadsheetml/2017/richdata2" ref="B3:S550">
      <sortCondition descending="1" ref="P2:P550"/>
    </sortState>
  </autoFilter>
  <mergeCells count="1">
    <mergeCell ref="F1:O1"/>
  </mergeCells>
  <pageMargins left="0.7" right="0.7" top="0.75" bottom="0.75" header="0.3" footer="0.3"/>
  <pageSetup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r:uid="{19598573-35CE-4AD5-9E53-B0523B20B0B0}">
          <x14:formula1>
            <xm:f>'Conceptos de Tipificación'!$A$3:$A$52</xm:f>
          </x14:formula1>
          <xm:sqref>E33 E23:E26 E36:E40 E43:E45 E61:E72 E74:E81 E87:E104 E106:E249 E251:E1048576</xm:sqref>
        </x14:dataValidation>
        <x14:dataValidation type="list" allowBlank="1" showInputMessage="1" showErrorMessage="1" xr:uid="{4B8D207B-095D-455A-A132-A866825421CF}">
          <x14:formula1>
            <xm:f>'Conceptos de Tipificación'!$A$3:$A$51</xm:f>
          </x14:formula1>
          <xm:sqref>E3:E22 E34:E35 E27:E32 E41:E42 E46:E60 E73 E82:E86 E105 E250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F3E4B-E41D-47BA-AAA6-F984464886FE}">
  <sheetPr>
    <tabColor rgb="FF92D050"/>
  </sheetPr>
  <dimension ref="A1:S457"/>
  <sheetViews>
    <sheetView workbookViewId="0">
      <pane xSplit="3" ySplit="2" topLeftCell="D3" activePane="bottomRight" state="frozen"/>
      <selection pane="topRight"/>
      <selection pane="bottomLeft"/>
      <selection pane="bottomRight" activeCell="A363" sqref="A363"/>
    </sheetView>
  </sheetViews>
  <sheetFormatPr baseColWidth="10" defaultColWidth="9.109375" defaultRowHeight="14.4" x14ac:dyDescent="0.3"/>
  <cols>
    <col min="2" max="3" width="11.44140625" customWidth="1"/>
    <col min="4" max="4" width="39.109375" customWidth="1"/>
    <col min="5" max="5" width="16.33203125" customWidth="1"/>
    <col min="6" max="8" width="15.88671875" customWidth="1"/>
    <col min="9" max="9" width="15.88671875" style="24" customWidth="1"/>
    <col min="10" max="16" width="15.88671875" customWidth="1"/>
    <col min="17" max="17" width="20" customWidth="1"/>
    <col min="18" max="18" width="15.88671875" customWidth="1"/>
    <col min="19" max="19" width="32.5546875" customWidth="1"/>
  </cols>
  <sheetData>
    <row r="1" spans="1:19" x14ac:dyDescent="0.3">
      <c r="B1" s="32"/>
      <c r="C1" s="42"/>
      <c r="D1" s="43"/>
      <c r="E1" s="41"/>
      <c r="F1" s="854" t="s">
        <v>65</v>
      </c>
      <c r="G1" s="855"/>
      <c r="H1" s="855"/>
      <c r="I1" s="855"/>
      <c r="J1" s="855"/>
      <c r="K1" s="855"/>
      <c r="L1" s="855"/>
      <c r="M1" s="855"/>
      <c r="N1" s="855"/>
      <c r="O1" s="856"/>
      <c r="P1" s="34"/>
      <c r="Q1" s="70"/>
      <c r="R1" s="70"/>
      <c r="S1" s="46"/>
    </row>
    <row r="2" spans="1:19" ht="28.8" x14ac:dyDescent="0.3">
      <c r="B2" s="44" t="s">
        <v>66</v>
      </c>
      <c r="C2" s="33" t="s">
        <v>67</v>
      </c>
      <c r="D2" s="236" t="s">
        <v>68</v>
      </c>
      <c r="E2" s="235" t="s">
        <v>69</v>
      </c>
      <c r="F2" s="237" t="s">
        <v>70</v>
      </c>
      <c r="G2" s="2" t="s">
        <v>71</v>
      </c>
      <c r="H2" s="3" t="s">
        <v>72</v>
      </c>
      <c r="I2" s="39" t="s">
        <v>73</v>
      </c>
      <c r="J2" s="13" t="s">
        <v>74</v>
      </c>
      <c r="K2" s="14" t="s">
        <v>71</v>
      </c>
      <c r="L2" s="15" t="s">
        <v>73</v>
      </c>
      <c r="M2" s="6" t="s">
        <v>75</v>
      </c>
      <c r="N2" s="7" t="s">
        <v>71</v>
      </c>
      <c r="O2" s="8" t="s">
        <v>73</v>
      </c>
      <c r="P2" s="64" t="s">
        <v>76</v>
      </c>
      <c r="Q2" s="67" t="s">
        <v>77</v>
      </c>
      <c r="R2" s="67" t="s">
        <v>78</v>
      </c>
      <c r="S2" s="68" t="s">
        <v>79</v>
      </c>
    </row>
    <row r="3" spans="1:19" x14ac:dyDescent="0.3">
      <c r="A3" s="96">
        <v>1</v>
      </c>
      <c r="B3" s="86">
        <v>1550</v>
      </c>
      <c r="C3" s="90">
        <v>45719</v>
      </c>
      <c r="D3" s="149" t="s">
        <v>1308</v>
      </c>
      <c r="E3" s="93" t="s">
        <v>3</v>
      </c>
      <c r="F3" s="79" t="s">
        <v>4</v>
      </c>
      <c r="G3" s="183">
        <v>45719</v>
      </c>
      <c r="H3" s="4"/>
      <c r="I3" s="107" t="s">
        <v>258</v>
      </c>
      <c r="J3" s="20"/>
      <c r="K3" s="16"/>
      <c r="L3" s="17"/>
      <c r="M3" s="22"/>
      <c r="N3" s="9"/>
      <c r="O3" s="10"/>
      <c r="P3" s="83">
        <v>45719</v>
      </c>
      <c r="Q3" s="89">
        <f t="shared" ref="Q3:Q22" si="0">P3/G3</f>
        <v>1</v>
      </c>
      <c r="R3" s="101"/>
      <c r="S3" s="56"/>
    </row>
    <row r="4" spans="1:19" ht="201.6" x14ac:dyDescent="0.3">
      <c r="A4" s="96">
        <v>2</v>
      </c>
      <c r="B4" s="170" t="s">
        <v>80</v>
      </c>
      <c r="C4" s="90">
        <v>45719</v>
      </c>
      <c r="D4" s="149" t="s">
        <v>1309</v>
      </c>
      <c r="E4" s="93" t="s">
        <v>1</v>
      </c>
      <c r="F4" s="145" t="s">
        <v>10</v>
      </c>
      <c r="G4" s="183">
        <v>45719</v>
      </c>
      <c r="H4" s="353"/>
      <c r="I4" s="107" t="s">
        <v>125</v>
      </c>
      <c r="J4" s="154"/>
      <c r="K4" s="155"/>
      <c r="L4" s="156"/>
      <c r="M4" s="157"/>
      <c r="N4" s="158"/>
      <c r="O4" s="159"/>
      <c r="P4" s="83">
        <v>45719</v>
      </c>
      <c r="Q4" s="89">
        <f t="shared" si="0"/>
        <v>1</v>
      </c>
      <c r="R4" s="101" t="s">
        <v>1310</v>
      </c>
      <c r="S4" s="160"/>
    </row>
    <row r="5" spans="1:19" ht="28.8" x14ac:dyDescent="0.3">
      <c r="A5" s="96">
        <v>3</v>
      </c>
      <c r="B5" s="87">
        <v>1550</v>
      </c>
      <c r="C5" s="91">
        <v>45719</v>
      </c>
      <c r="D5" s="149" t="s">
        <v>1311</v>
      </c>
      <c r="E5" s="48" t="s">
        <v>23</v>
      </c>
      <c r="F5" s="80" t="s">
        <v>6</v>
      </c>
      <c r="G5" s="183">
        <v>45719</v>
      </c>
      <c r="H5" s="5"/>
      <c r="I5" s="107" t="s">
        <v>135</v>
      </c>
      <c r="J5" s="21"/>
      <c r="K5" s="18"/>
      <c r="L5" s="19"/>
      <c r="M5" s="23"/>
      <c r="N5" s="11"/>
      <c r="O5" s="12"/>
      <c r="P5" s="65">
        <v>45720</v>
      </c>
      <c r="Q5" s="89">
        <f t="shared" si="0"/>
        <v>1.0000218727443733</v>
      </c>
      <c r="R5" s="101" t="s">
        <v>1312</v>
      </c>
      <c r="S5" s="66"/>
    </row>
    <row r="6" spans="1:19" ht="57.6" x14ac:dyDescent="0.3">
      <c r="A6" s="96">
        <v>4</v>
      </c>
      <c r="B6" s="152" t="s">
        <v>80</v>
      </c>
      <c r="C6" s="91">
        <v>45719</v>
      </c>
      <c r="D6" s="188" t="s">
        <v>1313</v>
      </c>
      <c r="E6" s="48" t="s">
        <v>1314</v>
      </c>
      <c r="F6" s="145" t="s">
        <v>10</v>
      </c>
      <c r="G6" s="183">
        <v>45719</v>
      </c>
      <c r="H6" s="5"/>
      <c r="I6" s="100" t="s">
        <v>1315</v>
      </c>
      <c r="J6" s="154"/>
      <c r="K6" s="155"/>
      <c r="L6" s="156"/>
      <c r="M6" s="157"/>
      <c r="N6" s="158"/>
      <c r="O6" s="159"/>
      <c r="P6" s="65">
        <v>45720</v>
      </c>
      <c r="Q6" s="89">
        <f t="shared" si="0"/>
        <v>1.0000218727443733</v>
      </c>
      <c r="R6" s="101" t="s">
        <v>1316</v>
      </c>
      <c r="S6" s="160"/>
    </row>
    <row r="7" spans="1:19" ht="57.6" x14ac:dyDescent="0.3">
      <c r="A7" s="96">
        <v>5</v>
      </c>
      <c r="B7" s="152" t="s">
        <v>80</v>
      </c>
      <c r="C7" s="103">
        <v>45719</v>
      </c>
      <c r="D7" s="109" t="s">
        <v>1317</v>
      </c>
      <c r="E7" s="93" t="s">
        <v>1314</v>
      </c>
      <c r="F7" s="145" t="s">
        <v>10</v>
      </c>
      <c r="G7" s="183">
        <v>45719</v>
      </c>
      <c r="H7" s="5"/>
      <c r="I7" s="100" t="s">
        <v>1315</v>
      </c>
      <c r="J7" s="21"/>
      <c r="K7" s="18"/>
      <c r="L7" s="19"/>
      <c r="M7" s="23"/>
      <c r="N7" s="11"/>
      <c r="O7" s="12"/>
      <c r="P7" s="65">
        <v>45720</v>
      </c>
      <c r="Q7" s="89">
        <f t="shared" si="0"/>
        <v>1.0000218727443733</v>
      </c>
      <c r="R7" s="101" t="s">
        <v>1316</v>
      </c>
      <c r="S7" s="66"/>
    </row>
    <row r="8" spans="1:19" ht="57.6" x14ac:dyDescent="0.3">
      <c r="A8" s="96">
        <v>6</v>
      </c>
      <c r="B8" s="152" t="s">
        <v>80</v>
      </c>
      <c r="C8" s="91">
        <v>45719</v>
      </c>
      <c r="D8" s="149" t="s">
        <v>1318</v>
      </c>
      <c r="E8" s="93" t="s">
        <v>1314</v>
      </c>
      <c r="F8" s="145" t="s">
        <v>10</v>
      </c>
      <c r="G8" s="183">
        <v>45719</v>
      </c>
      <c r="H8" s="5"/>
      <c r="I8" s="100" t="s">
        <v>1315</v>
      </c>
      <c r="J8" s="21"/>
      <c r="K8" s="18"/>
      <c r="L8" s="19"/>
      <c r="M8" s="23"/>
      <c r="N8" s="11"/>
      <c r="O8" s="12"/>
      <c r="P8" s="65">
        <v>45720</v>
      </c>
      <c r="Q8" s="89">
        <f t="shared" si="0"/>
        <v>1.0000218727443733</v>
      </c>
      <c r="R8" s="101" t="s">
        <v>1319</v>
      </c>
      <c r="S8" s="66"/>
    </row>
    <row r="9" spans="1:19" ht="57.6" x14ac:dyDescent="0.3">
      <c r="A9" s="96">
        <v>7</v>
      </c>
      <c r="B9" s="152" t="s">
        <v>80</v>
      </c>
      <c r="C9" s="91">
        <v>45719</v>
      </c>
      <c r="D9" s="149" t="s">
        <v>1320</v>
      </c>
      <c r="E9" s="48" t="s">
        <v>1314</v>
      </c>
      <c r="F9" s="145" t="s">
        <v>10</v>
      </c>
      <c r="G9" s="183">
        <v>45719</v>
      </c>
      <c r="H9" s="5"/>
      <c r="I9" s="100" t="s">
        <v>1315</v>
      </c>
      <c r="J9" s="154"/>
      <c r="K9" s="155"/>
      <c r="L9" s="156"/>
      <c r="M9" s="157"/>
      <c r="N9" s="158"/>
      <c r="O9" s="159"/>
      <c r="P9" s="65">
        <v>45720</v>
      </c>
      <c r="Q9" s="89">
        <f t="shared" si="0"/>
        <v>1.0000218727443733</v>
      </c>
      <c r="R9" s="101" t="s">
        <v>1321</v>
      </c>
      <c r="S9" s="160"/>
    </row>
    <row r="10" spans="1:19" ht="57.6" x14ac:dyDescent="0.3">
      <c r="A10" s="96">
        <v>8</v>
      </c>
      <c r="B10" s="152" t="s">
        <v>80</v>
      </c>
      <c r="C10" s="91">
        <v>45719</v>
      </c>
      <c r="D10" s="149" t="s">
        <v>1322</v>
      </c>
      <c r="E10" s="93" t="s">
        <v>1314</v>
      </c>
      <c r="F10" s="145" t="s">
        <v>10</v>
      </c>
      <c r="G10" s="183">
        <v>45719</v>
      </c>
      <c r="H10" s="5"/>
      <c r="I10" s="100" t="s">
        <v>1315</v>
      </c>
      <c r="J10" s="154"/>
      <c r="K10" s="155"/>
      <c r="L10" s="156"/>
      <c r="M10" s="157"/>
      <c r="N10" s="158"/>
      <c r="O10" s="159"/>
      <c r="P10" s="65">
        <v>45720</v>
      </c>
      <c r="Q10" s="89">
        <f t="shared" si="0"/>
        <v>1.0000218727443733</v>
      </c>
      <c r="R10" s="101" t="s">
        <v>1319</v>
      </c>
      <c r="S10" s="167"/>
    </row>
    <row r="11" spans="1:19" ht="57.6" x14ac:dyDescent="0.3">
      <c r="A11" s="96">
        <v>9</v>
      </c>
      <c r="B11" s="87">
        <v>1550</v>
      </c>
      <c r="C11" s="91">
        <v>45719</v>
      </c>
      <c r="D11" s="349" t="s">
        <v>1323</v>
      </c>
      <c r="E11" s="93" t="s">
        <v>1314</v>
      </c>
      <c r="F11" s="80" t="s">
        <v>4</v>
      </c>
      <c r="G11" s="183">
        <v>45719</v>
      </c>
      <c r="H11" s="5"/>
      <c r="I11" s="100" t="s">
        <v>1315</v>
      </c>
      <c r="J11" s="21"/>
      <c r="K11" s="18"/>
      <c r="L11" s="19"/>
      <c r="M11" s="23"/>
      <c r="N11" s="11"/>
      <c r="O11" s="12"/>
      <c r="P11" s="65">
        <v>45721</v>
      </c>
      <c r="Q11" s="89">
        <f t="shared" si="0"/>
        <v>1.0000437454887465</v>
      </c>
      <c r="R11" s="101"/>
      <c r="S11" s="66"/>
    </row>
    <row r="12" spans="1:19" ht="57.6" x14ac:dyDescent="0.3">
      <c r="A12" s="96">
        <v>10</v>
      </c>
      <c r="B12" s="87">
        <v>1550</v>
      </c>
      <c r="C12" s="91">
        <v>45720</v>
      </c>
      <c r="D12" s="149" t="s">
        <v>1324</v>
      </c>
      <c r="E12" s="93" t="s">
        <v>1314</v>
      </c>
      <c r="F12" s="80" t="s">
        <v>6</v>
      </c>
      <c r="G12" s="183">
        <v>45720</v>
      </c>
      <c r="H12" s="5"/>
      <c r="I12" s="100" t="s">
        <v>1315</v>
      </c>
      <c r="J12" s="21"/>
      <c r="K12" s="18"/>
      <c r="L12" s="19"/>
      <c r="M12" s="23"/>
      <c r="N12" s="11"/>
      <c r="O12" s="12"/>
      <c r="P12" s="65">
        <v>45721</v>
      </c>
      <c r="Q12" s="89">
        <f t="shared" si="0"/>
        <v>1.0000218722659668</v>
      </c>
      <c r="R12" s="101"/>
      <c r="S12" s="66"/>
    </row>
    <row r="13" spans="1:19" ht="57.6" x14ac:dyDescent="0.3">
      <c r="A13" s="96">
        <v>11</v>
      </c>
      <c r="B13" s="87">
        <v>1550</v>
      </c>
      <c r="C13" s="91">
        <v>45720</v>
      </c>
      <c r="D13" s="149" t="s">
        <v>1325</v>
      </c>
      <c r="E13" s="93" t="s">
        <v>1326</v>
      </c>
      <c r="F13" s="80" t="s">
        <v>4</v>
      </c>
      <c r="G13" s="183">
        <v>45720</v>
      </c>
      <c r="H13" s="5"/>
      <c r="I13" s="102" t="s">
        <v>1327</v>
      </c>
      <c r="J13" s="21"/>
      <c r="K13" s="18"/>
      <c r="L13" s="19"/>
      <c r="M13" s="23"/>
      <c r="N13" s="11"/>
      <c r="O13" s="12"/>
      <c r="P13" s="65">
        <v>45721</v>
      </c>
      <c r="Q13" s="89">
        <f t="shared" si="0"/>
        <v>1.0000218722659668</v>
      </c>
      <c r="R13" s="101"/>
      <c r="S13" s="66"/>
    </row>
    <row r="14" spans="1:19" ht="57.6" x14ac:dyDescent="0.3">
      <c r="A14" s="96">
        <v>12</v>
      </c>
      <c r="B14" s="87">
        <v>1550</v>
      </c>
      <c r="C14" s="91">
        <v>45720</v>
      </c>
      <c r="D14" s="149" t="s">
        <v>1328</v>
      </c>
      <c r="E14" s="93" t="s">
        <v>1314</v>
      </c>
      <c r="F14" s="80" t="s">
        <v>6</v>
      </c>
      <c r="G14" s="183">
        <v>45720</v>
      </c>
      <c r="H14" s="5"/>
      <c r="I14" s="100" t="s">
        <v>1315</v>
      </c>
      <c r="J14" s="21"/>
      <c r="K14" s="18"/>
      <c r="L14" s="19"/>
      <c r="M14" s="23"/>
      <c r="N14" s="11"/>
      <c r="O14" s="12"/>
      <c r="P14" s="65">
        <v>45721</v>
      </c>
      <c r="Q14" s="89">
        <f t="shared" si="0"/>
        <v>1.0000218722659668</v>
      </c>
      <c r="R14" s="101"/>
      <c r="S14" s="66"/>
    </row>
    <row r="15" spans="1:19" ht="57.6" x14ac:dyDescent="0.3">
      <c r="A15" s="96">
        <v>13</v>
      </c>
      <c r="B15" s="152">
        <v>1550</v>
      </c>
      <c r="C15" s="153">
        <v>45720</v>
      </c>
      <c r="D15" s="149" t="s">
        <v>1329</v>
      </c>
      <c r="E15" s="93" t="s">
        <v>1314</v>
      </c>
      <c r="F15" s="80" t="s">
        <v>6</v>
      </c>
      <c r="G15" s="183">
        <v>45720</v>
      </c>
      <c r="H15" s="5"/>
      <c r="I15" s="100" t="s">
        <v>1315</v>
      </c>
      <c r="J15" s="21"/>
      <c r="K15" s="18"/>
      <c r="L15" s="19"/>
      <c r="M15" s="23"/>
      <c r="N15" s="11"/>
      <c r="O15" s="12"/>
      <c r="P15" s="65">
        <v>45721</v>
      </c>
      <c r="Q15" s="89">
        <f t="shared" si="0"/>
        <v>1.0000218722659668</v>
      </c>
      <c r="R15" s="101"/>
      <c r="S15" s="160"/>
    </row>
    <row r="16" spans="1:19" ht="43.2" x14ac:dyDescent="0.3">
      <c r="A16" s="96">
        <v>14</v>
      </c>
      <c r="B16" s="87">
        <v>1550</v>
      </c>
      <c r="C16" s="91">
        <v>45720</v>
      </c>
      <c r="D16" s="149" t="s">
        <v>1330</v>
      </c>
      <c r="E16" s="47" t="s">
        <v>25</v>
      </c>
      <c r="F16" s="80" t="s">
        <v>4</v>
      </c>
      <c r="G16" s="183">
        <v>45720</v>
      </c>
      <c r="H16" s="5">
        <v>10000271320</v>
      </c>
      <c r="I16" s="102" t="s">
        <v>135</v>
      </c>
      <c r="J16" s="21"/>
      <c r="K16" s="18"/>
      <c r="L16" s="19"/>
      <c r="M16" s="23"/>
      <c r="N16" s="11"/>
      <c r="O16" s="12"/>
      <c r="P16" s="65">
        <v>45721</v>
      </c>
      <c r="Q16" s="89">
        <f t="shared" si="0"/>
        <v>1.0000218722659668</v>
      </c>
      <c r="R16" s="101"/>
      <c r="S16" s="66"/>
    </row>
    <row r="17" spans="1:19" ht="57.6" x14ac:dyDescent="0.3">
      <c r="A17" s="96">
        <v>15</v>
      </c>
      <c r="B17" s="87">
        <v>1550</v>
      </c>
      <c r="C17" s="91">
        <v>45720</v>
      </c>
      <c r="D17" s="149" t="s">
        <v>1323</v>
      </c>
      <c r="E17" s="166" t="s">
        <v>1314</v>
      </c>
      <c r="F17" s="80" t="s">
        <v>4</v>
      </c>
      <c r="G17" s="183">
        <v>45720</v>
      </c>
      <c r="H17" s="146"/>
      <c r="I17" s="100" t="s">
        <v>1315</v>
      </c>
      <c r="J17" s="154"/>
      <c r="K17" s="155"/>
      <c r="L17" s="156"/>
      <c r="M17" s="157"/>
      <c r="N17" s="158"/>
      <c r="O17" s="159"/>
      <c r="P17" s="65">
        <v>45721</v>
      </c>
      <c r="Q17" s="89">
        <f t="shared" si="0"/>
        <v>1.0000218722659668</v>
      </c>
      <c r="R17" s="101"/>
      <c r="S17" s="160"/>
    </row>
    <row r="18" spans="1:19" ht="57.6" x14ac:dyDescent="0.3">
      <c r="A18" s="96">
        <v>16</v>
      </c>
      <c r="B18" s="87" t="s">
        <v>80</v>
      </c>
      <c r="C18" s="91">
        <v>45720</v>
      </c>
      <c r="D18" s="149" t="s">
        <v>1331</v>
      </c>
      <c r="E18" s="93" t="s">
        <v>1314</v>
      </c>
      <c r="F18" s="145" t="s">
        <v>10</v>
      </c>
      <c r="G18" s="183">
        <v>45719</v>
      </c>
      <c r="H18" s="5"/>
      <c r="I18" s="100" t="s">
        <v>1315</v>
      </c>
      <c r="J18" s="21"/>
      <c r="K18" s="18"/>
      <c r="L18" s="19"/>
      <c r="M18" s="23"/>
      <c r="N18" s="11"/>
      <c r="O18" s="12"/>
      <c r="P18" s="65">
        <v>45721</v>
      </c>
      <c r="Q18" s="89">
        <f t="shared" si="0"/>
        <v>1.0000437454887465</v>
      </c>
      <c r="R18" s="101" t="s">
        <v>1332</v>
      </c>
      <c r="S18" s="66"/>
    </row>
    <row r="19" spans="1:19" ht="43.2" x14ac:dyDescent="0.3">
      <c r="A19" s="96">
        <v>17</v>
      </c>
      <c r="B19" s="87">
        <v>1550</v>
      </c>
      <c r="C19" s="91">
        <v>45721</v>
      </c>
      <c r="D19" s="149" t="s">
        <v>1333</v>
      </c>
      <c r="E19" s="47" t="s">
        <v>3</v>
      </c>
      <c r="F19" s="80" t="s">
        <v>6</v>
      </c>
      <c r="G19" s="183">
        <v>45721</v>
      </c>
      <c r="H19" s="5"/>
      <c r="I19" s="100" t="s">
        <v>1334</v>
      </c>
      <c r="J19" s="21"/>
      <c r="K19" s="18"/>
      <c r="L19" s="19"/>
      <c r="M19" s="23"/>
      <c r="N19" s="11"/>
      <c r="O19" s="12"/>
      <c r="P19" s="65">
        <v>45721</v>
      </c>
      <c r="Q19" s="89">
        <f t="shared" si="0"/>
        <v>1</v>
      </c>
      <c r="R19" s="101"/>
      <c r="S19" s="66"/>
    </row>
    <row r="20" spans="1:19" ht="43.2" x14ac:dyDescent="0.3">
      <c r="A20" s="96">
        <v>18</v>
      </c>
      <c r="B20" s="87">
        <v>1550</v>
      </c>
      <c r="C20" s="91">
        <v>45721</v>
      </c>
      <c r="D20" s="149" t="s">
        <v>1335</v>
      </c>
      <c r="E20" s="93" t="s">
        <v>14</v>
      </c>
      <c r="F20" s="80" t="s">
        <v>4</v>
      </c>
      <c r="G20" s="183">
        <v>45721</v>
      </c>
      <c r="H20" s="5"/>
      <c r="I20" s="102" t="s">
        <v>253</v>
      </c>
      <c r="J20" s="21"/>
      <c r="K20" s="18"/>
      <c r="L20" s="19"/>
      <c r="M20" s="23"/>
      <c r="N20" s="11"/>
      <c r="O20" s="12"/>
      <c r="P20" s="65">
        <v>45721</v>
      </c>
      <c r="Q20" s="89">
        <f t="shared" si="0"/>
        <v>1</v>
      </c>
      <c r="R20" s="101"/>
      <c r="S20" s="66"/>
    </row>
    <row r="21" spans="1:19" ht="57.6" x14ac:dyDescent="0.3">
      <c r="A21" s="96">
        <v>19</v>
      </c>
      <c r="B21" s="87">
        <v>1550</v>
      </c>
      <c r="C21" s="91">
        <v>45721</v>
      </c>
      <c r="D21" s="149" t="s">
        <v>1336</v>
      </c>
      <c r="E21" s="47" t="s">
        <v>37</v>
      </c>
      <c r="F21" s="80" t="s">
        <v>4</v>
      </c>
      <c r="G21" s="183">
        <v>45721</v>
      </c>
      <c r="H21" s="5"/>
      <c r="I21" s="100" t="s">
        <v>1315</v>
      </c>
      <c r="J21" s="21"/>
      <c r="K21" s="18"/>
      <c r="L21" s="19"/>
      <c r="M21" s="23"/>
      <c r="N21" s="11"/>
      <c r="O21" s="12"/>
      <c r="P21" s="65">
        <v>45721</v>
      </c>
      <c r="Q21" s="89">
        <f t="shared" si="0"/>
        <v>1</v>
      </c>
      <c r="R21" s="101"/>
      <c r="S21" s="66"/>
    </row>
    <row r="22" spans="1:19" ht="57.6" x14ac:dyDescent="0.3">
      <c r="A22" s="96">
        <v>20</v>
      </c>
      <c r="B22" s="87">
        <v>1550</v>
      </c>
      <c r="C22" s="91">
        <v>45720</v>
      </c>
      <c r="D22" s="149" t="s">
        <v>1337</v>
      </c>
      <c r="E22" s="93" t="s">
        <v>1314</v>
      </c>
      <c r="F22" s="80" t="s">
        <v>4</v>
      </c>
      <c r="G22" s="183">
        <v>45721</v>
      </c>
      <c r="H22" s="5"/>
      <c r="I22" s="100" t="s">
        <v>1315</v>
      </c>
      <c r="J22" s="154"/>
      <c r="K22" s="155"/>
      <c r="L22" s="156"/>
      <c r="M22" s="157"/>
      <c r="N22" s="158"/>
      <c r="O22" s="159"/>
      <c r="P22" s="65">
        <v>45721</v>
      </c>
      <c r="Q22" s="89">
        <f t="shared" si="0"/>
        <v>1</v>
      </c>
      <c r="R22" s="101"/>
      <c r="S22" s="160"/>
    </row>
    <row r="23" spans="1:19" ht="57.6" x14ac:dyDescent="0.3">
      <c r="A23" s="96">
        <v>21</v>
      </c>
      <c r="B23" s="152" t="s">
        <v>80</v>
      </c>
      <c r="C23" s="91">
        <v>45722</v>
      </c>
      <c r="D23" s="149" t="s">
        <v>1338</v>
      </c>
      <c r="E23" s="111" t="s">
        <v>17</v>
      </c>
      <c r="F23" s="127" t="s">
        <v>10</v>
      </c>
      <c r="G23" s="183">
        <v>45722</v>
      </c>
      <c r="H23" s="137"/>
      <c r="I23" s="100" t="s">
        <v>82</v>
      </c>
      <c r="J23" s="21"/>
      <c r="K23" s="18"/>
      <c r="L23" s="19"/>
      <c r="M23" s="23"/>
      <c r="N23" s="11"/>
      <c r="O23" s="12"/>
      <c r="P23" s="85">
        <v>45722</v>
      </c>
      <c r="Q23" s="89">
        <f t="shared" ref="Q23:Q86" si="1">P23/G23</f>
        <v>1</v>
      </c>
      <c r="R23" s="101" t="s">
        <v>749</v>
      </c>
      <c r="S23" s="66"/>
    </row>
    <row r="24" spans="1:19" ht="144" x14ac:dyDescent="0.3">
      <c r="A24" s="96">
        <v>22</v>
      </c>
      <c r="B24" s="152" t="s">
        <v>80</v>
      </c>
      <c r="C24" s="91">
        <v>45719</v>
      </c>
      <c r="D24" s="149" t="s">
        <v>1339</v>
      </c>
      <c r="E24" s="126" t="s">
        <v>7</v>
      </c>
      <c r="F24" s="127" t="s">
        <v>10</v>
      </c>
      <c r="G24" s="183">
        <v>45719</v>
      </c>
      <c r="H24" s="134"/>
      <c r="I24" s="100" t="s">
        <v>125</v>
      </c>
      <c r="J24" s="154"/>
      <c r="K24" s="155"/>
      <c r="L24" s="156"/>
      <c r="M24" s="157"/>
      <c r="N24" s="158"/>
      <c r="O24" s="159"/>
      <c r="P24" s="65">
        <v>45722</v>
      </c>
      <c r="Q24" s="89">
        <f t="shared" si="1"/>
        <v>1.0000656182331198</v>
      </c>
      <c r="R24" s="101" t="s">
        <v>1319</v>
      </c>
      <c r="S24" s="160"/>
    </row>
    <row r="25" spans="1:19" ht="57.6" x14ac:dyDescent="0.3">
      <c r="A25" s="96">
        <v>23</v>
      </c>
      <c r="B25" s="87">
        <v>1550</v>
      </c>
      <c r="C25" s="91">
        <v>45721</v>
      </c>
      <c r="D25" s="149" t="s">
        <v>1340</v>
      </c>
      <c r="E25" s="111" t="s">
        <v>1314</v>
      </c>
      <c r="F25" s="125" t="s">
        <v>6</v>
      </c>
      <c r="G25" s="183">
        <v>45721</v>
      </c>
      <c r="H25" s="137"/>
      <c r="I25" s="100" t="s">
        <v>1315</v>
      </c>
      <c r="J25" s="21"/>
      <c r="K25" s="18"/>
      <c r="L25" s="19"/>
      <c r="M25" s="23"/>
      <c r="N25" s="11"/>
      <c r="O25" s="12"/>
      <c r="P25" s="65">
        <v>45722</v>
      </c>
      <c r="Q25" s="89">
        <f t="shared" si="1"/>
        <v>1.0000218717875813</v>
      </c>
      <c r="R25" s="101"/>
      <c r="S25" s="66"/>
    </row>
    <row r="26" spans="1:19" ht="72" x14ac:dyDescent="0.3">
      <c r="A26" s="96">
        <v>24</v>
      </c>
      <c r="B26" s="87">
        <v>1550</v>
      </c>
      <c r="C26" s="91">
        <v>45721</v>
      </c>
      <c r="D26" s="149" t="s">
        <v>1341</v>
      </c>
      <c r="E26" s="93" t="s">
        <v>1</v>
      </c>
      <c r="F26" s="80" t="s">
        <v>6</v>
      </c>
      <c r="G26" s="183">
        <v>45721</v>
      </c>
      <c r="H26" s="5"/>
      <c r="I26" s="100" t="s">
        <v>125</v>
      </c>
      <c r="J26" s="154"/>
      <c r="K26" s="155"/>
      <c r="L26" s="156"/>
      <c r="M26" s="157"/>
      <c r="N26" s="158"/>
      <c r="O26" s="159"/>
      <c r="P26" s="65">
        <v>45722</v>
      </c>
      <c r="Q26" s="89">
        <f t="shared" si="1"/>
        <v>1.0000218717875813</v>
      </c>
      <c r="R26" s="101"/>
      <c r="S26" s="160"/>
    </row>
    <row r="27" spans="1:19" ht="57.6" x14ac:dyDescent="0.3">
      <c r="A27" s="96">
        <v>25</v>
      </c>
      <c r="B27" s="87" t="s">
        <v>80</v>
      </c>
      <c r="C27" s="91">
        <v>45721</v>
      </c>
      <c r="D27" s="149" t="s">
        <v>1342</v>
      </c>
      <c r="E27" s="93" t="s">
        <v>1314</v>
      </c>
      <c r="F27" s="145" t="s">
        <v>10</v>
      </c>
      <c r="G27" s="183">
        <v>45721</v>
      </c>
      <c r="H27" s="5"/>
      <c r="I27" s="100" t="s">
        <v>1315</v>
      </c>
      <c r="J27" s="21"/>
      <c r="K27" s="18"/>
      <c r="L27" s="19"/>
      <c r="M27" s="23"/>
      <c r="N27" s="11"/>
      <c r="O27" s="12"/>
      <c r="P27" s="65">
        <v>45722</v>
      </c>
      <c r="Q27" s="89">
        <f t="shared" si="1"/>
        <v>1.0000218717875813</v>
      </c>
      <c r="R27" s="101" t="s">
        <v>749</v>
      </c>
      <c r="S27" s="160"/>
    </row>
    <row r="28" spans="1:19" ht="57.6" x14ac:dyDescent="0.3">
      <c r="A28" s="96">
        <v>26</v>
      </c>
      <c r="B28" s="87" t="s">
        <v>80</v>
      </c>
      <c r="C28" s="91">
        <v>45721</v>
      </c>
      <c r="D28" s="149" t="s">
        <v>1343</v>
      </c>
      <c r="E28" s="93" t="s">
        <v>1314</v>
      </c>
      <c r="F28" s="145" t="s">
        <v>10</v>
      </c>
      <c r="G28" s="183">
        <v>45721</v>
      </c>
      <c r="H28" s="5"/>
      <c r="I28" s="100" t="s">
        <v>1315</v>
      </c>
      <c r="J28" s="21"/>
      <c r="K28" s="18"/>
      <c r="L28" s="19"/>
      <c r="M28" s="23"/>
      <c r="N28" s="11"/>
      <c r="O28" s="12"/>
      <c r="P28" s="65">
        <v>45722</v>
      </c>
      <c r="Q28" s="89">
        <f t="shared" si="1"/>
        <v>1.0000218717875813</v>
      </c>
      <c r="R28" s="101" t="s">
        <v>1319</v>
      </c>
      <c r="S28" s="160"/>
    </row>
    <row r="29" spans="1:19" ht="57.6" x14ac:dyDescent="0.3">
      <c r="A29" s="96">
        <v>27</v>
      </c>
      <c r="B29" s="87" t="s">
        <v>80</v>
      </c>
      <c r="C29" s="91">
        <v>45721</v>
      </c>
      <c r="D29" s="149" t="s">
        <v>1344</v>
      </c>
      <c r="E29" s="93" t="s">
        <v>1314</v>
      </c>
      <c r="F29" s="145" t="s">
        <v>10</v>
      </c>
      <c r="G29" s="183">
        <v>45721</v>
      </c>
      <c r="H29" s="5"/>
      <c r="I29" s="100" t="s">
        <v>1315</v>
      </c>
      <c r="J29" s="21"/>
      <c r="K29" s="18"/>
      <c r="L29" s="19"/>
      <c r="M29" s="23"/>
      <c r="N29" s="11"/>
      <c r="O29" s="12"/>
      <c r="P29" s="65">
        <v>45722</v>
      </c>
      <c r="Q29" s="89">
        <f t="shared" si="1"/>
        <v>1.0000218717875813</v>
      </c>
      <c r="R29" s="101" t="s">
        <v>1319</v>
      </c>
      <c r="S29" s="160"/>
    </row>
    <row r="30" spans="1:19" ht="57.6" x14ac:dyDescent="0.3">
      <c r="A30" s="96">
        <v>28</v>
      </c>
      <c r="B30" s="87" t="s">
        <v>80</v>
      </c>
      <c r="C30" s="91">
        <v>45721</v>
      </c>
      <c r="D30" s="149" t="s">
        <v>1345</v>
      </c>
      <c r="E30" s="93" t="s">
        <v>3</v>
      </c>
      <c r="F30" s="145" t="s">
        <v>10</v>
      </c>
      <c r="G30" s="183">
        <v>45721</v>
      </c>
      <c r="H30" s="5"/>
      <c r="I30" s="100" t="s">
        <v>82</v>
      </c>
      <c r="J30" s="154"/>
      <c r="K30" s="155"/>
      <c r="L30" s="156"/>
      <c r="M30" s="157"/>
      <c r="N30" s="158"/>
      <c r="O30" s="159"/>
      <c r="P30" s="65">
        <v>45722</v>
      </c>
      <c r="Q30" s="89">
        <f t="shared" si="1"/>
        <v>1.0000218717875813</v>
      </c>
      <c r="R30" s="101" t="s">
        <v>1319</v>
      </c>
      <c r="S30" s="160"/>
    </row>
    <row r="31" spans="1:19" ht="187.2" x14ac:dyDescent="0.3">
      <c r="A31" s="96">
        <v>29</v>
      </c>
      <c r="B31" s="87" t="s">
        <v>80</v>
      </c>
      <c r="C31" s="91">
        <v>45721</v>
      </c>
      <c r="D31" s="149" t="s">
        <v>1346</v>
      </c>
      <c r="E31" s="93" t="s">
        <v>1</v>
      </c>
      <c r="F31" s="145" t="s">
        <v>10</v>
      </c>
      <c r="G31" s="183">
        <v>45721</v>
      </c>
      <c r="H31" s="5"/>
      <c r="I31" s="100" t="s">
        <v>125</v>
      </c>
      <c r="J31" s="21"/>
      <c r="K31" s="18"/>
      <c r="L31" s="19"/>
      <c r="M31" s="23"/>
      <c r="N31" s="11"/>
      <c r="O31" s="12"/>
      <c r="P31" s="65">
        <v>45722</v>
      </c>
      <c r="Q31" s="89">
        <f t="shared" si="1"/>
        <v>1.0000218717875813</v>
      </c>
      <c r="R31" s="101" t="s">
        <v>1347</v>
      </c>
      <c r="S31" s="66"/>
    </row>
    <row r="32" spans="1:19" ht="72" x14ac:dyDescent="0.3">
      <c r="A32" s="96">
        <v>30</v>
      </c>
      <c r="B32" s="87">
        <v>1550</v>
      </c>
      <c r="C32" s="91">
        <v>45722</v>
      </c>
      <c r="D32" s="149" t="s">
        <v>1348</v>
      </c>
      <c r="E32" s="48" t="s">
        <v>1</v>
      </c>
      <c r="F32" s="80" t="s">
        <v>6</v>
      </c>
      <c r="G32" s="183">
        <v>45722</v>
      </c>
      <c r="H32" s="5"/>
      <c r="I32" s="100" t="s">
        <v>125</v>
      </c>
      <c r="J32" s="21"/>
      <c r="K32" s="18"/>
      <c r="L32" s="19"/>
      <c r="M32" s="23"/>
      <c r="N32" s="11"/>
      <c r="O32" s="12"/>
      <c r="P32" s="65">
        <v>45722</v>
      </c>
      <c r="Q32" s="89">
        <f t="shared" si="1"/>
        <v>1</v>
      </c>
      <c r="R32" s="101"/>
      <c r="S32" s="66"/>
    </row>
    <row r="33" spans="1:19" ht="86.4" x14ac:dyDescent="0.3">
      <c r="A33" s="96">
        <v>31</v>
      </c>
      <c r="B33" s="87">
        <v>1550</v>
      </c>
      <c r="C33" s="91">
        <v>45722</v>
      </c>
      <c r="D33" s="149" t="s">
        <v>1349</v>
      </c>
      <c r="E33" s="93" t="s">
        <v>3</v>
      </c>
      <c r="F33" s="80" t="s">
        <v>6</v>
      </c>
      <c r="G33" s="183">
        <v>45722</v>
      </c>
      <c r="H33" s="5"/>
      <c r="I33" s="100" t="s">
        <v>125</v>
      </c>
      <c r="J33" s="21"/>
      <c r="K33" s="18"/>
      <c r="L33" s="19"/>
      <c r="M33" s="23"/>
      <c r="N33" s="11"/>
      <c r="O33" s="12"/>
      <c r="P33" s="85">
        <v>45722</v>
      </c>
      <c r="Q33" s="89">
        <f t="shared" si="1"/>
        <v>1</v>
      </c>
      <c r="R33" s="101"/>
      <c r="S33" s="66"/>
    </row>
    <row r="34" spans="1:19" ht="86.4" x14ac:dyDescent="0.3">
      <c r="A34" s="96">
        <v>32</v>
      </c>
      <c r="B34" s="87">
        <v>1550</v>
      </c>
      <c r="C34" s="91">
        <v>45722</v>
      </c>
      <c r="D34" s="149" t="s">
        <v>1350</v>
      </c>
      <c r="E34" s="93" t="s">
        <v>1</v>
      </c>
      <c r="F34" s="80" t="s">
        <v>6</v>
      </c>
      <c r="G34" s="183">
        <v>45722</v>
      </c>
      <c r="H34" s="5"/>
      <c r="I34" s="100" t="s">
        <v>125</v>
      </c>
      <c r="J34" s="21"/>
      <c r="K34" s="18"/>
      <c r="L34" s="19"/>
      <c r="M34" s="23"/>
      <c r="N34" s="11"/>
      <c r="O34" s="12"/>
      <c r="P34" s="85">
        <v>45722</v>
      </c>
      <c r="Q34" s="89">
        <f t="shared" si="1"/>
        <v>1</v>
      </c>
      <c r="R34" s="101"/>
      <c r="S34" s="66"/>
    </row>
    <row r="35" spans="1:19" ht="28.8" x14ac:dyDescent="0.3">
      <c r="A35" s="96">
        <v>33</v>
      </c>
      <c r="B35" s="87">
        <v>1550</v>
      </c>
      <c r="C35" s="91">
        <v>45722</v>
      </c>
      <c r="D35" s="349" t="s">
        <v>1351</v>
      </c>
      <c r="E35" s="93" t="s">
        <v>49</v>
      </c>
      <c r="F35" s="80" t="s">
        <v>4</v>
      </c>
      <c r="G35" s="183">
        <v>45722</v>
      </c>
      <c r="H35" s="5"/>
      <c r="I35" s="100" t="s">
        <v>266</v>
      </c>
      <c r="J35" s="21"/>
      <c r="K35" s="18"/>
      <c r="L35" s="19"/>
      <c r="M35" s="23"/>
      <c r="N35" s="11"/>
      <c r="O35" s="12"/>
      <c r="P35" s="85">
        <v>45722</v>
      </c>
      <c r="Q35" s="89">
        <f t="shared" si="1"/>
        <v>1</v>
      </c>
      <c r="R35" s="101"/>
      <c r="S35" s="66"/>
    </row>
    <row r="36" spans="1:19" ht="57.6" x14ac:dyDescent="0.3">
      <c r="A36" s="96">
        <v>34</v>
      </c>
      <c r="B36" s="87" t="s">
        <v>80</v>
      </c>
      <c r="C36" s="91">
        <v>45721</v>
      </c>
      <c r="D36" s="149" t="s">
        <v>1352</v>
      </c>
      <c r="E36" s="93" t="s">
        <v>1314</v>
      </c>
      <c r="F36" s="145" t="s">
        <v>10</v>
      </c>
      <c r="G36" s="183">
        <v>45721</v>
      </c>
      <c r="H36" s="5"/>
      <c r="I36" s="100" t="s">
        <v>1315</v>
      </c>
      <c r="J36" s="21"/>
      <c r="K36" s="18"/>
      <c r="L36" s="19"/>
      <c r="M36" s="23"/>
      <c r="N36" s="11"/>
      <c r="O36" s="12"/>
      <c r="P36" s="65">
        <v>45723</v>
      </c>
      <c r="Q36" s="89">
        <f t="shared" si="1"/>
        <v>1.0000437435751623</v>
      </c>
      <c r="R36" s="101" t="s">
        <v>216</v>
      </c>
      <c r="S36" s="160"/>
    </row>
    <row r="37" spans="1:19" ht="28.8" x14ac:dyDescent="0.3">
      <c r="A37" s="96">
        <v>35</v>
      </c>
      <c r="B37" s="87">
        <v>1550</v>
      </c>
      <c r="C37" s="91">
        <v>45723</v>
      </c>
      <c r="D37" s="149" t="s">
        <v>1353</v>
      </c>
      <c r="E37" s="93" t="s">
        <v>1</v>
      </c>
      <c r="F37" s="80" t="s">
        <v>8</v>
      </c>
      <c r="G37" s="183">
        <v>45723</v>
      </c>
      <c r="H37" s="5"/>
      <c r="I37" s="100" t="s">
        <v>125</v>
      </c>
      <c r="J37" s="21"/>
      <c r="K37" s="18"/>
      <c r="L37" s="19"/>
      <c r="M37" s="23"/>
      <c r="N37" s="11"/>
      <c r="O37" s="12"/>
      <c r="P37" s="65">
        <v>45723</v>
      </c>
      <c r="Q37" s="89">
        <f t="shared" si="1"/>
        <v>1</v>
      </c>
      <c r="R37" s="101" t="s">
        <v>138</v>
      </c>
      <c r="S37" s="66"/>
    </row>
    <row r="38" spans="1:19" ht="86.4" x14ac:dyDescent="0.3">
      <c r="A38" s="96">
        <v>36</v>
      </c>
      <c r="B38" s="87" t="s">
        <v>80</v>
      </c>
      <c r="C38" s="91">
        <v>45721</v>
      </c>
      <c r="D38" s="149" t="s">
        <v>1354</v>
      </c>
      <c r="E38" s="93" t="s">
        <v>11</v>
      </c>
      <c r="F38" s="145" t="s">
        <v>10</v>
      </c>
      <c r="G38" s="183">
        <v>45721</v>
      </c>
      <c r="H38" s="5"/>
      <c r="I38" s="107" t="s">
        <v>106</v>
      </c>
      <c r="J38" s="154"/>
      <c r="K38" s="155"/>
      <c r="L38" s="156"/>
      <c r="M38" s="157"/>
      <c r="N38" s="158"/>
      <c r="O38" s="159"/>
      <c r="P38" s="65">
        <v>45726</v>
      </c>
      <c r="Q38" s="89">
        <f t="shared" si="1"/>
        <v>1.000109358937906</v>
      </c>
      <c r="R38" s="101" t="s">
        <v>1319</v>
      </c>
      <c r="S38" s="160"/>
    </row>
    <row r="39" spans="1:19" ht="72" x14ac:dyDescent="0.3">
      <c r="A39" s="96">
        <v>37</v>
      </c>
      <c r="B39" s="87" t="s">
        <v>80</v>
      </c>
      <c r="C39" s="91">
        <v>45721</v>
      </c>
      <c r="D39" s="149" t="s">
        <v>1355</v>
      </c>
      <c r="E39" s="48" t="s">
        <v>52</v>
      </c>
      <c r="F39" s="145" t="s">
        <v>10</v>
      </c>
      <c r="G39" s="183">
        <v>45721</v>
      </c>
      <c r="H39" s="5"/>
      <c r="I39" s="100" t="s">
        <v>253</v>
      </c>
      <c r="J39" s="21"/>
      <c r="K39" s="18"/>
      <c r="L39" s="19"/>
      <c r="M39" s="23"/>
      <c r="N39" s="11"/>
      <c r="O39" s="12"/>
      <c r="P39" s="65">
        <v>45726</v>
      </c>
      <c r="Q39" s="89">
        <f t="shared" si="1"/>
        <v>1.000109358937906</v>
      </c>
      <c r="R39" s="101" t="s">
        <v>749</v>
      </c>
      <c r="S39" s="66"/>
    </row>
    <row r="40" spans="1:19" ht="43.2" x14ac:dyDescent="0.3">
      <c r="A40" s="96">
        <v>38</v>
      </c>
      <c r="B40" s="87">
        <v>1550</v>
      </c>
      <c r="C40" s="91">
        <v>45723</v>
      </c>
      <c r="D40" s="149" t="s">
        <v>1356</v>
      </c>
      <c r="E40" s="48" t="s">
        <v>52</v>
      </c>
      <c r="F40" s="80" t="s">
        <v>8</v>
      </c>
      <c r="G40" s="183">
        <v>45723</v>
      </c>
      <c r="H40" s="5"/>
      <c r="I40" s="100" t="s">
        <v>253</v>
      </c>
      <c r="J40" s="21" t="s">
        <v>262</v>
      </c>
      <c r="K40" s="245">
        <v>45723</v>
      </c>
      <c r="L40" s="244" t="s">
        <v>1357</v>
      </c>
      <c r="M40" s="23"/>
      <c r="N40" s="11"/>
      <c r="O40" s="12"/>
      <c r="P40" s="85">
        <v>45726</v>
      </c>
      <c r="Q40" s="89">
        <f t="shared" si="1"/>
        <v>1.0000656124926186</v>
      </c>
      <c r="R40" s="101" t="s">
        <v>160</v>
      </c>
      <c r="S40" s="66"/>
    </row>
    <row r="41" spans="1:19" ht="57.6" x14ac:dyDescent="0.3">
      <c r="A41" s="96">
        <v>39</v>
      </c>
      <c r="B41" s="87">
        <v>1550</v>
      </c>
      <c r="C41" s="91">
        <v>45723</v>
      </c>
      <c r="D41" s="149" t="s">
        <v>1358</v>
      </c>
      <c r="E41" s="93" t="s">
        <v>1314</v>
      </c>
      <c r="F41" s="80" t="s">
        <v>6</v>
      </c>
      <c r="G41" s="183">
        <v>45723</v>
      </c>
      <c r="H41" s="5"/>
      <c r="I41" s="100" t="s">
        <v>1315</v>
      </c>
      <c r="J41" s="21"/>
      <c r="K41" s="18"/>
      <c r="L41" s="19"/>
      <c r="M41" s="23"/>
      <c r="N41" s="11"/>
      <c r="O41" s="12"/>
      <c r="P41" s="65">
        <v>45726</v>
      </c>
      <c r="Q41" s="89">
        <f t="shared" si="1"/>
        <v>1.0000656124926186</v>
      </c>
      <c r="R41" s="101"/>
      <c r="S41" s="66"/>
    </row>
    <row r="42" spans="1:19" ht="57.6" x14ac:dyDescent="0.3">
      <c r="A42" s="96">
        <v>40</v>
      </c>
      <c r="B42" s="87">
        <v>1550</v>
      </c>
      <c r="C42" s="91">
        <v>45723</v>
      </c>
      <c r="D42" s="149" t="s">
        <v>1359</v>
      </c>
      <c r="E42" s="93" t="s">
        <v>1314</v>
      </c>
      <c r="F42" s="80" t="s">
        <v>8</v>
      </c>
      <c r="G42" s="183">
        <v>45723</v>
      </c>
      <c r="H42" s="5"/>
      <c r="I42" s="100" t="s">
        <v>1315</v>
      </c>
      <c r="J42" s="21"/>
      <c r="K42" s="18"/>
      <c r="L42" s="19"/>
      <c r="M42" s="23"/>
      <c r="N42" s="11"/>
      <c r="O42" s="12"/>
      <c r="P42" s="65">
        <v>45726</v>
      </c>
      <c r="Q42" s="89">
        <f t="shared" si="1"/>
        <v>1.0000656124926186</v>
      </c>
      <c r="R42" s="101" t="s">
        <v>94</v>
      </c>
      <c r="S42" s="66"/>
    </row>
    <row r="43" spans="1:19" ht="28.8" x14ac:dyDescent="0.3">
      <c r="A43" s="96">
        <v>41</v>
      </c>
      <c r="B43" s="87">
        <v>1550</v>
      </c>
      <c r="C43" s="91">
        <v>45723</v>
      </c>
      <c r="D43" s="149" t="s">
        <v>1360</v>
      </c>
      <c r="E43" s="93" t="s">
        <v>1</v>
      </c>
      <c r="F43" s="80" t="s">
        <v>4</v>
      </c>
      <c r="G43" s="183">
        <v>45723</v>
      </c>
      <c r="H43" s="5"/>
      <c r="I43" s="102" t="s">
        <v>361</v>
      </c>
      <c r="J43" s="21"/>
      <c r="K43" s="18"/>
      <c r="L43" s="19"/>
      <c r="M43" s="23"/>
      <c r="N43" s="11"/>
      <c r="O43" s="12"/>
      <c r="P43" s="65">
        <v>45726</v>
      </c>
      <c r="Q43" s="89">
        <f t="shared" si="1"/>
        <v>1.0000656124926186</v>
      </c>
      <c r="R43" s="101"/>
      <c r="S43" s="66"/>
    </row>
    <row r="44" spans="1:19" ht="28.8" x14ac:dyDescent="0.3">
      <c r="A44" s="96">
        <v>42</v>
      </c>
      <c r="B44" s="87">
        <v>1550</v>
      </c>
      <c r="C44" s="91">
        <v>45723</v>
      </c>
      <c r="D44" s="98" t="s">
        <v>1361</v>
      </c>
      <c r="E44" s="111" t="s">
        <v>1</v>
      </c>
      <c r="F44" s="125" t="s">
        <v>4</v>
      </c>
      <c r="G44" s="183">
        <v>45723</v>
      </c>
      <c r="H44" s="137"/>
      <c r="I44" s="100" t="s">
        <v>125</v>
      </c>
      <c r="J44" s="21"/>
      <c r="K44" s="18"/>
      <c r="L44" s="19"/>
      <c r="M44" s="23"/>
      <c r="N44" s="11"/>
      <c r="O44" s="12"/>
      <c r="P44" s="85">
        <v>45726</v>
      </c>
      <c r="Q44" s="89">
        <f t="shared" si="1"/>
        <v>1.0000656124926186</v>
      </c>
      <c r="R44" s="101"/>
      <c r="S44" s="66"/>
    </row>
    <row r="45" spans="1:19" ht="57.6" x14ac:dyDescent="0.3">
      <c r="A45" s="96">
        <v>43</v>
      </c>
      <c r="B45" s="87" t="s">
        <v>80</v>
      </c>
      <c r="C45" s="91">
        <v>45723</v>
      </c>
      <c r="D45" s="149" t="s">
        <v>1362</v>
      </c>
      <c r="E45" s="111" t="s">
        <v>1314</v>
      </c>
      <c r="F45" s="127" t="s">
        <v>10</v>
      </c>
      <c r="G45" s="183">
        <v>45723</v>
      </c>
      <c r="H45" s="137"/>
      <c r="I45" s="100" t="s">
        <v>1315</v>
      </c>
      <c r="J45" s="21"/>
      <c r="K45" s="18"/>
      <c r="L45" s="19"/>
      <c r="M45" s="23"/>
      <c r="N45" s="11"/>
      <c r="O45" s="12"/>
      <c r="P45" s="85">
        <v>45726</v>
      </c>
      <c r="Q45" s="89">
        <f t="shared" si="1"/>
        <v>1.0000656124926186</v>
      </c>
      <c r="R45" s="101" t="s">
        <v>1319</v>
      </c>
      <c r="S45" s="66"/>
    </row>
    <row r="46" spans="1:19" ht="57.6" x14ac:dyDescent="0.3">
      <c r="A46" s="96">
        <v>44</v>
      </c>
      <c r="B46" s="87" t="s">
        <v>80</v>
      </c>
      <c r="C46" s="91">
        <v>45723</v>
      </c>
      <c r="D46" s="149" t="s">
        <v>1363</v>
      </c>
      <c r="E46" s="93" t="s">
        <v>1314</v>
      </c>
      <c r="F46" s="145" t="s">
        <v>10</v>
      </c>
      <c r="G46" s="183">
        <v>45723</v>
      </c>
      <c r="H46" s="5"/>
      <c r="I46" s="100" t="s">
        <v>1315</v>
      </c>
      <c r="J46" s="21"/>
      <c r="K46" s="18"/>
      <c r="L46" s="19"/>
      <c r="M46" s="23"/>
      <c r="N46" s="11"/>
      <c r="O46" s="12"/>
      <c r="P46" s="85">
        <v>45726</v>
      </c>
      <c r="Q46" s="89">
        <f t="shared" si="1"/>
        <v>1.0000656124926186</v>
      </c>
      <c r="R46" s="101" t="s">
        <v>1319</v>
      </c>
      <c r="S46" s="66"/>
    </row>
    <row r="47" spans="1:19" ht="57.6" x14ac:dyDescent="0.3">
      <c r="A47" s="96">
        <v>45</v>
      </c>
      <c r="B47" s="87" t="s">
        <v>80</v>
      </c>
      <c r="C47" s="91">
        <v>45723</v>
      </c>
      <c r="D47" s="149" t="s">
        <v>1364</v>
      </c>
      <c r="E47" s="93" t="s">
        <v>1314</v>
      </c>
      <c r="F47" s="145" t="s">
        <v>10</v>
      </c>
      <c r="G47" s="183">
        <v>45723</v>
      </c>
      <c r="H47" s="5"/>
      <c r="I47" s="100" t="s">
        <v>1315</v>
      </c>
      <c r="J47" s="21"/>
      <c r="K47" s="18"/>
      <c r="L47" s="19"/>
      <c r="M47" s="23"/>
      <c r="N47" s="11"/>
      <c r="O47" s="12"/>
      <c r="P47" s="85">
        <v>45726</v>
      </c>
      <c r="Q47" s="89">
        <f t="shared" si="1"/>
        <v>1.0000656124926186</v>
      </c>
      <c r="R47" s="101" t="s">
        <v>165</v>
      </c>
      <c r="S47" s="66"/>
    </row>
    <row r="48" spans="1:19" ht="57.6" x14ac:dyDescent="0.3">
      <c r="A48" s="96">
        <v>46</v>
      </c>
      <c r="B48" s="87" t="s">
        <v>80</v>
      </c>
      <c r="C48" s="91">
        <v>45723</v>
      </c>
      <c r="D48" s="149" t="s">
        <v>1365</v>
      </c>
      <c r="E48" s="93" t="s">
        <v>1314</v>
      </c>
      <c r="F48" s="145" t="s">
        <v>10</v>
      </c>
      <c r="G48" s="183">
        <v>45723</v>
      </c>
      <c r="H48" s="5"/>
      <c r="I48" s="100" t="s">
        <v>1315</v>
      </c>
      <c r="J48" s="21"/>
      <c r="K48" s="18"/>
      <c r="L48" s="19"/>
      <c r="M48" s="23"/>
      <c r="N48" s="11"/>
      <c r="O48" s="12"/>
      <c r="P48" s="85">
        <v>45726</v>
      </c>
      <c r="Q48" s="89">
        <f t="shared" si="1"/>
        <v>1.0000656124926186</v>
      </c>
      <c r="R48" s="101" t="s">
        <v>1366</v>
      </c>
      <c r="S48" s="66"/>
    </row>
    <row r="49" spans="1:19" ht="57.6" x14ac:dyDescent="0.3">
      <c r="A49" s="96">
        <v>47</v>
      </c>
      <c r="B49" s="87" t="s">
        <v>80</v>
      </c>
      <c r="C49" s="91">
        <v>45723</v>
      </c>
      <c r="D49" s="149" t="s">
        <v>1367</v>
      </c>
      <c r="E49" s="93" t="s">
        <v>1314</v>
      </c>
      <c r="F49" s="145" t="s">
        <v>10</v>
      </c>
      <c r="G49" s="183">
        <v>45723</v>
      </c>
      <c r="H49" s="5"/>
      <c r="I49" s="100" t="s">
        <v>1315</v>
      </c>
      <c r="J49" s="21"/>
      <c r="K49" s="18"/>
      <c r="L49" s="19"/>
      <c r="M49" s="23"/>
      <c r="N49" s="11"/>
      <c r="O49" s="12"/>
      <c r="P49" s="85">
        <v>45726</v>
      </c>
      <c r="Q49" s="89">
        <f t="shared" si="1"/>
        <v>1.0000656124926186</v>
      </c>
      <c r="R49" s="101" t="s">
        <v>749</v>
      </c>
      <c r="S49" s="160"/>
    </row>
    <row r="50" spans="1:19" ht="57.6" x14ac:dyDescent="0.3">
      <c r="A50" s="96">
        <v>48</v>
      </c>
      <c r="B50" s="87" t="s">
        <v>80</v>
      </c>
      <c r="C50" s="91">
        <v>45723</v>
      </c>
      <c r="D50" s="149" t="s">
        <v>1368</v>
      </c>
      <c r="E50" s="93" t="s">
        <v>1314</v>
      </c>
      <c r="F50" s="145" t="s">
        <v>10</v>
      </c>
      <c r="G50" s="183">
        <v>45723</v>
      </c>
      <c r="H50" s="5"/>
      <c r="I50" s="100" t="s">
        <v>1315</v>
      </c>
      <c r="J50" s="154"/>
      <c r="K50" s="155"/>
      <c r="L50" s="156"/>
      <c r="M50" s="157"/>
      <c r="N50" s="158"/>
      <c r="O50" s="159"/>
      <c r="P50" s="85">
        <v>45726</v>
      </c>
      <c r="Q50" s="89">
        <f t="shared" si="1"/>
        <v>1.0000656124926186</v>
      </c>
      <c r="R50" s="101" t="s">
        <v>216</v>
      </c>
      <c r="S50" s="167"/>
    </row>
    <row r="51" spans="1:19" ht="57.6" x14ac:dyDescent="0.3">
      <c r="A51" s="96">
        <v>49</v>
      </c>
      <c r="B51" s="87" t="s">
        <v>80</v>
      </c>
      <c r="C51" s="91">
        <v>45723</v>
      </c>
      <c r="D51" s="149" t="s">
        <v>1369</v>
      </c>
      <c r="E51" s="93" t="s">
        <v>1314</v>
      </c>
      <c r="F51" s="145" t="s">
        <v>10</v>
      </c>
      <c r="G51" s="183">
        <v>45723</v>
      </c>
      <c r="H51" s="5"/>
      <c r="I51" s="100" t="s">
        <v>1315</v>
      </c>
      <c r="J51" s="21"/>
      <c r="K51" s="18"/>
      <c r="L51" s="19"/>
      <c r="M51" s="23"/>
      <c r="N51" s="11"/>
      <c r="O51" s="12"/>
      <c r="P51" s="85">
        <v>45726</v>
      </c>
      <c r="Q51" s="89">
        <f t="shared" si="1"/>
        <v>1.0000656124926186</v>
      </c>
      <c r="R51" s="101" t="s">
        <v>1366</v>
      </c>
      <c r="S51" s="66"/>
    </row>
    <row r="52" spans="1:19" ht="57.6" x14ac:dyDescent="0.3">
      <c r="A52" s="96">
        <v>50</v>
      </c>
      <c r="B52" s="87" t="s">
        <v>80</v>
      </c>
      <c r="C52" s="91">
        <v>45723</v>
      </c>
      <c r="D52" s="149" t="s">
        <v>1370</v>
      </c>
      <c r="E52" s="162" t="s">
        <v>14</v>
      </c>
      <c r="F52" s="80" t="s">
        <v>10</v>
      </c>
      <c r="G52" s="183">
        <v>45723</v>
      </c>
      <c r="H52" s="146"/>
      <c r="I52" s="102" t="s">
        <v>253</v>
      </c>
      <c r="J52" s="21"/>
      <c r="K52" s="18"/>
      <c r="L52" s="19"/>
      <c r="M52" s="23"/>
      <c r="N52" s="11"/>
      <c r="O52" s="12"/>
      <c r="P52" s="85">
        <v>45726</v>
      </c>
      <c r="Q52" s="89">
        <f t="shared" si="1"/>
        <v>1.0000656124926186</v>
      </c>
      <c r="R52" s="101" t="s">
        <v>1319</v>
      </c>
      <c r="S52" s="66"/>
    </row>
    <row r="53" spans="1:19" ht="28.8" x14ac:dyDescent="0.3">
      <c r="A53" s="96">
        <v>51</v>
      </c>
      <c r="B53" s="152">
        <v>1550</v>
      </c>
      <c r="C53" s="153">
        <v>45726</v>
      </c>
      <c r="D53" s="149" t="s">
        <v>1371</v>
      </c>
      <c r="E53" s="93" t="s">
        <v>1</v>
      </c>
      <c r="F53" s="80" t="s">
        <v>6</v>
      </c>
      <c r="G53" s="183">
        <v>45726</v>
      </c>
      <c r="H53" s="5"/>
      <c r="I53" s="102" t="s">
        <v>125</v>
      </c>
      <c r="J53" s="21"/>
      <c r="K53" s="18"/>
      <c r="L53" s="19"/>
      <c r="M53" s="23"/>
      <c r="N53" s="11"/>
      <c r="O53" s="12"/>
      <c r="P53" s="65">
        <v>45726</v>
      </c>
      <c r="Q53" s="89">
        <f t="shared" si="1"/>
        <v>1</v>
      </c>
      <c r="R53" s="101"/>
      <c r="S53" s="66"/>
    </row>
    <row r="54" spans="1:19" ht="57.6" x14ac:dyDescent="0.3">
      <c r="A54" s="96">
        <v>52</v>
      </c>
      <c r="B54" s="152">
        <v>1550</v>
      </c>
      <c r="C54" s="153">
        <v>45726</v>
      </c>
      <c r="D54" s="149" t="s">
        <v>1372</v>
      </c>
      <c r="E54" s="162" t="s">
        <v>1</v>
      </c>
      <c r="F54" s="80" t="s">
        <v>6</v>
      </c>
      <c r="G54" s="183">
        <v>45726</v>
      </c>
      <c r="H54" s="5"/>
      <c r="I54" s="102" t="s">
        <v>125</v>
      </c>
      <c r="J54" s="21"/>
      <c r="K54" s="18"/>
      <c r="L54" s="19"/>
      <c r="M54" s="23"/>
      <c r="N54" s="11"/>
      <c r="O54" s="12"/>
      <c r="P54" s="65">
        <v>45726</v>
      </c>
      <c r="Q54" s="89">
        <f t="shared" si="1"/>
        <v>1</v>
      </c>
      <c r="R54" s="101"/>
      <c r="S54" s="66"/>
    </row>
    <row r="55" spans="1:19" ht="100.8" x14ac:dyDescent="0.3">
      <c r="A55" s="96">
        <v>53</v>
      </c>
      <c r="B55" s="87" t="s">
        <v>80</v>
      </c>
      <c r="C55" s="91">
        <v>45726</v>
      </c>
      <c r="D55" s="149" t="s">
        <v>1373</v>
      </c>
      <c r="E55" s="93" t="s">
        <v>15</v>
      </c>
      <c r="F55" s="145" t="s">
        <v>10</v>
      </c>
      <c r="G55" s="183">
        <v>45726</v>
      </c>
      <c r="H55" s="5"/>
      <c r="I55" s="100" t="s">
        <v>1315</v>
      </c>
      <c r="J55" s="21"/>
      <c r="K55" s="18"/>
      <c r="L55" s="19"/>
      <c r="M55" s="23"/>
      <c r="N55" s="11"/>
      <c r="O55" s="12"/>
      <c r="P55" s="65">
        <v>45726</v>
      </c>
      <c r="Q55" s="89">
        <f t="shared" si="1"/>
        <v>1</v>
      </c>
      <c r="R55" s="101" t="s">
        <v>1310</v>
      </c>
      <c r="S55" s="66"/>
    </row>
    <row r="56" spans="1:19" ht="43.2" x14ac:dyDescent="0.3">
      <c r="A56" s="96">
        <v>54</v>
      </c>
      <c r="B56" s="87" t="s">
        <v>80</v>
      </c>
      <c r="C56" s="91">
        <v>45726</v>
      </c>
      <c r="D56" s="149" t="s">
        <v>1374</v>
      </c>
      <c r="E56" s="93" t="s">
        <v>17</v>
      </c>
      <c r="F56" s="145" t="s">
        <v>10</v>
      </c>
      <c r="G56" s="183">
        <v>45726</v>
      </c>
      <c r="H56" s="5">
        <v>10000273302</v>
      </c>
      <c r="I56" s="100" t="s">
        <v>82</v>
      </c>
      <c r="J56" s="154"/>
      <c r="K56" s="155"/>
      <c r="L56" s="156"/>
      <c r="M56" s="157"/>
      <c r="N56" s="158"/>
      <c r="O56" s="159"/>
      <c r="P56" s="65">
        <v>45727</v>
      </c>
      <c r="Q56" s="89">
        <f t="shared" si="1"/>
        <v>1.0000218693959673</v>
      </c>
      <c r="R56" s="101" t="s">
        <v>1319</v>
      </c>
      <c r="S56" s="160"/>
    </row>
    <row r="57" spans="1:19" ht="86.4" x14ac:dyDescent="0.3">
      <c r="A57" s="96">
        <v>55</v>
      </c>
      <c r="B57" s="87" t="s">
        <v>80</v>
      </c>
      <c r="C57" s="91">
        <v>45723</v>
      </c>
      <c r="D57" s="149" t="s">
        <v>1375</v>
      </c>
      <c r="E57" s="93" t="s">
        <v>1</v>
      </c>
      <c r="F57" s="80" t="s">
        <v>10</v>
      </c>
      <c r="G57" s="183">
        <v>45723</v>
      </c>
      <c r="H57" s="5"/>
      <c r="I57" s="100" t="s">
        <v>125</v>
      </c>
      <c r="J57" s="21"/>
      <c r="K57" s="18"/>
      <c r="L57" s="19"/>
      <c r="M57" s="23"/>
      <c r="N57" s="11"/>
      <c r="O57" s="12"/>
      <c r="P57" s="85">
        <v>45727</v>
      </c>
      <c r="Q57" s="89">
        <f t="shared" si="1"/>
        <v>1.0000874833234914</v>
      </c>
      <c r="R57" s="101" t="s">
        <v>214</v>
      </c>
      <c r="S57" s="66"/>
    </row>
    <row r="58" spans="1:19" ht="57.6" x14ac:dyDescent="0.3">
      <c r="A58" s="96">
        <v>56</v>
      </c>
      <c r="B58" s="152">
        <v>1550</v>
      </c>
      <c r="C58" s="153">
        <v>45726</v>
      </c>
      <c r="D58" s="149" t="s">
        <v>1376</v>
      </c>
      <c r="E58" s="162" t="s">
        <v>24</v>
      </c>
      <c r="F58" s="145" t="s">
        <v>4</v>
      </c>
      <c r="G58" s="183">
        <v>45726</v>
      </c>
      <c r="H58" s="146"/>
      <c r="I58" s="100" t="s">
        <v>1260</v>
      </c>
      <c r="J58" s="154"/>
      <c r="K58" s="155"/>
      <c r="L58" s="156"/>
      <c r="M58" s="157"/>
      <c r="N58" s="158"/>
      <c r="O58" s="159"/>
      <c r="P58" s="85">
        <v>45727</v>
      </c>
      <c r="Q58" s="89">
        <f t="shared" si="1"/>
        <v>1.0000218693959673</v>
      </c>
      <c r="R58" s="101"/>
      <c r="S58" s="160"/>
    </row>
    <row r="59" spans="1:19" ht="100.8" x14ac:dyDescent="0.3">
      <c r="A59" s="96">
        <v>57</v>
      </c>
      <c r="B59" s="87" t="s">
        <v>80</v>
      </c>
      <c r="C59" s="91">
        <v>45726</v>
      </c>
      <c r="D59" s="149" t="s">
        <v>1377</v>
      </c>
      <c r="E59" s="93" t="s">
        <v>12</v>
      </c>
      <c r="F59" s="145" t="s">
        <v>10</v>
      </c>
      <c r="G59" s="183">
        <v>45726</v>
      </c>
      <c r="H59" s="5"/>
      <c r="I59" s="100" t="s">
        <v>159</v>
      </c>
      <c r="J59" s="21"/>
      <c r="K59" s="18"/>
      <c r="L59" s="19"/>
      <c r="M59" s="23"/>
      <c r="N59" s="11"/>
      <c r="O59" s="12"/>
      <c r="P59" s="65">
        <v>45727</v>
      </c>
      <c r="Q59" s="89">
        <f t="shared" si="1"/>
        <v>1.0000218693959673</v>
      </c>
      <c r="R59" s="101" t="s">
        <v>1332</v>
      </c>
      <c r="S59" s="66"/>
    </row>
    <row r="60" spans="1:19" ht="144" x14ac:dyDescent="0.3">
      <c r="A60" s="96">
        <v>58</v>
      </c>
      <c r="B60" s="87" t="s">
        <v>80</v>
      </c>
      <c r="C60" s="91">
        <v>45726</v>
      </c>
      <c r="D60" s="149" t="s">
        <v>1378</v>
      </c>
      <c r="E60" s="93" t="s">
        <v>1</v>
      </c>
      <c r="F60" s="145" t="s">
        <v>10</v>
      </c>
      <c r="G60" s="183">
        <v>45726</v>
      </c>
      <c r="H60" s="5"/>
      <c r="I60" s="102" t="s">
        <v>125</v>
      </c>
      <c r="J60" s="154"/>
      <c r="K60" s="155"/>
      <c r="L60" s="156"/>
      <c r="M60" s="157"/>
      <c r="N60" s="158"/>
      <c r="O60" s="159"/>
      <c r="P60" s="65">
        <v>45727</v>
      </c>
      <c r="Q60" s="89">
        <f t="shared" si="1"/>
        <v>1.0000218693959673</v>
      </c>
      <c r="R60" s="101" t="s">
        <v>1319</v>
      </c>
      <c r="S60" s="160"/>
    </row>
    <row r="61" spans="1:19" ht="72" x14ac:dyDescent="0.3">
      <c r="A61" s="96">
        <v>59</v>
      </c>
      <c r="B61" s="87" t="s">
        <v>80</v>
      </c>
      <c r="C61" s="91">
        <v>45726</v>
      </c>
      <c r="D61" s="149" t="s">
        <v>1379</v>
      </c>
      <c r="E61" s="93" t="s">
        <v>15</v>
      </c>
      <c r="F61" s="145" t="s">
        <v>10</v>
      </c>
      <c r="G61" s="183">
        <v>45726</v>
      </c>
      <c r="H61" s="5"/>
      <c r="I61" s="100" t="s">
        <v>1315</v>
      </c>
      <c r="J61" s="21"/>
      <c r="K61" s="18"/>
      <c r="L61" s="19"/>
      <c r="M61" s="23"/>
      <c r="N61" s="11"/>
      <c r="O61" s="12"/>
      <c r="P61" s="65">
        <v>45727</v>
      </c>
      <c r="Q61" s="89">
        <f t="shared" si="1"/>
        <v>1.0000218693959673</v>
      </c>
      <c r="R61" s="101" t="s">
        <v>749</v>
      </c>
      <c r="S61" s="66"/>
    </row>
    <row r="62" spans="1:19" ht="43.2" x14ac:dyDescent="0.3">
      <c r="A62" s="96">
        <v>60</v>
      </c>
      <c r="B62" s="87">
        <v>1550</v>
      </c>
      <c r="C62" s="91">
        <v>45727</v>
      </c>
      <c r="D62" s="149" t="s">
        <v>1380</v>
      </c>
      <c r="E62" s="111" t="s">
        <v>12</v>
      </c>
      <c r="F62" s="127" t="s">
        <v>6</v>
      </c>
      <c r="G62" s="183">
        <v>45727</v>
      </c>
      <c r="H62" s="134"/>
      <c r="I62" s="100" t="s">
        <v>159</v>
      </c>
      <c r="J62" s="21"/>
      <c r="K62" s="18"/>
      <c r="L62" s="19"/>
      <c r="M62" s="23"/>
      <c r="N62" s="11"/>
      <c r="O62" s="12"/>
      <c r="P62" s="65">
        <v>45727</v>
      </c>
      <c r="Q62" s="89">
        <f t="shared" si="1"/>
        <v>1</v>
      </c>
      <c r="R62" s="101"/>
      <c r="S62" s="56"/>
    </row>
    <row r="63" spans="1:19" ht="57.6" x14ac:dyDescent="0.3">
      <c r="A63" s="96">
        <v>61</v>
      </c>
      <c r="B63" s="87">
        <v>1550</v>
      </c>
      <c r="C63" s="91">
        <v>45727</v>
      </c>
      <c r="D63" s="149" t="s">
        <v>1381</v>
      </c>
      <c r="E63" s="93" t="s">
        <v>1326</v>
      </c>
      <c r="F63" s="145" t="s">
        <v>4</v>
      </c>
      <c r="G63" s="183">
        <v>45727</v>
      </c>
      <c r="H63" s="146"/>
      <c r="I63" s="100" t="s">
        <v>1315</v>
      </c>
      <c r="J63" s="21"/>
      <c r="K63" s="18"/>
      <c r="L63" s="19"/>
      <c r="M63" s="23"/>
      <c r="N63" s="11"/>
      <c r="O63" s="12"/>
      <c r="P63" s="65">
        <v>45727</v>
      </c>
      <c r="Q63" s="89">
        <f t="shared" si="1"/>
        <v>1</v>
      </c>
      <c r="R63" s="101"/>
      <c r="S63" s="66"/>
    </row>
    <row r="64" spans="1:19" ht="28.8" x14ac:dyDescent="0.3">
      <c r="A64" s="96">
        <v>62</v>
      </c>
      <c r="B64" s="87">
        <v>1550</v>
      </c>
      <c r="C64" s="91">
        <v>45727</v>
      </c>
      <c r="D64" s="149" t="s">
        <v>1382</v>
      </c>
      <c r="E64" s="93" t="s">
        <v>49</v>
      </c>
      <c r="F64" s="145" t="s">
        <v>8</v>
      </c>
      <c r="G64" s="183">
        <v>45727</v>
      </c>
      <c r="H64" s="5"/>
      <c r="I64" s="100" t="s">
        <v>266</v>
      </c>
      <c r="J64" s="21"/>
      <c r="K64" s="18"/>
      <c r="L64" s="19"/>
      <c r="M64" s="23"/>
      <c r="N64" s="11"/>
      <c r="O64" s="12"/>
      <c r="P64" s="65">
        <v>45727</v>
      </c>
      <c r="Q64" s="89">
        <f t="shared" si="1"/>
        <v>1</v>
      </c>
      <c r="R64" s="101" t="s">
        <v>190</v>
      </c>
      <c r="S64" s="66"/>
    </row>
    <row r="65" spans="1:19" ht="187.2" x14ac:dyDescent="0.3">
      <c r="A65" s="96">
        <v>63</v>
      </c>
      <c r="B65" s="87" t="s">
        <v>80</v>
      </c>
      <c r="C65" s="91">
        <v>45727</v>
      </c>
      <c r="D65" s="149" t="s">
        <v>1383</v>
      </c>
      <c r="E65" s="162" t="s">
        <v>1</v>
      </c>
      <c r="F65" s="80" t="s">
        <v>10</v>
      </c>
      <c r="G65" s="183">
        <v>45727</v>
      </c>
      <c r="H65" s="146"/>
      <c r="I65" s="100" t="s">
        <v>125</v>
      </c>
      <c r="J65" s="21"/>
      <c r="K65" s="18"/>
      <c r="L65" s="19"/>
      <c r="M65" s="23"/>
      <c r="N65" s="11"/>
      <c r="O65" s="12"/>
      <c r="P65" s="65">
        <v>45727</v>
      </c>
      <c r="Q65" s="89">
        <f t="shared" si="1"/>
        <v>1</v>
      </c>
      <c r="R65" s="101" t="s">
        <v>1319</v>
      </c>
      <c r="S65" s="66"/>
    </row>
    <row r="66" spans="1:19" ht="57.6" x14ac:dyDescent="0.3">
      <c r="A66" s="96">
        <v>64</v>
      </c>
      <c r="B66" s="152" t="s">
        <v>80</v>
      </c>
      <c r="C66" s="208">
        <v>45728</v>
      </c>
      <c r="D66" s="149" t="s">
        <v>1384</v>
      </c>
      <c r="E66" s="162" t="s">
        <v>17</v>
      </c>
      <c r="F66" s="145" t="s">
        <v>10</v>
      </c>
      <c r="G66" s="183">
        <v>45728</v>
      </c>
      <c r="H66" s="146"/>
      <c r="I66" s="100" t="s">
        <v>82</v>
      </c>
      <c r="J66" s="154"/>
      <c r="K66" s="155"/>
      <c r="L66" s="156"/>
      <c r="M66" s="157"/>
      <c r="N66" s="158"/>
      <c r="O66" s="159"/>
      <c r="P66" s="65">
        <v>45728</v>
      </c>
      <c r="Q66" s="89">
        <f t="shared" si="1"/>
        <v>1</v>
      </c>
      <c r="R66" s="101" t="s">
        <v>1319</v>
      </c>
      <c r="S66" s="160"/>
    </row>
    <row r="67" spans="1:19" ht="43.2" x14ac:dyDescent="0.3">
      <c r="A67" s="96">
        <v>65</v>
      </c>
      <c r="B67" s="87">
        <v>1550</v>
      </c>
      <c r="C67" s="91">
        <v>45719</v>
      </c>
      <c r="D67" s="149" t="s">
        <v>1385</v>
      </c>
      <c r="E67" s="93" t="s">
        <v>54</v>
      </c>
      <c r="F67" s="80" t="s">
        <v>4</v>
      </c>
      <c r="G67" s="183">
        <v>45719</v>
      </c>
      <c r="H67" s="5"/>
      <c r="I67" s="100" t="s">
        <v>253</v>
      </c>
      <c r="J67" s="21"/>
      <c r="K67" s="18"/>
      <c r="L67" s="19"/>
      <c r="M67" s="23"/>
      <c r="N67" s="11"/>
      <c r="O67" s="12"/>
      <c r="P67" s="65">
        <v>45728</v>
      </c>
      <c r="Q67" s="89">
        <f t="shared" si="1"/>
        <v>1.0001968546993592</v>
      </c>
      <c r="R67" s="101"/>
      <c r="S67" s="66"/>
    </row>
    <row r="68" spans="1:19" ht="43.2" x14ac:dyDescent="0.3">
      <c r="A68" s="96">
        <v>66</v>
      </c>
      <c r="B68" s="87">
        <v>1550</v>
      </c>
      <c r="C68" s="91">
        <v>45719</v>
      </c>
      <c r="D68" s="149" t="s">
        <v>1386</v>
      </c>
      <c r="E68" s="93" t="s">
        <v>54</v>
      </c>
      <c r="F68" s="80" t="s">
        <v>8</v>
      </c>
      <c r="G68" s="183">
        <v>45719</v>
      </c>
      <c r="H68" s="5"/>
      <c r="I68" s="100" t="s">
        <v>253</v>
      </c>
      <c r="J68" s="21"/>
      <c r="K68" s="18"/>
      <c r="L68" s="19"/>
      <c r="M68" s="23"/>
      <c r="N68" s="11"/>
      <c r="O68" s="12"/>
      <c r="P68" s="65">
        <v>45728</v>
      </c>
      <c r="Q68" s="89">
        <f t="shared" si="1"/>
        <v>1.0001968546993592</v>
      </c>
      <c r="R68" s="101" t="s">
        <v>758</v>
      </c>
      <c r="S68" s="66"/>
    </row>
    <row r="69" spans="1:19" ht="43.2" x14ac:dyDescent="0.3">
      <c r="A69" s="96">
        <v>67</v>
      </c>
      <c r="B69" s="87">
        <v>1550</v>
      </c>
      <c r="C69" s="91">
        <v>38414</v>
      </c>
      <c r="D69" s="149" t="s">
        <v>1387</v>
      </c>
      <c r="E69" s="48" t="s">
        <v>54</v>
      </c>
      <c r="F69" s="80" t="s">
        <v>8</v>
      </c>
      <c r="G69" s="183">
        <v>45719</v>
      </c>
      <c r="H69" s="5"/>
      <c r="I69" s="100" t="s">
        <v>253</v>
      </c>
      <c r="J69" s="21"/>
      <c r="K69" s="18"/>
      <c r="L69" s="19"/>
      <c r="M69" s="23"/>
      <c r="N69" s="11"/>
      <c r="O69" s="12"/>
      <c r="P69" s="65">
        <v>45728</v>
      </c>
      <c r="Q69" s="89">
        <f t="shared" si="1"/>
        <v>1.0001968546993592</v>
      </c>
      <c r="R69" s="101" t="s">
        <v>758</v>
      </c>
      <c r="S69" s="66"/>
    </row>
    <row r="70" spans="1:19" ht="43.2" x14ac:dyDescent="0.3">
      <c r="A70" s="96">
        <v>68</v>
      </c>
      <c r="B70" s="87">
        <v>1550</v>
      </c>
      <c r="C70" s="91">
        <v>45720</v>
      </c>
      <c r="D70" s="149" t="s">
        <v>1388</v>
      </c>
      <c r="E70" s="93" t="s">
        <v>11</v>
      </c>
      <c r="F70" s="80" t="s">
        <v>8</v>
      </c>
      <c r="G70" s="183">
        <v>45720</v>
      </c>
      <c r="H70" s="5"/>
      <c r="I70" s="102" t="s">
        <v>106</v>
      </c>
      <c r="J70" s="21"/>
      <c r="K70" s="18"/>
      <c r="L70" s="19"/>
      <c r="M70" s="23"/>
      <c r="N70" s="11"/>
      <c r="O70" s="12"/>
      <c r="P70" s="65">
        <v>45728</v>
      </c>
      <c r="Q70" s="89">
        <f t="shared" si="1"/>
        <v>1.000174978127734</v>
      </c>
      <c r="R70" s="101" t="s">
        <v>205</v>
      </c>
      <c r="S70" s="66"/>
    </row>
    <row r="71" spans="1:19" ht="28.8" x14ac:dyDescent="0.3">
      <c r="A71" s="96">
        <v>69</v>
      </c>
      <c r="B71" s="87">
        <v>1550</v>
      </c>
      <c r="C71" s="91">
        <v>45720</v>
      </c>
      <c r="D71" s="149" t="s">
        <v>1389</v>
      </c>
      <c r="E71" s="48" t="s">
        <v>11</v>
      </c>
      <c r="F71" s="80" t="s">
        <v>8</v>
      </c>
      <c r="G71" s="183">
        <v>45720</v>
      </c>
      <c r="H71" s="5"/>
      <c r="I71" s="102" t="s">
        <v>106</v>
      </c>
      <c r="J71" s="154"/>
      <c r="K71" s="155"/>
      <c r="L71" s="156"/>
      <c r="M71" s="157"/>
      <c r="N71" s="158"/>
      <c r="O71" s="159"/>
      <c r="P71" s="65">
        <v>45728</v>
      </c>
      <c r="Q71" s="89">
        <f t="shared" si="1"/>
        <v>1.000174978127734</v>
      </c>
      <c r="R71" s="101" t="s">
        <v>205</v>
      </c>
      <c r="S71" s="160"/>
    </row>
    <row r="72" spans="1:19" ht="187.2" x14ac:dyDescent="0.3">
      <c r="A72" s="96">
        <v>70</v>
      </c>
      <c r="B72" s="152" t="s">
        <v>80</v>
      </c>
      <c r="C72" s="91">
        <v>45722</v>
      </c>
      <c r="D72" s="149" t="s">
        <v>1390</v>
      </c>
      <c r="E72" s="93" t="s">
        <v>15</v>
      </c>
      <c r="F72" s="145" t="s">
        <v>10</v>
      </c>
      <c r="G72" s="183">
        <v>45722</v>
      </c>
      <c r="H72" s="5"/>
      <c r="I72" s="100" t="s">
        <v>1315</v>
      </c>
      <c r="J72" s="21"/>
      <c r="K72" s="18"/>
      <c r="L72" s="19"/>
      <c r="M72" s="23"/>
      <c r="N72" s="11"/>
      <c r="O72" s="12"/>
      <c r="P72" s="85">
        <v>45728</v>
      </c>
      <c r="Q72" s="89">
        <f t="shared" si="1"/>
        <v>1.0001312278552994</v>
      </c>
      <c r="R72" s="101" t="s">
        <v>1332</v>
      </c>
      <c r="S72" s="66" t="s">
        <v>1391</v>
      </c>
    </row>
    <row r="73" spans="1:19" ht="187.2" x14ac:dyDescent="0.3">
      <c r="A73" s="96">
        <v>71</v>
      </c>
      <c r="B73" s="152" t="s">
        <v>80</v>
      </c>
      <c r="C73" s="91">
        <v>45722</v>
      </c>
      <c r="D73" s="149" t="s">
        <v>1392</v>
      </c>
      <c r="E73" s="93" t="s">
        <v>15</v>
      </c>
      <c r="F73" s="145" t="s">
        <v>10</v>
      </c>
      <c r="G73" s="183">
        <v>45722</v>
      </c>
      <c r="H73" s="5"/>
      <c r="I73" s="100" t="s">
        <v>1315</v>
      </c>
      <c r="J73" s="21"/>
      <c r="K73" s="18"/>
      <c r="L73" s="19"/>
      <c r="M73" s="23"/>
      <c r="N73" s="11"/>
      <c r="O73" s="12"/>
      <c r="P73" s="85">
        <v>45728</v>
      </c>
      <c r="Q73" s="89">
        <f t="shared" si="1"/>
        <v>1.0001312278552994</v>
      </c>
      <c r="R73" s="101" t="s">
        <v>214</v>
      </c>
      <c r="S73" s="66" t="s">
        <v>1391</v>
      </c>
    </row>
    <row r="74" spans="1:19" ht="28.8" x14ac:dyDescent="0.3">
      <c r="A74" s="96">
        <v>72</v>
      </c>
      <c r="B74" s="87">
        <v>1550</v>
      </c>
      <c r="C74" s="91">
        <v>45723</v>
      </c>
      <c r="D74" s="149" t="s">
        <v>1393</v>
      </c>
      <c r="E74" s="111" t="s">
        <v>1</v>
      </c>
      <c r="F74" s="80" t="s">
        <v>4</v>
      </c>
      <c r="G74" s="183">
        <v>45723</v>
      </c>
      <c r="H74" s="137"/>
      <c r="I74" s="102" t="s">
        <v>125</v>
      </c>
      <c r="J74" s="21"/>
      <c r="K74" s="18"/>
      <c r="L74" s="19"/>
      <c r="M74" s="23"/>
      <c r="N74" s="11"/>
      <c r="O74" s="12"/>
      <c r="P74" s="65">
        <v>45728</v>
      </c>
      <c r="Q74" s="89">
        <f t="shared" si="1"/>
        <v>1.0001093541543644</v>
      </c>
      <c r="R74" s="101"/>
      <c r="S74" s="66"/>
    </row>
    <row r="75" spans="1:19" ht="28.8" x14ac:dyDescent="0.3">
      <c r="A75" s="96">
        <v>73</v>
      </c>
      <c r="B75" s="87">
        <v>1550</v>
      </c>
      <c r="C75" s="91">
        <v>45723</v>
      </c>
      <c r="D75" s="149" t="s">
        <v>1394</v>
      </c>
      <c r="E75" s="111" t="s">
        <v>7</v>
      </c>
      <c r="F75" s="80" t="s">
        <v>8</v>
      </c>
      <c r="G75" s="183">
        <v>45723</v>
      </c>
      <c r="H75" s="137"/>
      <c r="I75" s="102" t="s">
        <v>125</v>
      </c>
      <c r="J75" s="154"/>
      <c r="K75" s="155"/>
      <c r="L75" s="156"/>
      <c r="M75" s="157"/>
      <c r="N75" s="158"/>
      <c r="O75" s="159"/>
      <c r="P75" s="85">
        <v>45728</v>
      </c>
      <c r="Q75" s="89">
        <f t="shared" si="1"/>
        <v>1.0001093541543644</v>
      </c>
      <c r="R75" s="101" t="s">
        <v>94</v>
      </c>
      <c r="S75" s="160"/>
    </row>
    <row r="76" spans="1:19" ht="46.8" x14ac:dyDescent="0.3">
      <c r="A76" s="96">
        <v>74</v>
      </c>
      <c r="B76" s="152">
        <v>1550</v>
      </c>
      <c r="C76" s="153">
        <v>45726</v>
      </c>
      <c r="D76" s="350" t="s">
        <v>1395</v>
      </c>
      <c r="E76" s="144" t="s">
        <v>54</v>
      </c>
      <c r="F76" s="145" t="s">
        <v>4</v>
      </c>
      <c r="G76" s="183">
        <v>45726</v>
      </c>
      <c r="H76" s="146"/>
      <c r="I76" s="107" t="s">
        <v>253</v>
      </c>
      <c r="J76" s="154"/>
      <c r="K76" s="155"/>
      <c r="L76" s="156"/>
      <c r="M76" s="157"/>
      <c r="N76" s="158"/>
      <c r="O76" s="159"/>
      <c r="P76" s="65">
        <v>45728</v>
      </c>
      <c r="Q76" s="89">
        <f t="shared" si="1"/>
        <v>1.0000437387919345</v>
      </c>
      <c r="R76" s="101"/>
      <c r="S76" s="160"/>
    </row>
    <row r="77" spans="1:19" ht="43.2" x14ac:dyDescent="0.3">
      <c r="A77" s="96">
        <v>75</v>
      </c>
      <c r="B77" s="152">
        <v>1550</v>
      </c>
      <c r="C77" s="153">
        <v>45726</v>
      </c>
      <c r="D77" s="98" t="s">
        <v>1396</v>
      </c>
      <c r="E77" s="111" t="s">
        <v>54</v>
      </c>
      <c r="F77" s="125" t="s">
        <v>8</v>
      </c>
      <c r="G77" s="183">
        <v>45726</v>
      </c>
      <c r="H77" s="137"/>
      <c r="I77" s="100" t="s">
        <v>253</v>
      </c>
      <c r="J77" s="21"/>
      <c r="K77" s="18"/>
      <c r="L77" s="19"/>
      <c r="M77" s="23"/>
      <c r="N77" s="11"/>
      <c r="O77" s="12"/>
      <c r="P77" s="65">
        <v>45728</v>
      </c>
      <c r="Q77" s="89">
        <f t="shared" si="1"/>
        <v>1.0000437387919345</v>
      </c>
      <c r="R77" s="101" t="s">
        <v>151</v>
      </c>
      <c r="S77" s="66"/>
    </row>
    <row r="78" spans="1:19" ht="57.6" x14ac:dyDescent="0.3">
      <c r="A78" s="96">
        <v>76</v>
      </c>
      <c r="B78" s="152">
        <v>1550</v>
      </c>
      <c r="C78" s="153">
        <v>45726</v>
      </c>
      <c r="D78" s="149" t="s">
        <v>1397</v>
      </c>
      <c r="E78" s="111" t="s">
        <v>1314</v>
      </c>
      <c r="F78" s="125" t="s">
        <v>8</v>
      </c>
      <c r="G78" s="183">
        <v>45726</v>
      </c>
      <c r="H78" s="137"/>
      <c r="I78" s="100" t="s">
        <v>1315</v>
      </c>
      <c r="J78" s="21"/>
      <c r="K78" s="18"/>
      <c r="L78" s="19"/>
      <c r="M78" s="23"/>
      <c r="N78" s="11"/>
      <c r="O78" s="12"/>
      <c r="P78" s="65">
        <v>45728</v>
      </c>
      <c r="Q78" s="89">
        <f t="shared" si="1"/>
        <v>1.0000437387919345</v>
      </c>
      <c r="R78" s="101" t="s">
        <v>151</v>
      </c>
      <c r="S78" s="66"/>
    </row>
    <row r="79" spans="1:19" ht="43.2" x14ac:dyDescent="0.3">
      <c r="A79" s="96">
        <v>77</v>
      </c>
      <c r="B79" s="152">
        <v>1550</v>
      </c>
      <c r="C79" s="91">
        <v>45721</v>
      </c>
      <c r="D79" s="211" t="s">
        <v>1398</v>
      </c>
      <c r="E79" s="111" t="s">
        <v>54</v>
      </c>
      <c r="F79" s="125" t="s">
        <v>6</v>
      </c>
      <c r="G79" s="183">
        <v>45721</v>
      </c>
      <c r="H79" s="137"/>
      <c r="I79" s="100" t="s">
        <v>253</v>
      </c>
      <c r="J79" s="21"/>
      <c r="K79" s="18"/>
      <c r="L79" s="19"/>
      <c r="M79" s="23"/>
      <c r="N79" s="11"/>
      <c r="O79" s="12"/>
      <c r="P79" s="65">
        <v>45728</v>
      </c>
      <c r="Q79" s="89">
        <f t="shared" si="1"/>
        <v>1.0001531025130683</v>
      </c>
      <c r="R79" s="101"/>
      <c r="S79" s="66"/>
    </row>
    <row r="80" spans="1:19" ht="43.2" x14ac:dyDescent="0.3">
      <c r="A80" s="96">
        <v>78</v>
      </c>
      <c r="B80" s="152">
        <v>1550</v>
      </c>
      <c r="C80" s="91">
        <v>45722</v>
      </c>
      <c r="D80" s="211" t="s">
        <v>1399</v>
      </c>
      <c r="E80" s="48" t="s">
        <v>54</v>
      </c>
      <c r="F80" s="125" t="s">
        <v>6</v>
      </c>
      <c r="G80" s="183">
        <v>45722</v>
      </c>
      <c r="H80" s="137"/>
      <c r="I80" s="100" t="s">
        <v>253</v>
      </c>
      <c r="J80" s="21"/>
      <c r="K80" s="18"/>
      <c r="L80" s="19"/>
      <c r="M80" s="23"/>
      <c r="N80" s="11"/>
      <c r="O80" s="12"/>
      <c r="P80" s="65">
        <v>45728</v>
      </c>
      <c r="Q80" s="89">
        <f t="shared" si="1"/>
        <v>1.0001312278552994</v>
      </c>
      <c r="R80" s="101"/>
      <c r="S80" s="66"/>
    </row>
    <row r="81" spans="1:19" ht="43.2" x14ac:dyDescent="0.3">
      <c r="A81" s="96">
        <v>79</v>
      </c>
      <c r="B81" s="152">
        <v>1550</v>
      </c>
      <c r="C81" s="91">
        <v>45723</v>
      </c>
      <c r="D81" s="211" t="s">
        <v>1400</v>
      </c>
      <c r="E81" s="48" t="s">
        <v>54</v>
      </c>
      <c r="F81" s="125" t="s">
        <v>6</v>
      </c>
      <c r="G81" s="183">
        <v>45723</v>
      </c>
      <c r="H81" s="137"/>
      <c r="I81" s="100" t="s">
        <v>253</v>
      </c>
      <c r="J81" s="21"/>
      <c r="K81" s="18"/>
      <c r="L81" s="19"/>
      <c r="M81" s="23"/>
      <c r="N81" s="11"/>
      <c r="O81" s="12"/>
      <c r="P81" s="65">
        <v>45728</v>
      </c>
      <c r="Q81" s="89">
        <f t="shared" si="1"/>
        <v>1.0001093541543644</v>
      </c>
      <c r="R81" s="101"/>
      <c r="S81" s="66"/>
    </row>
    <row r="82" spans="1:19" ht="43.2" x14ac:dyDescent="0.3">
      <c r="A82" s="96">
        <v>80</v>
      </c>
      <c r="B82" s="152">
        <v>1550</v>
      </c>
      <c r="C82" s="91">
        <v>45726</v>
      </c>
      <c r="D82" s="211" t="s">
        <v>1401</v>
      </c>
      <c r="E82" s="93" t="s">
        <v>54</v>
      </c>
      <c r="F82" s="80" t="s">
        <v>6</v>
      </c>
      <c r="G82" s="183">
        <v>45726</v>
      </c>
      <c r="H82" s="5"/>
      <c r="I82" s="100" t="s">
        <v>253</v>
      </c>
      <c r="J82" s="154"/>
      <c r="K82" s="155"/>
      <c r="L82" s="156"/>
      <c r="M82" s="157"/>
      <c r="N82" s="158"/>
      <c r="O82" s="159"/>
      <c r="P82" s="65">
        <v>45728</v>
      </c>
      <c r="Q82" s="89">
        <f t="shared" si="1"/>
        <v>1.0000437387919345</v>
      </c>
      <c r="R82" s="101"/>
      <c r="S82" s="69"/>
    </row>
    <row r="83" spans="1:19" ht="43.2" x14ac:dyDescent="0.3">
      <c r="A83" s="96">
        <v>81</v>
      </c>
      <c r="B83" s="152">
        <v>1550</v>
      </c>
      <c r="C83" s="153">
        <v>45726</v>
      </c>
      <c r="D83" s="352" t="s">
        <v>1402</v>
      </c>
      <c r="E83" s="93" t="s">
        <v>54</v>
      </c>
      <c r="F83" s="80" t="s">
        <v>6</v>
      </c>
      <c r="G83" s="183">
        <v>45726</v>
      </c>
      <c r="H83" s="146"/>
      <c r="I83" s="100" t="s">
        <v>253</v>
      </c>
      <c r="J83" s="154"/>
      <c r="K83" s="155"/>
      <c r="L83" s="156"/>
      <c r="M83" s="157"/>
      <c r="N83" s="158"/>
      <c r="O83" s="159"/>
      <c r="P83" s="65">
        <v>45728</v>
      </c>
      <c r="Q83" s="89">
        <f t="shared" si="1"/>
        <v>1.0000437387919345</v>
      </c>
      <c r="R83" s="101"/>
      <c r="S83" s="160"/>
    </row>
    <row r="84" spans="1:19" ht="43.2" x14ac:dyDescent="0.3">
      <c r="A84" s="96">
        <v>82</v>
      </c>
      <c r="B84" s="152">
        <v>1550</v>
      </c>
      <c r="C84" s="103">
        <v>45726</v>
      </c>
      <c r="D84" s="175" t="s">
        <v>1403</v>
      </c>
      <c r="E84" s="93" t="s">
        <v>54</v>
      </c>
      <c r="F84" s="80" t="s">
        <v>6</v>
      </c>
      <c r="G84" s="183">
        <v>45726</v>
      </c>
      <c r="H84" s="146"/>
      <c r="I84" s="100" t="s">
        <v>253</v>
      </c>
      <c r="J84" s="21"/>
      <c r="K84" s="18"/>
      <c r="L84" s="19"/>
      <c r="M84" s="23"/>
      <c r="N84" s="11"/>
      <c r="O84" s="12"/>
      <c r="P84" s="65">
        <v>45728</v>
      </c>
      <c r="Q84" s="89">
        <f t="shared" si="1"/>
        <v>1.0000437387919345</v>
      </c>
      <c r="R84" s="101"/>
      <c r="S84" s="66"/>
    </row>
    <row r="85" spans="1:19" ht="43.2" x14ac:dyDescent="0.3">
      <c r="A85" s="96">
        <v>83</v>
      </c>
      <c r="B85" s="152">
        <v>1550</v>
      </c>
      <c r="C85" s="103">
        <v>45726</v>
      </c>
      <c r="D85" s="175" t="s">
        <v>1404</v>
      </c>
      <c r="E85" s="93" t="s">
        <v>54</v>
      </c>
      <c r="F85" s="80" t="s">
        <v>6</v>
      </c>
      <c r="G85" s="183">
        <v>45726</v>
      </c>
      <c r="H85" s="146"/>
      <c r="I85" s="100" t="s">
        <v>253</v>
      </c>
      <c r="J85" s="21"/>
      <c r="K85" s="18"/>
      <c r="L85" s="19"/>
      <c r="M85" s="23"/>
      <c r="N85" s="11"/>
      <c r="O85" s="12"/>
      <c r="P85" s="65">
        <v>45728</v>
      </c>
      <c r="Q85" s="89">
        <f t="shared" si="1"/>
        <v>1.0000437387919345</v>
      </c>
      <c r="R85" s="101"/>
      <c r="S85" s="66"/>
    </row>
    <row r="86" spans="1:19" ht="43.2" x14ac:dyDescent="0.3">
      <c r="A86" s="96">
        <v>84</v>
      </c>
      <c r="B86" s="152">
        <v>1550</v>
      </c>
      <c r="C86" s="250">
        <v>45726</v>
      </c>
      <c r="D86" s="175" t="s">
        <v>1405</v>
      </c>
      <c r="E86" s="93" t="s">
        <v>54</v>
      </c>
      <c r="F86" s="80" t="s">
        <v>6</v>
      </c>
      <c r="G86" s="183">
        <v>45726</v>
      </c>
      <c r="H86" s="5"/>
      <c r="I86" s="100" t="s">
        <v>253</v>
      </c>
      <c r="J86" s="21"/>
      <c r="K86" s="18"/>
      <c r="L86" s="19"/>
      <c r="M86" s="23"/>
      <c r="N86" s="11"/>
      <c r="O86" s="12"/>
      <c r="P86" s="65">
        <v>45728</v>
      </c>
      <c r="Q86" s="89">
        <f t="shared" si="1"/>
        <v>1.0000437387919345</v>
      </c>
      <c r="R86" s="101"/>
      <c r="S86" s="66"/>
    </row>
    <row r="87" spans="1:19" ht="43.2" x14ac:dyDescent="0.3">
      <c r="A87" s="96">
        <v>85</v>
      </c>
      <c r="B87" s="152">
        <v>1550</v>
      </c>
      <c r="C87" s="251">
        <v>45726</v>
      </c>
      <c r="D87" s="175" t="s">
        <v>1406</v>
      </c>
      <c r="E87" s="93" t="s">
        <v>54</v>
      </c>
      <c r="F87" s="80" t="s">
        <v>6</v>
      </c>
      <c r="G87" s="183">
        <v>45726</v>
      </c>
      <c r="H87" s="5"/>
      <c r="I87" s="100" t="s">
        <v>253</v>
      </c>
      <c r="J87" s="21"/>
      <c r="K87" s="18"/>
      <c r="L87" s="19"/>
      <c r="M87" s="23"/>
      <c r="N87" s="11"/>
      <c r="O87" s="12"/>
      <c r="P87" s="65">
        <v>45728</v>
      </c>
      <c r="Q87" s="89">
        <f t="shared" ref="Q87:Q150" si="2">P87/G87</f>
        <v>1.0000437387919345</v>
      </c>
      <c r="R87" s="101"/>
      <c r="S87" s="66"/>
    </row>
    <row r="88" spans="1:19" ht="57.6" x14ac:dyDescent="0.3">
      <c r="A88" s="96">
        <v>86</v>
      </c>
      <c r="B88" s="87" t="s">
        <v>80</v>
      </c>
      <c r="C88" s="251">
        <v>45726</v>
      </c>
      <c r="D88" s="109" t="s">
        <v>1407</v>
      </c>
      <c r="E88" s="93" t="s">
        <v>1314</v>
      </c>
      <c r="F88" s="145" t="s">
        <v>10</v>
      </c>
      <c r="G88" s="183">
        <v>45726</v>
      </c>
      <c r="H88" s="5"/>
      <c r="I88" s="100" t="s">
        <v>1315</v>
      </c>
      <c r="J88" s="154"/>
      <c r="K88" s="155"/>
      <c r="L88" s="156"/>
      <c r="M88" s="157"/>
      <c r="N88" s="158"/>
      <c r="O88" s="159"/>
      <c r="P88" s="65">
        <v>45728</v>
      </c>
      <c r="Q88" s="89">
        <f t="shared" si="2"/>
        <v>1.0000437387919345</v>
      </c>
      <c r="R88" s="101" t="s">
        <v>1310</v>
      </c>
      <c r="S88" s="66"/>
    </row>
    <row r="89" spans="1:19" ht="57.6" x14ac:dyDescent="0.3">
      <c r="A89" s="96">
        <v>87</v>
      </c>
      <c r="B89" s="87" t="s">
        <v>80</v>
      </c>
      <c r="C89" s="251">
        <v>45726</v>
      </c>
      <c r="D89" s="109" t="s">
        <v>1408</v>
      </c>
      <c r="E89" s="93" t="s">
        <v>1314</v>
      </c>
      <c r="F89" s="145" t="s">
        <v>10</v>
      </c>
      <c r="G89" s="183">
        <v>45726</v>
      </c>
      <c r="H89" s="5"/>
      <c r="I89" s="100" t="s">
        <v>1315</v>
      </c>
      <c r="J89" s="21"/>
      <c r="K89" s="18"/>
      <c r="L89" s="19"/>
      <c r="M89" s="23"/>
      <c r="N89" s="11"/>
      <c r="O89" s="12"/>
      <c r="P89" s="65">
        <v>45728</v>
      </c>
      <c r="Q89" s="89">
        <f t="shared" si="2"/>
        <v>1.0000437387919345</v>
      </c>
      <c r="R89" s="101" t="s">
        <v>1310</v>
      </c>
      <c r="S89" s="66"/>
    </row>
    <row r="90" spans="1:19" ht="57.6" x14ac:dyDescent="0.3">
      <c r="A90" s="96">
        <v>88</v>
      </c>
      <c r="B90" s="87" t="s">
        <v>80</v>
      </c>
      <c r="C90" s="251">
        <v>45726</v>
      </c>
      <c r="D90" s="109" t="s">
        <v>1409</v>
      </c>
      <c r="E90" s="93" t="s">
        <v>1314</v>
      </c>
      <c r="F90" s="145" t="s">
        <v>10</v>
      </c>
      <c r="G90" s="183">
        <v>45726</v>
      </c>
      <c r="H90" s="5"/>
      <c r="I90" s="100" t="s">
        <v>1315</v>
      </c>
      <c r="J90" s="21"/>
      <c r="K90" s="18"/>
      <c r="L90" s="19"/>
      <c r="M90" s="23"/>
      <c r="N90" s="11"/>
      <c r="O90" s="12"/>
      <c r="P90" s="65">
        <v>45728</v>
      </c>
      <c r="Q90" s="89">
        <f t="shared" si="2"/>
        <v>1.0000437387919345</v>
      </c>
      <c r="R90" s="101" t="s">
        <v>1319</v>
      </c>
      <c r="S90" s="66"/>
    </row>
    <row r="91" spans="1:19" ht="100.8" x14ac:dyDescent="0.3">
      <c r="A91" s="96">
        <v>89</v>
      </c>
      <c r="B91" s="87" t="s">
        <v>80</v>
      </c>
      <c r="C91" s="253">
        <v>45726</v>
      </c>
      <c r="D91" s="109" t="s">
        <v>1410</v>
      </c>
      <c r="E91" s="93" t="s">
        <v>54</v>
      </c>
      <c r="F91" s="145" t="s">
        <v>10</v>
      </c>
      <c r="G91" s="183">
        <v>45726</v>
      </c>
      <c r="H91" s="5"/>
      <c r="I91" s="100" t="s">
        <v>253</v>
      </c>
      <c r="J91" s="21"/>
      <c r="K91" s="18"/>
      <c r="L91" s="19"/>
      <c r="M91" s="23"/>
      <c r="N91" s="11"/>
      <c r="O91" s="12"/>
      <c r="P91" s="65">
        <v>45728</v>
      </c>
      <c r="Q91" s="89">
        <f t="shared" si="2"/>
        <v>1.0000437387919345</v>
      </c>
      <c r="R91" s="101" t="s">
        <v>1411</v>
      </c>
      <c r="S91" s="66"/>
    </row>
    <row r="92" spans="1:19" ht="28.8" x14ac:dyDescent="0.3">
      <c r="A92" s="96">
        <v>90</v>
      </c>
      <c r="B92" s="87" t="s">
        <v>80</v>
      </c>
      <c r="C92" s="103">
        <v>45726</v>
      </c>
      <c r="D92" s="109" t="s">
        <v>1412</v>
      </c>
      <c r="E92" s="93" t="s">
        <v>23</v>
      </c>
      <c r="F92" s="145" t="s">
        <v>10</v>
      </c>
      <c r="G92" s="183">
        <v>45726</v>
      </c>
      <c r="H92" s="5"/>
      <c r="I92" s="100" t="s">
        <v>135</v>
      </c>
      <c r="J92" s="154"/>
      <c r="K92" s="155"/>
      <c r="L92" s="156"/>
      <c r="M92" s="157"/>
      <c r="N92" s="158"/>
      <c r="O92" s="159"/>
      <c r="P92" s="65">
        <v>45728</v>
      </c>
      <c r="Q92" s="89">
        <f t="shared" si="2"/>
        <v>1.0000437387919345</v>
      </c>
      <c r="R92" s="101" t="s">
        <v>1319</v>
      </c>
      <c r="S92" s="160"/>
    </row>
    <row r="93" spans="1:19" ht="100.8" x14ac:dyDescent="0.3">
      <c r="A93" s="96">
        <v>91</v>
      </c>
      <c r="B93" s="87" t="s">
        <v>80</v>
      </c>
      <c r="C93" s="91">
        <v>45726</v>
      </c>
      <c r="D93" s="149" t="s">
        <v>1413</v>
      </c>
      <c r="E93" s="93" t="s">
        <v>54</v>
      </c>
      <c r="F93" s="145" t="s">
        <v>10</v>
      </c>
      <c r="G93" s="183">
        <v>45726</v>
      </c>
      <c r="H93" s="5"/>
      <c r="I93" s="100" t="s">
        <v>253</v>
      </c>
      <c r="J93" s="21"/>
      <c r="K93" s="18"/>
      <c r="L93" s="19"/>
      <c r="M93" s="23"/>
      <c r="N93" s="11"/>
      <c r="O93" s="12"/>
      <c r="P93" s="65">
        <v>45728</v>
      </c>
      <c r="Q93" s="89">
        <f t="shared" si="2"/>
        <v>1.0000437387919345</v>
      </c>
      <c r="R93" s="101" t="s">
        <v>165</v>
      </c>
      <c r="S93" s="66"/>
    </row>
    <row r="94" spans="1:19" ht="100.8" x14ac:dyDescent="0.3">
      <c r="A94" s="96">
        <v>92</v>
      </c>
      <c r="B94" s="87" t="s">
        <v>80</v>
      </c>
      <c r="C94" s="91">
        <v>45726</v>
      </c>
      <c r="D94" s="149" t="s">
        <v>1414</v>
      </c>
      <c r="E94" s="93" t="s">
        <v>54</v>
      </c>
      <c r="F94" s="145" t="s">
        <v>10</v>
      </c>
      <c r="G94" s="183">
        <v>45726</v>
      </c>
      <c r="H94" s="5"/>
      <c r="I94" s="100" t="s">
        <v>253</v>
      </c>
      <c r="J94" s="21"/>
      <c r="K94" s="18"/>
      <c r="L94" s="19"/>
      <c r="M94" s="23"/>
      <c r="N94" s="11"/>
      <c r="O94" s="12"/>
      <c r="P94" s="65">
        <v>45728</v>
      </c>
      <c r="Q94" s="89">
        <f t="shared" si="2"/>
        <v>1.0000437387919345</v>
      </c>
      <c r="R94" s="101" t="s">
        <v>1310</v>
      </c>
      <c r="S94" s="66"/>
    </row>
    <row r="95" spans="1:19" ht="43.2" x14ac:dyDescent="0.3">
      <c r="A95" s="96">
        <v>93</v>
      </c>
      <c r="B95" s="152">
        <v>1150</v>
      </c>
      <c r="C95" s="153">
        <v>45727</v>
      </c>
      <c r="D95" s="149" t="s">
        <v>1403</v>
      </c>
      <c r="E95" s="48" t="s">
        <v>54</v>
      </c>
      <c r="F95" s="80" t="s">
        <v>6</v>
      </c>
      <c r="G95" s="183">
        <v>45727</v>
      </c>
      <c r="H95" s="5"/>
      <c r="I95" s="100" t="s">
        <v>253</v>
      </c>
      <c r="J95" s="21"/>
      <c r="K95" s="18"/>
      <c r="L95" s="19"/>
      <c r="M95" s="23"/>
      <c r="N95" s="11"/>
      <c r="O95" s="12"/>
      <c r="P95" s="65">
        <v>45728</v>
      </c>
      <c r="Q95" s="89">
        <f t="shared" si="2"/>
        <v>1.0000218689177072</v>
      </c>
      <c r="R95" s="101"/>
      <c r="S95" s="160"/>
    </row>
    <row r="96" spans="1:19" ht="43.2" x14ac:dyDescent="0.3">
      <c r="A96" s="96">
        <v>94</v>
      </c>
      <c r="B96" s="152">
        <v>1550</v>
      </c>
      <c r="C96" s="153">
        <v>45727</v>
      </c>
      <c r="D96" s="149" t="s">
        <v>1415</v>
      </c>
      <c r="E96" s="93" t="s">
        <v>54</v>
      </c>
      <c r="F96" s="80" t="s">
        <v>8</v>
      </c>
      <c r="G96" s="183">
        <v>45727</v>
      </c>
      <c r="H96" s="5"/>
      <c r="I96" s="107" t="s">
        <v>253</v>
      </c>
      <c r="J96" s="21"/>
      <c r="K96" s="18"/>
      <c r="L96" s="19"/>
      <c r="M96" s="23"/>
      <c r="N96" s="11"/>
      <c r="O96" s="12"/>
      <c r="P96" s="65">
        <v>45728</v>
      </c>
      <c r="Q96" s="89">
        <f t="shared" si="2"/>
        <v>1.0000218689177072</v>
      </c>
      <c r="R96" s="101" t="s">
        <v>270</v>
      </c>
      <c r="S96" s="66"/>
    </row>
    <row r="97" spans="1:19" x14ac:dyDescent="0.3">
      <c r="A97" s="96">
        <v>95</v>
      </c>
      <c r="B97" s="87">
        <v>1550</v>
      </c>
      <c r="C97" s="91">
        <v>45727</v>
      </c>
      <c r="D97" s="349" t="s">
        <v>1416</v>
      </c>
      <c r="E97" s="93" t="s">
        <v>23</v>
      </c>
      <c r="F97" s="145" t="s">
        <v>4</v>
      </c>
      <c r="G97" s="183">
        <v>45727</v>
      </c>
      <c r="H97" s="146"/>
      <c r="I97" s="100" t="s">
        <v>135</v>
      </c>
      <c r="J97" s="21"/>
      <c r="K97" s="18"/>
      <c r="L97" s="19"/>
      <c r="M97" s="23"/>
      <c r="N97" s="11"/>
      <c r="O97" s="12"/>
      <c r="P97" s="65">
        <v>45728</v>
      </c>
      <c r="Q97" s="89">
        <f t="shared" si="2"/>
        <v>1.0000218689177072</v>
      </c>
      <c r="R97" s="101"/>
      <c r="S97" s="66"/>
    </row>
    <row r="98" spans="1:19" ht="57.6" x14ac:dyDescent="0.3">
      <c r="A98" s="96">
        <v>96</v>
      </c>
      <c r="B98" s="87">
        <v>1550</v>
      </c>
      <c r="C98" s="91">
        <v>45727</v>
      </c>
      <c r="D98" s="149" t="s">
        <v>1417</v>
      </c>
      <c r="E98" s="93" t="s">
        <v>23</v>
      </c>
      <c r="F98" s="145" t="s">
        <v>8</v>
      </c>
      <c r="G98" s="183">
        <v>45727</v>
      </c>
      <c r="H98" s="5"/>
      <c r="I98" s="100" t="s">
        <v>135</v>
      </c>
      <c r="J98" s="21"/>
      <c r="K98" s="18"/>
      <c r="L98" s="19"/>
      <c r="M98" s="23"/>
      <c r="N98" s="11"/>
      <c r="O98" s="12"/>
      <c r="P98" s="65">
        <v>45728</v>
      </c>
      <c r="Q98" s="89">
        <f t="shared" si="2"/>
        <v>1.0000218689177072</v>
      </c>
      <c r="R98" s="101" t="s">
        <v>136</v>
      </c>
      <c r="S98" s="66"/>
    </row>
    <row r="99" spans="1:19" ht="43.2" x14ac:dyDescent="0.3">
      <c r="A99" s="96">
        <v>97</v>
      </c>
      <c r="B99" s="87">
        <v>1550</v>
      </c>
      <c r="C99" s="91">
        <v>45727</v>
      </c>
      <c r="D99" s="149" t="s">
        <v>1418</v>
      </c>
      <c r="E99" s="93" t="s">
        <v>54</v>
      </c>
      <c r="F99" s="145" t="s">
        <v>4</v>
      </c>
      <c r="G99" s="183">
        <v>45727</v>
      </c>
      <c r="H99" s="146"/>
      <c r="I99" s="100" t="s">
        <v>253</v>
      </c>
      <c r="J99" s="21"/>
      <c r="K99" s="18"/>
      <c r="L99" s="19"/>
      <c r="M99" s="23"/>
      <c r="N99" s="11"/>
      <c r="O99" s="12"/>
      <c r="P99" s="65">
        <v>45728</v>
      </c>
      <c r="Q99" s="89">
        <f t="shared" si="2"/>
        <v>1.0000218689177072</v>
      </c>
      <c r="R99" s="101"/>
      <c r="S99" s="66"/>
    </row>
    <row r="100" spans="1:19" ht="43.2" x14ac:dyDescent="0.3">
      <c r="A100" s="96">
        <v>98</v>
      </c>
      <c r="B100" s="152">
        <v>1150</v>
      </c>
      <c r="C100" s="153">
        <v>45727</v>
      </c>
      <c r="D100" s="149" t="s">
        <v>1419</v>
      </c>
      <c r="E100" s="111" t="s">
        <v>54</v>
      </c>
      <c r="F100" s="80" t="s">
        <v>6</v>
      </c>
      <c r="G100" s="183">
        <v>45727</v>
      </c>
      <c r="H100" s="137"/>
      <c r="I100" s="100" t="s">
        <v>253</v>
      </c>
      <c r="J100" s="21"/>
      <c r="K100" s="18"/>
      <c r="L100" s="19"/>
      <c r="M100" s="23"/>
      <c r="N100" s="11"/>
      <c r="O100" s="12"/>
      <c r="P100" s="65">
        <v>45728</v>
      </c>
      <c r="Q100" s="89">
        <f t="shared" si="2"/>
        <v>1.0000218689177072</v>
      </c>
      <c r="R100" s="101"/>
      <c r="S100" s="66"/>
    </row>
    <row r="101" spans="1:19" ht="43.2" x14ac:dyDescent="0.3">
      <c r="A101" s="96">
        <v>99</v>
      </c>
      <c r="B101" s="152">
        <v>1150</v>
      </c>
      <c r="C101" s="153">
        <v>45727</v>
      </c>
      <c r="D101" s="149" t="s">
        <v>1400</v>
      </c>
      <c r="E101" s="93" t="s">
        <v>54</v>
      </c>
      <c r="F101" s="80" t="s">
        <v>6</v>
      </c>
      <c r="G101" s="183">
        <v>45727</v>
      </c>
      <c r="H101" s="5"/>
      <c r="I101" s="100" t="s">
        <v>253</v>
      </c>
      <c r="J101" s="21"/>
      <c r="K101" s="18"/>
      <c r="L101" s="19"/>
      <c r="M101" s="23"/>
      <c r="N101" s="11"/>
      <c r="O101" s="12"/>
      <c r="P101" s="65">
        <v>45728</v>
      </c>
      <c r="Q101" s="89">
        <f t="shared" si="2"/>
        <v>1.0000218689177072</v>
      </c>
      <c r="R101" s="101"/>
      <c r="S101" s="66"/>
    </row>
    <row r="102" spans="1:19" ht="43.2" x14ac:dyDescent="0.3">
      <c r="A102" s="96">
        <v>100</v>
      </c>
      <c r="B102" s="87">
        <v>1550</v>
      </c>
      <c r="C102" s="91">
        <v>45727</v>
      </c>
      <c r="D102" s="149" t="s">
        <v>1420</v>
      </c>
      <c r="E102" s="48" t="s">
        <v>54</v>
      </c>
      <c r="F102" s="80" t="s">
        <v>8</v>
      </c>
      <c r="G102" s="183">
        <v>45727</v>
      </c>
      <c r="H102" s="5"/>
      <c r="I102" s="100" t="s">
        <v>253</v>
      </c>
      <c r="J102" s="21"/>
      <c r="K102" s="18"/>
      <c r="L102" s="19"/>
      <c r="M102" s="23"/>
      <c r="N102" s="11"/>
      <c r="O102" s="12"/>
      <c r="P102" s="65">
        <v>45728</v>
      </c>
      <c r="Q102" s="89">
        <f t="shared" si="2"/>
        <v>1.0000218689177072</v>
      </c>
      <c r="R102" s="101" t="s">
        <v>136</v>
      </c>
      <c r="S102" s="66"/>
    </row>
    <row r="103" spans="1:19" ht="57.6" x14ac:dyDescent="0.3">
      <c r="A103" s="96">
        <v>101</v>
      </c>
      <c r="B103" s="87">
        <v>1150</v>
      </c>
      <c r="C103" s="91">
        <v>45727</v>
      </c>
      <c r="D103" s="149" t="s">
        <v>1421</v>
      </c>
      <c r="E103" s="48" t="s">
        <v>56</v>
      </c>
      <c r="F103" s="80" t="s">
        <v>6</v>
      </c>
      <c r="G103" s="183">
        <v>45727</v>
      </c>
      <c r="H103" s="5"/>
      <c r="I103" s="100" t="s">
        <v>1315</v>
      </c>
      <c r="J103" s="21"/>
      <c r="K103" s="18"/>
      <c r="L103" s="19"/>
      <c r="M103" s="23"/>
      <c r="N103" s="11"/>
      <c r="O103" s="12"/>
      <c r="P103" s="65">
        <v>45728</v>
      </c>
      <c r="Q103" s="89">
        <f t="shared" si="2"/>
        <v>1.0000218689177072</v>
      </c>
      <c r="R103" s="101"/>
      <c r="S103" s="66"/>
    </row>
    <row r="104" spans="1:19" ht="115.2" x14ac:dyDescent="0.3">
      <c r="A104" s="96">
        <v>102</v>
      </c>
      <c r="B104" s="87" t="s">
        <v>80</v>
      </c>
      <c r="C104" s="91">
        <v>45727</v>
      </c>
      <c r="D104" s="149" t="s">
        <v>1422</v>
      </c>
      <c r="E104" s="93" t="s">
        <v>54</v>
      </c>
      <c r="F104" s="80" t="s">
        <v>10</v>
      </c>
      <c r="G104" s="183">
        <v>45727</v>
      </c>
      <c r="H104" s="5"/>
      <c r="I104" s="100" t="s">
        <v>253</v>
      </c>
      <c r="J104" s="21"/>
      <c r="K104" s="18"/>
      <c r="L104" s="19"/>
      <c r="M104" s="23"/>
      <c r="N104" s="11"/>
      <c r="O104" s="12"/>
      <c r="P104" s="65">
        <v>45728</v>
      </c>
      <c r="Q104" s="89">
        <f t="shared" si="2"/>
        <v>1.0000218689177072</v>
      </c>
      <c r="R104" s="101" t="s">
        <v>1411</v>
      </c>
      <c r="S104" s="66"/>
    </row>
    <row r="105" spans="1:19" ht="57.6" x14ac:dyDescent="0.3">
      <c r="A105" s="96">
        <v>103</v>
      </c>
      <c r="B105" s="87" t="s">
        <v>80</v>
      </c>
      <c r="C105" s="91">
        <v>45727</v>
      </c>
      <c r="D105" s="149" t="s">
        <v>1423</v>
      </c>
      <c r="E105" s="93" t="s">
        <v>1314</v>
      </c>
      <c r="F105" s="145" t="s">
        <v>10</v>
      </c>
      <c r="G105" s="183">
        <v>45727</v>
      </c>
      <c r="H105" s="5"/>
      <c r="I105" s="100" t="s">
        <v>1315</v>
      </c>
      <c r="J105" s="21"/>
      <c r="K105" s="18"/>
      <c r="L105" s="19"/>
      <c r="M105" s="23"/>
      <c r="N105" s="11"/>
      <c r="O105" s="12"/>
      <c r="P105" s="65">
        <v>45728</v>
      </c>
      <c r="Q105" s="89">
        <f t="shared" si="2"/>
        <v>1.0000218689177072</v>
      </c>
      <c r="R105" s="101" t="s">
        <v>1319</v>
      </c>
      <c r="S105" s="69"/>
    </row>
    <row r="106" spans="1:19" ht="57.6" x14ac:dyDescent="0.3">
      <c r="A106" s="96">
        <v>104</v>
      </c>
      <c r="B106" s="87" t="s">
        <v>80</v>
      </c>
      <c r="C106" s="91">
        <v>45727</v>
      </c>
      <c r="D106" s="149" t="s">
        <v>1424</v>
      </c>
      <c r="E106" s="93" t="s">
        <v>1314</v>
      </c>
      <c r="F106" s="145" t="s">
        <v>10</v>
      </c>
      <c r="G106" s="183">
        <v>45727</v>
      </c>
      <c r="H106" s="5"/>
      <c r="I106" s="100" t="s">
        <v>1315</v>
      </c>
      <c r="J106" s="21"/>
      <c r="K106" s="18"/>
      <c r="L106" s="19"/>
      <c r="M106" s="23"/>
      <c r="N106" s="11"/>
      <c r="O106" s="12"/>
      <c r="P106" s="65">
        <v>45728</v>
      </c>
      <c r="Q106" s="89">
        <f t="shared" si="2"/>
        <v>1.0000218689177072</v>
      </c>
      <c r="R106" s="101" t="s">
        <v>216</v>
      </c>
      <c r="S106" s="69"/>
    </row>
    <row r="107" spans="1:19" ht="43.2" x14ac:dyDescent="0.3">
      <c r="A107" s="96">
        <v>105</v>
      </c>
      <c r="B107" s="87" t="s">
        <v>80</v>
      </c>
      <c r="C107" s="91">
        <v>45727</v>
      </c>
      <c r="D107" s="149" t="s">
        <v>1425</v>
      </c>
      <c r="E107" s="144" t="s">
        <v>23</v>
      </c>
      <c r="F107" s="80" t="s">
        <v>10</v>
      </c>
      <c r="G107" s="183">
        <v>45727</v>
      </c>
      <c r="H107" s="146"/>
      <c r="I107" s="100" t="s">
        <v>135</v>
      </c>
      <c r="J107" s="21"/>
      <c r="K107" s="18"/>
      <c r="L107" s="19"/>
      <c r="M107" s="23"/>
      <c r="N107" s="11"/>
      <c r="O107" s="12"/>
      <c r="P107" s="65">
        <v>45728</v>
      </c>
      <c r="Q107" s="89">
        <f t="shared" si="2"/>
        <v>1.0000218689177072</v>
      </c>
      <c r="R107" s="101" t="s">
        <v>749</v>
      </c>
      <c r="S107" s="66"/>
    </row>
    <row r="108" spans="1:19" ht="43.2" x14ac:dyDescent="0.3">
      <c r="A108" s="96">
        <v>106</v>
      </c>
      <c r="B108" s="87" t="s">
        <v>80</v>
      </c>
      <c r="C108" s="91">
        <v>45727</v>
      </c>
      <c r="D108" s="98" t="s">
        <v>1426</v>
      </c>
      <c r="E108" s="93" t="s">
        <v>23</v>
      </c>
      <c r="F108" s="80" t="s">
        <v>10</v>
      </c>
      <c r="G108" s="183">
        <v>45727</v>
      </c>
      <c r="H108" s="5"/>
      <c r="I108" s="100" t="s">
        <v>135</v>
      </c>
      <c r="J108" s="21"/>
      <c r="K108" s="18"/>
      <c r="L108" s="19"/>
      <c r="M108" s="23"/>
      <c r="N108" s="11"/>
      <c r="O108" s="12"/>
      <c r="P108" s="65">
        <v>45728</v>
      </c>
      <c r="Q108" s="89">
        <f t="shared" si="2"/>
        <v>1.0000218689177072</v>
      </c>
      <c r="R108" s="101" t="s">
        <v>749</v>
      </c>
      <c r="S108" s="66"/>
    </row>
    <row r="109" spans="1:19" ht="100.8" x14ac:dyDescent="0.3">
      <c r="A109" s="96">
        <v>107</v>
      </c>
      <c r="B109" s="87" t="s">
        <v>80</v>
      </c>
      <c r="C109" s="91">
        <v>45727</v>
      </c>
      <c r="D109" s="98" t="s">
        <v>1427</v>
      </c>
      <c r="E109" s="48" t="s">
        <v>54</v>
      </c>
      <c r="F109" s="80" t="s">
        <v>10</v>
      </c>
      <c r="G109" s="183">
        <v>45727</v>
      </c>
      <c r="H109" s="5"/>
      <c r="I109" s="100" t="s">
        <v>253</v>
      </c>
      <c r="J109" s="21"/>
      <c r="K109" s="18"/>
      <c r="L109" s="19"/>
      <c r="M109" s="23"/>
      <c r="N109" s="11"/>
      <c r="O109" s="12"/>
      <c r="P109" s="65">
        <v>45728</v>
      </c>
      <c r="Q109" s="89">
        <f t="shared" si="2"/>
        <v>1.0000218689177072</v>
      </c>
      <c r="R109" s="101" t="s">
        <v>214</v>
      </c>
      <c r="S109" s="66"/>
    </row>
    <row r="110" spans="1:19" ht="43.2" x14ac:dyDescent="0.3">
      <c r="A110" s="96">
        <v>108</v>
      </c>
      <c r="B110" s="87">
        <v>1550</v>
      </c>
      <c r="C110" s="91">
        <v>45728</v>
      </c>
      <c r="D110" s="98" t="s">
        <v>1428</v>
      </c>
      <c r="E110" s="144" t="s">
        <v>23</v>
      </c>
      <c r="F110" s="145" t="s">
        <v>8</v>
      </c>
      <c r="G110" s="183">
        <v>45728</v>
      </c>
      <c r="H110" s="146"/>
      <c r="I110" s="100" t="s">
        <v>135</v>
      </c>
      <c r="J110" s="154"/>
      <c r="K110" s="155"/>
      <c r="L110" s="156"/>
      <c r="M110" s="157"/>
      <c r="N110" s="158"/>
      <c r="O110" s="159"/>
      <c r="P110" s="65">
        <v>45728</v>
      </c>
      <c r="Q110" s="89">
        <f t="shared" si="2"/>
        <v>1</v>
      </c>
      <c r="R110" s="101" t="s">
        <v>1246</v>
      </c>
      <c r="S110" s="160"/>
    </row>
    <row r="111" spans="1:19" ht="28.8" x14ac:dyDescent="0.3">
      <c r="A111" s="96">
        <v>109</v>
      </c>
      <c r="B111" s="87">
        <v>1550</v>
      </c>
      <c r="C111" s="91">
        <v>45728</v>
      </c>
      <c r="D111" s="149" t="s">
        <v>1429</v>
      </c>
      <c r="E111" s="144" t="s">
        <v>1</v>
      </c>
      <c r="F111" s="145" t="s">
        <v>4</v>
      </c>
      <c r="G111" s="183">
        <v>45728</v>
      </c>
      <c r="H111" s="146"/>
      <c r="I111" s="100" t="s">
        <v>125</v>
      </c>
      <c r="J111" s="154"/>
      <c r="K111" s="155"/>
      <c r="L111" s="156"/>
      <c r="M111" s="157"/>
      <c r="N111" s="158"/>
      <c r="O111" s="159"/>
      <c r="P111" s="65">
        <v>45728</v>
      </c>
      <c r="Q111" s="89">
        <f t="shared" si="2"/>
        <v>1</v>
      </c>
      <c r="R111" s="101"/>
      <c r="S111" s="167"/>
    </row>
    <row r="112" spans="1:19" ht="43.2" x14ac:dyDescent="0.3">
      <c r="A112" s="96">
        <v>110</v>
      </c>
      <c r="B112" s="87">
        <v>1550</v>
      </c>
      <c r="C112" s="91">
        <v>45728</v>
      </c>
      <c r="D112" s="149" t="s">
        <v>1430</v>
      </c>
      <c r="E112" s="144" t="s">
        <v>23</v>
      </c>
      <c r="F112" s="145" t="s">
        <v>8</v>
      </c>
      <c r="G112" s="183">
        <v>45728</v>
      </c>
      <c r="H112" s="146"/>
      <c r="I112" s="100" t="s">
        <v>125</v>
      </c>
      <c r="J112" s="154"/>
      <c r="K112" s="155"/>
      <c r="L112" s="156"/>
      <c r="M112" s="157"/>
      <c r="N112" s="158"/>
      <c r="O112" s="159"/>
      <c r="P112" s="65">
        <v>45728</v>
      </c>
      <c r="Q112" s="89">
        <f t="shared" si="2"/>
        <v>1</v>
      </c>
      <c r="R112" s="101" t="s">
        <v>147</v>
      </c>
      <c r="S112" s="120"/>
    </row>
    <row r="113" spans="1:19" ht="43.2" x14ac:dyDescent="0.3">
      <c r="A113" s="96">
        <v>111</v>
      </c>
      <c r="B113" s="87">
        <v>1550</v>
      </c>
      <c r="C113" s="91">
        <v>45728</v>
      </c>
      <c r="D113" s="149" t="s">
        <v>1431</v>
      </c>
      <c r="E113" s="48" t="s">
        <v>23</v>
      </c>
      <c r="F113" s="80" t="s">
        <v>8</v>
      </c>
      <c r="G113" s="183">
        <v>45728</v>
      </c>
      <c r="H113" s="25"/>
      <c r="I113" s="100" t="s">
        <v>135</v>
      </c>
      <c r="J113" s="21"/>
      <c r="K113" s="18"/>
      <c r="L113" s="19"/>
      <c r="M113" s="23"/>
      <c r="N113" s="11"/>
      <c r="O113" s="12"/>
      <c r="P113" s="65">
        <v>45728</v>
      </c>
      <c r="Q113" s="89">
        <f t="shared" si="2"/>
        <v>1</v>
      </c>
      <c r="R113" s="101" t="s">
        <v>190</v>
      </c>
      <c r="S113" s="66"/>
    </row>
    <row r="114" spans="1:19" ht="43.2" x14ac:dyDescent="0.3">
      <c r="A114" s="96">
        <v>112</v>
      </c>
      <c r="B114" s="87">
        <v>1550</v>
      </c>
      <c r="C114" s="91">
        <v>45728</v>
      </c>
      <c r="D114" s="149" t="s">
        <v>1432</v>
      </c>
      <c r="E114" s="48" t="s">
        <v>23</v>
      </c>
      <c r="F114" s="80" t="s">
        <v>8</v>
      </c>
      <c r="G114" s="183">
        <v>45728</v>
      </c>
      <c r="H114" s="5"/>
      <c r="I114" s="100" t="s">
        <v>135</v>
      </c>
      <c r="J114" s="21"/>
      <c r="K114" s="18"/>
      <c r="L114" s="19"/>
      <c r="M114" s="23"/>
      <c r="N114" s="11"/>
      <c r="O114" s="12"/>
      <c r="P114" s="65">
        <v>45728</v>
      </c>
      <c r="Q114" s="89">
        <f t="shared" si="2"/>
        <v>1</v>
      </c>
      <c r="R114" s="94" t="s">
        <v>136</v>
      </c>
      <c r="S114" s="66"/>
    </row>
    <row r="115" spans="1:19" ht="43.2" x14ac:dyDescent="0.3">
      <c r="A115" s="96">
        <v>113</v>
      </c>
      <c r="B115" s="87">
        <v>1550</v>
      </c>
      <c r="C115" s="91">
        <v>45728</v>
      </c>
      <c r="D115" s="149" t="s">
        <v>1433</v>
      </c>
      <c r="E115" s="93" t="s">
        <v>23</v>
      </c>
      <c r="F115" s="80" t="s">
        <v>8</v>
      </c>
      <c r="G115" s="183">
        <v>45728</v>
      </c>
      <c r="H115" s="146"/>
      <c r="I115" s="102" t="s">
        <v>135</v>
      </c>
      <c r="J115" s="154"/>
      <c r="K115" s="155"/>
      <c r="L115" s="156"/>
      <c r="M115" s="157"/>
      <c r="N115" s="158"/>
      <c r="O115" s="159"/>
      <c r="P115" s="65">
        <v>45728</v>
      </c>
      <c r="Q115" s="89">
        <f t="shared" si="2"/>
        <v>1</v>
      </c>
      <c r="R115" s="101" t="s">
        <v>190</v>
      </c>
      <c r="S115" s="160"/>
    </row>
    <row r="116" spans="1:19" ht="43.2" x14ac:dyDescent="0.3">
      <c r="A116" s="96">
        <v>114</v>
      </c>
      <c r="B116" s="87">
        <v>1550</v>
      </c>
      <c r="C116" s="91">
        <v>45728</v>
      </c>
      <c r="D116" s="149" t="s">
        <v>1434</v>
      </c>
      <c r="E116" s="93" t="s">
        <v>23</v>
      </c>
      <c r="F116" s="145" t="s">
        <v>8</v>
      </c>
      <c r="G116" s="183">
        <v>45728</v>
      </c>
      <c r="H116" s="146"/>
      <c r="I116" s="100" t="s">
        <v>135</v>
      </c>
      <c r="J116" s="21"/>
      <c r="K116" s="18"/>
      <c r="L116" s="19"/>
      <c r="M116" s="23"/>
      <c r="N116" s="11"/>
      <c r="O116" s="12"/>
      <c r="P116" s="65">
        <v>45728</v>
      </c>
      <c r="Q116" s="89">
        <f t="shared" si="2"/>
        <v>1</v>
      </c>
      <c r="R116" s="101" t="s">
        <v>151</v>
      </c>
      <c r="S116" s="66"/>
    </row>
    <row r="117" spans="1:19" ht="57.6" x14ac:dyDescent="0.3">
      <c r="A117" s="96">
        <v>115</v>
      </c>
      <c r="B117" s="87">
        <v>1550</v>
      </c>
      <c r="C117" s="91">
        <v>45728</v>
      </c>
      <c r="D117" s="149" t="s">
        <v>1435</v>
      </c>
      <c r="E117" s="144" t="s">
        <v>7</v>
      </c>
      <c r="F117" s="145" t="s">
        <v>6</v>
      </c>
      <c r="G117" s="183">
        <v>45728</v>
      </c>
      <c r="H117" s="146"/>
      <c r="I117" s="100" t="s">
        <v>1315</v>
      </c>
      <c r="J117" s="154"/>
      <c r="K117" s="155"/>
      <c r="L117" s="156"/>
      <c r="M117" s="157"/>
      <c r="N117" s="158"/>
      <c r="O117" s="159"/>
      <c r="P117" s="65">
        <v>45728</v>
      </c>
      <c r="Q117" s="89">
        <f t="shared" si="2"/>
        <v>1</v>
      </c>
      <c r="R117" s="101"/>
      <c r="S117" s="160"/>
    </row>
    <row r="118" spans="1:19" ht="72" x14ac:dyDescent="0.3">
      <c r="A118" s="96">
        <v>116</v>
      </c>
      <c r="B118" s="87">
        <v>1550</v>
      </c>
      <c r="C118" s="91">
        <v>45728</v>
      </c>
      <c r="D118" s="149" t="s">
        <v>1436</v>
      </c>
      <c r="E118" s="144" t="s">
        <v>3</v>
      </c>
      <c r="F118" s="145" t="s">
        <v>6</v>
      </c>
      <c r="G118" s="183">
        <v>45728</v>
      </c>
      <c r="H118" s="146"/>
      <c r="I118" s="107" t="s">
        <v>125</v>
      </c>
      <c r="J118" s="21"/>
      <c r="K118" s="18"/>
      <c r="L118" s="19"/>
      <c r="M118" s="23"/>
      <c r="N118" s="11"/>
      <c r="O118" s="12"/>
      <c r="P118" s="65">
        <v>45728</v>
      </c>
      <c r="Q118" s="89">
        <f t="shared" si="2"/>
        <v>1</v>
      </c>
      <c r="R118" s="101"/>
      <c r="S118" s="66"/>
    </row>
    <row r="119" spans="1:19" ht="43.2" x14ac:dyDescent="0.3">
      <c r="A119" s="96">
        <v>117</v>
      </c>
      <c r="B119" s="87">
        <v>1550</v>
      </c>
      <c r="C119" s="91">
        <v>45728</v>
      </c>
      <c r="D119" s="149" t="s">
        <v>1437</v>
      </c>
      <c r="E119" s="144" t="s">
        <v>23</v>
      </c>
      <c r="F119" s="145" t="s">
        <v>8</v>
      </c>
      <c r="G119" s="183">
        <v>45728</v>
      </c>
      <c r="H119" s="146"/>
      <c r="I119" s="100" t="s">
        <v>135</v>
      </c>
      <c r="J119" s="21"/>
      <c r="K119" s="18"/>
      <c r="L119" s="19"/>
      <c r="M119" s="23"/>
      <c r="N119" s="11"/>
      <c r="O119" s="12"/>
      <c r="P119" s="65">
        <v>45728</v>
      </c>
      <c r="Q119" s="89">
        <f t="shared" si="2"/>
        <v>1</v>
      </c>
      <c r="R119" s="101" t="s">
        <v>205</v>
      </c>
      <c r="S119" s="66"/>
    </row>
    <row r="120" spans="1:19" ht="43.2" x14ac:dyDescent="0.3">
      <c r="A120" s="96">
        <v>118</v>
      </c>
      <c r="B120" s="87">
        <v>1550</v>
      </c>
      <c r="C120" s="91">
        <v>45728</v>
      </c>
      <c r="D120" s="149" t="s">
        <v>1438</v>
      </c>
      <c r="E120" s="126" t="s">
        <v>23</v>
      </c>
      <c r="F120" s="127" t="s">
        <v>8</v>
      </c>
      <c r="G120" s="183">
        <v>45728</v>
      </c>
      <c r="H120" s="134"/>
      <c r="I120" s="100" t="s">
        <v>135</v>
      </c>
      <c r="J120" s="21"/>
      <c r="K120" s="18"/>
      <c r="L120" s="19"/>
      <c r="M120" s="23"/>
      <c r="N120" s="11"/>
      <c r="O120" s="12"/>
      <c r="P120" s="65">
        <v>45728</v>
      </c>
      <c r="Q120" s="89">
        <f t="shared" si="2"/>
        <v>1</v>
      </c>
      <c r="R120" s="101" t="s">
        <v>138</v>
      </c>
      <c r="S120" s="66"/>
    </row>
    <row r="121" spans="1:19" ht="57.6" x14ac:dyDescent="0.3">
      <c r="A121" s="96">
        <v>119</v>
      </c>
      <c r="B121" s="87">
        <v>1550</v>
      </c>
      <c r="C121" s="91">
        <v>45728</v>
      </c>
      <c r="D121" s="149" t="s">
        <v>1439</v>
      </c>
      <c r="E121" s="126" t="s">
        <v>23</v>
      </c>
      <c r="F121" s="127" t="s">
        <v>8</v>
      </c>
      <c r="G121" s="183">
        <v>45728</v>
      </c>
      <c r="H121" s="134"/>
      <c r="I121" s="100" t="s">
        <v>135</v>
      </c>
      <c r="J121" s="21"/>
      <c r="K121" s="18"/>
      <c r="L121" s="19"/>
      <c r="M121" s="23"/>
      <c r="N121" s="11"/>
      <c r="O121" s="12"/>
      <c r="P121" s="65">
        <v>45728</v>
      </c>
      <c r="Q121" s="89">
        <f t="shared" si="2"/>
        <v>1</v>
      </c>
      <c r="R121" s="101" t="s">
        <v>138</v>
      </c>
      <c r="S121" s="66"/>
    </row>
    <row r="122" spans="1:19" ht="43.2" x14ac:dyDescent="0.3">
      <c r="A122" s="96">
        <v>120</v>
      </c>
      <c r="B122" s="87">
        <v>1550</v>
      </c>
      <c r="C122" s="91">
        <v>45728</v>
      </c>
      <c r="D122" s="149" t="s">
        <v>1440</v>
      </c>
      <c r="E122" s="126" t="s">
        <v>23</v>
      </c>
      <c r="F122" s="127" t="s">
        <v>8</v>
      </c>
      <c r="G122" s="183">
        <v>45728</v>
      </c>
      <c r="H122" s="134"/>
      <c r="I122" s="100" t="s">
        <v>135</v>
      </c>
      <c r="J122" s="21"/>
      <c r="K122" s="18"/>
      <c r="L122" s="19"/>
      <c r="M122" s="23"/>
      <c r="N122" s="11"/>
      <c r="O122" s="12"/>
      <c r="P122" s="65">
        <v>45728</v>
      </c>
      <c r="Q122" s="89">
        <f t="shared" si="2"/>
        <v>1</v>
      </c>
      <c r="R122" s="101" t="s">
        <v>138</v>
      </c>
      <c r="S122" s="66"/>
    </row>
    <row r="123" spans="1:19" ht="43.2" x14ac:dyDescent="0.3">
      <c r="A123" s="96">
        <v>121</v>
      </c>
      <c r="B123" s="87">
        <v>1550</v>
      </c>
      <c r="C123" s="91">
        <v>45728</v>
      </c>
      <c r="D123" s="620" t="s">
        <v>1441</v>
      </c>
      <c r="E123" s="144" t="s">
        <v>23</v>
      </c>
      <c r="F123" s="127" t="s">
        <v>8</v>
      </c>
      <c r="G123" s="183">
        <v>45728</v>
      </c>
      <c r="H123" s="146"/>
      <c r="I123" s="100" t="s">
        <v>135</v>
      </c>
      <c r="J123" s="21"/>
      <c r="K123" s="18"/>
      <c r="L123" s="19"/>
      <c r="M123" s="23"/>
      <c r="N123" s="11"/>
      <c r="O123" s="12"/>
      <c r="P123" s="65">
        <v>45728</v>
      </c>
      <c r="Q123" s="89">
        <f t="shared" si="2"/>
        <v>1</v>
      </c>
      <c r="R123" s="101" t="s">
        <v>94</v>
      </c>
      <c r="S123" s="66"/>
    </row>
    <row r="124" spans="1:19" ht="43.2" x14ac:dyDescent="0.3">
      <c r="A124" s="96">
        <v>122</v>
      </c>
      <c r="B124" s="87">
        <v>1550</v>
      </c>
      <c r="C124" s="91">
        <v>45728</v>
      </c>
      <c r="D124" s="149" t="s">
        <v>1442</v>
      </c>
      <c r="E124" s="48" t="s">
        <v>23</v>
      </c>
      <c r="F124" s="125" t="s">
        <v>8</v>
      </c>
      <c r="G124" s="183">
        <v>45728</v>
      </c>
      <c r="H124" s="5"/>
      <c r="I124" s="107" t="s">
        <v>135</v>
      </c>
      <c r="J124" s="21"/>
      <c r="K124" s="18"/>
      <c r="L124" s="19"/>
      <c r="M124" s="23"/>
      <c r="N124" s="11"/>
      <c r="O124" s="12"/>
      <c r="P124" s="65">
        <v>45728</v>
      </c>
      <c r="Q124" s="89">
        <f t="shared" si="2"/>
        <v>1</v>
      </c>
      <c r="R124" s="101" t="s">
        <v>190</v>
      </c>
      <c r="S124" s="66"/>
    </row>
    <row r="125" spans="1:19" ht="28.8" x14ac:dyDescent="0.3">
      <c r="A125" s="96">
        <v>123</v>
      </c>
      <c r="B125" s="152" t="s">
        <v>80</v>
      </c>
      <c r="C125" s="208">
        <v>45728</v>
      </c>
      <c r="D125" s="149" t="s">
        <v>1443</v>
      </c>
      <c r="E125" s="162" t="s">
        <v>23</v>
      </c>
      <c r="F125" s="145" t="s">
        <v>10</v>
      </c>
      <c r="G125" s="183">
        <v>45728</v>
      </c>
      <c r="H125" s="146"/>
      <c r="I125" s="100" t="s">
        <v>135</v>
      </c>
      <c r="J125" s="154"/>
      <c r="K125" s="155"/>
      <c r="L125" s="156"/>
      <c r="M125" s="157"/>
      <c r="N125" s="158"/>
      <c r="O125" s="159"/>
      <c r="P125" s="65">
        <v>45728</v>
      </c>
      <c r="Q125" s="89">
        <f t="shared" si="2"/>
        <v>1</v>
      </c>
      <c r="R125" s="101" t="s">
        <v>1366</v>
      </c>
      <c r="S125" s="160"/>
    </row>
    <row r="126" spans="1:19" ht="28.8" x14ac:dyDescent="0.3">
      <c r="A126" s="96">
        <v>124</v>
      </c>
      <c r="B126" s="152" t="s">
        <v>80</v>
      </c>
      <c r="C126" s="208">
        <v>45728</v>
      </c>
      <c r="D126" s="149" t="s">
        <v>1444</v>
      </c>
      <c r="E126" s="162" t="s">
        <v>23</v>
      </c>
      <c r="F126" s="145" t="s">
        <v>10</v>
      </c>
      <c r="G126" s="183">
        <v>45728</v>
      </c>
      <c r="H126" s="146"/>
      <c r="I126" s="100" t="s">
        <v>135</v>
      </c>
      <c r="J126" s="21"/>
      <c r="K126" s="18"/>
      <c r="L126" s="19"/>
      <c r="M126" s="23"/>
      <c r="N126" s="11"/>
      <c r="O126" s="12"/>
      <c r="P126" s="65">
        <v>45728</v>
      </c>
      <c r="Q126" s="89">
        <f t="shared" si="2"/>
        <v>1</v>
      </c>
      <c r="R126" s="101" t="s">
        <v>323</v>
      </c>
      <c r="S126" s="66"/>
    </row>
    <row r="127" spans="1:19" ht="28.8" x14ac:dyDescent="0.3">
      <c r="A127" s="96">
        <v>125</v>
      </c>
      <c r="B127" s="152" t="s">
        <v>80</v>
      </c>
      <c r="C127" s="208">
        <v>45728</v>
      </c>
      <c r="D127" s="149" t="s">
        <v>1445</v>
      </c>
      <c r="E127" s="144" t="s">
        <v>23</v>
      </c>
      <c r="F127" s="127" t="s">
        <v>10</v>
      </c>
      <c r="G127" s="183">
        <v>45728</v>
      </c>
      <c r="H127" s="146"/>
      <c r="I127" s="100" t="s">
        <v>135</v>
      </c>
      <c r="J127" s="21"/>
      <c r="K127" s="18"/>
      <c r="L127" s="19"/>
      <c r="M127" s="23"/>
      <c r="N127" s="11"/>
      <c r="O127" s="12"/>
      <c r="P127" s="65">
        <v>45728</v>
      </c>
      <c r="Q127" s="89">
        <f t="shared" si="2"/>
        <v>1</v>
      </c>
      <c r="R127" s="101" t="s">
        <v>323</v>
      </c>
      <c r="S127" s="66"/>
    </row>
    <row r="128" spans="1:19" ht="43.2" x14ac:dyDescent="0.3">
      <c r="A128" s="96">
        <v>126</v>
      </c>
      <c r="B128" s="152" t="s">
        <v>80</v>
      </c>
      <c r="C128" s="208">
        <v>45728</v>
      </c>
      <c r="D128" s="149" t="s">
        <v>1446</v>
      </c>
      <c r="E128" s="126" t="s">
        <v>23</v>
      </c>
      <c r="F128" s="127" t="s">
        <v>10</v>
      </c>
      <c r="G128" s="183">
        <v>45728</v>
      </c>
      <c r="H128" s="134"/>
      <c r="I128" s="100" t="s">
        <v>135</v>
      </c>
      <c r="J128" s="21"/>
      <c r="K128" s="18"/>
      <c r="L128" s="19"/>
      <c r="M128" s="23"/>
      <c r="N128" s="11"/>
      <c r="O128" s="12"/>
      <c r="P128" s="65">
        <v>45728</v>
      </c>
      <c r="Q128" s="89">
        <f t="shared" si="2"/>
        <v>1</v>
      </c>
      <c r="R128" s="101" t="s">
        <v>749</v>
      </c>
      <c r="S128" s="66"/>
    </row>
    <row r="129" spans="1:19" ht="57.6" x14ac:dyDescent="0.3">
      <c r="A129" s="96">
        <v>127</v>
      </c>
      <c r="B129" s="152" t="s">
        <v>80</v>
      </c>
      <c r="C129" s="208">
        <v>45728</v>
      </c>
      <c r="D129" s="149" t="s">
        <v>1365</v>
      </c>
      <c r="E129" s="126" t="s">
        <v>1314</v>
      </c>
      <c r="F129" s="127" t="s">
        <v>10</v>
      </c>
      <c r="G129" s="183">
        <v>45728</v>
      </c>
      <c r="H129" s="134"/>
      <c r="I129" s="100" t="s">
        <v>1315</v>
      </c>
      <c r="J129" s="21"/>
      <c r="K129" s="18"/>
      <c r="L129" s="19"/>
      <c r="M129" s="23"/>
      <c r="N129" s="11"/>
      <c r="O129" s="12"/>
      <c r="P129" s="65">
        <v>45728</v>
      </c>
      <c r="Q129" s="89">
        <f t="shared" si="2"/>
        <v>1</v>
      </c>
      <c r="R129" s="101" t="s">
        <v>1319</v>
      </c>
      <c r="S129" s="66"/>
    </row>
    <row r="130" spans="1:19" ht="28.8" x14ac:dyDescent="0.3">
      <c r="A130" s="96">
        <v>128</v>
      </c>
      <c r="B130" s="152" t="s">
        <v>80</v>
      </c>
      <c r="C130" s="208">
        <v>45728</v>
      </c>
      <c r="D130" s="149" t="s">
        <v>1447</v>
      </c>
      <c r="E130" s="216" t="s">
        <v>23</v>
      </c>
      <c r="F130" s="127" t="s">
        <v>10</v>
      </c>
      <c r="G130" s="183">
        <v>45728</v>
      </c>
      <c r="H130" s="223"/>
      <c r="I130" s="238" t="s">
        <v>135</v>
      </c>
      <c r="J130" s="21"/>
      <c r="K130" s="18"/>
      <c r="L130" s="19"/>
      <c r="M130" s="23"/>
      <c r="N130" s="11"/>
      <c r="O130" s="12"/>
      <c r="P130" s="65">
        <v>45728</v>
      </c>
      <c r="Q130" s="89">
        <f t="shared" si="2"/>
        <v>1</v>
      </c>
      <c r="R130" s="101" t="s">
        <v>323</v>
      </c>
      <c r="S130" s="66"/>
    </row>
    <row r="131" spans="1:19" ht="43.2" x14ac:dyDescent="0.3">
      <c r="A131" s="96">
        <v>129</v>
      </c>
      <c r="B131" s="152" t="s">
        <v>80</v>
      </c>
      <c r="C131" s="208">
        <v>45728</v>
      </c>
      <c r="D131" s="149" t="s">
        <v>1448</v>
      </c>
      <c r="E131" s="195" t="s">
        <v>23</v>
      </c>
      <c r="F131" s="127" t="s">
        <v>10</v>
      </c>
      <c r="G131" s="183">
        <v>45728</v>
      </c>
      <c r="H131" s="134"/>
      <c r="I131" s="125" t="s">
        <v>135</v>
      </c>
      <c r="J131" s="114"/>
      <c r="K131" s="18"/>
      <c r="L131" s="19"/>
      <c r="M131" s="23"/>
      <c r="N131" s="11"/>
      <c r="O131" s="12"/>
      <c r="P131" s="65">
        <v>45728</v>
      </c>
      <c r="Q131" s="89">
        <f t="shared" si="2"/>
        <v>1</v>
      </c>
      <c r="R131" s="101" t="s">
        <v>749</v>
      </c>
      <c r="S131" s="66"/>
    </row>
    <row r="132" spans="1:19" ht="43.2" x14ac:dyDescent="0.3">
      <c r="A132" s="96">
        <v>130</v>
      </c>
      <c r="B132" s="152" t="s">
        <v>80</v>
      </c>
      <c r="C132" s="208">
        <v>45728</v>
      </c>
      <c r="D132" s="149" t="s">
        <v>1449</v>
      </c>
      <c r="E132" s="126" t="s">
        <v>23</v>
      </c>
      <c r="F132" s="127" t="s">
        <v>10</v>
      </c>
      <c r="G132" s="183">
        <v>45728</v>
      </c>
      <c r="H132" s="134"/>
      <c r="I132" s="125" t="s">
        <v>135</v>
      </c>
      <c r="J132" s="114"/>
      <c r="K132" s="18"/>
      <c r="L132" s="19"/>
      <c r="M132" s="23"/>
      <c r="N132" s="11"/>
      <c r="O132" s="12"/>
      <c r="P132" s="65">
        <v>45728</v>
      </c>
      <c r="Q132" s="89">
        <f t="shared" si="2"/>
        <v>1</v>
      </c>
      <c r="R132" s="101" t="s">
        <v>749</v>
      </c>
      <c r="S132" s="66"/>
    </row>
    <row r="133" spans="1:19" ht="43.2" x14ac:dyDescent="0.3">
      <c r="A133" s="96">
        <v>131</v>
      </c>
      <c r="B133" s="186" t="s">
        <v>80</v>
      </c>
      <c r="C133" s="206">
        <v>45728</v>
      </c>
      <c r="D133" s="98" t="s">
        <v>1450</v>
      </c>
      <c r="E133" s="126" t="s">
        <v>23</v>
      </c>
      <c r="F133" s="127" t="s">
        <v>10</v>
      </c>
      <c r="G133" s="138">
        <v>45728</v>
      </c>
      <c r="H133" s="134"/>
      <c r="I133" s="125" t="s">
        <v>135</v>
      </c>
      <c r="J133" s="626"/>
      <c r="K133" s="164"/>
      <c r="L133" s="228"/>
      <c r="M133" s="157"/>
      <c r="N133" s="158"/>
      <c r="O133" s="159"/>
      <c r="P133" s="65">
        <v>45728</v>
      </c>
      <c r="Q133" s="89">
        <f t="shared" si="2"/>
        <v>1</v>
      </c>
      <c r="R133" s="101" t="s">
        <v>749</v>
      </c>
      <c r="S133" s="160"/>
    </row>
    <row r="134" spans="1:19" ht="28.8" x14ac:dyDescent="0.3">
      <c r="A134" s="96">
        <v>132</v>
      </c>
      <c r="B134" s="186" t="s">
        <v>80</v>
      </c>
      <c r="C134" s="206">
        <v>45728</v>
      </c>
      <c r="D134" s="98" t="s">
        <v>1451</v>
      </c>
      <c r="E134" s="126" t="s">
        <v>23</v>
      </c>
      <c r="F134" s="127" t="s">
        <v>10</v>
      </c>
      <c r="G134" s="138">
        <v>45728</v>
      </c>
      <c r="H134" s="134"/>
      <c r="I134" s="125" t="s">
        <v>135</v>
      </c>
      <c r="J134" s="190"/>
      <c r="K134" s="155"/>
      <c r="L134" s="156"/>
      <c r="M134" s="157"/>
      <c r="N134" s="158"/>
      <c r="O134" s="159"/>
      <c r="P134" s="65">
        <v>45728</v>
      </c>
      <c r="Q134" s="89">
        <f t="shared" si="2"/>
        <v>1</v>
      </c>
      <c r="R134" s="101" t="s">
        <v>214</v>
      </c>
      <c r="S134" s="160"/>
    </row>
    <row r="135" spans="1:19" ht="28.8" x14ac:dyDescent="0.3">
      <c r="A135" s="96">
        <v>133</v>
      </c>
      <c r="B135" s="186" t="s">
        <v>80</v>
      </c>
      <c r="C135" s="206">
        <v>45728</v>
      </c>
      <c r="D135" s="109" t="s">
        <v>1452</v>
      </c>
      <c r="E135" s="126" t="s">
        <v>23</v>
      </c>
      <c r="F135" s="127" t="s">
        <v>10</v>
      </c>
      <c r="G135" s="138">
        <v>45728</v>
      </c>
      <c r="H135" s="134"/>
      <c r="I135" s="125" t="s">
        <v>135</v>
      </c>
      <c r="J135" s="190"/>
      <c r="K135" s="155"/>
      <c r="L135" s="156"/>
      <c r="M135" s="157"/>
      <c r="N135" s="158"/>
      <c r="O135" s="159"/>
      <c r="P135" s="65">
        <v>45728</v>
      </c>
      <c r="Q135" s="89">
        <f t="shared" si="2"/>
        <v>1</v>
      </c>
      <c r="R135" s="101" t="s">
        <v>216</v>
      </c>
      <c r="S135" s="160"/>
    </row>
    <row r="136" spans="1:19" ht="28.8" x14ac:dyDescent="0.3">
      <c r="A136" s="96">
        <v>134</v>
      </c>
      <c r="B136" s="186" t="s">
        <v>80</v>
      </c>
      <c r="C136" s="206">
        <v>45728</v>
      </c>
      <c r="D136" s="98" t="s">
        <v>1453</v>
      </c>
      <c r="E136" s="126" t="s">
        <v>23</v>
      </c>
      <c r="F136" s="127" t="s">
        <v>10</v>
      </c>
      <c r="G136" s="138">
        <v>45728</v>
      </c>
      <c r="H136" s="134"/>
      <c r="I136" s="125" t="s">
        <v>135</v>
      </c>
      <c r="J136" s="190"/>
      <c r="K136" s="155"/>
      <c r="L136" s="156"/>
      <c r="M136" s="157"/>
      <c r="N136" s="158"/>
      <c r="O136" s="159"/>
      <c r="P136" s="65">
        <v>45728</v>
      </c>
      <c r="Q136" s="89">
        <f t="shared" si="2"/>
        <v>1</v>
      </c>
      <c r="R136" s="101" t="s">
        <v>165</v>
      </c>
      <c r="S136" s="160"/>
    </row>
    <row r="137" spans="1:19" ht="28.8" x14ac:dyDescent="0.3">
      <c r="A137" s="96">
        <v>135</v>
      </c>
      <c r="B137" s="186" t="s">
        <v>80</v>
      </c>
      <c r="C137" s="206">
        <v>45728</v>
      </c>
      <c r="D137" s="109" t="s">
        <v>1454</v>
      </c>
      <c r="E137" s="126" t="s">
        <v>23</v>
      </c>
      <c r="F137" s="127" t="s">
        <v>10</v>
      </c>
      <c r="G137" s="138">
        <v>45728</v>
      </c>
      <c r="H137" s="134"/>
      <c r="I137" s="125" t="s">
        <v>135</v>
      </c>
      <c r="J137" s="114"/>
      <c r="K137" s="18"/>
      <c r="L137" s="19"/>
      <c r="M137" s="23"/>
      <c r="N137" s="11"/>
      <c r="O137" s="12"/>
      <c r="P137" s="85">
        <v>45728</v>
      </c>
      <c r="Q137" s="89">
        <f t="shared" si="2"/>
        <v>1</v>
      </c>
      <c r="R137" s="101" t="s">
        <v>214</v>
      </c>
      <c r="S137" s="66"/>
    </row>
    <row r="138" spans="1:19" ht="28.8" x14ac:dyDescent="0.3">
      <c r="A138" s="96">
        <v>136</v>
      </c>
      <c r="B138" s="186" t="s">
        <v>80</v>
      </c>
      <c r="C138" s="206">
        <v>45728</v>
      </c>
      <c r="D138" s="109" t="s">
        <v>1455</v>
      </c>
      <c r="E138" s="126" t="s">
        <v>23</v>
      </c>
      <c r="F138" s="127" t="s">
        <v>10</v>
      </c>
      <c r="G138" s="138">
        <v>45728</v>
      </c>
      <c r="H138" s="134"/>
      <c r="I138" s="125" t="s">
        <v>135</v>
      </c>
      <c r="J138" s="114"/>
      <c r="K138" s="18"/>
      <c r="L138" s="19"/>
      <c r="M138" s="23"/>
      <c r="N138" s="11"/>
      <c r="O138" s="12"/>
      <c r="P138" s="85">
        <v>45728</v>
      </c>
      <c r="Q138" s="89">
        <f t="shared" si="2"/>
        <v>1</v>
      </c>
      <c r="R138" s="101" t="s">
        <v>216</v>
      </c>
      <c r="S138" s="66"/>
    </row>
    <row r="139" spans="1:19" ht="57.6" x14ac:dyDescent="0.3">
      <c r="A139" s="96">
        <v>137</v>
      </c>
      <c r="B139" s="87">
        <v>1550</v>
      </c>
      <c r="C139" s="90">
        <v>45723</v>
      </c>
      <c r="D139" s="149" t="s">
        <v>1456</v>
      </c>
      <c r="E139" s="111" t="s">
        <v>33</v>
      </c>
      <c r="F139" s="125" t="s">
        <v>8</v>
      </c>
      <c r="G139" s="138">
        <v>45723</v>
      </c>
      <c r="H139" s="137"/>
      <c r="I139" s="100" t="s">
        <v>1315</v>
      </c>
      <c r="J139" s="114"/>
      <c r="K139" s="18"/>
      <c r="L139" s="19"/>
      <c r="M139" s="23"/>
      <c r="N139" s="11"/>
      <c r="O139" s="12"/>
      <c r="P139" s="85">
        <v>45729</v>
      </c>
      <c r="Q139" s="89">
        <f t="shared" si="2"/>
        <v>1.0001312249852372</v>
      </c>
      <c r="R139" s="101" t="s">
        <v>270</v>
      </c>
      <c r="S139" s="66"/>
    </row>
    <row r="140" spans="1:19" x14ac:dyDescent="0.3">
      <c r="A140" s="96">
        <v>138</v>
      </c>
      <c r="B140" s="87">
        <v>1550</v>
      </c>
      <c r="C140" s="90">
        <v>45727</v>
      </c>
      <c r="D140" s="96" t="s">
        <v>1457</v>
      </c>
      <c r="E140" s="48" t="s">
        <v>23</v>
      </c>
      <c r="F140" s="145" t="s">
        <v>4</v>
      </c>
      <c r="G140" s="138">
        <v>45727</v>
      </c>
      <c r="H140" s="134"/>
      <c r="I140" s="125" t="s">
        <v>135</v>
      </c>
      <c r="J140" s="114"/>
      <c r="K140" s="18"/>
      <c r="L140" s="19"/>
      <c r="M140" s="23"/>
      <c r="N140" s="11"/>
      <c r="O140" s="12"/>
      <c r="P140" s="65">
        <v>45729</v>
      </c>
      <c r="Q140" s="89">
        <f t="shared" si="2"/>
        <v>1.0000437378354146</v>
      </c>
      <c r="R140" s="101"/>
      <c r="S140" s="66"/>
    </row>
    <row r="141" spans="1:19" ht="86.4" x14ac:dyDescent="0.3">
      <c r="A141" s="96">
        <v>139</v>
      </c>
      <c r="B141" s="87" t="s">
        <v>80</v>
      </c>
      <c r="C141" s="91">
        <v>45727</v>
      </c>
      <c r="D141" s="149" t="s">
        <v>1458</v>
      </c>
      <c r="E141" s="144" t="s">
        <v>52</v>
      </c>
      <c r="F141" s="80" t="s">
        <v>10</v>
      </c>
      <c r="G141" s="183">
        <v>45727</v>
      </c>
      <c r="H141" s="146"/>
      <c r="I141" s="100" t="s">
        <v>253</v>
      </c>
      <c r="J141" s="21"/>
      <c r="K141" s="18"/>
      <c r="L141" s="19"/>
      <c r="M141" s="23"/>
      <c r="N141" s="11"/>
      <c r="O141" s="12"/>
      <c r="P141" s="65">
        <v>45729</v>
      </c>
      <c r="Q141" s="89">
        <f t="shared" si="2"/>
        <v>1.0000437378354146</v>
      </c>
      <c r="R141" s="101" t="s">
        <v>1319</v>
      </c>
      <c r="S141" s="66"/>
    </row>
    <row r="142" spans="1:19" x14ac:dyDescent="0.3">
      <c r="A142" s="96">
        <v>140</v>
      </c>
      <c r="B142" s="87">
        <v>1550</v>
      </c>
      <c r="C142" s="91">
        <v>45728</v>
      </c>
      <c r="D142" s="96" t="s">
        <v>1459</v>
      </c>
      <c r="E142" s="144" t="s">
        <v>23</v>
      </c>
      <c r="F142" s="145" t="s">
        <v>4</v>
      </c>
      <c r="G142" s="183">
        <v>45728</v>
      </c>
      <c r="H142" s="5"/>
      <c r="I142" s="100" t="s">
        <v>135</v>
      </c>
      <c r="J142" s="21"/>
      <c r="K142" s="18"/>
      <c r="L142" s="19"/>
      <c r="M142" s="23"/>
      <c r="N142" s="11"/>
      <c r="O142" s="12"/>
      <c r="P142" s="65">
        <v>45729</v>
      </c>
      <c r="Q142" s="89">
        <f t="shared" si="2"/>
        <v>1.0000218684394682</v>
      </c>
      <c r="R142" s="101"/>
      <c r="S142" s="121"/>
    </row>
    <row r="143" spans="1:19" x14ac:dyDescent="0.3">
      <c r="A143" s="96">
        <v>141</v>
      </c>
      <c r="B143" s="87">
        <v>1550</v>
      </c>
      <c r="C143" s="91">
        <v>45728</v>
      </c>
      <c r="D143" s="351" t="s">
        <v>1460</v>
      </c>
      <c r="E143" s="48" t="s">
        <v>23</v>
      </c>
      <c r="F143" s="145" t="s">
        <v>4</v>
      </c>
      <c r="G143" s="183">
        <v>45728</v>
      </c>
      <c r="H143" s="5"/>
      <c r="I143" s="100" t="s">
        <v>135</v>
      </c>
      <c r="J143" s="21"/>
      <c r="K143" s="18"/>
      <c r="L143" s="19"/>
      <c r="M143" s="23"/>
      <c r="N143" s="11"/>
      <c r="O143" s="12"/>
      <c r="P143" s="65">
        <v>45729</v>
      </c>
      <c r="Q143" s="89">
        <f t="shared" si="2"/>
        <v>1.0000218684394682</v>
      </c>
      <c r="R143" s="94"/>
      <c r="S143" s="160"/>
    </row>
    <row r="144" spans="1:19" x14ac:dyDescent="0.3">
      <c r="A144" s="96">
        <v>142</v>
      </c>
      <c r="B144" s="87">
        <v>1550</v>
      </c>
      <c r="C144" s="91">
        <v>45728</v>
      </c>
      <c r="D144" s="149" t="s">
        <v>1461</v>
      </c>
      <c r="E144" s="144" t="s">
        <v>23</v>
      </c>
      <c r="F144" s="145" t="s">
        <v>4</v>
      </c>
      <c r="G144" s="183">
        <v>45728</v>
      </c>
      <c r="H144" s="5"/>
      <c r="I144" s="100" t="s">
        <v>135</v>
      </c>
      <c r="J144" s="21"/>
      <c r="K144" s="18"/>
      <c r="L144" s="19"/>
      <c r="M144" s="23"/>
      <c r="N144" s="11"/>
      <c r="O144" s="12"/>
      <c r="P144" s="65">
        <v>45729</v>
      </c>
      <c r="Q144" s="89">
        <f t="shared" si="2"/>
        <v>1.0000218684394682</v>
      </c>
      <c r="R144" s="94"/>
      <c r="S144" s="160"/>
    </row>
    <row r="145" spans="1:19" x14ac:dyDescent="0.3">
      <c r="A145" s="96">
        <v>143</v>
      </c>
      <c r="B145" s="87">
        <v>1550</v>
      </c>
      <c r="C145" s="91">
        <v>45728</v>
      </c>
      <c r="D145" s="96" t="s">
        <v>1462</v>
      </c>
      <c r="E145" s="144" t="s">
        <v>23</v>
      </c>
      <c r="F145" s="145" t="s">
        <v>4</v>
      </c>
      <c r="G145" s="183">
        <v>45728</v>
      </c>
      <c r="H145" s="5"/>
      <c r="I145" s="100" t="s">
        <v>135</v>
      </c>
      <c r="J145" s="21"/>
      <c r="K145" s="18"/>
      <c r="L145" s="19"/>
      <c r="M145" s="23"/>
      <c r="N145" s="11"/>
      <c r="O145" s="12"/>
      <c r="P145" s="65">
        <v>45729</v>
      </c>
      <c r="Q145" s="89">
        <f t="shared" si="2"/>
        <v>1.0000218684394682</v>
      </c>
      <c r="R145" s="101"/>
      <c r="S145" s="66"/>
    </row>
    <row r="146" spans="1:19" x14ac:dyDescent="0.3">
      <c r="A146" s="96">
        <v>144</v>
      </c>
      <c r="B146" s="87">
        <v>1550</v>
      </c>
      <c r="C146" s="91">
        <v>45728</v>
      </c>
      <c r="D146" s="349" t="s">
        <v>1463</v>
      </c>
      <c r="E146" s="48" t="s">
        <v>23</v>
      </c>
      <c r="F146" s="80" t="s">
        <v>4</v>
      </c>
      <c r="G146" s="183">
        <v>45728</v>
      </c>
      <c r="H146" s="146"/>
      <c r="I146" s="100" t="s">
        <v>135</v>
      </c>
      <c r="J146" s="154"/>
      <c r="K146" s="155"/>
      <c r="L146" s="156"/>
      <c r="M146" s="157"/>
      <c r="N146" s="158"/>
      <c r="O146" s="159"/>
      <c r="P146" s="65">
        <v>45729</v>
      </c>
      <c r="Q146" s="89">
        <f t="shared" si="2"/>
        <v>1.0000218684394682</v>
      </c>
      <c r="R146" s="94"/>
      <c r="S146" s="66"/>
    </row>
    <row r="147" spans="1:19" ht="43.2" x14ac:dyDescent="0.3">
      <c r="A147" s="96">
        <v>145</v>
      </c>
      <c r="B147" s="87">
        <v>1550</v>
      </c>
      <c r="C147" s="91">
        <v>45728</v>
      </c>
      <c r="D147" s="211" t="s">
        <v>1464</v>
      </c>
      <c r="E147" s="48" t="s">
        <v>23</v>
      </c>
      <c r="F147" s="80" t="s">
        <v>6</v>
      </c>
      <c r="G147" s="183">
        <v>45728</v>
      </c>
      <c r="H147" s="5"/>
      <c r="I147" s="100" t="s">
        <v>135</v>
      </c>
      <c r="J147" s="21"/>
      <c r="K147" s="18"/>
      <c r="L147" s="19"/>
      <c r="M147" s="23"/>
      <c r="N147" s="11"/>
      <c r="O147" s="12"/>
      <c r="P147" s="65">
        <v>45729</v>
      </c>
      <c r="Q147" s="89">
        <f t="shared" si="2"/>
        <v>1.0000218684394682</v>
      </c>
      <c r="R147" s="101"/>
      <c r="S147" s="66"/>
    </row>
    <row r="148" spans="1:19" ht="43.2" x14ac:dyDescent="0.3">
      <c r="A148" s="96">
        <v>146</v>
      </c>
      <c r="B148" s="87">
        <v>1550</v>
      </c>
      <c r="C148" s="91">
        <v>45728</v>
      </c>
      <c r="D148" s="98" t="s">
        <v>1465</v>
      </c>
      <c r="E148" s="48" t="s">
        <v>23</v>
      </c>
      <c r="F148" s="80" t="s">
        <v>6</v>
      </c>
      <c r="G148" s="183">
        <v>45728</v>
      </c>
      <c r="H148" s="5"/>
      <c r="I148" s="100" t="s">
        <v>135</v>
      </c>
      <c r="J148" s="21"/>
      <c r="K148" s="18"/>
      <c r="L148" s="19"/>
      <c r="M148" s="23"/>
      <c r="N148" s="11"/>
      <c r="O148" s="12"/>
      <c r="P148" s="65">
        <v>45729</v>
      </c>
      <c r="Q148" s="89">
        <f t="shared" si="2"/>
        <v>1.0000218684394682</v>
      </c>
      <c r="R148" s="94"/>
      <c r="S148" s="66"/>
    </row>
    <row r="149" spans="1:19" ht="57.6" x14ac:dyDescent="0.3">
      <c r="A149" s="96">
        <v>147</v>
      </c>
      <c r="B149" s="87">
        <v>1550</v>
      </c>
      <c r="C149" s="91">
        <v>45728</v>
      </c>
      <c r="D149" s="149" t="s">
        <v>1466</v>
      </c>
      <c r="E149" s="48" t="s">
        <v>1314</v>
      </c>
      <c r="F149" s="80" t="s">
        <v>8</v>
      </c>
      <c r="G149" s="183">
        <v>45728</v>
      </c>
      <c r="H149" s="5"/>
      <c r="I149" s="100" t="s">
        <v>1315</v>
      </c>
      <c r="J149" s="21"/>
      <c r="K149" s="18"/>
      <c r="L149" s="19"/>
      <c r="M149" s="23"/>
      <c r="N149" s="11"/>
      <c r="O149" s="12"/>
      <c r="P149" s="65">
        <v>45729</v>
      </c>
      <c r="Q149" s="89">
        <f t="shared" si="2"/>
        <v>1.0000218684394682</v>
      </c>
      <c r="R149" s="101" t="s">
        <v>151</v>
      </c>
      <c r="S149" s="66"/>
    </row>
    <row r="150" spans="1:19" ht="43.2" x14ac:dyDescent="0.3">
      <c r="A150" s="96">
        <v>148</v>
      </c>
      <c r="B150" s="87">
        <v>1550</v>
      </c>
      <c r="C150" s="91">
        <v>45728</v>
      </c>
      <c r="D150" s="98" t="s">
        <v>1467</v>
      </c>
      <c r="E150" s="48" t="s">
        <v>23</v>
      </c>
      <c r="F150" s="80" t="s">
        <v>6</v>
      </c>
      <c r="G150" s="183">
        <v>45728</v>
      </c>
      <c r="H150" s="5"/>
      <c r="I150" s="100" t="s">
        <v>135</v>
      </c>
      <c r="J150" s="21"/>
      <c r="K150" s="18"/>
      <c r="L150" s="19"/>
      <c r="M150" s="23"/>
      <c r="N150" s="11"/>
      <c r="O150" s="12"/>
      <c r="P150" s="65">
        <v>45729</v>
      </c>
      <c r="Q150" s="89">
        <f t="shared" si="2"/>
        <v>1.0000218684394682</v>
      </c>
      <c r="R150" s="101"/>
      <c r="S150" s="69"/>
    </row>
    <row r="151" spans="1:19" ht="28.8" x14ac:dyDescent="0.3">
      <c r="A151" s="96">
        <v>149</v>
      </c>
      <c r="B151" s="87">
        <v>1550</v>
      </c>
      <c r="C151" s="91">
        <v>45728</v>
      </c>
      <c r="D151" s="149" t="s">
        <v>1468</v>
      </c>
      <c r="E151" s="48" t="s">
        <v>1</v>
      </c>
      <c r="F151" s="145" t="s">
        <v>4</v>
      </c>
      <c r="G151" s="183">
        <v>45728</v>
      </c>
      <c r="H151" s="5"/>
      <c r="I151" s="100" t="s">
        <v>125</v>
      </c>
      <c r="J151" s="21"/>
      <c r="K151" s="18"/>
      <c r="L151" s="19"/>
      <c r="M151" s="23"/>
      <c r="N151" s="11"/>
      <c r="O151" s="12"/>
      <c r="P151" s="65">
        <v>45729</v>
      </c>
      <c r="Q151" s="89">
        <f t="shared" ref="Q151:Q214" si="3">P151/G151</f>
        <v>1.0000218684394682</v>
      </c>
      <c r="R151" s="101"/>
      <c r="S151" s="66"/>
    </row>
    <row r="152" spans="1:19" x14ac:dyDescent="0.3">
      <c r="A152" s="96">
        <v>150</v>
      </c>
      <c r="B152" s="87">
        <v>1550</v>
      </c>
      <c r="C152" s="91">
        <v>45728</v>
      </c>
      <c r="D152" s="349" t="s">
        <v>1469</v>
      </c>
      <c r="E152" s="48" t="s">
        <v>23</v>
      </c>
      <c r="F152" s="145" t="s">
        <v>4</v>
      </c>
      <c r="G152" s="183">
        <v>45728</v>
      </c>
      <c r="H152" s="146"/>
      <c r="I152" s="100" t="s">
        <v>135</v>
      </c>
      <c r="J152" s="154"/>
      <c r="K152" s="155"/>
      <c r="L152" s="156"/>
      <c r="M152" s="157"/>
      <c r="N152" s="158"/>
      <c r="O152" s="159"/>
      <c r="P152" s="65">
        <v>45729</v>
      </c>
      <c r="Q152" s="89">
        <f t="shared" si="3"/>
        <v>1.0000218684394682</v>
      </c>
      <c r="R152" s="101"/>
      <c r="S152" s="160"/>
    </row>
    <row r="153" spans="1:19" ht="43.2" x14ac:dyDescent="0.3">
      <c r="A153" s="96">
        <v>151</v>
      </c>
      <c r="B153" s="87">
        <v>1550</v>
      </c>
      <c r="C153" s="91">
        <v>45728</v>
      </c>
      <c r="D153" s="98" t="s">
        <v>1470</v>
      </c>
      <c r="E153" s="48" t="s">
        <v>23</v>
      </c>
      <c r="F153" s="80" t="s">
        <v>6</v>
      </c>
      <c r="G153" s="183">
        <v>45728</v>
      </c>
      <c r="H153" s="5"/>
      <c r="I153" s="100" t="s">
        <v>135</v>
      </c>
      <c r="J153" s="21"/>
      <c r="K153" s="18"/>
      <c r="L153" s="19"/>
      <c r="M153" s="23"/>
      <c r="N153" s="11"/>
      <c r="O153" s="12"/>
      <c r="P153" s="65">
        <v>45729</v>
      </c>
      <c r="Q153" s="89">
        <f t="shared" si="3"/>
        <v>1.0000218684394682</v>
      </c>
      <c r="R153" s="101"/>
      <c r="S153" s="66"/>
    </row>
    <row r="154" spans="1:19" x14ac:dyDescent="0.3">
      <c r="A154" s="96">
        <v>152</v>
      </c>
      <c r="B154" s="87">
        <v>1550</v>
      </c>
      <c r="C154" s="91">
        <v>45728</v>
      </c>
      <c r="D154" s="349" t="s">
        <v>1471</v>
      </c>
      <c r="E154" s="144" t="s">
        <v>23</v>
      </c>
      <c r="F154" s="145" t="s">
        <v>4</v>
      </c>
      <c r="G154" s="183">
        <v>45728</v>
      </c>
      <c r="H154" s="146"/>
      <c r="I154" s="100" t="s">
        <v>135</v>
      </c>
      <c r="J154" s="154"/>
      <c r="K154" s="155"/>
      <c r="L154" s="156"/>
      <c r="M154" s="157"/>
      <c r="N154" s="158"/>
      <c r="O154" s="159"/>
      <c r="P154" s="65">
        <v>45729</v>
      </c>
      <c r="Q154" s="89">
        <f t="shared" si="3"/>
        <v>1.0000218684394682</v>
      </c>
      <c r="R154" s="101"/>
      <c r="S154" s="160"/>
    </row>
    <row r="155" spans="1:19" ht="43.2" x14ac:dyDescent="0.3">
      <c r="A155" s="96">
        <v>153</v>
      </c>
      <c r="B155" s="152">
        <v>1550</v>
      </c>
      <c r="C155" s="153">
        <v>45728</v>
      </c>
      <c r="D155" s="149" t="s">
        <v>1472</v>
      </c>
      <c r="E155" s="48" t="s">
        <v>23</v>
      </c>
      <c r="F155" s="80" t="s">
        <v>6</v>
      </c>
      <c r="G155" s="183">
        <v>45728</v>
      </c>
      <c r="H155" s="5"/>
      <c r="I155" s="100" t="s">
        <v>135</v>
      </c>
      <c r="J155" s="21"/>
      <c r="K155" s="18"/>
      <c r="L155" s="19"/>
      <c r="M155" s="23"/>
      <c r="N155" s="11"/>
      <c r="O155" s="12"/>
      <c r="P155" s="65">
        <v>45729</v>
      </c>
      <c r="Q155" s="89">
        <f t="shared" si="3"/>
        <v>1.0000218684394682</v>
      </c>
      <c r="R155" s="101"/>
      <c r="S155" s="66"/>
    </row>
    <row r="156" spans="1:19" x14ac:dyDescent="0.3">
      <c r="A156" s="96">
        <v>154</v>
      </c>
      <c r="B156" s="152">
        <v>1550</v>
      </c>
      <c r="C156" s="153">
        <v>45728</v>
      </c>
      <c r="D156" s="349" t="s">
        <v>1473</v>
      </c>
      <c r="E156" s="111" t="s">
        <v>23</v>
      </c>
      <c r="F156" s="127" t="s">
        <v>4</v>
      </c>
      <c r="G156" s="183">
        <v>45728</v>
      </c>
      <c r="H156" s="134"/>
      <c r="I156" s="100" t="s">
        <v>135</v>
      </c>
      <c r="J156" s="154"/>
      <c r="K156" s="155"/>
      <c r="L156" s="156"/>
      <c r="M156" s="157"/>
      <c r="N156" s="158"/>
      <c r="O156" s="159"/>
      <c r="P156" s="65">
        <v>45729</v>
      </c>
      <c r="Q156" s="89">
        <f t="shared" si="3"/>
        <v>1.0000218684394682</v>
      </c>
      <c r="R156" s="101"/>
      <c r="S156" s="66"/>
    </row>
    <row r="157" spans="1:19" ht="43.2" x14ac:dyDescent="0.3">
      <c r="A157" s="96">
        <v>155</v>
      </c>
      <c r="B157" s="152">
        <v>1550</v>
      </c>
      <c r="C157" s="153">
        <v>45728</v>
      </c>
      <c r="D157" s="149" t="s">
        <v>1474</v>
      </c>
      <c r="E157" s="111" t="s">
        <v>23</v>
      </c>
      <c r="F157" s="125" t="s">
        <v>6</v>
      </c>
      <c r="G157" s="183">
        <v>45728</v>
      </c>
      <c r="H157" s="137"/>
      <c r="I157" s="100" t="s">
        <v>135</v>
      </c>
      <c r="J157" s="21"/>
      <c r="K157" s="18"/>
      <c r="L157" s="19"/>
      <c r="M157" s="23"/>
      <c r="N157" s="11"/>
      <c r="O157" s="12"/>
      <c r="P157" s="65">
        <v>45729</v>
      </c>
      <c r="Q157" s="89">
        <f t="shared" si="3"/>
        <v>1.0000218684394682</v>
      </c>
      <c r="R157" s="101"/>
      <c r="S157" s="66"/>
    </row>
    <row r="158" spans="1:19" ht="57.6" x14ac:dyDescent="0.3">
      <c r="A158" s="96">
        <v>156</v>
      </c>
      <c r="B158" s="87">
        <v>1550</v>
      </c>
      <c r="C158" s="91">
        <v>45728</v>
      </c>
      <c r="D158" s="149" t="s">
        <v>1475</v>
      </c>
      <c r="E158" s="48" t="s">
        <v>1314</v>
      </c>
      <c r="F158" s="80" t="s">
        <v>6</v>
      </c>
      <c r="G158" s="183">
        <v>45728</v>
      </c>
      <c r="H158" s="5"/>
      <c r="I158" s="100" t="s">
        <v>1315</v>
      </c>
      <c r="J158" s="21"/>
      <c r="K158" s="18"/>
      <c r="L158" s="19"/>
      <c r="M158" s="23"/>
      <c r="N158" s="11"/>
      <c r="O158" s="12"/>
      <c r="P158" s="65">
        <v>45729</v>
      </c>
      <c r="Q158" s="89">
        <f t="shared" si="3"/>
        <v>1.0000218684394682</v>
      </c>
      <c r="R158" s="101"/>
      <c r="S158" s="66"/>
    </row>
    <row r="159" spans="1:19" ht="28.8" x14ac:dyDescent="0.3">
      <c r="A159" s="96">
        <v>157</v>
      </c>
      <c r="B159" s="87">
        <v>1550</v>
      </c>
      <c r="C159" s="91">
        <v>45728</v>
      </c>
      <c r="D159" s="98" t="s">
        <v>1476</v>
      </c>
      <c r="E159" s="144" t="s">
        <v>1</v>
      </c>
      <c r="F159" s="145" t="s">
        <v>4</v>
      </c>
      <c r="G159" s="183">
        <v>45728</v>
      </c>
      <c r="H159" s="134"/>
      <c r="I159" s="100" t="s">
        <v>125</v>
      </c>
      <c r="J159" s="21"/>
      <c r="K159" s="18"/>
      <c r="L159" s="19"/>
      <c r="M159" s="23"/>
      <c r="N159" s="11"/>
      <c r="O159" s="12"/>
      <c r="P159" s="65">
        <v>45729</v>
      </c>
      <c r="Q159" s="89">
        <f t="shared" si="3"/>
        <v>1.0000218684394682</v>
      </c>
      <c r="R159" s="101"/>
      <c r="S159" s="66"/>
    </row>
    <row r="160" spans="1:19" x14ac:dyDescent="0.3">
      <c r="A160" s="96">
        <v>158</v>
      </c>
      <c r="B160" s="87">
        <v>1550</v>
      </c>
      <c r="C160" s="91">
        <v>45728</v>
      </c>
      <c r="D160" s="349" t="s">
        <v>1477</v>
      </c>
      <c r="E160" s="144" t="s">
        <v>23</v>
      </c>
      <c r="F160" s="145" t="s">
        <v>4</v>
      </c>
      <c r="G160" s="183">
        <v>45728</v>
      </c>
      <c r="H160" s="146"/>
      <c r="I160" s="113" t="s">
        <v>135</v>
      </c>
      <c r="J160" s="154"/>
      <c r="K160" s="155"/>
      <c r="L160" s="156"/>
      <c r="M160" s="157"/>
      <c r="N160" s="158"/>
      <c r="O160" s="159"/>
      <c r="P160" s="65">
        <v>45729</v>
      </c>
      <c r="Q160" s="89">
        <f t="shared" si="3"/>
        <v>1.0000218684394682</v>
      </c>
      <c r="R160" s="101"/>
      <c r="S160" s="160"/>
    </row>
    <row r="161" spans="1:19" ht="43.2" x14ac:dyDescent="0.3">
      <c r="A161" s="96">
        <v>159</v>
      </c>
      <c r="B161" s="87">
        <v>1550</v>
      </c>
      <c r="C161" s="91">
        <v>45728</v>
      </c>
      <c r="D161" s="149" t="s">
        <v>1478</v>
      </c>
      <c r="E161" s="48" t="s">
        <v>23</v>
      </c>
      <c r="F161" s="145" t="s">
        <v>6</v>
      </c>
      <c r="G161" s="183">
        <v>45728</v>
      </c>
      <c r="H161" s="146"/>
      <c r="I161" s="100" t="s">
        <v>135</v>
      </c>
      <c r="J161" s="154"/>
      <c r="K161" s="155"/>
      <c r="L161" s="156"/>
      <c r="M161" s="157"/>
      <c r="N161" s="158"/>
      <c r="O161" s="159"/>
      <c r="P161" s="65">
        <v>45729</v>
      </c>
      <c r="Q161" s="89">
        <f t="shared" si="3"/>
        <v>1.0000218684394682</v>
      </c>
      <c r="R161" s="101"/>
      <c r="S161" s="160"/>
    </row>
    <row r="162" spans="1:19" ht="57.6" x14ac:dyDescent="0.3">
      <c r="A162" s="96">
        <v>160</v>
      </c>
      <c r="B162" s="87">
        <v>1550</v>
      </c>
      <c r="C162" s="91">
        <v>45728</v>
      </c>
      <c r="D162" s="149" t="s">
        <v>1479</v>
      </c>
      <c r="E162" s="48" t="s">
        <v>23</v>
      </c>
      <c r="F162" s="145" t="s">
        <v>6</v>
      </c>
      <c r="G162" s="183">
        <v>45728</v>
      </c>
      <c r="H162" s="146"/>
      <c r="I162" s="107" t="s">
        <v>135</v>
      </c>
      <c r="J162" s="154"/>
      <c r="K162" s="155"/>
      <c r="L162" s="156"/>
      <c r="M162" s="157"/>
      <c r="N162" s="158"/>
      <c r="O162" s="159"/>
      <c r="P162" s="65">
        <v>45729</v>
      </c>
      <c r="Q162" s="89">
        <f t="shared" si="3"/>
        <v>1.0000218684394682</v>
      </c>
      <c r="R162" s="101"/>
      <c r="S162" s="160"/>
    </row>
    <row r="163" spans="1:19" ht="43.2" x14ac:dyDescent="0.3">
      <c r="A163" s="96">
        <v>161</v>
      </c>
      <c r="B163" s="87">
        <v>1550</v>
      </c>
      <c r="C163" s="91">
        <v>45728</v>
      </c>
      <c r="D163" s="149" t="s">
        <v>1480</v>
      </c>
      <c r="E163" s="48" t="s">
        <v>23</v>
      </c>
      <c r="F163" s="145" t="s">
        <v>6</v>
      </c>
      <c r="G163" s="183">
        <v>45728</v>
      </c>
      <c r="H163" s="146"/>
      <c r="I163" s="107" t="s">
        <v>135</v>
      </c>
      <c r="J163" s="154"/>
      <c r="K163" s="155"/>
      <c r="L163" s="156"/>
      <c r="M163" s="157"/>
      <c r="N163" s="158"/>
      <c r="O163" s="159"/>
      <c r="P163" s="65">
        <v>45729</v>
      </c>
      <c r="Q163" s="89">
        <f t="shared" si="3"/>
        <v>1.0000218684394682</v>
      </c>
      <c r="R163" s="101"/>
      <c r="S163" s="160"/>
    </row>
    <row r="164" spans="1:19" ht="28.8" x14ac:dyDescent="0.3">
      <c r="A164" s="96">
        <v>162</v>
      </c>
      <c r="B164" s="87">
        <v>1550</v>
      </c>
      <c r="C164" s="91">
        <v>45728</v>
      </c>
      <c r="D164" s="149" t="s">
        <v>1481</v>
      </c>
      <c r="E164" s="48" t="s">
        <v>23</v>
      </c>
      <c r="F164" s="145" t="s">
        <v>6</v>
      </c>
      <c r="G164" s="183">
        <v>45728</v>
      </c>
      <c r="H164" s="146"/>
      <c r="I164" s="107" t="s">
        <v>135</v>
      </c>
      <c r="J164" s="154"/>
      <c r="K164" s="155"/>
      <c r="L164" s="156"/>
      <c r="M164" s="157"/>
      <c r="N164" s="158"/>
      <c r="O164" s="159"/>
      <c r="P164" s="65">
        <v>45729</v>
      </c>
      <c r="Q164" s="89">
        <f t="shared" si="3"/>
        <v>1.0000218684394682</v>
      </c>
      <c r="R164" s="101"/>
      <c r="S164" s="69"/>
    </row>
    <row r="165" spans="1:19" ht="43.2" x14ac:dyDescent="0.3">
      <c r="A165" s="96">
        <v>163</v>
      </c>
      <c r="B165" s="87">
        <v>1550</v>
      </c>
      <c r="C165" s="91">
        <v>45728</v>
      </c>
      <c r="D165" s="149" t="s">
        <v>1482</v>
      </c>
      <c r="E165" s="48" t="s">
        <v>23</v>
      </c>
      <c r="F165" s="145" t="s">
        <v>6</v>
      </c>
      <c r="G165" s="183">
        <v>45728</v>
      </c>
      <c r="H165" s="146"/>
      <c r="I165" s="107" t="s">
        <v>135</v>
      </c>
      <c r="J165" s="154"/>
      <c r="K165" s="155"/>
      <c r="L165" s="156"/>
      <c r="M165" s="157"/>
      <c r="N165" s="158"/>
      <c r="O165" s="159"/>
      <c r="P165" s="65">
        <v>45729</v>
      </c>
      <c r="Q165" s="89">
        <f t="shared" si="3"/>
        <v>1.0000218684394682</v>
      </c>
      <c r="R165" s="101"/>
      <c r="S165" s="66"/>
    </row>
    <row r="166" spans="1:19" x14ac:dyDescent="0.3">
      <c r="A166" s="96">
        <v>164</v>
      </c>
      <c r="B166" s="87">
        <v>1550</v>
      </c>
      <c r="C166" s="91">
        <v>45728</v>
      </c>
      <c r="D166" s="349" t="s">
        <v>1483</v>
      </c>
      <c r="E166" s="144" t="s">
        <v>23</v>
      </c>
      <c r="F166" s="145" t="s">
        <v>4</v>
      </c>
      <c r="G166" s="183">
        <v>45728</v>
      </c>
      <c r="H166" s="146"/>
      <c r="I166" s="100" t="s">
        <v>135</v>
      </c>
      <c r="J166" s="21"/>
      <c r="K166" s="18"/>
      <c r="L166" s="19"/>
      <c r="M166" s="23"/>
      <c r="N166" s="11"/>
      <c r="O166" s="12"/>
      <c r="P166" s="65">
        <v>45729</v>
      </c>
      <c r="Q166" s="89">
        <f t="shared" si="3"/>
        <v>1.0000218684394682</v>
      </c>
      <c r="R166" s="101"/>
      <c r="S166" s="66"/>
    </row>
    <row r="167" spans="1:19" x14ac:dyDescent="0.3">
      <c r="A167" s="96">
        <v>165</v>
      </c>
      <c r="B167" s="87">
        <v>1550</v>
      </c>
      <c r="C167" s="91">
        <v>45728</v>
      </c>
      <c r="D167" s="96" t="s">
        <v>1484</v>
      </c>
      <c r="E167" s="48" t="s">
        <v>23</v>
      </c>
      <c r="F167" s="145" t="s">
        <v>4</v>
      </c>
      <c r="G167" s="183">
        <v>45728</v>
      </c>
      <c r="H167" s="146"/>
      <c r="I167" s="100" t="s">
        <v>135</v>
      </c>
      <c r="J167" s="21"/>
      <c r="K167" s="18"/>
      <c r="L167" s="19"/>
      <c r="M167" s="23"/>
      <c r="N167" s="11"/>
      <c r="O167" s="12"/>
      <c r="P167" s="65">
        <v>45729</v>
      </c>
      <c r="Q167" s="89">
        <f t="shared" si="3"/>
        <v>1.0000218684394682</v>
      </c>
      <c r="R167" s="101"/>
      <c r="S167" s="66"/>
    </row>
    <row r="168" spans="1:19" ht="43.2" x14ac:dyDescent="0.3">
      <c r="A168" s="96">
        <v>166</v>
      </c>
      <c r="B168" s="87">
        <v>1550</v>
      </c>
      <c r="C168" s="91">
        <v>45728</v>
      </c>
      <c r="D168" s="98" t="s">
        <v>1485</v>
      </c>
      <c r="E168" s="144" t="s">
        <v>12</v>
      </c>
      <c r="F168" s="145" t="s">
        <v>4</v>
      </c>
      <c r="G168" s="183">
        <v>45728</v>
      </c>
      <c r="H168" s="146"/>
      <c r="I168" s="727" t="s">
        <v>159</v>
      </c>
      <c r="J168" s="21"/>
      <c r="K168" s="18"/>
      <c r="L168" s="19"/>
      <c r="M168" s="23"/>
      <c r="N168" s="11"/>
      <c r="O168" s="12"/>
      <c r="P168" s="65">
        <v>45729</v>
      </c>
      <c r="Q168" s="89">
        <f t="shared" si="3"/>
        <v>1.0000218684394682</v>
      </c>
      <c r="R168" s="101"/>
      <c r="S168" s="66"/>
    </row>
    <row r="169" spans="1:19" x14ac:dyDescent="0.3">
      <c r="A169" s="96">
        <v>167</v>
      </c>
      <c r="B169" s="87">
        <v>1550</v>
      </c>
      <c r="C169" s="91">
        <v>45728</v>
      </c>
      <c r="D169" s="349" t="s">
        <v>1486</v>
      </c>
      <c r="E169" s="48" t="s">
        <v>23</v>
      </c>
      <c r="F169" s="80" t="s">
        <v>4</v>
      </c>
      <c r="G169" s="183">
        <v>45728</v>
      </c>
      <c r="H169" s="5"/>
      <c r="I169" s="100" t="s">
        <v>135</v>
      </c>
      <c r="J169" s="21"/>
      <c r="K169" s="18"/>
      <c r="L169" s="19"/>
      <c r="M169" s="23"/>
      <c r="N169" s="11"/>
      <c r="O169" s="12"/>
      <c r="P169" s="65">
        <v>45729</v>
      </c>
      <c r="Q169" s="89">
        <f t="shared" si="3"/>
        <v>1.0000218684394682</v>
      </c>
      <c r="R169" s="101"/>
      <c r="S169" s="66"/>
    </row>
    <row r="170" spans="1:19" x14ac:dyDescent="0.3">
      <c r="A170" s="96">
        <v>168</v>
      </c>
      <c r="B170" s="87">
        <v>1550</v>
      </c>
      <c r="C170" s="91">
        <v>45728</v>
      </c>
      <c r="D170" s="349" t="s">
        <v>1487</v>
      </c>
      <c r="E170" s="48" t="s">
        <v>23</v>
      </c>
      <c r="F170" s="80" t="s">
        <v>4</v>
      </c>
      <c r="G170" s="183">
        <v>45728</v>
      </c>
      <c r="H170" s="5"/>
      <c r="I170" s="107" t="s">
        <v>135</v>
      </c>
      <c r="J170" s="21"/>
      <c r="K170" s="18"/>
      <c r="L170" s="19"/>
      <c r="M170" s="23"/>
      <c r="N170" s="11"/>
      <c r="O170" s="12"/>
      <c r="P170" s="65">
        <v>45729</v>
      </c>
      <c r="Q170" s="89">
        <f t="shared" si="3"/>
        <v>1.0000218684394682</v>
      </c>
      <c r="R170" s="101"/>
      <c r="S170" s="56"/>
    </row>
    <row r="171" spans="1:19" x14ac:dyDescent="0.3">
      <c r="A171" s="96">
        <v>169</v>
      </c>
      <c r="B171" s="87">
        <v>1550</v>
      </c>
      <c r="C171" s="91">
        <v>45728</v>
      </c>
      <c r="D171" s="349" t="s">
        <v>1488</v>
      </c>
      <c r="E171" s="144" t="s">
        <v>23</v>
      </c>
      <c r="F171" s="80" t="s">
        <v>4</v>
      </c>
      <c r="G171" s="183">
        <v>45728</v>
      </c>
      <c r="H171" s="5"/>
      <c r="I171" s="100" t="s">
        <v>135</v>
      </c>
      <c r="J171" s="21"/>
      <c r="K171" s="18"/>
      <c r="L171" s="19"/>
      <c r="M171" s="23"/>
      <c r="N171" s="11"/>
      <c r="O171" s="12"/>
      <c r="P171" s="65">
        <v>45729</v>
      </c>
      <c r="Q171" s="89">
        <f t="shared" si="3"/>
        <v>1.0000218684394682</v>
      </c>
      <c r="R171" s="101"/>
      <c r="S171" s="160"/>
    </row>
    <row r="172" spans="1:19" x14ac:dyDescent="0.3">
      <c r="A172" s="96">
        <v>170</v>
      </c>
      <c r="B172" s="87">
        <v>1550</v>
      </c>
      <c r="C172" s="91">
        <v>45728</v>
      </c>
      <c r="D172" s="349" t="s">
        <v>1489</v>
      </c>
      <c r="E172" s="144" t="s">
        <v>23</v>
      </c>
      <c r="F172" s="80" t="s">
        <v>4</v>
      </c>
      <c r="G172" s="183">
        <v>45728</v>
      </c>
      <c r="H172" s="5"/>
      <c r="I172" s="100" t="s">
        <v>135</v>
      </c>
      <c r="J172" s="21"/>
      <c r="K172" s="18"/>
      <c r="L172" s="19"/>
      <c r="M172" s="23"/>
      <c r="N172" s="11"/>
      <c r="O172" s="12"/>
      <c r="P172" s="65">
        <v>45729</v>
      </c>
      <c r="Q172" s="89">
        <f t="shared" si="3"/>
        <v>1.0000218684394682</v>
      </c>
      <c r="R172" s="101"/>
      <c r="S172" s="66"/>
    </row>
    <row r="173" spans="1:19" ht="43.2" x14ac:dyDescent="0.3">
      <c r="A173" s="96">
        <v>171</v>
      </c>
      <c r="B173" s="87">
        <v>1550</v>
      </c>
      <c r="C173" s="91">
        <v>45728</v>
      </c>
      <c r="D173" s="149" t="s">
        <v>1490</v>
      </c>
      <c r="E173" s="48" t="s">
        <v>23</v>
      </c>
      <c r="F173" s="80" t="s">
        <v>6</v>
      </c>
      <c r="G173" s="183">
        <v>45728</v>
      </c>
      <c r="H173" s="5"/>
      <c r="I173" s="102" t="s">
        <v>135</v>
      </c>
      <c r="J173" s="154"/>
      <c r="K173" s="155"/>
      <c r="L173" s="156"/>
      <c r="M173" s="157"/>
      <c r="N173" s="158"/>
      <c r="O173" s="159"/>
      <c r="P173" s="65">
        <v>45729</v>
      </c>
      <c r="Q173" s="89">
        <f t="shared" si="3"/>
        <v>1.0000218684394682</v>
      </c>
      <c r="R173" s="101"/>
      <c r="S173" s="160"/>
    </row>
    <row r="174" spans="1:19" x14ac:dyDescent="0.3">
      <c r="A174" s="96">
        <v>172</v>
      </c>
      <c r="B174" s="87">
        <v>1550</v>
      </c>
      <c r="C174" s="91">
        <v>45728</v>
      </c>
      <c r="D174" s="349" t="s">
        <v>1491</v>
      </c>
      <c r="E174" s="48" t="s">
        <v>23</v>
      </c>
      <c r="F174" s="80" t="s">
        <v>4</v>
      </c>
      <c r="G174" s="183">
        <v>45728</v>
      </c>
      <c r="H174" s="5"/>
      <c r="I174" s="102" t="s">
        <v>135</v>
      </c>
      <c r="J174" s="154"/>
      <c r="K174" s="155"/>
      <c r="L174" s="156"/>
      <c r="M174" s="157"/>
      <c r="N174" s="158"/>
      <c r="O174" s="159"/>
      <c r="P174" s="65">
        <v>45729</v>
      </c>
      <c r="Q174" s="89">
        <f t="shared" si="3"/>
        <v>1.0000218684394682</v>
      </c>
      <c r="R174" s="101"/>
      <c r="S174" s="160"/>
    </row>
    <row r="175" spans="1:19" ht="43.2" x14ac:dyDescent="0.3">
      <c r="A175" s="96">
        <v>173</v>
      </c>
      <c r="B175" s="87">
        <v>1550</v>
      </c>
      <c r="C175" s="91">
        <v>45728</v>
      </c>
      <c r="D175" s="98" t="s">
        <v>1492</v>
      </c>
      <c r="E175" s="48" t="s">
        <v>23</v>
      </c>
      <c r="F175" s="80" t="s">
        <v>6</v>
      </c>
      <c r="G175" s="183">
        <v>45728</v>
      </c>
      <c r="H175" s="5"/>
      <c r="I175" s="102" t="s">
        <v>135</v>
      </c>
      <c r="J175" s="154"/>
      <c r="K175" s="155"/>
      <c r="L175" s="156"/>
      <c r="M175" s="157"/>
      <c r="N175" s="158"/>
      <c r="O175" s="159"/>
      <c r="P175" s="65">
        <v>45729</v>
      </c>
      <c r="Q175" s="89">
        <f t="shared" si="3"/>
        <v>1.0000218684394682</v>
      </c>
      <c r="R175" s="101"/>
      <c r="S175" s="160"/>
    </row>
    <row r="176" spans="1:19" x14ac:dyDescent="0.3">
      <c r="A176" s="96">
        <v>174</v>
      </c>
      <c r="B176" s="87">
        <v>1550</v>
      </c>
      <c r="C176" s="91">
        <v>45728</v>
      </c>
      <c r="D176" s="96" t="s">
        <v>1493</v>
      </c>
      <c r="E176" s="48" t="s">
        <v>23</v>
      </c>
      <c r="F176" s="80" t="s">
        <v>4</v>
      </c>
      <c r="G176" s="183">
        <v>45728</v>
      </c>
      <c r="H176" s="5"/>
      <c r="I176" s="100" t="s">
        <v>135</v>
      </c>
      <c r="J176" s="154"/>
      <c r="K176" s="155"/>
      <c r="L176" s="156"/>
      <c r="M176" s="157"/>
      <c r="N176" s="158"/>
      <c r="O176" s="159"/>
      <c r="P176" s="65">
        <v>45729</v>
      </c>
      <c r="Q176" s="89">
        <f t="shared" si="3"/>
        <v>1.0000218684394682</v>
      </c>
      <c r="R176" s="101"/>
      <c r="S176" s="160"/>
    </row>
    <row r="177" spans="1:19" x14ac:dyDescent="0.3">
      <c r="A177" s="96">
        <v>175</v>
      </c>
      <c r="B177" s="87">
        <v>1550</v>
      </c>
      <c r="C177" s="91">
        <v>45728</v>
      </c>
      <c r="D177" s="96" t="s">
        <v>1494</v>
      </c>
      <c r="E177" s="48" t="s">
        <v>23</v>
      </c>
      <c r="F177" s="80" t="s">
        <v>4</v>
      </c>
      <c r="G177" s="183">
        <v>45728</v>
      </c>
      <c r="H177" s="5"/>
      <c r="I177" s="100" t="s">
        <v>135</v>
      </c>
      <c r="J177" s="154"/>
      <c r="K177" s="155"/>
      <c r="L177" s="156"/>
      <c r="M177" s="157"/>
      <c r="N177" s="158"/>
      <c r="O177" s="159"/>
      <c r="P177" s="65">
        <v>45729</v>
      </c>
      <c r="Q177" s="89">
        <f t="shared" si="3"/>
        <v>1.0000218684394682</v>
      </c>
      <c r="R177" s="101"/>
      <c r="S177" s="160"/>
    </row>
    <row r="178" spans="1:19" ht="57.6" x14ac:dyDescent="0.3">
      <c r="A178" s="96">
        <v>176</v>
      </c>
      <c r="B178" s="152" t="s">
        <v>80</v>
      </c>
      <c r="C178" s="208">
        <v>45728</v>
      </c>
      <c r="D178" s="149" t="s">
        <v>1495</v>
      </c>
      <c r="E178" s="48" t="s">
        <v>1314</v>
      </c>
      <c r="F178" s="145" t="s">
        <v>10</v>
      </c>
      <c r="G178" s="183">
        <v>45728</v>
      </c>
      <c r="H178" s="5"/>
      <c r="I178" s="100" t="s">
        <v>1315</v>
      </c>
      <c r="J178" s="21"/>
      <c r="K178" s="18"/>
      <c r="L178" s="19"/>
      <c r="M178" s="23"/>
      <c r="N178" s="11"/>
      <c r="O178" s="12"/>
      <c r="P178" s="65">
        <v>45729</v>
      </c>
      <c r="Q178" s="89">
        <f t="shared" si="3"/>
        <v>1.0000218684394682</v>
      </c>
      <c r="R178" s="101" t="s">
        <v>216</v>
      </c>
      <c r="S178" s="160"/>
    </row>
    <row r="179" spans="1:19" x14ac:dyDescent="0.3">
      <c r="A179" s="96">
        <v>177</v>
      </c>
      <c r="B179" s="152">
        <v>1550</v>
      </c>
      <c r="C179" s="265">
        <v>45728</v>
      </c>
      <c r="D179" s="98" t="s">
        <v>1496</v>
      </c>
      <c r="E179" s="144" t="s">
        <v>3</v>
      </c>
      <c r="F179" s="145" t="s">
        <v>4</v>
      </c>
      <c r="G179" s="183">
        <v>45728</v>
      </c>
      <c r="H179" s="146"/>
      <c r="I179" s="100" t="s">
        <v>125</v>
      </c>
      <c r="J179" s="154"/>
      <c r="K179" s="155"/>
      <c r="L179" s="156"/>
      <c r="M179" s="157"/>
      <c r="N179" s="158"/>
      <c r="O179" s="159"/>
      <c r="P179" s="85">
        <v>45729</v>
      </c>
      <c r="Q179" s="89">
        <f t="shared" si="3"/>
        <v>1.0000218684394682</v>
      </c>
      <c r="R179" s="101"/>
      <c r="S179" s="160"/>
    </row>
    <row r="180" spans="1:19" ht="43.2" x14ac:dyDescent="0.3">
      <c r="A180" s="96">
        <v>178</v>
      </c>
      <c r="B180" s="152" t="s">
        <v>80</v>
      </c>
      <c r="C180" s="208">
        <v>45728</v>
      </c>
      <c r="D180" s="149" t="s">
        <v>1497</v>
      </c>
      <c r="E180" s="48" t="s">
        <v>14</v>
      </c>
      <c r="F180" s="145" t="s">
        <v>10</v>
      </c>
      <c r="G180" s="183">
        <v>45728</v>
      </c>
      <c r="H180" s="5"/>
      <c r="I180" s="102" t="s">
        <v>253</v>
      </c>
      <c r="J180" s="21"/>
      <c r="K180" s="18"/>
      <c r="L180" s="19"/>
      <c r="M180" s="23"/>
      <c r="N180" s="11"/>
      <c r="O180" s="12"/>
      <c r="P180" s="85">
        <v>45729</v>
      </c>
      <c r="Q180" s="89">
        <f t="shared" si="3"/>
        <v>1.0000218684394682</v>
      </c>
      <c r="R180" s="101" t="s">
        <v>216</v>
      </c>
      <c r="S180" s="66"/>
    </row>
    <row r="181" spans="1:19" x14ac:dyDescent="0.3">
      <c r="A181" s="96">
        <v>179</v>
      </c>
      <c r="B181" s="87">
        <v>1550</v>
      </c>
      <c r="C181" s="91">
        <v>45729</v>
      </c>
      <c r="D181" s="98" t="s">
        <v>1498</v>
      </c>
      <c r="E181" s="48" t="s">
        <v>23</v>
      </c>
      <c r="F181" s="80" t="s">
        <v>4</v>
      </c>
      <c r="G181" s="183">
        <v>45729</v>
      </c>
      <c r="H181" s="5"/>
      <c r="I181" s="100" t="s">
        <v>135</v>
      </c>
      <c r="J181" s="21" t="s">
        <v>393</v>
      </c>
      <c r="K181" s="18"/>
      <c r="L181" s="19"/>
      <c r="M181" s="23"/>
      <c r="N181" s="11"/>
      <c r="O181" s="12"/>
      <c r="P181" s="65">
        <v>45729</v>
      </c>
      <c r="Q181" s="89">
        <f t="shared" si="3"/>
        <v>1</v>
      </c>
      <c r="R181" s="101"/>
      <c r="S181" s="66"/>
    </row>
    <row r="182" spans="1:19" ht="57.6" x14ac:dyDescent="0.3">
      <c r="A182" s="96">
        <v>180</v>
      </c>
      <c r="B182" s="87">
        <v>1550</v>
      </c>
      <c r="C182" s="91">
        <v>45729</v>
      </c>
      <c r="D182" s="149" t="s">
        <v>1499</v>
      </c>
      <c r="E182" s="144" t="s">
        <v>1</v>
      </c>
      <c r="F182" s="80" t="s">
        <v>6</v>
      </c>
      <c r="G182" s="183">
        <v>45729</v>
      </c>
      <c r="H182" s="146"/>
      <c r="I182" s="102" t="s">
        <v>125</v>
      </c>
      <c r="J182" s="154"/>
      <c r="K182" s="155"/>
      <c r="L182" s="156"/>
      <c r="M182" s="157"/>
      <c r="N182" s="158"/>
      <c r="O182" s="159"/>
      <c r="P182" s="65">
        <v>45729</v>
      </c>
      <c r="Q182" s="89">
        <f t="shared" si="3"/>
        <v>1</v>
      </c>
      <c r="R182" s="101"/>
      <c r="S182" s="160"/>
    </row>
    <row r="183" spans="1:19" ht="43.2" x14ac:dyDescent="0.3">
      <c r="A183" s="96">
        <v>181</v>
      </c>
      <c r="B183" s="87">
        <v>1550</v>
      </c>
      <c r="C183" s="91">
        <v>45729</v>
      </c>
      <c r="D183" s="149" t="s">
        <v>1500</v>
      </c>
      <c r="E183" s="48" t="s">
        <v>23</v>
      </c>
      <c r="F183" s="80" t="s">
        <v>6</v>
      </c>
      <c r="G183" s="183">
        <v>45729</v>
      </c>
      <c r="H183" s="5"/>
      <c r="I183" s="100" t="s">
        <v>135</v>
      </c>
      <c r="J183" s="21"/>
      <c r="K183" s="18"/>
      <c r="L183" s="19"/>
      <c r="M183" s="23"/>
      <c r="N183" s="11"/>
      <c r="O183" s="12"/>
      <c r="P183" s="65">
        <v>45729</v>
      </c>
      <c r="Q183" s="89">
        <f t="shared" si="3"/>
        <v>1</v>
      </c>
      <c r="R183" s="101"/>
      <c r="S183" s="66"/>
    </row>
    <row r="184" spans="1:19" ht="86.4" x14ac:dyDescent="0.3">
      <c r="A184" s="96">
        <v>182</v>
      </c>
      <c r="B184" s="87">
        <v>1550</v>
      </c>
      <c r="C184" s="91">
        <v>45729</v>
      </c>
      <c r="D184" s="98" t="s">
        <v>1501</v>
      </c>
      <c r="E184" s="48" t="s">
        <v>14</v>
      </c>
      <c r="F184" s="145" t="s">
        <v>6</v>
      </c>
      <c r="G184" s="183">
        <v>45729</v>
      </c>
      <c r="H184" s="5"/>
      <c r="I184" s="102" t="s">
        <v>253</v>
      </c>
      <c r="J184" s="21"/>
      <c r="K184" s="18"/>
      <c r="L184" s="19"/>
      <c r="M184" s="23"/>
      <c r="N184" s="11"/>
      <c r="O184" s="12"/>
      <c r="P184" s="65">
        <v>45729</v>
      </c>
      <c r="Q184" s="89">
        <f t="shared" si="3"/>
        <v>1</v>
      </c>
      <c r="R184" s="101"/>
      <c r="S184" s="66"/>
    </row>
    <row r="185" spans="1:19" ht="43.2" x14ac:dyDescent="0.3">
      <c r="A185" s="96">
        <v>183</v>
      </c>
      <c r="B185" s="87">
        <v>1550</v>
      </c>
      <c r="C185" s="91">
        <v>45729</v>
      </c>
      <c r="D185" s="98" t="s">
        <v>1502</v>
      </c>
      <c r="E185" s="48" t="s">
        <v>23</v>
      </c>
      <c r="F185" s="80" t="s">
        <v>8</v>
      </c>
      <c r="G185" s="183">
        <v>45729</v>
      </c>
      <c r="H185" s="5"/>
      <c r="I185" s="100" t="s">
        <v>135</v>
      </c>
      <c r="J185" s="21"/>
      <c r="K185" s="18"/>
      <c r="L185" s="19"/>
      <c r="M185" s="23"/>
      <c r="N185" s="11"/>
      <c r="O185" s="12"/>
      <c r="P185" s="65">
        <v>45729</v>
      </c>
      <c r="Q185" s="89">
        <f t="shared" si="3"/>
        <v>1</v>
      </c>
      <c r="R185" s="101" t="s">
        <v>169</v>
      </c>
      <c r="S185" s="66"/>
    </row>
    <row r="186" spans="1:19" ht="57.6" x14ac:dyDescent="0.3">
      <c r="A186" s="96">
        <v>184</v>
      </c>
      <c r="B186" s="152">
        <v>1550</v>
      </c>
      <c r="C186" s="153">
        <v>45729</v>
      </c>
      <c r="D186" s="98" t="s">
        <v>1503</v>
      </c>
      <c r="E186" s="144" t="s">
        <v>23</v>
      </c>
      <c r="F186" s="145" t="s">
        <v>8</v>
      </c>
      <c r="G186" s="183">
        <v>45729</v>
      </c>
      <c r="H186" s="146"/>
      <c r="I186" s="100" t="s">
        <v>135</v>
      </c>
      <c r="J186" s="21"/>
      <c r="K186" s="357"/>
      <c r="L186" s="19"/>
      <c r="M186" s="23"/>
      <c r="N186" s="11"/>
      <c r="O186" s="12"/>
      <c r="P186" s="85">
        <v>45729</v>
      </c>
      <c r="Q186" s="89">
        <f t="shared" si="3"/>
        <v>1</v>
      </c>
      <c r="R186" s="101" t="s">
        <v>160</v>
      </c>
      <c r="S186" s="69"/>
    </row>
    <row r="187" spans="1:19" ht="43.2" x14ac:dyDescent="0.3">
      <c r="A187" s="96">
        <v>185</v>
      </c>
      <c r="B187" s="152">
        <v>1550</v>
      </c>
      <c r="C187" s="153">
        <v>45729</v>
      </c>
      <c r="D187" s="149" t="s">
        <v>1504</v>
      </c>
      <c r="E187" s="144" t="s">
        <v>14</v>
      </c>
      <c r="F187" s="145" t="s">
        <v>6</v>
      </c>
      <c r="G187" s="183">
        <v>45729</v>
      </c>
      <c r="H187" s="146"/>
      <c r="I187" s="102" t="s">
        <v>253</v>
      </c>
      <c r="J187" s="21"/>
      <c r="K187" s="357"/>
      <c r="L187" s="19"/>
      <c r="M187" s="23"/>
      <c r="N187" s="366"/>
      <c r="O187" s="12"/>
      <c r="P187" s="65">
        <v>45729</v>
      </c>
      <c r="Q187" s="89">
        <f t="shared" si="3"/>
        <v>1</v>
      </c>
      <c r="R187" s="101"/>
      <c r="S187" s="66"/>
    </row>
    <row r="188" spans="1:19" ht="43.2" x14ac:dyDescent="0.3">
      <c r="A188" s="96">
        <v>186</v>
      </c>
      <c r="B188" s="152">
        <v>1550</v>
      </c>
      <c r="C188" s="153">
        <v>45729</v>
      </c>
      <c r="D188" s="149" t="s">
        <v>1505</v>
      </c>
      <c r="E188" s="162" t="s">
        <v>14</v>
      </c>
      <c r="F188" s="145" t="s">
        <v>4</v>
      </c>
      <c r="G188" s="183">
        <v>45729</v>
      </c>
      <c r="H188" s="146"/>
      <c r="I188" s="102" t="s">
        <v>253</v>
      </c>
      <c r="J188" s="21"/>
      <c r="K188" s="18"/>
      <c r="L188" s="19"/>
      <c r="M188" s="23"/>
      <c r="N188" s="11"/>
      <c r="O188" s="12"/>
      <c r="P188" s="65">
        <v>45729</v>
      </c>
      <c r="Q188" s="89">
        <f t="shared" si="3"/>
        <v>1</v>
      </c>
      <c r="R188" s="101"/>
      <c r="S188" s="66"/>
    </row>
    <row r="189" spans="1:19" ht="43.2" x14ac:dyDescent="0.3">
      <c r="A189" s="96">
        <v>187</v>
      </c>
      <c r="B189" s="87">
        <v>1550</v>
      </c>
      <c r="C189" s="91">
        <v>45729</v>
      </c>
      <c r="D189" s="149" t="s">
        <v>1506</v>
      </c>
      <c r="E189" s="144" t="s">
        <v>14</v>
      </c>
      <c r="F189" s="145" t="s">
        <v>6</v>
      </c>
      <c r="G189" s="183">
        <v>45729</v>
      </c>
      <c r="H189" s="146"/>
      <c r="I189" s="102" t="s">
        <v>253</v>
      </c>
      <c r="J189" s="21"/>
      <c r="K189" s="357"/>
      <c r="L189" s="19"/>
      <c r="M189" s="23"/>
      <c r="N189" s="366"/>
      <c r="O189" s="12"/>
      <c r="P189" s="65">
        <v>45729</v>
      </c>
      <c r="Q189" s="89">
        <f t="shared" si="3"/>
        <v>1</v>
      </c>
      <c r="R189" s="101"/>
      <c r="S189" s="160"/>
    </row>
    <row r="190" spans="1:19" ht="28.8" x14ac:dyDescent="0.3">
      <c r="A190" s="96">
        <v>188</v>
      </c>
      <c r="B190" s="87">
        <v>1550</v>
      </c>
      <c r="C190" s="91">
        <v>45729</v>
      </c>
      <c r="D190" s="149" t="s">
        <v>1507</v>
      </c>
      <c r="E190" s="48" t="s">
        <v>1</v>
      </c>
      <c r="F190" s="80" t="s">
        <v>6</v>
      </c>
      <c r="G190" s="183">
        <v>45729</v>
      </c>
      <c r="H190" s="5"/>
      <c r="I190" s="102" t="s">
        <v>125</v>
      </c>
      <c r="J190" s="21"/>
      <c r="K190" s="18"/>
      <c r="L190" s="19"/>
      <c r="M190" s="23"/>
      <c r="N190" s="11"/>
      <c r="O190" s="12"/>
      <c r="P190" s="85">
        <v>45729</v>
      </c>
      <c r="Q190" s="89">
        <f t="shared" si="3"/>
        <v>1</v>
      </c>
      <c r="R190" s="101"/>
      <c r="S190" s="66"/>
    </row>
    <row r="191" spans="1:19" ht="28.8" x14ac:dyDescent="0.3">
      <c r="A191" s="96">
        <v>189</v>
      </c>
      <c r="B191" s="87">
        <v>1550</v>
      </c>
      <c r="C191" s="91">
        <v>45729</v>
      </c>
      <c r="D191" s="149" t="s">
        <v>1508</v>
      </c>
      <c r="E191" s="144" t="s">
        <v>1</v>
      </c>
      <c r="F191" s="145" t="s">
        <v>4</v>
      </c>
      <c r="G191" s="183">
        <v>45729</v>
      </c>
      <c r="H191" s="146"/>
      <c r="I191" s="100" t="s">
        <v>125</v>
      </c>
      <c r="J191" s="21"/>
      <c r="K191" s="18"/>
      <c r="L191" s="19"/>
      <c r="M191" s="23"/>
      <c r="N191" s="11"/>
      <c r="O191" s="12"/>
      <c r="P191" s="65">
        <v>45729</v>
      </c>
      <c r="Q191" s="89">
        <f t="shared" si="3"/>
        <v>1</v>
      </c>
      <c r="R191" s="101"/>
      <c r="S191" s="160"/>
    </row>
    <row r="192" spans="1:19" ht="43.2" x14ac:dyDescent="0.3">
      <c r="A192" s="96">
        <v>190</v>
      </c>
      <c r="B192" s="152">
        <v>1550</v>
      </c>
      <c r="C192" s="153">
        <v>45729</v>
      </c>
      <c r="D192" s="149" t="s">
        <v>1509</v>
      </c>
      <c r="E192" s="144" t="s">
        <v>14</v>
      </c>
      <c r="F192" s="145" t="s">
        <v>4</v>
      </c>
      <c r="G192" s="183">
        <v>45729</v>
      </c>
      <c r="H192" s="146"/>
      <c r="I192" s="102" t="s">
        <v>253</v>
      </c>
      <c r="J192" s="154"/>
      <c r="K192" s="155"/>
      <c r="L192" s="156"/>
      <c r="M192" s="157"/>
      <c r="N192" s="158"/>
      <c r="O192" s="159"/>
      <c r="P192" s="85">
        <v>45729</v>
      </c>
      <c r="Q192" s="89">
        <f t="shared" si="3"/>
        <v>1</v>
      </c>
      <c r="R192" s="101"/>
      <c r="S192" s="160"/>
    </row>
    <row r="193" spans="1:19" ht="43.2" x14ac:dyDescent="0.3">
      <c r="A193" s="96">
        <v>191</v>
      </c>
      <c r="B193" s="152">
        <v>1550</v>
      </c>
      <c r="C193" s="153">
        <v>45729</v>
      </c>
      <c r="D193" s="149" t="s">
        <v>1510</v>
      </c>
      <c r="E193" s="144" t="s">
        <v>14</v>
      </c>
      <c r="F193" s="145" t="s">
        <v>4</v>
      </c>
      <c r="G193" s="183">
        <v>45729</v>
      </c>
      <c r="H193" s="146"/>
      <c r="I193" s="102" t="s">
        <v>253</v>
      </c>
      <c r="J193" s="154"/>
      <c r="K193" s="155"/>
      <c r="L193" s="156"/>
      <c r="M193" s="157"/>
      <c r="N193" s="158"/>
      <c r="O193" s="159"/>
      <c r="P193" s="85">
        <v>45729</v>
      </c>
      <c r="Q193" s="89">
        <f t="shared" si="3"/>
        <v>1</v>
      </c>
      <c r="R193" s="101"/>
      <c r="S193" s="160"/>
    </row>
    <row r="194" spans="1:19" ht="28.8" x14ac:dyDescent="0.3">
      <c r="A194" s="96">
        <v>192</v>
      </c>
      <c r="B194" s="152">
        <v>1550</v>
      </c>
      <c r="C194" s="153">
        <v>45729</v>
      </c>
      <c r="D194" s="149" t="s">
        <v>1511</v>
      </c>
      <c r="E194" s="144" t="s">
        <v>7</v>
      </c>
      <c r="F194" s="145" t="s">
        <v>4</v>
      </c>
      <c r="G194" s="183">
        <v>45729</v>
      </c>
      <c r="H194" s="146"/>
      <c r="I194" s="100" t="s">
        <v>125</v>
      </c>
      <c r="J194" s="154"/>
      <c r="K194" s="155"/>
      <c r="L194" s="156"/>
      <c r="M194" s="157"/>
      <c r="N194" s="158"/>
      <c r="O194" s="159"/>
      <c r="P194" s="85">
        <v>45729</v>
      </c>
      <c r="Q194" s="89">
        <f t="shared" si="3"/>
        <v>1</v>
      </c>
      <c r="R194" s="101"/>
      <c r="S194" s="160"/>
    </row>
    <row r="195" spans="1:19" x14ac:dyDescent="0.3">
      <c r="A195" s="96">
        <v>193</v>
      </c>
      <c r="B195" s="152">
        <v>1550</v>
      </c>
      <c r="C195" s="153">
        <v>45729</v>
      </c>
      <c r="D195" s="349" t="s">
        <v>1512</v>
      </c>
      <c r="E195" s="144" t="s">
        <v>23</v>
      </c>
      <c r="F195" s="145" t="s">
        <v>4</v>
      </c>
      <c r="G195" s="183">
        <v>45729</v>
      </c>
      <c r="H195" s="146"/>
      <c r="I195" s="100" t="s">
        <v>135</v>
      </c>
      <c r="J195" s="154"/>
      <c r="K195" s="155"/>
      <c r="L195" s="156"/>
      <c r="M195" s="157"/>
      <c r="N195" s="158"/>
      <c r="O195" s="159"/>
      <c r="P195" s="85">
        <v>45729</v>
      </c>
      <c r="Q195" s="89">
        <f t="shared" si="3"/>
        <v>1</v>
      </c>
      <c r="R195" s="101"/>
      <c r="S195" s="160"/>
    </row>
    <row r="196" spans="1:19" ht="28.8" x14ac:dyDescent="0.3">
      <c r="A196" s="96">
        <v>194</v>
      </c>
      <c r="B196" s="152">
        <v>1550</v>
      </c>
      <c r="C196" s="153">
        <v>45729</v>
      </c>
      <c r="D196" s="149" t="s">
        <v>1513</v>
      </c>
      <c r="E196" s="144" t="s">
        <v>1</v>
      </c>
      <c r="F196" s="145" t="s">
        <v>4</v>
      </c>
      <c r="G196" s="183">
        <v>45729</v>
      </c>
      <c r="H196" s="146"/>
      <c r="I196" s="107" t="s">
        <v>174</v>
      </c>
      <c r="J196" s="154"/>
      <c r="K196" s="155"/>
      <c r="L196" s="156"/>
      <c r="M196" s="157"/>
      <c r="N196" s="158"/>
      <c r="O196" s="159"/>
      <c r="P196" s="85">
        <v>45729</v>
      </c>
      <c r="Q196" s="89">
        <f t="shared" si="3"/>
        <v>1</v>
      </c>
      <c r="R196" s="101"/>
      <c r="S196" s="160"/>
    </row>
    <row r="197" spans="1:19" ht="43.2" x14ac:dyDescent="0.3">
      <c r="A197" s="96">
        <v>195</v>
      </c>
      <c r="B197" s="152">
        <v>1550</v>
      </c>
      <c r="C197" s="153">
        <v>45729</v>
      </c>
      <c r="D197" s="149" t="s">
        <v>1514</v>
      </c>
      <c r="E197" s="144" t="s">
        <v>14</v>
      </c>
      <c r="F197" s="145" t="s">
        <v>6</v>
      </c>
      <c r="G197" s="183">
        <v>45729</v>
      </c>
      <c r="H197" s="146"/>
      <c r="I197" s="102" t="s">
        <v>253</v>
      </c>
      <c r="J197" s="154"/>
      <c r="K197" s="155"/>
      <c r="L197" s="156"/>
      <c r="M197" s="157"/>
      <c r="N197" s="158"/>
      <c r="O197" s="159"/>
      <c r="P197" s="85">
        <v>45729</v>
      </c>
      <c r="Q197" s="89">
        <f t="shared" si="3"/>
        <v>1</v>
      </c>
      <c r="R197" s="101"/>
      <c r="S197" s="160"/>
    </row>
    <row r="198" spans="1:19" ht="28.8" x14ac:dyDescent="0.3">
      <c r="A198" s="96">
        <v>196</v>
      </c>
      <c r="B198" s="87" t="s">
        <v>80</v>
      </c>
      <c r="C198" s="91">
        <v>45729</v>
      </c>
      <c r="D198" s="149" t="s">
        <v>1515</v>
      </c>
      <c r="E198" s="144" t="s">
        <v>23</v>
      </c>
      <c r="F198" s="145" t="s">
        <v>10</v>
      </c>
      <c r="G198" s="183">
        <v>45729</v>
      </c>
      <c r="H198" s="146"/>
      <c r="I198" s="100" t="s">
        <v>135</v>
      </c>
      <c r="J198" s="21"/>
      <c r="K198" s="18"/>
      <c r="L198" s="19"/>
      <c r="M198" s="23"/>
      <c r="N198" s="11"/>
      <c r="O198" s="12"/>
      <c r="P198" s="65">
        <v>45729</v>
      </c>
      <c r="Q198" s="89">
        <f t="shared" si="3"/>
        <v>1</v>
      </c>
      <c r="R198" s="101" t="s">
        <v>1411</v>
      </c>
      <c r="S198" s="160"/>
    </row>
    <row r="199" spans="1:19" ht="28.8" x14ac:dyDescent="0.3">
      <c r="A199" s="96">
        <v>197</v>
      </c>
      <c r="B199" s="87" t="s">
        <v>80</v>
      </c>
      <c r="C199" s="91">
        <v>45729</v>
      </c>
      <c r="D199" s="149" t="s">
        <v>1516</v>
      </c>
      <c r="E199" s="144" t="s">
        <v>23</v>
      </c>
      <c r="F199" s="145" t="s">
        <v>10</v>
      </c>
      <c r="G199" s="183">
        <v>45729</v>
      </c>
      <c r="H199" s="146"/>
      <c r="I199" s="100" t="s">
        <v>135</v>
      </c>
      <c r="J199" s="21"/>
      <c r="K199" s="18"/>
      <c r="L199" s="19"/>
      <c r="M199" s="23"/>
      <c r="N199" s="11"/>
      <c r="O199" s="12"/>
      <c r="P199" s="65">
        <v>45729</v>
      </c>
      <c r="Q199" s="89">
        <f t="shared" si="3"/>
        <v>1</v>
      </c>
      <c r="R199" s="101" t="s">
        <v>1411</v>
      </c>
      <c r="S199" s="66"/>
    </row>
    <row r="200" spans="1:19" ht="43.2" x14ac:dyDescent="0.3">
      <c r="A200" s="96">
        <v>198</v>
      </c>
      <c r="B200" s="152">
        <v>1550</v>
      </c>
      <c r="C200" s="153">
        <v>45729</v>
      </c>
      <c r="D200" s="149" t="s">
        <v>1517</v>
      </c>
      <c r="E200" s="48" t="s">
        <v>12</v>
      </c>
      <c r="F200" s="80" t="s">
        <v>8</v>
      </c>
      <c r="G200" s="183">
        <v>45729</v>
      </c>
      <c r="H200" s="5"/>
      <c r="I200" s="100" t="s">
        <v>159</v>
      </c>
      <c r="J200" s="21"/>
      <c r="K200" s="18"/>
      <c r="L200" s="19"/>
      <c r="M200" s="23"/>
      <c r="N200" s="11"/>
      <c r="O200" s="12"/>
      <c r="P200" s="85">
        <v>45729</v>
      </c>
      <c r="Q200" s="89">
        <f t="shared" si="3"/>
        <v>1</v>
      </c>
      <c r="R200" s="101" t="s">
        <v>205</v>
      </c>
      <c r="S200" s="66"/>
    </row>
    <row r="201" spans="1:19" ht="43.2" x14ac:dyDescent="0.3">
      <c r="A201" s="96">
        <v>199</v>
      </c>
      <c r="B201" s="87">
        <v>1550</v>
      </c>
      <c r="C201" s="91">
        <v>45722</v>
      </c>
      <c r="D201" s="149" t="s">
        <v>1518</v>
      </c>
      <c r="E201" s="48" t="s">
        <v>12</v>
      </c>
      <c r="F201" s="80" t="s">
        <v>8</v>
      </c>
      <c r="G201" s="183">
        <v>45722</v>
      </c>
      <c r="H201" s="5"/>
      <c r="I201" s="100" t="s">
        <v>159</v>
      </c>
      <c r="J201" s="21"/>
      <c r="K201" s="18"/>
      <c r="L201" s="19"/>
      <c r="M201" s="23"/>
      <c r="N201" s="11"/>
      <c r="O201" s="12"/>
      <c r="P201" s="85">
        <v>45730</v>
      </c>
      <c r="Q201" s="89">
        <f t="shared" si="3"/>
        <v>1.0001749704737326</v>
      </c>
      <c r="R201" s="101" t="s">
        <v>8</v>
      </c>
      <c r="S201" s="66"/>
    </row>
    <row r="202" spans="1:19" ht="57.6" x14ac:dyDescent="0.3">
      <c r="A202" s="96">
        <v>200</v>
      </c>
      <c r="B202" s="87">
        <v>1550</v>
      </c>
      <c r="C202" s="91">
        <v>45727</v>
      </c>
      <c r="D202" s="349" t="s">
        <v>1519</v>
      </c>
      <c r="E202" s="48" t="s">
        <v>1314</v>
      </c>
      <c r="F202" s="145" t="s">
        <v>4</v>
      </c>
      <c r="G202" s="183">
        <v>45727</v>
      </c>
      <c r="H202" s="5"/>
      <c r="I202" s="100" t="s">
        <v>1315</v>
      </c>
      <c r="J202" s="21"/>
      <c r="K202" s="18"/>
      <c r="L202" s="19"/>
      <c r="M202" s="23"/>
      <c r="N202" s="11"/>
      <c r="O202" s="12"/>
      <c r="P202" s="65">
        <v>45730</v>
      </c>
      <c r="Q202" s="89">
        <f t="shared" si="3"/>
        <v>1.0000656067531217</v>
      </c>
      <c r="R202" s="101"/>
      <c r="S202" s="66"/>
    </row>
    <row r="203" spans="1:19" ht="28.8" x14ac:dyDescent="0.3">
      <c r="A203" s="96">
        <v>201</v>
      </c>
      <c r="B203" s="87">
        <v>1550</v>
      </c>
      <c r="C203" s="91">
        <v>45728</v>
      </c>
      <c r="D203" s="149" t="s">
        <v>1520</v>
      </c>
      <c r="E203" s="48" t="s">
        <v>3</v>
      </c>
      <c r="F203" s="80" t="s">
        <v>4</v>
      </c>
      <c r="G203" s="183">
        <v>45728</v>
      </c>
      <c r="H203" s="5"/>
      <c r="I203" s="100" t="s">
        <v>82</v>
      </c>
      <c r="J203" s="154"/>
      <c r="K203" s="155"/>
      <c r="L203" s="156"/>
      <c r="M203" s="157"/>
      <c r="N203" s="158"/>
      <c r="O203" s="159"/>
      <c r="P203" s="65">
        <v>45730</v>
      </c>
      <c r="Q203" s="89">
        <f t="shared" si="3"/>
        <v>1.0000437368789363</v>
      </c>
      <c r="R203" s="101"/>
      <c r="S203" s="160"/>
    </row>
    <row r="204" spans="1:19" ht="43.2" x14ac:dyDescent="0.3">
      <c r="A204" s="96">
        <v>202</v>
      </c>
      <c r="B204" s="87">
        <v>1550</v>
      </c>
      <c r="C204" s="91">
        <v>45729</v>
      </c>
      <c r="D204" s="149" t="s">
        <v>1521</v>
      </c>
      <c r="E204" s="48" t="s">
        <v>52</v>
      </c>
      <c r="F204" s="80" t="s">
        <v>6</v>
      </c>
      <c r="G204" s="183">
        <v>45729</v>
      </c>
      <c r="H204" s="5"/>
      <c r="I204" s="100" t="s">
        <v>253</v>
      </c>
      <c r="J204" s="21"/>
      <c r="K204" s="18"/>
      <c r="L204" s="19"/>
      <c r="M204" s="23"/>
      <c r="N204" s="11"/>
      <c r="O204" s="12"/>
      <c r="P204" s="65">
        <v>45730</v>
      </c>
      <c r="Q204" s="89">
        <f t="shared" si="3"/>
        <v>1.00002186796125</v>
      </c>
      <c r="R204" s="101"/>
      <c r="S204" s="66"/>
    </row>
    <row r="205" spans="1:19" x14ac:dyDescent="0.3">
      <c r="A205" s="96">
        <v>203</v>
      </c>
      <c r="B205" s="152">
        <v>1550</v>
      </c>
      <c r="C205" s="153">
        <v>45729</v>
      </c>
      <c r="D205" s="349" t="s">
        <v>1522</v>
      </c>
      <c r="E205" s="144" t="s">
        <v>23</v>
      </c>
      <c r="F205" s="145" t="s">
        <v>4</v>
      </c>
      <c r="G205" s="183">
        <v>45729</v>
      </c>
      <c r="H205" s="146"/>
      <c r="I205" s="100" t="s">
        <v>135</v>
      </c>
      <c r="J205" s="154"/>
      <c r="K205" s="155"/>
      <c r="L205" s="156"/>
      <c r="M205" s="157"/>
      <c r="N205" s="158"/>
      <c r="O205" s="159"/>
      <c r="P205" s="85">
        <v>45730</v>
      </c>
      <c r="Q205" s="89">
        <f t="shared" si="3"/>
        <v>1.00002186796125</v>
      </c>
      <c r="R205" s="101"/>
      <c r="S205" s="160"/>
    </row>
    <row r="206" spans="1:19" ht="57.6" x14ac:dyDescent="0.3">
      <c r="A206" s="96">
        <v>204</v>
      </c>
      <c r="B206" s="152">
        <v>1550</v>
      </c>
      <c r="C206" s="153">
        <v>45729</v>
      </c>
      <c r="D206" s="349" t="s">
        <v>1523</v>
      </c>
      <c r="E206" s="144" t="s">
        <v>1314</v>
      </c>
      <c r="F206" s="145" t="s">
        <v>4</v>
      </c>
      <c r="G206" s="183">
        <v>45729</v>
      </c>
      <c r="H206" s="146"/>
      <c r="I206" s="100" t="s">
        <v>1315</v>
      </c>
      <c r="J206" s="154"/>
      <c r="K206" s="155"/>
      <c r="L206" s="156"/>
      <c r="M206" s="157"/>
      <c r="N206" s="158"/>
      <c r="O206" s="159"/>
      <c r="P206" s="85">
        <v>45730</v>
      </c>
      <c r="Q206" s="89">
        <f t="shared" si="3"/>
        <v>1.00002186796125</v>
      </c>
      <c r="R206" s="101"/>
      <c r="S206" s="160"/>
    </row>
    <row r="207" spans="1:19" ht="57.6" x14ac:dyDescent="0.3">
      <c r="A207" s="96">
        <v>205</v>
      </c>
      <c r="B207" s="87">
        <v>1550</v>
      </c>
      <c r="C207" s="91">
        <v>45729</v>
      </c>
      <c r="D207" s="149" t="s">
        <v>1524</v>
      </c>
      <c r="E207" s="144" t="s">
        <v>24</v>
      </c>
      <c r="F207" s="145" t="s">
        <v>8</v>
      </c>
      <c r="G207" s="183">
        <v>45729</v>
      </c>
      <c r="H207" s="146"/>
      <c r="I207" s="728" t="s">
        <v>383</v>
      </c>
      <c r="J207" s="154"/>
      <c r="K207" s="155"/>
      <c r="L207" s="156"/>
      <c r="M207" s="157"/>
      <c r="N207" s="158"/>
      <c r="O207" s="159"/>
      <c r="P207" s="65">
        <v>45730</v>
      </c>
      <c r="Q207" s="89">
        <f t="shared" si="3"/>
        <v>1.00002186796125</v>
      </c>
      <c r="R207" s="101" t="s">
        <v>169</v>
      </c>
      <c r="S207" s="160"/>
    </row>
    <row r="208" spans="1:19" x14ac:dyDescent="0.3">
      <c r="A208" s="96">
        <v>206</v>
      </c>
      <c r="B208" s="87">
        <v>1550</v>
      </c>
      <c r="C208" s="91">
        <v>45729</v>
      </c>
      <c r="D208" s="349" t="s">
        <v>1525</v>
      </c>
      <c r="E208" s="48" t="s">
        <v>23</v>
      </c>
      <c r="F208" s="145" t="s">
        <v>4</v>
      </c>
      <c r="G208" s="183">
        <v>45729</v>
      </c>
      <c r="H208" s="5"/>
      <c r="I208" s="100" t="s">
        <v>135</v>
      </c>
      <c r="J208" s="154"/>
      <c r="K208" s="155"/>
      <c r="L208" s="156"/>
      <c r="M208" s="157"/>
      <c r="N208" s="158"/>
      <c r="O208" s="159"/>
      <c r="P208" s="65">
        <v>45730</v>
      </c>
      <c r="Q208" s="89">
        <f t="shared" si="3"/>
        <v>1.00002186796125</v>
      </c>
      <c r="R208" s="101"/>
      <c r="S208" s="160"/>
    </row>
    <row r="209" spans="1:19" ht="57.6" x14ac:dyDescent="0.3">
      <c r="A209" s="96">
        <v>207</v>
      </c>
      <c r="B209" s="87">
        <v>1550</v>
      </c>
      <c r="C209" s="91">
        <v>45729</v>
      </c>
      <c r="D209" s="149" t="s">
        <v>1526</v>
      </c>
      <c r="E209" s="48" t="s">
        <v>1314</v>
      </c>
      <c r="F209" s="145" t="s">
        <v>6</v>
      </c>
      <c r="G209" s="183">
        <v>45729</v>
      </c>
      <c r="H209" s="5"/>
      <c r="I209" s="100" t="s">
        <v>1315</v>
      </c>
      <c r="J209" s="21"/>
      <c r="K209" s="18"/>
      <c r="L209" s="19"/>
      <c r="M209" s="23"/>
      <c r="N209" s="11"/>
      <c r="O209" s="12"/>
      <c r="P209" s="65">
        <v>45730</v>
      </c>
      <c r="Q209" s="89">
        <f t="shared" si="3"/>
        <v>1.00002186796125</v>
      </c>
      <c r="R209" s="101"/>
      <c r="S209" s="66"/>
    </row>
    <row r="210" spans="1:19" ht="28.8" x14ac:dyDescent="0.3">
      <c r="A210" s="96">
        <v>208</v>
      </c>
      <c r="B210" s="87">
        <v>1550</v>
      </c>
      <c r="C210" s="91">
        <v>45729</v>
      </c>
      <c r="D210" s="149" t="s">
        <v>1527</v>
      </c>
      <c r="E210" s="48" t="s">
        <v>23</v>
      </c>
      <c r="F210" s="145" t="s">
        <v>6</v>
      </c>
      <c r="G210" s="183">
        <v>45729</v>
      </c>
      <c r="H210" s="146"/>
      <c r="I210" s="100" t="s">
        <v>135</v>
      </c>
      <c r="J210" s="154"/>
      <c r="K210" s="155"/>
      <c r="L210" s="156"/>
      <c r="M210" s="157"/>
      <c r="N210" s="158"/>
      <c r="O210" s="159"/>
      <c r="P210" s="85">
        <v>45730</v>
      </c>
      <c r="Q210" s="89">
        <f t="shared" si="3"/>
        <v>1.00002186796125</v>
      </c>
      <c r="R210" s="101"/>
      <c r="S210" s="160"/>
    </row>
    <row r="211" spans="1:19" ht="57.6" x14ac:dyDescent="0.3">
      <c r="A211" s="96">
        <v>209</v>
      </c>
      <c r="B211" s="87">
        <v>1550</v>
      </c>
      <c r="C211" s="91">
        <v>45729</v>
      </c>
      <c r="D211" s="149" t="s">
        <v>1528</v>
      </c>
      <c r="E211" s="144" t="s">
        <v>1314</v>
      </c>
      <c r="F211" s="145" t="s">
        <v>8</v>
      </c>
      <c r="G211" s="183">
        <v>45729</v>
      </c>
      <c r="H211" s="146"/>
      <c r="I211" s="100" t="s">
        <v>1315</v>
      </c>
      <c r="J211" s="21"/>
      <c r="K211" s="18"/>
      <c r="L211" s="19"/>
      <c r="M211" s="23"/>
      <c r="N211" s="11"/>
      <c r="O211" s="12"/>
      <c r="P211" s="65">
        <v>45730</v>
      </c>
      <c r="Q211" s="89">
        <f t="shared" si="3"/>
        <v>1.00002186796125</v>
      </c>
      <c r="R211" s="101" t="s">
        <v>151</v>
      </c>
      <c r="S211" s="66"/>
    </row>
    <row r="212" spans="1:19" ht="57.6" x14ac:dyDescent="0.3">
      <c r="A212" s="96">
        <v>210</v>
      </c>
      <c r="B212" s="87">
        <v>1550</v>
      </c>
      <c r="C212" s="108">
        <v>45729</v>
      </c>
      <c r="D212" s="149" t="s">
        <v>1529</v>
      </c>
      <c r="E212" s="218" t="s">
        <v>24</v>
      </c>
      <c r="F212" s="221" t="s">
        <v>4</v>
      </c>
      <c r="G212" s="183">
        <v>45729</v>
      </c>
      <c r="H212" s="225"/>
      <c r="I212" s="100" t="s">
        <v>1260</v>
      </c>
      <c r="J212" s="114"/>
      <c r="K212" s="115"/>
      <c r="L212" s="116"/>
      <c r="M212" s="117"/>
      <c r="N212" s="118"/>
      <c r="O212" s="119"/>
      <c r="P212" s="65">
        <v>45730</v>
      </c>
      <c r="Q212" s="89">
        <f t="shared" si="3"/>
        <v>1.00002186796125</v>
      </c>
      <c r="R212" s="101"/>
      <c r="S212" s="66"/>
    </row>
    <row r="213" spans="1:19" ht="28.8" x14ac:dyDescent="0.3">
      <c r="A213" s="96">
        <v>211</v>
      </c>
      <c r="B213" s="86" t="s">
        <v>80</v>
      </c>
      <c r="C213" s="92">
        <v>45729</v>
      </c>
      <c r="D213" s="149" t="s">
        <v>1530</v>
      </c>
      <c r="E213" s="166" t="s">
        <v>23</v>
      </c>
      <c r="F213" s="172" t="s">
        <v>10</v>
      </c>
      <c r="G213" s="183">
        <v>45729</v>
      </c>
      <c r="H213" s="173"/>
      <c r="I213" s="100" t="s">
        <v>135</v>
      </c>
      <c r="J213" s="128"/>
      <c r="K213" s="128"/>
      <c r="L213" s="129"/>
      <c r="M213" s="130"/>
      <c r="N213" s="130"/>
      <c r="O213" s="131"/>
      <c r="P213" s="83">
        <v>45730</v>
      </c>
      <c r="Q213" s="89">
        <f t="shared" si="3"/>
        <v>1.00002186796125</v>
      </c>
      <c r="R213" s="101" t="s">
        <v>1319</v>
      </c>
      <c r="S213" s="168"/>
    </row>
    <row r="214" spans="1:19" ht="57.6" x14ac:dyDescent="0.3">
      <c r="A214" s="96">
        <v>212</v>
      </c>
      <c r="B214" s="86" t="s">
        <v>80</v>
      </c>
      <c r="C214" s="92">
        <v>45729</v>
      </c>
      <c r="D214" s="149" t="s">
        <v>1531</v>
      </c>
      <c r="E214" s="166" t="s">
        <v>1314</v>
      </c>
      <c r="F214" s="172" t="s">
        <v>10</v>
      </c>
      <c r="G214" s="183">
        <v>45729</v>
      </c>
      <c r="H214" s="173"/>
      <c r="I214" s="100" t="s">
        <v>1315</v>
      </c>
      <c r="J214" s="128"/>
      <c r="K214" s="128"/>
      <c r="L214" s="129"/>
      <c r="M214" s="130"/>
      <c r="N214" s="130"/>
      <c r="O214" s="131"/>
      <c r="P214" s="65">
        <v>45730</v>
      </c>
      <c r="Q214" s="89">
        <f t="shared" si="3"/>
        <v>1.00002186796125</v>
      </c>
      <c r="R214" s="101" t="s">
        <v>1319</v>
      </c>
      <c r="S214" s="168"/>
    </row>
    <row r="215" spans="1:19" ht="57.6" x14ac:dyDescent="0.3">
      <c r="A215" s="96">
        <v>213</v>
      </c>
      <c r="B215" s="86" t="s">
        <v>80</v>
      </c>
      <c r="C215" s="92">
        <v>45729</v>
      </c>
      <c r="D215" s="149" t="s">
        <v>1532</v>
      </c>
      <c r="E215" s="166" t="s">
        <v>1314</v>
      </c>
      <c r="F215" s="172" t="s">
        <v>10</v>
      </c>
      <c r="G215" s="183">
        <v>45729</v>
      </c>
      <c r="H215" s="173"/>
      <c r="I215" s="100" t="s">
        <v>1315</v>
      </c>
      <c r="J215" s="27"/>
      <c r="K215" s="50"/>
      <c r="L215" s="51"/>
      <c r="M215" s="29"/>
      <c r="N215" s="30"/>
      <c r="O215" s="54"/>
      <c r="P215" s="83">
        <v>45730</v>
      </c>
      <c r="Q215" s="89">
        <f t="shared" ref="Q215:Q278" si="4">P215/G215</f>
        <v>1.00002186796125</v>
      </c>
      <c r="R215" s="101" t="s">
        <v>165</v>
      </c>
      <c r="S215" s="56"/>
    </row>
    <row r="216" spans="1:19" ht="57.6" x14ac:dyDescent="0.3">
      <c r="A216" s="96">
        <v>214</v>
      </c>
      <c r="B216" s="86" t="s">
        <v>80</v>
      </c>
      <c r="C216" s="92">
        <v>45729</v>
      </c>
      <c r="D216" s="149" t="s">
        <v>1533</v>
      </c>
      <c r="E216" s="166" t="s">
        <v>1314</v>
      </c>
      <c r="F216" s="172" t="s">
        <v>10</v>
      </c>
      <c r="G216" s="183">
        <v>45729</v>
      </c>
      <c r="H216" s="173"/>
      <c r="I216" s="100" t="s">
        <v>1315</v>
      </c>
      <c r="J216" s="27"/>
      <c r="K216" s="28"/>
      <c r="L216" s="51"/>
      <c r="M216" s="29"/>
      <c r="N216" s="30"/>
      <c r="O216" s="54"/>
      <c r="P216" s="83">
        <v>45730</v>
      </c>
      <c r="Q216" s="89">
        <f t="shared" si="4"/>
        <v>1.00002186796125</v>
      </c>
      <c r="R216" s="101" t="s">
        <v>165</v>
      </c>
      <c r="S216" s="57"/>
    </row>
    <row r="217" spans="1:19" ht="86.4" x14ac:dyDescent="0.3">
      <c r="A217" s="96">
        <v>215</v>
      </c>
      <c r="B217" s="86" t="s">
        <v>80</v>
      </c>
      <c r="C217" s="92">
        <v>45729</v>
      </c>
      <c r="D217" s="149" t="s">
        <v>1534</v>
      </c>
      <c r="E217" s="144" t="s">
        <v>24</v>
      </c>
      <c r="F217" s="172" t="s">
        <v>10</v>
      </c>
      <c r="G217" s="183">
        <v>45729</v>
      </c>
      <c r="H217" s="146"/>
      <c r="I217" s="728" t="s">
        <v>383</v>
      </c>
      <c r="J217" s="27"/>
      <c r="K217" s="28"/>
      <c r="L217" s="51"/>
      <c r="M217" s="29"/>
      <c r="N217" s="30"/>
      <c r="O217" s="54"/>
      <c r="P217" s="83">
        <v>45730</v>
      </c>
      <c r="Q217" s="89">
        <f t="shared" si="4"/>
        <v>1.00002186796125</v>
      </c>
      <c r="R217" s="101" t="s">
        <v>216</v>
      </c>
      <c r="S217" s="56"/>
    </row>
    <row r="218" spans="1:19" ht="187.2" x14ac:dyDescent="0.3">
      <c r="A218" s="96">
        <v>216</v>
      </c>
      <c r="B218" s="86" t="s">
        <v>80</v>
      </c>
      <c r="C218" s="92">
        <v>45729</v>
      </c>
      <c r="D218" s="149" t="s">
        <v>1535</v>
      </c>
      <c r="E218" s="166" t="s">
        <v>1</v>
      </c>
      <c r="F218" s="172" t="s">
        <v>10</v>
      </c>
      <c r="G218" s="183">
        <v>45729</v>
      </c>
      <c r="H218" s="173"/>
      <c r="I218" s="100" t="s">
        <v>125</v>
      </c>
      <c r="J218" s="27"/>
      <c r="K218" s="28"/>
      <c r="L218" s="51"/>
      <c r="M218" s="29"/>
      <c r="N218" s="30"/>
      <c r="O218" s="54"/>
      <c r="P218" s="83">
        <v>45730</v>
      </c>
      <c r="Q218" s="89">
        <f t="shared" si="4"/>
        <v>1.00002186796125</v>
      </c>
      <c r="R218" s="101" t="s">
        <v>1319</v>
      </c>
      <c r="S218" s="56"/>
    </row>
    <row r="219" spans="1:19" ht="28.8" x14ac:dyDescent="0.3">
      <c r="A219" s="96">
        <v>217</v>
      </c>
      <c r="B219" s="86" t="s">
        <v>80</v>
      </c>
      <c r="C219" s="92">
        <v>45729</v>
      </c>
      <c r="D219" s="149" t="s">
        <v>1536</v>
      </c>
      <c r="E219" s="166" t="s">
        <v>23</v>
      </c>
      <c r="F219" s="172" t="s">
        <v>10</v>
      </c>
      <c r="G219" s="183">
        <v>45729</v>
      </c>
      <c r="H219" s="173"/>
      <c r="I219" s="100" t="s">
        <v>135</v>
      </c>
      <c r="J219" s="27"/>
      <c r="K219" s="28"/>
      <c r="L219" s="51"/>
      <c r="M219" s="29"/>
      <c r="N219" s="30"/>
      <c r="O219" s="54"/>
      <c r="P219" s="83">
        <v>45730</v>
      </c>
      <c r="Q219" s="89">
        <f t="shared" si="4"/>
        <v>1.00002186796125</v>
      </c>
      <c r="R219" s="101" t="s">
        <v>165</v>
      </c>
      <c r="S219" s="56"/>
    </row>
    <row r="220" spans="1:19" ht="72" x14ac:dyDescent="0.3">
      <c r="A220" s="96">
        <v>218</v>
      </c>
      <c r="B220" s="170">
        <v>1550</v>
      </c>
      <c r="C220" s="171">
        <v>45730</v>
      </c>
      <c r="D220" s="149" t="s">
        <v>1537</v>
      </c>
      <c r="E220" s="48" t="s">
        <v>57</v>
      </c>
      <c r="F220" s="80" t="s">
        <v>6</v>
      </c>
      <c r="G220" s="183">
        <v>45730</v>
      </c>
      <c r="H220" s="5"/>
      <c r="I220" s="727" t="s">
        <v>253</v>
      </c>
      <c r="J220" s="27"/>
      <c r="K220" s="28"/>
      <c r="L220" s="51"/>
      <c r="M220" s="29"/>
      <c r="N220" s="30"/>
      <c r="O220" s="54"/>
      <c r="P220" s="132">
        <v>45730</v>
      </c>
      <c r="Q220" s="89">
        <f t="shared" si="4"/>
        <v>1</v>
      </c>
      <c r="R220" s="101"/>
      <c r="S220" s="56"/>
    </row>
    <row r="221" spans="1:19" ht="43.2" x14ac:dyDescent="0.3">
      <c r="A221" s="96">
        <v>219</v>
      </c>
      <c r="B221" s="86">
        <v>1550</v>
      </c>
      <c r="C221" s="92">
        <v>45730</v>
      </c>
      <c r="D221" s="149" t="s">
        <v>1538</v>
      </c>
      <c r="E221" s="166" t="s">
        <v>57</v>
      </c>
      <c r="F221" s="80" t="s">
        <v>6</v>
      </c>
      <c r="G221" s="183">
        <v>45730</v>
      </c>
      <c r="H221" s="5"/>
      <c r="I221" s="727" t="s">
        <v>253</v>
      </c>
      <c r="J221" s="27"/>
      <c r="K221" s="28"/>
      <c r="L221" s="51"/>
      <c r="M221" s="29"/>
      <c r="N221" s="30"/>
      <c r="O221" s="54"/>
      <c r="P221" s="132">
        <v>45730</v>
      </c>
      <c r="Q221" s="89">
        <f t="shared" si="4"/>
        <v>1</v>
      </c>
      <c r="R221" s="101"/>
      <c r="S221" s="56"/>
    </row>
    <row r="222" spans="1:19" ht="43.2" x14ac:dyDescent="0.3">
      <c r="A222" s="96">
        <v>220</v>
      </c>
      <c r="B222" s="86">
        <v>1550</v>
      </c>
      <c r="C222" s="92">
        <v>45730</v>
      </c>
      <c r="D222" s="98" t="s">
        <v>1539</v>
      </c>
      <c r="E222" s="144" t="s">
        <v>23</v>
      </c>
      <c r="F222" s="172" t="s">
        <v>8</v>
      </c>
      <c r="G222" s="183">
        <v>45730</v>
      </c>
      <c r="H222" s="146"/>
      <c r="I222" s="100" t="s">
        <v>135</v>
      </c>
      <c r="J222" s="27"/>
      <c r="K222" s="28"/>
      <c r="L222" s="51"/>
      <c r="M222" s="29"/>
      <c r="N222" s="30"/>
      <c r="O222" s="54"/>
      <c r="P222" s="132">
        <v>45730</v>
      </c>
      <c r="Q222" s="89">
        <f t="shared" si="4"/>
        <v>1</v>
      </c>
      <c r="R222" s="101" t="s">
        <v>1246</v>
      </c>
      <c r="S222" s="56"/>
    </row>
    <row r="223" spans="1:19" ht="57.6" x14ac:dyDescent="0.3">
      <c r="A223" s="96">
        <v>221</v>
      </c>
      <c r="B223" s="86" t="s">
        <v>80</v>
      </c>
      <c r="C223" s="92">
        <v>45727</v>
      </c>
      <c r="D223" s="149" t="s">
        <v>1540</v>
      </c>
      <c r="E223" s="144" t="s">
        <v>7</v>
      </c>
      <c r="F223" s="80" t="s">
        <v>10</v>
      </c>
      <c r="G223" s="183">
        <v>45727</v>
      </c>
      <c r="H223" s="146"/>
      <c r="I223" s="100" t="s">
        <v>1315</v>
      </c>
      <c r="J223" s="128"/>
      <c r="K223" s="128"/>
      <c r="L223" s="129"/>
      <c r="M223" s="130"/>
      <c r="N223" s="130"/>
      <c r="O223" s="131"/>
      <c r="P223" s="83">
        <v>45733</v>
      </c>
      <c r="Q223" s="89">
        <f t="shared" si="4"/>
        <v>1.0001312135062437</v>
      </c>
      <c r="R223" s="101" t="s">
        <v>1332</v>
      </c>
      <c r="S223" s="168"/>
    </row>
    <row r="224" spans="1:19" ht="43.2" x14ac:dyDescent="0.3">
      <c r="A224" s="96">
        <v>222</v>
      </c>
      <c r="B224" s="86">
        <v>1550</v>
      </c>
      <c r="C224" s="92">
        <v>45729</v>
      </c>
      <c r="D224" s="98" t="s">
        <v>1541</v>
      </c>
      <c r="E224" s="144" t="s">
        <v>1</v>
      </c>
      <c r="F224" s="80" t="s">
        <v>6</v>
      </c>
      <c r="G224" s="183">
        <v>45729</v>
      </c>
      <c r="H224" s="146"/>
      <c r="I224" s="100" t="s">
        <v>125</v>
      </c>
      <c r="J224" s="128"/>
      <c r="K224" s="128"/>
      <c r="L224" s="129"/>
      <c r="M224" s="130"/>
      <c r="N224" s="130"/>
      <c r="O224" s="131"/>
      <c r="P224" s="83">
        <v>45733</v>
      </c>
      <c r="Q224" s="89">
        <f t="shared" si="4"/>
        <v>1.0000874718449999</v>
      </c>
      <c r="R224" s="101"/>
      <c r="S224" s="168"/>
    </row>
    <row r="225" spans="1:19" ht="28.8" x14ac:dyDescent="0.3">
      <c r="A225" s="96">
        <v>223</v>
      </c>
      <c r="B225" s="86">
        <v>1550</v>
      </c>
      <c r="C225" s="92">
        <v>45729</v>
      </c>
      <c r="D225" s="149" t="s">
        <v>1542</v>
      </c>
      <c r="E225" s="48" t="s">
        <v>1</v>
      </c>
      <c r="F225" s="80" t="s">
        <v>4</v>
      </c>
      <c r="G225" s="183">
        <v>45729</v>
      </c>
      <c r="H225" s="146"/>
      <c r="I225" s="100" t="s">
        <v>125</v>
      </c>
      <c r="J225" s="128"/>
      <c r="K225" s="128"/>
      <c r="L225" s="129"/>
      <c r="M225" s="130"/>
      <c r="N225" s="130"/>
      <c r="O225" s="131"/>
      <c r="P225" s="83">
        <v>45733</v>
      </c>
      <c r="Q225" s="89">
        <f t="shared" si="4"/>
        <v>1.0000874718449999</v>
      </c>
      <c r="R225" s="101"/>
      <c r="S225" s="56"/>
    </row>
    <row r="226" spans="1:19" ht="144" x14ac:dyDescent="0.3">
      <c r="A226" s="96">
        <v>224</v>
      </c>
      <c r="B226" s="86" t="s">
        <v>80</v>
      </c>
      <c r="C226" s="92">
        <v>45729</v>
      </c>
      <c r="D226" s="98" t="s">
        <v>1543</v>
      </c>
      <c r="E226" s="47" t="s">
        <v>1</v>
      </c>
      <c r="F226" s="172" t="s">
        <v>10</v>
      </c>
      <c r="G226" s="183">
        <v>45729</v>
      </c>
      <c r="H226" s="49"/>
      <c r="I226" s="102" t="s">
        <v>174</v>
      </c>
      <c r="J226" s="27"/>
      <c r="K226" s="28"/>
      <c r="L226" s="51"/>
      <c r="M226" s="29"/>
      <c r="N226" s="30"/>
      <c r="O226" s="54"/>
      <c r="P226" s="83">
        <v>45733</v>
      </c>
      <c r="Q226" s="89">
        <f t="shared" si="4"/>
        <v>1.0000874718449999</v>
      </c>
      <c r="R226" s="101" t="s">
        <v>1319</v>
      </c>
      <c r="S226" s="56"/>
    </row>
    <row r="227" spans="1:19" ht="57.6" x14ac:dyDescent="0.3">
      <c r="A227" s="96">
        <v>225</v>
      </c>
      <c r="B227" s="170">
        <v>1550</v>
      </c>
      <c r="C227" s="171">
        <v>45730</v>
      </c>
      <c r="D227" s="349" t="s">
        <v>1544</v>
      </c>
      <c r="E227" s="48" t="s">
        <v>1314</v>
      </c>
      <c r="F227" s="80" t="s">
        <v>4</v>
      </c>
      <c r="G227" s="183">
        <v>45730</v>
      </c>
      <c r="H227" s="5"/>
      <c r="I227" s="100" t="s">
        <v>1315</v>
      </c>
      <c r="J227" s="27"/>
      <c r="K227" s="28"/>
      <c r="L227" s="51"/>
      <c r="M227" s="29"/>
      <c r="N227" s="30"/>
      <c r="O227" s="54"/>
      <c r="P227" s="132">
        <v>45733</v>
      </c>
      <c r="Q227" s="89">
        <f t="shared" si="4"/>
        <v>1.0000656024491581</v>
      </c>
      <c r="R227" s="101"/>
      <c r="S227" s="56"/>
    </row>
    <row r="228" spans="1:19" ht="57.6" x14ac:dyDescent="0.3">
      <c r="A228" s="96">
        <v>226</v>
      </c>
      <c r="B228" s="86">
        <v>1550</v>
      </c>
      <c r="C228" s="92">
        <v>45730</v>
      </c>
      <c r="D228" s="149" t="s">
        <v>1545</v>
      </c>
      <c r="E228" s="166" t="s">
        <v>1314</v>
      </c>
      <c r="F228" s="172" t="s">
        <v>8</v>
      </c>
      <c r="G228" s="183">
        <v>45730</v>
      </c>
      <c r="H228" s="173"/>
      <c r="I228" s="100" t="s">
        <v>1315</v>
      </c>
      <c r="J228" s="27"/>
      <c r="K228" s="28"/>
      <c r="L228" s="51"/>
      <c r="M228" s="29"/>
      <c r="N228" s="30"/>
      <c r="O228" s="54"/>
      <c r="P228" s="132">
        <v>45733</v>
      </c>
      <c r="Q228" s="89">
        <f t="shared" si="4"/>
        <v>1.0000656024491581</v>
      </c>
      <c r="R228" s="101" t="s">
        <v>94</v>
      </c>
      <c r="S228" s="56"/>
    </row>
    <row r="229" spans="1:19" ht="43.2" x14ac:dyDescent="0.3">
      <c r="A229" s="96">
        <v>227</v>
      </c>
      <c r="B229" s="86">
        <v>1550</v>
      </c>
      <c r="C229" s="92">
        <v>45730</v>
      </c>
      <c r="D229" s="96" t="s">
        <v>1546</v>
      </c>
      <c r="E229" s="166" t="s">
        <v>14</v>
      </c>
      <c r="F229" s="172" t="s">
        <v>4</v>
      </c>
      <c r="G229" s="183">
        <v>45730</v>
      </c>
      <c r="H229" s="173"/>
      <c r="I229" s="102" t="s">
        <v>253</v>
      </c>
      <c r="J229" s="128"/>
      <c r="K229" s="128"/>
      <c r="L229" s="129"/>
      <c r="M229" s="130"/>
      <c r="N229" s="130"/>
      <c r="O229" s="131"/>
      <c r="P229" s="132">
        <v>45733</v>
      </c>
      <c r="Q229" s="89">
        <f t="shared" si="4"/>
        <v>1.0000656024491581</v>
      </c>
      <c r="R229" s="101"/>
      <c r="S229" s="168"/>
    </row>
    <row r="230" spans="1:19" ht="72" x14ac:dyDescent="0.3">
      <c r="A230" s="96">
        <v>228</v>
      </c>
      <c r="B230" s="170">
        <v>1550</v>
      </c>
      <c r="C230" s="171">
        <v>45730</v>
      </c>
      <c r="D230" s="149" t="s">
        <v>1547</v>
      </c>
      <c r="E230" s="47" t="s">
        <v>3</v>
      </c>
      <c r="F230" s="80" t="s">
        <v>6</v>
      </c>
      <c r="G230" s="183">
        <v>45730</v>
      </c>
      <c r="H230" s="5"/>
      <c r="I230" s="100" t="s">
        <v>82</v>
      </c>
      <c r="J230" s="128"/>
      <c r="K230" s="128"/>
      <c r="L230" s="129"/>
      <c r="M230" s="130"/>
      <c r="N230" s="130"/>
      <c r="O230" s="131"/>
      <c r="P230" s="83">
        <v>45733</v>
      </c>
      <c r="Q230" s="89">
        <f t="shared" si="4"/>
        <v>1.0000656024491581</v>
      </c>
      <c r="R230" s="101"/>
      <c r="S230" s="168"/>
    </row>
    <row r="231" spans="1:19" ht="57.6" x14ac:dyDescent="0.3">
      <c r="A231" s="96">
        <v>229</v>
      </c>
      <c r="B231" s="170">
        <v>1550</v>
      </c>
      <c r="C231" s="171">
        <v>45730</v>
      </c>
      <c r="D231" s="149" t="s">
        <v>1548</v>
      </c>
      <c r="E231" s="47" t="s">
        <v>1314</v>
      </c>
      <c r="F231" s="80" t="s">
        <v>8</v>
      </c>
      <c r="G231" s="183">
        <v>45730</v>
      </c>
      <c r="H231" s="5"/>
      <c r="I231" s="100" t="s">
        <v>1315</v>
      </c>
      <c r="J231" s="128"/>
      <c r="K231" s="128"/>
      <c r="L231" s="129"/>
      <c r="M231" s="130"/>
      <c r="N231" s="130"/>
      <c r="O231" s="131"/>
      <c r="P231" s="83">
        <v>45733</v>
      </c>
      <c r="Q231" s="89">
        <f t="shared" si="4"/>
        <v>1.0000656024491581</v>
      </c>
      <c r="R231" s="101" t="s">
        <v>94</v>
      </c>
      <c r="S231" s="168"/>
    </row>
    <row r="232" spans="1:19" ht="57.6" x14ac:dyDescent="0.3">
      <c r="A232" s="96">
        <v>230</v>
      </c>
      <c r="B232" s="170" t="s">
        <v>80</v>
      </c>
      <c r="C232" s="171">
        <v>45730</v>
      </c>
      <c r="D232" s="149" t="s">
        <v>1549</v>
      </c>
      <c r="E232" s="166" t="s">
        <v>1314</v>
      </c>
      <c r="F232" s="145" t="s">
        <v>10</v>
      </c>
      <c r="G232" s="183">
        <v>45730</v>
      </c>
      <c r="H232" s="146"/>
      <c r="I232" s="100" t="s">
        <v>1315</v>
      </c>
      <c r="J232" s="128"/>
      <c r="K232" s="128"/>
      <c r="L232" s="129"/>
      <c r="M232" s="130"/>
      <c r="N232" s="130"/>
      <c r="O232" s="131"/>
      <c r="P232" s="83">
        <v>45733</v>
      </c>
      <c r="Q232" s="89">
        <f t="shared" si="4"/>
        <v>1.0000656024491581</v>
      </c>
      <c r="R232" s="101" t="s">
        <v>216</v>
      </c>
      <c r="S232" s="168"/>
    </row>
    <row r="233" spans="1:19" ht="57.6" x14ac:dyDescent="0.3">
      <c r="A233" s="96">
        <v>231</v>
      </c>
      <c r="B233" s="170" t="s">
        <v>80</v>
      </c>
      <c r="C233" s="171">
        <v>45730</v>
      </c>
      <c r="D233" s="149" t="s">
        <v>1550</v>
      </c>
      <c r="E233" s="166" t="s">
        <v>1314</v>
      </c>
      <c r="F233" s="145" t="s">
        <v>10</v>
      </c>
      <c r="G233" s="183">
        <v>45730</v>
      </c>
      <c r="H233" s="146"/>
      <c r="I233" s="100" t="s">
        <v>1315</v>
      </c>
      <c r="J233" s="128"/>
      <c r="K233" s="128"/>
      <c r="L233" s="129"/>
      <c r="M233" s="130"/>
      <c r="N233" s="130"/>
      <c r="O233" s="131"/>
      <c r="P233" s="83">
        <v>45733</v>
      </c>
      <c r="Q233" s="89">
        <f t="shared" si="4"/>
        <v>1.0000656024491581</v>
      </c>
      <c r="R233" s="101" t="s">
        <v>216</v>
      </c>
      <c r="S233" s="168"/>
    </row>
    <row r="234" spans="1:19" ht="57.6" x14ac:dyDescent="0.3">
      <c r="A234" s="96">
        <v>232</v>
      </c>
      <c r="B234" s="170" t="s">
        <v>80</v>
      </c>
      <c r="C234" s="171">
        <v>45730</v>
      </c>
      <c r="D234" s="149" t="s">
        <v>1551</v>
      </c>
      <c r="E234" s="166" t="s">
        <v>1314</v>
      </c>
      <c r="F234" s="145" t="s">
        <v>10</v>
      </c>
      <c r="G234" s="183">
        <v>45730</v>
      </c>
      <c r="H234" s="173"/>
      <c r="I234" s="100" t="s">
        <v>1315</v>
      </c>
      <c r="J234" s="27"/>
      <c r="K234" s="28"/>
      <c r="L234" s="51"/>
      <c r="M234" s="29"/>
      <c r="N234" s="30"/>
      <c r="O234" s="54"/>
      <c r="P234" s="83">
        <v>45733</v>
      </c>
      <c r="Q234" s="89">
        <f t="shared" si="4"/>
        <v>1.0000656024491581</v>
      </c>
      <c r="R234" s="101" t="s">
        <v>1319</v>
      </c>
      <c r="S234" s="56"/>
    </row>
    <row r="235" spans="1:19" ht="57.6" x14ac:dyDescent="0.3">
      <c r="A235" s="96">
        <v>233</v>
      </c>
      <c r="B235" s="170" t="s">
        <v>80</v>
      </c>
      <c r="C235" s="171">
        <v>45730</v>
      </c>
      <c r="D235" s="149" t="s">
        <v>1552</v>
      </c>
      <c r="E235" s="166" t="s">
        <v>1314</v>
      </c>
      <c r="F235" s="145" t="s">
        <v>10</v>
      </c>
      <c r="G235" s="183">
        <v>45730</v>
      </c>
      <c r="H235" s="173"/>
      <c r="I235" s="100" t="s">
        <v>1315</v>
      </c>
      <c r="J235" s="128"/>
      <c r="K235" s="128"/>
      <c r="L235" s="129"/>
      <c r="M235" s="130"/>
      <c r="N235" s="130"/>
      <c r="O235" s="131"/>
      <c r="P235" s="83">
        <v>45733</v>
      </c>
      <c r="Q235" s="89">
        <f t="shared" si="4"/>
        <v>1.0000656024491581</v>
      </c>
      <c r="R235" s="101" t="s">
        <v>1319</v>
      </c>
      <c r="S235" s="168"/>
    </row>
    <row r="236" spans="1:19" ht="57.6" x14ac:dyDescent="0.3">
      <c r="A236" s="96">
        <v>234</v>
      </c>
      <c r="B236" s="170" t="s">
        <v>80</v>
      </c>
      <c r="C236" s="171">
        <v>45730</v>
      </c>
      <c r="D236" s="149" t="s">
        <v>1553</v>
      </c>
      <c r="E236" s="144" t="s">
        <v>1314</v>
      </c>
      <c r="F236" s="145" t="s">
        <v>10</v>
      </c>
      <c r="G236" s="183">
        <v>45730</v>
      </c>
      <c r="H236" s="146"/>
      <c r="I236" s="100" t="s">
        <v>1315</v>
      </c>
      <c r="J236" s="27"/>
      <c r="K236" s="28"/>
      <c r="L236" s="51"/>
      <c r="M236" s="29"/>
      <c r="N236" s="30"/>
      <c r="O236" s="54"/>
      <c r="P236" s="83">
        <v>45733</v>
      </c>
      <c r="Q236" s="89">
        <f t="shared" si="4"/>
        <v>1.0000656024491581</v>
      </c>
      <c r="R236" s="101" t="s">
        <v>1319</v>
      </c>
      <c r="S236" s="56"/>
    </row>
    <row r="237" spans="1:19" ht="57.6" x14ac:dyDescent="0.3">
      <c r="A237" s="96">
        <v>235</v>
      </c>
      <c r="B237" s="170" t="s">
        <v>80</v>
      </c>
      <c r="C237" s="171">
        <v>45730</v>
      </c>
      <c r="D237" s="149" t="s">
        <v>1554</v>
      </c>
      <c r="E237" s="144" t="s">
        <v>1314</v>
      </c>
      <c r="F237" s="145" t="s">
        <v>10</v>
      </c>
      <c r="G237" s="183">
        <v>45730</v>
      </c>
      <c r="H237" s="146"/>
      <c r="I237" s="100" t="s">
        <v>1315</v>
      </c>
      <c r="J237" s="27"/>
      <c r="K237" s="28"/>
      <c r="L237" s="51"/>
      <c r="M237" s="29"/>
      <c r="N237" s="30"/>
      <c r="O237" s="54"/>
      <c r="P237" s="83">
        <v>45733</v>
      </c>
      <c r="Q237" s="89">
        <f t="shared" si="4"/>
        <v>1.0000656024491581</v>
      </c>
      <c r="R237" s="101" t="s">
        <v>1319</v>
      </c>
      <c r="S237" s="56"/>
    </row>
    <row r="238" spans="1:19" ht="57.6" x14ac:dyDescent="0.3">
      <c r="A238" s="96">
        <v>236</v>
      </c>
      <c r="B238" s="170" t="s">
        <v>80</v>
      </c>
      <c r="C238" s="171">
        <v>45730</v>
      </c>
      <c r="D238" s="149" t="s">
        <v>1555</v>
      </c>
      <c r="E238" s="144" t="s">
        <v>1314</v>
      </c>
      <c r="F238" s="145" t="s">
        <v>10</v>
      </c>
      <c r="G238" s="183">
        <v>45730</v>
      </c>
      <c r="H238" s="146"/>
      <c r="I238" s="100" t="s">
        <v>1315</v>
      </c>
      <c r="J238" s="27"/>
      <c r="K238" s="50"/>
      <c r="L238" s="51"/>
      <c r="M238" s="29"/>
      <c r="N238" s="30"/>
      <c r="O238" s="54"/>
      <c r="P238" s="83">
        <v>45733</v>
      </c>
      <c r="Q238" s="89">
        <f t="shared" si="4"/>
        <v>1.0000656024491581</v>
      </c>
      <c r="R238" s="101" t="s">
        <v>1332</v>
      </c>
      <c r="S238" s="56"/>
    </row>
    <row r="239" spans="1:19" ht="57.6" x14ac:dyDescent="0.3">
      <c r="A239" s="96">
        <v>237</v>
      </c>
      <c r="B239" s="86" t="s">
        <v>80</v>
      </c>
      <c r="C239" s="92">
        <v>45723</v>
      </c>
      <c r="D239" s="149" t="s">
        <v>1556</v>
      </c>
      <c r="E239" s="48" t="s">
        <v>48</v>
      </c>
      <c r="F239" s="80" t="s">
        <v>10</v>
      </c>
      <c r="G239" s="183">
        <v>45723</v>
      </c>
      <c r="H239" s="5"/>
      <c r="I239" s="100" t="s">
        <v>1315</v>
      </c>
      <c r="J239" s="27"/>
      <c r="K239" s="28"/>
      <c r="L239" s="51"/>
      <c r="M239" s="29"/>
      <c r="N239" s="30"/>
      <c r="O239" s="54"/>
      <c r="P239" s="132">
        <v>45734</v>
      </c>
      <c r="Q239" s="89">
        <f t="shared" si="4"/>
        <v>1.0002405791396014</v>
      </c>
      <c r="R239" s="101" t="s">
        <v>755</v>
      </c>
      <c r="S239" s="168" t="s">
        <v>1557</v>
      </c>
    </row>
    <row r="240" spans="1:19" ht="187.2" x14ac:dyDescent="0.3">
      <c r="A240" s="96">
        <v>238</v>
      </c>
      <c r="B240" s="170">
        <v>1550</v>
      </c>
      <c r="C240" s="171">
        <v>45726</v>
      </c>
      <c r="D240" s="149" t="s">
        <v>1558</v>
      </c>
      <c r="E240" s="48" t="s">
        <v>12</v>
      </c>
      <c r="F240" s="80" t="s">
        <v>6</v>
      </c>
      <c r="G240" s="183">
        <v>45726</v>
      </c>
      <c r="H240" s="5"/>
      <c r="I240" s="100" t="s">
        <v>159</v>
      </c>
      <c r="J240" s="27"/>
      <c r="K240" s="28"/>
      <c r="L240" s="51"/>
      <c r="M240" s="29"/>
      <c r="N240" s="30"/>
      <c r="O240" s="54"/>
      <c r="P240" s="83">
        <v>45734</v>
      </c>
      <c r="Q240" s="89">
        <f t="shared" si="4"/>
        <v>1.0001749551677384</v>
      </c>
      <c r="R240" s="101"/>
      <c r="S240" s="56"/>
    </row>
    <row r="241" spans="1:19" ht="115.2" x14ac:dyDescent="0.3">
      <c r="A241" s="96">
        <v>239</v>
      </c>
      <c r="B241" s="86" t="s">
        <v>80</v>
      </c>
      <c r="C241" s="92">
        <v>45727</v>
      </c>
      <c r="D241" s="149" t="s">
        <v>1559</v>
      </c>
      <c r="E241" s="48" t="s">
        <v>12</v>
      </c>
      <c r="F241" s="80" t="s">
        <v>10</v>
      </c>
      <c r="G241" s="183">
        <v>45727</v>
      </c>
      <c r="H241" s="5"/>
      <c r="I241" s="100" t="s">
        <v>159</v>
      </c>
      <c r="J241" s="27"/>
      <c r="K241" s="28"/>
      <c r="L241" s="51"/>
      <c r="M241" s="29"/>
      <c r="N241" s="30"/>
      <c r="O241" s="54"/>
      <c r="P241" s="83">
        <v>45734</v>
      </c>
      <c r="Q241" s="89">
        <f t="shared" si="4"/>
        <v>1.0001530824239508</v>
      </c>
      <c r="R241" s="101" t="s">
        <v>1319</v>
      </c>
      <c r="S241" s="56"/>
    </row>
    <row r="242" spans="1:19" ht="43.2" x14ac:dyDescent="0.3">
      <c r="A242" s="96">
        <v>240</v>
      </c>
      <c r="B242" s="86">
        <v>1550</v>
      </c>
      <c r="C242" s="92">
        <v>45729</v>
      </c>
      <c r="D242" s="149" t="s">
        <v>1560</v>
      </c>
      <c r="E242" s="144" t="s">
        <v>57</v>
      </c>
      <c r="F242" s="80" t="s">
        <v>6</v>
      </c>
      <c r="G242" s="183">
        <v>45729</v>
      </c>
      <c r="H242" s="146"/>
      <c r="I242" s="727" t="s">
        <v>253</v>
      </c>
      <c r="J242" s="27"/>
      <c r="K242" s="28"/>
      <c r="L242" s="51"/>
      <c r="M242" s="29"/>
      <c r="N242" s="30"/>
      <c r="O242" s="54"/>
      <c r="P242" s="83">
        <v>45734</v>
      </c>
      <c r="Q242" s="89">
        <f t="shared" si="4"/>
        <v>1.0001093398062499</v>
      </c>
      <c r="R242" s="101"/>
      <c r="S242" s="56"/>
    </row>
    <row r="243" spans="1:19" ht="43.2" x14ac:dyDescent="0.3">
      <c r="A243" s="96">
        <v>241</v>
      </c>
      <c r="B243" s="86">
        <v>1550</v>
      </c>
      <c r="C243" s="92">
        <v>45730</v>
      </c>
      <c r="D243" s="149" t="s">
        <v>1561</v>
      </c>
      <c r="E243" s="144" t="s">
        <v>57</v>
      </c>
      <c r="F243" s="145" t="s">
        <v>4</v>
      </c>
      <c r="G243" s="183">
        <v>45730</v>
      </c>
      <c r="H243" s="146"/>
      <c r="I243" s="727" t="s">
        <v>253</v>
      </c>
      <c r="J243" s="27"/>
      <c r="K243" s="28"/>
      <c r="L243" s="51"/>
      <c r="M243" s="29"/>
      <c r="N243" s="30"/>
      <c r="O243" s="54"/>
      <c r="P243" s="132">
        <v>45734</v>
      </c>
      <c r="Q243" s="89">
        <f t="shared" si="4"/>
        <v>1.0000874699322109</v>
      </c>
      <c r="R243" s="101"/>
      <c r="S243" s="56"/>
    </row>
    <row r="244" spans="1:19" ht="28.8" x14ac:dyDescent="0.3">
      <c r="A244" s="96">
        <v>242</v>
      </c>
      <c r="B244" s="170">
        <v>1550</v>
      </c>
      <c r="C244" s="171">
        <v>45730</v>
      </c>
      <c r="D244" s="149" t="s">
        <v>1562</v>
      </c>
      <c r="E244" s="144" t="s">
        <v>1</v>
      </c>
      <c r="F244" s="145" t="s">
        <v>8</v>
      </c>
      <c r="G244" s="183">
        <v>45730</v>
      </c>
      <c r="H244" s="146"/>
      <c r="I244" s="100" t="s">
        <v>125</v>
      </c>
      <c r="J244" s="128"/>
      <c r="K244" s="128"/>
      <c r="L244" s="129"/>
      <c r="M244" s="130"/>
      <c r="N244" s="130"/>
      <c r="O244" s="131"/>
      <c r="P244" s="83">
        <v>45734</v>
      </c>
      <c r="Q244" s="89">
        <f t="shared" si="4"/>
        <v>1.0000874699322109</v>
      </c>
      <c r="R244" s="101" t="s">
        <v>151</v>
      </c>
      <c r="S244" s="168"/>
    </row>
    <row r="245" spans="1:19" ht="72" x14ac:dyDescent="0.3">
      <c r="A245" s="96">
        <v>243</v>
      </c>
      <c r="B245" s="170" t="s">
        <v>80</v>
      </c>
      <c r="C245" s="171">
        <v>45730</v>
      </c>
      <c r="D245" s="149" t="s">
        <v>1563</v>
      </c>
      <c r="E245" s="48" t="s">
        <v>52</v>
      </c>
      <c r="F245" s="80" t="s">
        <v>10</v>
      </c>
      <c r="G245" s="183">
        <v>45730</v>
      </c>
      <c r="H245" s="5"/>
      <c r="I245" s="100" t="s">
        <v>253</v>
      </c>
      <c r="J245" s="128"/>
      <c r="K245" s="128"/>
      <c r="L245" s="129"/>
      <c r="M245" s="130"/>
      <c r="N245" s="130"/>
      <c r="O245" s="131"/>
      <c r="P245" s="83">
        <v>45734</v>
      </c>
      <c r="Q245" s="89">
        <f t="shared" si="4"/>
        <v>1.0000874699322109</v>
      </c>
      <c r="R245" s="101" t="s">
        <v>1332</v>
      </c>
      <c r="S245" s="168"/>
    </row>
    <row r="246" spans="1:19" ht="57.6" x14ac:dyDescent="0.3">
      <c r="A246" s="96">
        <v>244</v>
      </c>
      <c r="B246" s="170">
        <v>1550</v>
      </c>
      <c r="C246" s="171">
        <v>45733</v>
      </c>
      <c r="D246" s="149" t="s">
        <v>1564</v>
      </c>
      <c r="E246" s="166" t="s">
        <v>37</v>
      </c>
      <c r="F246" s="145" t="s">
        <v>4</v>
      </c>
      <c r="G246" s="183">
        <v>45733</v>
      </c>
      <c r="H246" s="173"/>
      <c r="I246" s="100" t="s">
        <v>1315</v>
      </c>
      <c r="J246" s="128"/>
      <c r="K246" s="128"/>
      <c r="L246" s="129"/>
      <c r="M246" s="130"/>
      <c r="N246" s="130"/>
      <c r="O246" s="131"/>
      <c r="P246" s="132">
        <v>45734</v>
      </c>
      <c r="Q246" s="89">
        <f t="shared" si="4"/>
        <v>1.0000218660485864</v>
      </c>
      <c r="R246" s="101"/>
      <c r="S246" s="168"/>
    </row>
    <row r="247" spans="1:19" ht="43.2" x14ac:dyDescent="0.3">
      <c r="A247" s="96">
        <v>245</v>
      </c>
      <c r="B247" s="170">
        <v>1550</v>
      </c>
      <c r="C247" s="171">
        <v>45733</v>
      </c>
      <c r="D247" s="349" t="s">
        <v>1565</v>
      </c>
      <c r="E247" s="166" t="s">
        <v>14</v>
      </c>
      <c r="F247" s="145" t="s">
        <v>4</v>
      </c>
      <c r="G247" s="183">
        <v>45733</v>
      </c>
      <c r="H247" s="173"/>
      <c r="I247" s="102" t="s">
        <v>253</v>
      </c>
      <c r="J247" s="128"/>
      <c r="K247" s="128"/>
      <c r="L247" s="129"/>
      <c r="M247" s="130"/>
      <c r="N247" s="130"/>
      <c r="O247" s="131"/>
      <c r="P247" s="132">
        <v>45734</v>
      </c>
      <c r="Q247" s="89">
        <f t="shared" si="4"/>
        <v>1.0000218660485864</v>
      </c>
      <c r="R247" s="101"/>
      <c r="S247" s="168"/>
    </row>
    <row r="248" spans="1:19" ht="28.8" x14ac:dyDescent="0.3">
      <c r="A248" s="96">
        <v>246</v>
      </c>
      <c r="B248" s="170">
        <v>1550</v>
      </c>
      <c r="C248" s="171">
        <v>45733</v>
      </c>
      <c r="D248" s="149" t="s">
        <v>1566</v>
      </c>
      <c r="E248" s="144" t="s">
        <v>23</v>
      </c>
      <c r="F248" s="145" t="s">
        <v>6</v>
      </c>
      <c r="G248" s="183">
        <v>45733</v>
      </c>
      <c r="H248" s="146"/>
      <c r="I248" s="100" t="s">
        <v>135</v>
      </c>
      <c r="J248" s="128"/>
      <c r="K248" s="128"/>
      <c r="L248" s="129"/>
      <c r="M248" s="130"/>
      <c r="N248" s="130"/>
      <c r="O248" s="131"/>
      <c r="P248" s="132">
        <v>45734</v>
      </c>
      <c r="Q248" s="89">
        <f t="shared" si="4"/>
        <v>1.0000218660485864</v>
      </c>
      <c r="R248" s="101"/>
      <c r="S248" s="168"/>
    </row>
    <row r="249" spans="1:19" x14ac:dyDescent="0.3">
      <c r="A249" s="96">
        <v>247</v>
      </c>
      <c r="B249" s="170">
        <v>1550</v>
      </c>
      <c r="C249" s="171">
        <v>45733</v>
      </c>
      <c r="D249" s="349" t="s">
        <v>1567</v>
      </c>
      <c r="E249" s="162" t="s">
        <v>23</v>
      </c>
      <c r="F249" s="145" t="s">
        <v>4</v>
      </c>
      <c r="G249" s="183">
        <v>45733</v>
      </c>
      <c r="H249" s="146"/>
      <c r="I249" s="100" t="s">
        <v>135</v>
      </c>
      <c r="J249" s="128"/>
      <c r="K249" s="128"/>
      <c r="L249" s="129"/>
      <c r="M249" s="130"/>
      <c r="N249" s="130"/>
      <c r="O249" s="131"/>
      <c r="P249" s="132">
        <v>45734</v>
      </c>
      <c r="Q249" s="89">
        <f t="shared" si="4"/>
        <v>1.0000218660485864</v>
      </c>
      <c r="R249" s="101"/>
      <c r="S249" s="168"/>
    </row>
    <row r="250" spans="1:19" ht="43.2" x14ac:dyDescent="0.3">
      <c r="A250" s="96">
        <v>248</v>
      </c>
      <c r="B250" s="86">
        <v>1550</v>
      </c>
      <c r="C250" s="92">
        <v>45734</v>
      </c>
      <c r="D250" s="149" t="s">
        <v>1568</v>
      </c>
      <c r="E250" s="166" t="s">
        <v>14</v>
      </c>
      <c r="F250" s="172" t="s">
        <v>6</v>
      </c>
      <c r="G250" s="183">
        <v>45734</v>
      </c>
      <c r="H250" s="49"/>
      <c r="I250" s="102" t="s">
        <v>253</v>
      </c>
      <c r="J250" s="27"/>
      <c r="K250" s="28"/>
      <c r="L250" s="51"/>
      <c r="M250" s="29"/>
      <c r="N250" s="30"/>
      <c r="O250" s="54"/>
      <c r="P250" s="83">
        <v>45734</v>
      </c>
      <c r="Q250" s="89">
        <f t="shared" si="4"/>
        <v>1</v>
      </c>
      <c r="R250" s="101" t="s">
        <v>1569</v>
      </c>
      <c r="S250" s="57"/>
    </row>
    <row r="251" spans="1:19" ht="43.2" x14ac:dyDescent="0.3">
      <c r="A251" s="96">
        <v>249</v>
      </c>
      <c r="B251" s="170">
        <v>1550</v>
      </c>
      <c r="C251" s="171">
        <v>45734</v>
      </c>
      <c r="D251" s="98" t="s">
        <v>1570</v>
      </c>
      <c r="E251" s="166" t="s">
        <v>14</v>
      </c>
      <c r="F251" s="172" t="s">
        <v>8</v>
      </c>
      <c r="G251" s="183">
        <v>45734</v>
      </c>
      <c r="H251" s="173"/>
      <c r="I251" s="102" t="s">
        <v>253</v>
      </c>
      <c r="J251" s="128"/>
      <c r="K251" s="128"/>
      <c r="L251" s="129"/>
      <c r="M251" s="130"/>
      <c r="N251" s="130"/>
      <c r="O251" s="131"/>
      <c r="P251" s="132">
        <v>45734</v>
      </c>
      <c r="Q251" s="89">
        <f t="shared" si="4"/>
        <v>1</v>
      </c>
      <c r="R251" s="101" t="s">
        <v>138</v>
      </c>
      <c r="S251" s="168"/>
    </row>
    <row r="252" spans="1:19" ht="28.8" x14ac:dyDescent="0.3">
      <c r="A252" s="96">
        <v>250</v>
      </c>
      <c r="B252" s="170">
        <v>1550</v>
      </c>
      <c r="C252" s="171">
        <v>45734</v>
      </c>
      <c r="D252" s="149" t="s">
        <v>1571</v>
      </c>
      <c r="E252" s="47" t="s">
        <v>23</v>
      </c>
      <c r="F252" s="172" t="s">
        <v>6</v>
      </c>
      <c r="G252" s="183">
        <v>45734</v>
      </c>
      <c r="H252" s="173"/>
      <c r="I252" s="100" t="s">
        <v>135</v>
      </c>
      <c r="J252" s="128"/>
      <c r="K252" s="128"/>
      <c r="L252" s="129"/>
      <c r="M252" s="130"/>
      <c r="N252" s="130"/>
      <c r="O252" s="131"/>
      <c r="P252" s="132">
        <v>45734</v>
      </c>
      <c r="Q252" s="89">
        <f t="shared" si="4"/>
        <v>1</v>
      </c>
      <c r="R252" s="101"/>
      <c r="S252" s="168"/>
    </row>
    <row r="253" spans="1:19" ht="28.8" x14ac:dyDescent="0.3">
      <c r="A253" s="96">
        <v>251</v>
      </c>
      <c r="B253" s="170">
        <v>1550</v>
      </c>
      <c r="C253" s="171">
        <v>45734</v>
      </c>
      <c r="D253" s="149" t="s">
        <v>1572</v>
      </c>
      <c r="E253" s="47" t="s">
        <v>23</v>
      </c>
      <c r="F253" s="81" t="s">
        <v>6</v>
      </c>
      <c r="G253" s="183">
        <v>45734</v>
      </c>
      <c r="H253" s="49"/>
      <c r="I253" s="102" t="s">
        <v>135</v>
      </c>
      <c r="J253" s="27"/>
      <c r="K253" s="28"/>
      <c r="L253" s="51"/>
      <c r="M253" s="29"/>
      <c r="N253" s="30"/>
      <c r="O253" s="54"/>
      <c r="P253" s="132">
        <v>45734</v>
      </c>
      <c r="Q253" s="89">
        <f t="shared" si="4"/>
        <v>1</v>
      </c>
      <c r="R253" s="101"/>
      <c r="S253" s="56"/>
    </row>
    <row r="254" spans="1:19" ht="28.8" x14ac:dyDescent="0.3">
      <c r="A254" s="96">
        <v>252</v>
      </c>
      <c r="B254" s="86" t="s">
        <v>80</v>
      </c>
      <c r="C254" s="92">
        <v>45734</v>
      </c>
      <c r="D254" s="149" t="s">
        <v>1573</v>
      </c>
      <c r="E254" s="48" t="s">
        <v>23</v>
      </c>
      <c r="F254" s="145" t="s">
        <v>10</v>
      </c>
      <c r="G254" s="183">
        <v>45734</v>
      </c>
      <c r="H254" s="5"/>
      <c r="I254" s="100" t="s">
        <v>135</v>
      </c>
      <c r="J254" s="27"/>
      <c r="K254" s="28"/>
      <c r="L254" s="51"/>
      <c r="M254" s="29"/>
      <c r="N254" s="30"/>
      <c r="O254" s="54"/>
      <c r="P254" s="83">
        <v>45734</v>
      </c>
      <c r="Q254" s="89">
        <f t="shared" si="4"/>
        <v>1</v>
      </c>
      <c r="R254" s="101" t="s">
        <v>1574</v>
      </c>
      <c r="S254" s="56"/>
    </row>
    <row r="255" spans="1:19" ht="43.2" x14ac:dyDescent="0.3">
      <c r="A255" s="96">
        <v>253</v>
      </c>
      <c r="B255" s="86" t="s">
        <v>80</v>
      </c>
      <c r="C255" s="92">
        <v>45734</v>
      </c>
      <c r="D255" s="149" t="s">
        <v>1575</v>
      </c>
      <c r="E255" s="47" t="s">
        <v>14</v>
      </c>
      <c r="F255" s="145" t="s">
        <v>10</v>
      </c>
      <c r="G255" s="183">
        <v>45734</v>
      </c>
      <c r="H255" s="49"/>
      <c r="I255" s="102" t="s">
        <v>253</v>
      </c>
      <c r="J255" s="128"/>
      <c r="K255" s="128"/>
      <c r="L255" s="129"/>
      <c r="M255" s="130"/>
      <c r="N255" s="130"/>
      <c r="O255" s="131"/>
      <c r="P255" s="83">
        <v>45734</v>
      </c>
      <c r="Q255" s="89">
        <f t="shared" si="4"/>
        <v>1</v>
      </c>
      <c r="R255" s="101" t="s">
        <v>1576</v>
      </c>
      <c r="S255" s="168"/>
    </row>
    <row r="256" spans="1:19" ht="43.2" x14ac:dyDescent="0.3">
      <c r="A256" s="96">
        <v>254</v>
      </c>
      <c r="B256" s="86" t="s">
        <v>80</v>
      </c>
      <c r="C256" s="92">
        <v>45734</v>
      </c>
      <c r="D256" s="98" t="s">
        <v>1577</v>
      </c>
      <c r="E256" s="47" t="s">
        <v>14</v>
      </c>
      <c r="F256" s="145" t="s">
        <v>10</v>
      </c>
      <c r="G256" s="183">
        <v>45734</v>
      </c>
      <c r="H256" s="49"/>
      <c r="I256" s="102" t="s">
        <v>253</v>
      </c>
      <c r="J256" s="27"/>
      <c r="K256" s="28"/>
      <c r="L256" s="51"/>
      <c r="M256" s="29"/>
      <c r="N256" s="30"/>
      <c r="O256" s="54"/>
      <c r="P256" s="83">
        <v>45734</v>
      </c>
      <c r="Q256" s="89">
        <f t="shared" si="4"/>
        <v>1</v>
      </c>
      <c r="R256" s="101" t="s">
        <v>1576</v>
      </c>
      <c r="S256" s="56"/>
    </row>
    <row r="257" spans="1:19" ht="43.2" x14ac:dyDescent="0.3">
      <c r="A257" s="96">
        <v>255</v>
      </c>
      <c r="B257" s="86" t="s">
        <v>80</v>
      </c>
      <c r="C257" s="92">
        <v>45734</v>
      </c>
      <c r="D257" s="149" t="s">
        <v>1578</v>
      </c>
      <c r="E257" s="48" t="s">
        <v>14</v>
      </c>
      <c r="F257" s="145" t="s">
        <v>10</v>
      </c>
      <c r="G257" s="183">
        <v>45734</v>
      </c>
      <c r="H257" s="5"/>
      <c r="I257" s="102" t="s">
        <v>253</v>
      </c>
      <c r="J257" s="27"/>
      <c r="K257" s="28"/>
      <c r="L257" s="51"/>
      <c r="M257" s="29"/>
      <c r="N257" s="30"/>
      <c r="O257" s="54"/>
      <c r="P257" s="83">
        <v>45734</v>
      </c>
      <c r="Q257" s="89">
        <f t="shared" si="4"/>
        <v>1</v>
      </c>
      <c r="R257" s="101" t="s">
        <v>1576</v>
      </c>
      <c r="S257" s="56"/>
    </row>
    <row r="258" spans="1:19" ht="43.2" x14ac:dyDescent="0.3">
      <c r="A258" s="96">
        <v>256</v>
      </c>
      <c r="B258" s="86" t="s">
        <v>80</v>
      </c>
      <c r="C258" s="92">
        <v>45734</v>
      </c>
      <c r="D258" s="149" t="s">
        <v>1579</v>
      </c>
      <c r="E258" s="48" t="s">
        <v>23</v>
      </c>
      <c r="F258" s="145" t="s">
        <v>10</v>
      </c>
      <c r="G258" s="183">
        <v>45734</v>
      </c>
      <c r="H258" s="5"/>
      <c r="I258" s="100" t="s">
        <v>135</v>
      </c>
      <c r="J258" s="27"/>
      <c r="K258" s="28"/>
      <c r="L258" s="51"/>
      <c r="M258" s="29"/>
      <c r="N258" s="30"/>
      <c r="O258" s="54"/>
      <c r="P258" s="83">
        <v>45734</v>
      </c>
      <c r="Q258" s="89">
        <f t="shared" si="4"/>
        <v>1</v>
      </c>
      <c r="R258" s="101" t="s">
        <v>749</v>
      </c>
      <c r="S258" s="56"/>
    </row>
    <row r="259" spans="1:19" ht="28.8" x14ac:dyDescent="0.3">
      <c r="A259" s="96">
        <v>257</v>
      </c>
      <c r="B259" s="86" t="s">
        <v>80</v>
      </c>
      <c r="C259" s="92">
        <v>45734</v>
      </c>
      <c r="D259" s="149" t="s">
        <v>1580</v>
      </c>
      <c r="E259" s="48" t="s">
        <v>23</v>
      </c>
      <c r="F259" s="145" t="s">
        <v>10</v>
      </c>
      <c r="G259" s="183">
        <v>45734</v>
      </c>
      <c r="H259" s="5"/>
      <c r="I259" s="100" t="s">
        <v>135</v>
      </c>
      <c r="J259" s="27"/>
      <c r="K259" s="28"/>
      <c r="L259" s="51"/>
      <c r="M259" s="31"/>
      <c r="N259" s="53"/>
      <c r="O259" s="55"/>
      <c r="P259" s="83">
        <v>45734</v>
      </c>
      <c r="Q259" s="89">
        <f t="shared" si="4"/>
        <v>1</v>
      </c>
      <c r="R259" s="101" t="s">
        <v>214</v>
      </c>
      <c r="S259" s="56"/>
    </row>
    <row r="260" spans="1:19" ht="72" x14ac:dyDescent="0.3">
      <c r="A260" s="96">
        <v>258</v>
      </c>
      <c r="B260" s="86" t="s">
        <v>80</v>
      </c>
      <c r="C260" s="92">
        <v>45729</v>
      </c>
      <c r="D260" s="149" t="s">
        <v>1581</v>
      </c>
      <c r="E260" s="47" t="s">
        <v>17</v>
      </c>
      <c r="F260" s="145" t="s">
        <v>10</v>
      </c>
      <c r="G260" s="183">
        <v>45729</v>
      </c>
      <c r="H260" s="49"/>
      <c r="I260" s="100" t="s">
        <v>82</v>
      </c>
      <c r="J260" s="27"/>
      <c r="K260" s="28"/>
      <c r="L260" s="51"/>
      <c r="M260" s="29"/>
      <c r="N260" s="30"/>
      <c r="O260" s="54"/>
      <c r="P260" s="83">
        <v>45734</v>
      </c>
      <c r="Q260" s="89">
        <f t="shared" si="4"/>
        <v>1.0001093398062499</v>
      </c>
      <c r="R260" s="101" t="s">
        <v>1319</v>
      </c>
      <c r="S260" s="56"/>
    </row>
    <row r="261" spans="1:19" ht="100.8" x14ac:dyDescent="0.3">
      <c r="A261" s="96">
        <v>259</v>
      </c>
      <c r="B261" s="170" t="s">
        <v>80</v>
      </c>
      <c r="C261" s="92">
        <v>45719</v>
      </c>
      <c r="D261" s="149" t="s">
        <v>1582</v>
      </c>
      <c r="E261" s="48" t="s">
        <v>12</v>
      </c>
      <c r="F261" s="145" t="s">
        <v>10</v>
      </c>
      <c r="G261" s="183">
        <v>45719</v>
      </c>
      <c r="H261" s="5"/>
      <c r="I261" s="100" t="s">
        <v>159</v>
      </c>
      <c r="J261" s="27"/>
      <c r="K261" s="28"/>
      <c r="L261" s="51"/>
      <c r="M261" s="29"/>
      <c r="N261" s="30"/>
      <c r="O261" s="54"/>
      <c r="P261" s="83">
        <v>45735</v>
      </c>
      <c r="Q261" s="89">
        <f t="shared" si="4"/>
        <v>1.0003499639099718</v>
      </c>
      <c r="R261" s="101" t="s">
        <v>1411</v>
      </c>
      <c r="S261" s="56"/>
    </row>
    <row r="262" spans="1:19" ht="158.4" x14ac:dyDescent="0.3">
      <c r="A262" s="96">
        <v>260</v>
      </c>
      <c r="B262" s="86" t="s">
        <v>80</v>
      </c>
      <c r="C262" s="92">
        <v>45723</v>
      </c>
      <c r="D262" s="149" t="s">
        <v>1583</v>
      </c>
      <c r="E262" s="47" t="s">
        <v>15</v>
      </c>
      <c r="F262" s="80" t="s">
        <v>10</v>
      </c>
      <c r="G262" s="183">
        <v>45723</v>
      </c>
      <c r="H262" s="49"/>
      <c r="I262" s="100" t="s">
        <v>1315</v>
      </c>
      <c r="J262" s="27"/>
      <c r="K262" s="28"/>
      <c r="L262" s="51"/>
      <c r="M262" s="29"/>
      <c r="N262" s="30"/>
      <c r="O262" s="54"/>
      <c r="P262" s="132">
        <v>45735</v>
      </c>
      <c r="Q262" s="89">
        <f t="shared" si="4"/>
        <v>1.0002624499704744</v>
      </c>
      <c r="R262" s="101" t="s">
        <v>1310</v>
      </c>
      <c r="S262" s="56" t="s">
        <v>1584</v>
      </c>
    </row>
    <row r="263" spans="1:19" ht="57.6" x14ac:dyDescent="0.3">
      <c r="A263" s="96">
        <v>261</v>
      </c>
      <c r="B263" s="86">
        <v>1550</v>
      </c>
      <c r="C263" s="92">
        <v>45728</v>
      </c>
      <c r="D263" s="349" t="s">
        <v>1585</v>
      </c>
      <c r="E263" s="48" t="s">
        <v>1314</v>
      </c>
      <c r="F263" s="80" t="s">
        <v>4</v>
      </c>
      <c r="G263" s="183">
        <v>45728</v>
      </c>
      <c r="H263" s="5"/>
      <c r="I263" s="100" t="s">
        <v>1315</v>
      </c>
      <c r="J263" s="27"/>
      <c r="K263" s="28"/>
      <c r="L263" s="51"/>
      <c r="M263" s="29"/>
      <c r="N263" s="30"/>
      <c r="O263" s="54"/>
      <c r="P263" s="83">
        <v>45735</v>
      </c>
      <c r="Q263" s="89">
        <f t="shared" si="4"/>
        <v>1.0001530790762772</v>
      </c>
      <c r="R263" s="101"/>
      <c r="S263" s="56"/>
    </row>
    <row r="264" spans="1:19" ht="72" x14ac:dyDescent="0.3">
      <c r="A264" s="96">
        <v>262</v>
      </c>
      <c r="B264" s="170">
        <v>1550</v>
      </c>
      <c r="C264" s="171">
        <v>45730</v>
      </c>
      <c r="D264" s="149" t="s">
        <v>1586</v>
      </c>
      <c r="E264" s="48" t="s">
        <v>7</v>
      </c>
      <c r="F264" s="80" t="s">
        <v>6</v>
      </c>
      <c r="G264" s="183">
        <v>45730</v>
      </c>
      <c r="H264" s="5"/>
      <c r="I264" s="102" t="s">
        <v>125</v>
      </c>
      <c r="J264" s="128"/>
      <c r="K264" s="128"/>
      <c r="L264" s="129"/>
      <c r="M264" s="130"/>
      <c r="N264" s="130"/>
      <c r="O264" s="131"/>
      <c r="P264" s="83">
        <v>45735</v>
      </c>
      <c r="Q264" s="89">
        <f t="shared" si="4"/>
        <v>1.0001093374152634</v>
      </c>
      <c r="R264" s="101"/>
      <c r="S264" s="168"/>
    </row>
    <row r="265" spans="1:19" ht="72" x14ac:dyDescent="0.3">
      <c r="A265" s="96">
        <v>263</v>
      </c>
      <c r="B265" s="170">
        <v>1550</v>
      </c>
      <c r="C265" s="171">
        <v>45733</v>
      </c>
      <c r="D265" s="149" t="s">
        <v>1587</v>
      </c>
      <c r="E265" s="144" t="s">
        <v>32</v>
      </c>
      <c r="F265" s="80" t="s">
        <v>6</v>
      </c>
      <c r="G265" s="183">
        <v>45733</v>
      </c>
      <c r="H265" s="146"/>
      <c r="I265" s="100" t="s">
        <v>106</v>
      </c>
      <c r="J265" s="128"/>
      <c r="K265" s="128"/>
      <c r="L265" s="129"/>
      <c r="M265" s="130"/>
      <c r="N265" s="130"/>
      <c r="O265" s="131"/>
      <c r="P265" s="83">
        <v>45735</v>
      </c>
      <c r="Q265" s="89">
        <f t="shared" si="4"/>
        <v>1.0000437320971727</v>
      </c>
      <c r="R265" s="101"/>
      <c r="S265" s="168"/>
    </row>
    <row r="266" spans="1:19" ht="28.8" x14ac:dyDescent="0.3">
      <c r="A266" s="96">
        <v>264</v>
      </c>
      <c r="B266" s="170">
        <v>1550</v>
      </c>
      <c r="C266" s="171">
        <v>45733</v>
      </c>
      <c r="D266" s="149" t="s">
        <v>1588</v>
      </c>
      <c r="E266" s="144" t="s">
        <v>32</v>
      </c>
      <c r="F266" s="145" t="s">
        <v>8</v>
      </c>
      <c r="G266" s="183">
        <v>45733</v>
      </c>
      <c r="H266" s="146"/>
      <c r="I266" s="100" t="s">
        <v>106</v>
      </c>
      <c r="J266" s="128"/>
      <c r="K266" s="128"/>
      <c r="L266" s="129"/>
      <c r="M266" s="130"/>
      <c r="N266" s="130"/>
      <c r="O266" s="131"/>
      <c r="P266" s="132">
        <v>45735</v>
      </c>
      <c r="Q266" s="89">
        <f t="shared" si="4"/>
        <v>1.0000437320971727</v>
      </c>
      <c r="R266" s="101" t="s">
        <v>136</v>
      </c>
      <c r="S266" s="168"/>
    </row>
    <row r="267" spans="1:19" ht="72" x14ac:dyDescent="0.3">
      <c r="A267" s="96">
        <v>265</v>
      </c>
      <c r="B267" s="170">
        <v>1550</v>
      </c>
      <c r="C267" s="171">
        <v>45733</v>
      </c>
      <c r="D267" s="149" t="s">
        <v>1589</v>
      </c>
      <c r="E267" s="144" t="s">
        <v>32</v>
      </c>
      <c r="F267" s="145" t="s">
        <v>6</v>
      </c>
      <c r="G267" s="183">
        <v>45733</v>
      </c>
      <c r="H267" s="146"/>
      <c r="I267" s="100" t="s">
        <v>106</v>
      </c>
      <c r="J267" s="128"/>
      <c r="K267" s="128"/>
      <c r="L267" s="129"/>
      <c r="M267" s="130"/>
      <c r="N267" s="130"/>
      <c r="O267" s="131"/>
      <c r="P267" s="132">
        <v>45735</v>
      </c>
      <c r="Q267" s="89">
        <f t="shared" si="4"/>
        <v>1.0000437320971727</v>
      </c>
      <c r="R267" s="101"/>
      <c r="S267" s="168"/>
    </row>
    <row r="268" spans="1:19" ht="43.2" x14ac:dyDescent="0.3">
      <c r="A268" s="96">
        <v>266</v>
      </c>
      <c r="B268" s="170">
        <v>1550</v>
      </c>
      <c r="C268" s="171">
        <v>45733</v>
      </c>
      <c r="D268" s="349" t="s">
        <v>1590</v>
      </c>
      <c r="E268" s="144" t="s">
        <v>14</v>
      </c>
      <c r="F268" s="145" t="s">
        <v>4</v>
      </c>
      <c r="G268" s="183">
        <v>45733</v>
      </c>
      <c r="H268" s="146"/>
      <c r="I268" s="102" t="s">
        <v>253</v>
      </c>
      <c r="J268" s="128"/>
      <c r="K268" s="128"/>
      <c r="L268" s="129"/>
      <c r="M268" s="130"/>
      <c r="N268" s="130"/>
      <c r="O268" s="131"/>
      <c r="P268" s="132">
        <v>45735</v>
      </c>
      <c r="Q268" s="89">
        <f t="shared" si="4"/>
        <v>1.0000437320971727</v>
      </c>
      <c r="R268" s="101"/>
      <c r="S268" s="168"/>
    </row>
    <row r="269" spans="1:19" ht="86.4" x14ac:dyDescent="0.3">
      <c r="A269" s="96">
        <v>267</v>
      </c>
      <c r="B269" s="86" t="s">
        <v>80</v>
      </c>
      <c r="C269" s="171">
        <v>45733</v>
      </c>
      <c r="D269" s="149" t="s">
        <v>1591</v>
      </c>
      <c r="E269" s="144" t="s">
        <v>32</v>
      </c>
      <c r="F269" s="145" t="s">
        <v>10</v>
      </c>
      <c r="G269" s="183">
        <v>45733</v>
      </c>
      <c r="H269" s="146"/>
      <c r="I269" s="100" t="s">
        <v>106</v>
      </c>
      <c r="J269" s="27"/>
      <c r="K269" s="28"/>
      <c r="L269" s="51"/>
      <c r="M269" s="29"/>
      <c r="N269" s="30"/>
      <c r="O269" s="54"/>
      <c r="P269" s="132">
        <v>45735</v>
      </c>
      <c r="Q269" s="89">
        <f t="shared" si="4"/>
        <v>1.0000437320971727</v>
      </c>
      <c r="R269" s="101" t="s">
        <v>749</v>
      </c>
      <c r="S269" s="56"/>
    </row>
    <row r="270" spans="1:19" ht="57.6" x14ac:dyDescent="0.3">
      <c r="A270" s="96">
        <v>268</v>
      </c>
      <c r="B270" s="86" t="s">
        <v>80</v>
      </c>
      <c r="C270" s="171">
        <v>45733</v>
      </c>
      <c r="D270" s="149" t="s">
        <v>1592</v>
      </c>
      <c r="E270" s="166" t="s">
        <v>1314</v>
      </c>
      <c r="F270" s="172" t="s">
        <v>10</v>
      </c>
      <c r="G270" s="183">
        <v>45733</v>
      </c>
      <c r="H270" s="173"/>
      <c r="I270" s="100" t="s">
        <v>1315</v>
      </c>
      <c r="J270" s="27"/>
      <c r="K270" s="28"/>
      <c r="L270" s="51"/>
      <c r="M270" s="29"/>
      <c r="N270" s="30"/>
      <c r="O270" s="54"/>
      <c r="P270" s="132">
        <v>45735</v>
      </c>
      <c r="Q270" s="89">
        <f t="shared" si="4"/>
        <v>1.0000437320971727</v>
      </c>
      <c r="R270" s="101" t="s">
        <v>85</v>
      </c>
      <c r="S270" s="56"/>
    </row>
    <row r="271" spans="1:19" ht="57.6" x14ac:dyDescent="0.3">
      <c r="A271" s="96">
        <v>269</v>
      </c>
      <c r="B271" s="86" t="s">
        <v>80</v>
      </c>
      <c r="C271" s="171">
        <v>45733</v>
      </c>
      <c r="D271" s="149" t="s">
        <v>1593</v>
      </c>
      <c r="E271" s="166" t="s">
        <v>1314</v>
      </c>
      <c r="F271" s="172" t="s">
        <v>10</v>
      </c>
      <c r="G271" s="183">
        <v>45733</v>
      </c>
      <c r="H271" s="173"/>
      <c r="I271" s="100" t="s">
        <v>1315</v>
      </c>
      <c r="J271" s="27"/>
      <c r="K271" s="28"/>
      <c r="L271" s="51"/>
      <c r="M271" s="29"/>
      <c r="N271" s="30"/>
      <c r="O271" s="54"/>
      <c r="P271" s="132">
        <v>45735</v>
      </c>
      <c r="Q271" s="89">
        <f t="shared" si="4"/>
        <v>1.0000437320971727</v>
      </c>
      <c r="R271" s="101" t="s">
        <v>85</v>
      </c>
      <c r="S271" s="56"/>
    </row>
    <row r="272" spans="1:19" ht="86.4" x14ac:dyDescent="0.3">
      <c r="A272" s="96">
        <v>270</v>
      </c>
      <c r="B272" s="86" t="s">
        <v>80</v>
      </c>
      <c r="C272" s="171">
        <v>45733</v>
      </c>
      <c r="D272" s="149" t="s">
        <v>1594</v>
      </c>
      <c r="E272" s="166" t="s">
        <v>32</v>
      </c>
      <c r="F272" s="172" t="s">
        <v>10</v>
      </c>
      <c r="G272" s="183">
        <v>45733</v>
      </c>
      <c r="H272" s="173"/>
      <c r="I272" s="100" t="s">
        <v>106</v>
      </c>
      <c r="J272" s="27"/>
      <c r="K272" s="28"/>
      <c r="L272" s="51"/>
      <c r="M272" s="29"/>
      <c r="N272" s="30"/>
      <c r="O272" s="54"/>
      <c r="P272" s="132">
        <v>45735</v>
      </c>
      <c r="Q272" s="89">
        <f t="shared" si="4"/>
        <v>1.0000437320971727</v>
      </c>
      <c r="R272" s="101" t="s">
        <v>749</v>
      </c>
      <c r="S272" s="56"/>
    </row>
    <row r="273" spans="1:19" ht="28.8" x14ac:dyDescent="0.3">
      <c r="A273" s="96">
        <v>271</v>
      </c>
      <c r="B273" s="86" t="s">
        <v>80</v>
      </c>
      <c r="C273" s="171">
        <v>45733</v>
      </c>
      <c r="D273" s="98" t="s">
        <v>1595</v>
      </c>
      <c r="E273" s="48" t="s">
        <v>23</v>
      </c>
      <c r="F273" s="172" t="s">
        <v>10</v>
      </c>
      <c r="G273" s="183">
        <v>45733</v>
      </c>
      <c r="H273" s="146"/>
      <c r="I273" s="102" t="s">
        <v>135</v>
      </c>
      <c r="J273" s="27"/>
      <c r="K273" s="28"/>
      <c r="L273" s="51"/>
      <c r="M273" s="29"/>
      <c r="N273" s="30"/>
      <c r="O273" s="54"/>
      <c r="P273" s="132">
        <v>45735</v>
      </c>
      <c r="Q273" s="89">
        <f t="shared" si="4"/>
        <v>1.0000437320971727</v>
      </c>
      <c r="R273" s="101" t="s">
        <v>1316</v>
      </c>
      <c r="S273" s="56"/>
    </row>
    <row r="274" spans="1:19" ht="57.6" x14ac:dyDescent="0.3">
      <c r="A274" s="96">
        <v>272</v>
      </c>
      <c r="B274" s="86" t="s">
        <v>80</v>
      </c>
      <c r="C274" s="171">
        <v>45733</v>
      </c>
      <c r="D274" s="149" t="s">
        <v>1596</v>
      </c>
      <c r="E274" s="144" t="s">
        <v>1314</v>
      </c>
      <c r="F274" s="145" t="s">
        <v>10</v>
      </c>
      <c r="G274" s="183">
        <v>45733</v>
      </c>
      <c r="H274" s="146"/>
      <c r="I274" s="100" t="s">
        <v>1315</v>
      </c>
      <c r="J274" s="128"/>
      <c r="K274" s="128"/>
      <c r="L274" s="129"/>
      <c r="M274" s="130"/>
      <c r="N274" s="130"/>
      <c r="O274" s="131"/>
      <c r="P274" s="132">
        <v>45735</v>
      </c>
      <c r="Q274" s="89">
        <f t="shared" si="4"/>
        <v>1.0000437320971727</v>
      </c>
      <c r="R274" s="101" t="s">
        <v>165</v>
      </c>
      <c r="S274" s="168"/>
    </row>
    <row r="275" spans="1:19" ht="28.8" x14ac:dyDescent="0.3">
      <c r="A275" s="96">
        <v>273</v>
      </c>
      <c r="B275" s="170">
        <v>1550</v>
      </c>
      <c r="C275" s="171">
        <v>45734</v>
      </c>
      <c r="D275" s="149" t="s">
        <v>1597</v>
      </c>
      <c r="E275" s="48" t="s">
        <v>23</v>
      </c>
      <c r="F275" s="145" t="s">
        <v>6</v>
      </c>
      <c r="G275" s="183">
        <v>45734</v>
      </c>
      <c r="H275" s="173"/>
      <c r="I275" s="102" t="s">
        <v>135</v>
      </c>
      <c r="J275" s="128"/>
      <c r="K275" s="128"/>
      <c r="L275" s="129"/>
      <c r="M275" s="130"/>
      <c r="N275" s="130"/>
      <c r="O275" s="131"/>
      <c r="P275" s="132">
        <v>45735</v>
      </c>
      <c r="Q275" s="89">
        <f t="shared" si="4"/>
        <v>1.0000218655704727</v>
      </c>
      <c r="R275" s="101"/>
      <c r="S275" s="168"/>
    </row>
    <row r="276" spans="1:19" ht="43.2" x14ac:dyDescent="0.3">
      <c r="A276" s="96">
        <v>274</v>
      </c>
      <c r="B276" s="170">
        <v>1550</v>
      </c>
      <c r="C276" s="171">
        <v>45734</v>
      </c>
      <c r="D276" s="98" t="s">
        <v>1598</v>
      </c>
      <c r="E276" s="47" t="s">
        <v>14</v>
      </c>
      <c r="F276" s="145" t="s">
        <v>6</v>
      </c>
      <c r="G276" s="183">
        <v>45734</v>
      </c>
      <c r="H276" s="173"/>
      <c r="I276" s="102" t="s">
        <v>253</v>
      </c>
      <c r="J276" s="128"/>
      <c r="K276" s="128"/>
      <c r="L276" s="129"/>
      <c r="M276" s="130"/>
      <c r="N276" s="130"/>
      <c r="O276" s="131"/>
      <c r="P276" s="132">
        <v>45735</v>
      </c>
      <c r="Q276" s="89">
        <f t="shared" si="4"/>
        <v>1.0000218655704727</v>
      </c>
      <c r="R276" s="101"/>
      <c r="S276" s="168"/>
    </row>
    <row r="277" spans="1:19" x14ac:dyDescent="0.3">
      <c r="A277" s="96">
        <v>275</v>
      </c>
      <c r="B277" s="170">
        <v>1550</v>
      </c>
      <c r="C277" s="171">
        <v>45734</v>
      </c>
      <c r="D277" s="96" t="s">
        <v>1599</v>
      </c>
      <c r="E277" s="48" t="s">
        <v>23</v>
      </c>
      <c r="F277" s="80" t="s">
        <v>4</v>
      </c>
      <c r="G277" s="183">
        <v>45734</v>
      </c>
      <c r="H277" s="5"/>
      <c r="I277" s="102" t="s">
        <v>135</v>
      </c>
      <c r="J277" s="27"/>
      <c r="K277" s="28"/>
      <c r="L277" s="51"/>
      <c r="M277" s="29"/>
      <c r="N277" s="30"/>
      <c r="O277" s="54"/>
      <c r="P277" s="132">
        <v>45735</v>
      </c>
      <c r="Q277" s="89">
        <f t="shared" si="4"/>
        <v>1.0000218655704727</v>
      </c>
      <c r="R277" s="101"/>
      <c r="S277" s="56"/>
    </row>
    <row r="278" spans="1:19" ht="43.2" x14ac:dyDescent="0.3">
      <c r="A278" s="96">
        <v>276</v>
      </c>
      <c r="B278" s="170">
        <v>1550</v>
      </c>
      <c r="C278" s="171">
        <v>45734</v>
      </c>
      <c r="D278" s="149" t="s">
        <v>1600</v>
      </c>
      <c r="E278" s="48" t="s">
        <v>23</v>
      </c>
      <c r="F278" s="80" t="s">
        <v>8</v>
      </c>
      <c r="G278" s="183">
        <v>45734</v>
      </c>
      <c r="H278" s="5"/>
      <c r="I278" s="102" t="s">
        <v>135</v>
      </c>
      <c r="J278" s="27"/>
      <c r="K278" s="28"/>
      <c r="L278" s="51"/>
      <c r="M278" s="29"/>
      <c r="N278" s="30"/>
      <c r="O278" s="54"/>
      <c r="P278" s="132">
        <v>45735</v>
      </c>
      <c r="Q278" s="89">
        <f t="shared" si="4"/>
        <v>1.0000218655704727</v>
      </c>
      <c r="R278" s="101" t="s">
        <v>8</v>
      </c>
      <c r="S278" s="56"/>
    </row>
    <row r="279" spans="1:19" ht="43.2" x14ac:dyDescent="0.3">
      <c r="A279" s="96">
        <v>277</v>
      </c>
      <c r="B279" s="86">
        <v>1550</v>
      </c>
      <c r="C279" s="92">
        <v>45734</v>
      </c>
      <c r="D279" s="349" t="s">
        <v>1601</v>
      </c>
      <c r="E279" s="48" t="s">
        <v>23</v>
      </c>
      <c r="F279" s="145" t="s">
        <v>4</v>
      </c>
      <c r="G279" s="183">
        <v>45734</v>
      </c>
      <c r="H279" s="5"/>
      <c r="I279" s="100" t="s">
        <v>253</v>
      </c>
      <c r="J279" s="27"/>
      <c r="K279" s="28"/>
      <c r="L279" s="51"/>
      <c r="M279" s="29"/>
      <c r="N279" s="30"/>
      <c r="O279" s="54"/>
      <c r="P279" s="83">
        <v>45735</v>
      </c>
      <c r="Q279" s="89">
        <f t="shared" ref="Q279:Q342" si="5">P279/G279</f>
        <v>1.0000218655704727</v>
      </c>
      <c r="R279" s="101"/>
      <c r="S279" s="56"/>
    </row>
    <row r="280" spans="1:19" x14ac:dyDescent="0.3">
      <c r="A280" s="96">
        <v>278</v>
      </c>
      <c r="B280" s="86">
        <v>1550</v>
      </c>
      <c r="C280" s="92">
        <v>45734</v>
      </c>
      <c r="D280" s="349" t="s">
        <v>1602</v>
      </c>
      <c r="E280" s="48" t="s">
        <v>23</v>
      </c>
      <c r="F280" s="145" t="s">
        <v>4</v>
      </c>
      <c r="G280" s="183">
        <v>45734</v>
      </c>
      <c r="H280" s="146"/>
      <c r="I280" s="102" t="s">
        <v>135</v>
      </c>
      <c r="J280" s="128"/>
      <c r="K280" s="128"/>
      <c r="L280" s="129"/>
      <c r="M280" s="130"/>
      <c r="N280" s="130"/>
      <c r="O280" s="131"/>
      <c r="P280" s="132">
        <v>45735</v>
      </c>
      <c r="Q280" s="89">
        <f t="shared" si="5"/>
        <v>1.0000218655704727</v>
      </c>
      <c r="R280" s="101"/>
      <c r="S280" s="56"/>
    </row>
    <row r="281" spans="1:19" ht="57.6" x14ac:dyDescent="0.3">
      <c r="A281" s="96">
        <v>279</v>
      </c>
      <c r="B281" s="86" t="s">
        <v>80</v>
      </c>
      <c r="C281" s="92">
        <v>45734</v>
      </c>
      <c r="D281" s="149" t="s">
        <v>1603</v>
      </c>
      <c r="E281" s="144" t="s">
        <v>1314</v>
      </c>
      <c r="F281" s="145" t="s">
        <v>10</v>
      </c>
      <c r="G281" s="183">
        <v>45734</v>
      </c>
      <c r="H281" s="146"/>
      <c r="I281" s="100" t="s">
        <v>1315</v>
      </c>
      <c r="J281" s="27"/>
      <c r="K281" s="28"/>
      <c r="L281" s="51"/>
      <c r="M281" s="29"/>
      <c r="N281" s="30"/>
      <c r="O281" s="54"/>
      <c r="P281" s="83">
        <v>45735</v>
      </c>
      <c r="Q281" s="89">
        <f t="shared" si="5"/>
        <v>1.0000218655704727</v>
      </c>
      <c r="R281" s="101" t="s">
        <v>1319</v>
      </c>
      <c r="S281" s="56"/>
    </row>
    <row r="282" spans="1:19" ht="86.4" x14ac:dyDescent="0.3">
      <c r="A282" s="96">
        <v>280</v>
      </c>
      <c r="B282" s="86" t="s">
        <v>80</v>
      </c>
      <c r="C282" s="92">
        <v>45734</v>
      </c>
      <c r="D282" s="149" t="s">
        <v>1604</v>
      </c>
      <c r="E282" s="111" t="s">
        <v>32</v>
      </c>
      <c r="F282" s="145" t="s">
        <v>10</v>
      </c>
      <c r="G282" s="183">
        <v>45734</v>
      </c>
      <c r="H282" s="49"/>
      <c r="I282" s="100" t="s">
        <v>106</v>
      </c>
      <c r="J282" s="27"/>
      <c r="K282" s="28"/>
      <c r="L282" s="51"/>
      <c r="M282" s="29"/>
      <c r="N282" s="30"/>
      <c r="O282" s="54"/>
      <c r="P282" s="83">
        <v>45735</v>
      </c>
      <c r="Q282" s="89">
        <f t="shared" si="5"/>
        <v>1.0000218655704727</v>
      </c>
      <c r="R282" s="101" t="s">
        <v>749</v>
      </c>
      <c r="S282" s="56"/>
    </row>
    <row r="283" spans="1:19" ht="43.2" x14ac:dyDescent="0.3">
      <c r="A283" s="96">
        <v>281</v>
      </c>
      <c r="B283" s="86">
        <v>1550</v>
      </c>
      <c r="C283" s="92">
        <v>45735</v>
      </c>
      <c r="D283" s="149" t="s">
        <v>1605</v>
      </c>
      <c r="E283" s="48" t="s">
        <v>14</v>
      </c>
      <c r="F283" s="80" t="s">
        <v>6</v>
      </c>
      <c r="G283" s="183">
        <v>45735</v>
      </c>
      <c r="H283" s="5"/>
      <c r="I283" s="102" t="s">
        <v>253</v>
      </c>
      <c r="J283" s="27"/>
      <c r="K283" s="28"/>
      <c r="L283" s="51"/>
      <c r="M283" s="29"/>
      <c r="N283" s="30"/>
      <c r="O283" s="54"/>
      <c r="P283" s="83">
        <v>45735</v>
      </c>
      <c r="Q283" s="89">
        <f t="shared" si="5"/>
        <v>1</v>
      </c>
      <c r="R283" s="101"/>
      <c r="S283" s="56"/>
    </row>
    <row r="284" spans="1:19" ht="28.8" x14ac:dyDescent="0.3">
      <c r="A284" s="96">
        <v>282</v>
      </c>
      <c r="B284" s="176">
        <v>1550</v>
      </c>
      <c r="C284" s="177">
        <v>45735</v>
      </c>
      <c r="D284" s="149" t="s">
        <v>1606</v>
      </c>
      <c r="E284" s="111" t="s">
        <v>23</v>
      </c>
      <c r="F284" s="80" t="s">
        <v>6</v>
      </c>
      <c r="G284" s="183">
        <v>45735</v>
      </c>
      <c r="H284" s="224"/>
      <c r="I284" s="100" t="s">
        <v>135</v>
      </c>
      <c r="J284" s="128"/>
      <c r="K284" s="128"/>
      <c r="L284" s="129"/>
      <c r="M284" s="130"/>
      <c r="N284" s="130"/>
      <c r="O284" s="131"/>
      <c r="P284" s="83">
        <v>45735</v>
      </c>
      <c r="Q284" s="89">
        <f t="shared" si="5"/>
        <v>1</v>
      </c>
      <c r="R284" s="101"/>
      <c r="S284" s="168"/>
    </row>
    <row r="285" spans="1:19" ht="28.8" x14ac:dyDescent="0.3">
      <c r="A285" s="96">
        <v>283</v>
      </c>
      <c r="B285" s="176">
        <v>1550</v>
      </c>
      <c r="C285" s="177">
        <v>45735</v>
      </c>
      <c r="D285" s="149" t="s">
        <v>1607</v>
      </c>
      <c r="E285" s="35" t="s">
        <v>23</v>
      </c>
      <c r="F285" s="80" t="s">
        <v>6</v>
      </c>
      <c r="G285" s="183">
        <v>45735</v>
      </c>
      <c r="H285" s="143"/>
      <c r="I285" s="100" t="s">
        <v>135</v>
      </c>
      <c r="J285" s="128"/>
      <c r="K285" s="128"/>
      <c r="L285" s="129"/>
      <c r="M285" s="130"/>
      <c r="N285" s="130"/>
      <c r="O285" s="131"/>
      <c r="P285" s="83">
        <v>45735</v>
      </c>
      <c r="Q285" s="89">
        <f t="shared" si="5"/>
        <v>1</v>
      </c>
      <c r="R285" s="101"/>
      <c r="S285" s="168"/>
    </row>
    <row r="286" spans="1:19" ht="57.6" x14ac:dyDescent="0.3">
      <c r="A286" s="96">
        <v>284</v>
      </c>
      <c r="B286" s="176" t="s">
        <v>80</v>
      </c>
      <c r="C286" s="177">
        <v>45735</v>
      </c>
      <c r="D286" s="149" t="s">
        <v>1608</v>
      </c>
      <c r="E286" s="47" t="s">
        <v>7</v>
      </c>
      <c r="F286" s="145" t="s">
        <v>10</v>
      </c>
      <c r="G286" s="183">
        <v>45735</v>
      </c>
      <c r="H286" s="49"/>
      <c r="I286" s="113" t="s">
        <v>129</v>
      </c>
      <c r="J286" s="27"/>
      <c r="K286" s="28"/>
      <c r="L286" s="51"/>
      <c r="M286" s="29"/>
      <c r="N286" s="30"/>
      <c r="O286" s="54"/>
      <c r="P286" s="132">
        <v>45735</v>
      </c>
      <c r="Q286" s="89">
        <f t="shared" si="5"/>
        <v>1</v>
      </c>
      <c r="R286" s="101" t="s">
        <v>1316</v>
      </c>
      <c r="S286" s="56"/>
    </row>
    <row r="287" spans="1:19" ht="28.8" x14ac:dyDescent="0.3">
      <c r="A287" s="96">
        <v>285</v>
      </c>
      <c r="B287" s="176">
        <v>1550</v>
      </c>
      <c r="C287" s="177">
        <v>45735</v>
      </c>
      <c r="D287" s="149" t="s">
        <v>1609</v>
      </c>
      <c r="E287" s="47" t="s">
        <v>17</v>
      </c>
      <c r="F287" s="80" t="s">
        <v>4</v>
      </c>
      <c r="G287" s="183">
        <v>45735</v>
      </c>
      <c r="H287" s="49"/>
      <c r="I287" s="100" t="s">
        <v>82</v>
      </c>
      <c r="J287" s="128"/>
      <c r="K287" s="128"/>
      <c r="L287" s="129"/>
      <c r="M287" s="130"/>
      <c r="N287" s="130"/>
      <c r="O287" s="131"/>
      <c r="P287" s="83">
        <v>45735</v>
      </c>
      <c r="Q287" s="89">
        <f t="shared" si="5"/>
        <v>1</v>
      </c>
      <c r="R287" s="101"/>
      <c r="S287" s="168"/>
    </row>
    <row r="288" spans="1:19" ht="57.6" x14ac:dyDescent="0.3">
      <c r="A288" s="96">
        <v>286</v>
      </c>
      <c r="B288" s="204">
        <v>1550</v>
      </c>
      <c r="C288" s="205">
        <v>45727</v>
      </c>
      <c r="D288" s="149" t="s">
        <v>1610</v>
      </c>
      <c r="E288" s="47" t="s">
        <v>48</v>
      </c>
      <c r="F288" s="145" t="s">
        <v>6</v>
      </c>
      <c r="G288" s="183">
        <v>45727</v>
      </c>
      <c r="H288" s="49"/>
      <c r="I288" s="100" t="s">
        <v>1315</v>
      </c>
      <c r="J288" s="128"/>
      <c r="K288" s="128"/>
      <c r="L288" s="129"/>
      <c r="M288" s="130"/>
      <c r="N288" s="130"/>
      <c r="O288" s="131"/>
      <c r="P288" s="83">
        <v>45736</v>
      </c>
      <c r="Q288" s="89">
        <f t="shared" si="5"/>
        <v>1.0001968202593654</v>
      </c>
      <c r="R288" s="101"/>
      <c r="S288" s="168" t="s">
        <v>1611</v>
      </c>
    </row>
    <row r="289" spans="1:19" ht="57.6" x14ac:dyDescent="0.3">
      <c r="A289" s="96">
        <v>287</v>
      </c>
      <c r="B289" s="204">
        <v>1550</v>
      </c>
      <c r="C289" s="205">
        <v>45727</v>
      </c>
      <c r="D289" s="149" t="s">
        <v>1612</v>
      </c>
      <c r="E289" s="111" t="s">
        <v>48</v>
      </c>
      <c r="F289" s="127" t="s">
        <v>6</v>
      </c>
      <c r="G289" s="183">
        <v>45727</v>
      </c>
      <c r="H289" s="137"/>
      <c r="I289" s="100" t="s">
        <v>1315</v>
      </c>
      <c r="J289" s="128"/>
      <c r="K289" s="128"/>
      <c r="L289" s="129"/>
      <c r="M289" s="130"/>
      <c r="N289" s="130"/>
      <c r="O289" s="131"/>
      <c r="P289" s="83">
        <v>45736</v>
      </c>
      <c r="Q289" s="89">
        <f t="shared" si="5"/>
        <v>1.0001968202593654</v>
      </c>
      <c r="R289" s="101"/>
      <c r="S289" s="168" t="s">
        <v>1611</v>
      </c>
    </row>
    <row r="290" spans="1:19" ht="57.6" x14ac:dyDescent="0.3">
      <c r="A290" s="96">
        <v>288</v>
      </c>
      <c r="B290" s="176">
        <v>1550</v>
      </c>
      <c r="C290" s="177">
        <v>45734</v>
      </c>
      <c r="D290" s="149" t="s">
        <v>1613</v>
      </c>
      <c r="E290" s="111" t="s">
        <v>1</v>
      </c>
      <c r="F290" s="125" t="s">
        <v>6</v>
      </c>
      <c r="G290" s="183">
        <v>45734</v>
      </c>
      <c r="H290" s="134">
        <v>116793562</v>
      </c>
      <c r="I290" s="102" t="s">
        <v>125</v>
      </c>
      <c r="J290" s="128"/>
      <c r="K290" s="128"/>
      <c r="L290" s="129"/>
      <c r="M290" s="130"/>
      <c r="N290" s="130"/>
      <c r="O290" s="131"/>
      <c r="P290" s="132">
        <v>45736</v>
      </c>
      <c r="Q290" s="89">
        <f t="shared" si="5"/>
        <v>1.0000437311409454</v>
      </c>
      <c r="R290" s="101"/>
      <c r="S290" s="168"/>
    </row>
    <row r="291" spans="1:19" ht="57.6" x14ac:dyDescent="0.3">
      <c r="A291" s="96">
        <v>289</v>
      </c>
      <c r="B291" s="176" t="s">
        <v>80</v>
      </c>
      <c r="C291" s="177">
        <v>45735</v>
      </c>
      <c r="D291" s="149" t="s">
        <v>1614</v>
      </c>
      <c r="E291" s="126" t="s">
        <v>1314</v>
      </c>
      <c r="F291" s="127" t="s">
        <v>10</v>
      </c>
      <c r="G291" s="183">
        <v>45735</v>
      </c>
      <c r="H291" s="134"/>
      <c r="I291" s="100" t="s">
        <v>1315</v>
      </c>
      <c r="J291" s="128"/>
      <c r="K291" s="128"/>
      <c r="L291" s="129"/>
      <c r="M291" s="130"/>
      <c r="N291" s="130"/>
      <c r="O291" s="131"/>
      <c r="P291" s="132">
        <v>45736</v>
      </c>
      <c r="Q291" s="89">
        <f t="shared" si="5"/>
        <v>1.00002186509238</v>
      </c>
      <c r="R291" s="101" t="s">
        <v>749</v>
      </c>
      <c r="S291" s="56"/>
    </row>
    <row r="292" spans="1:19" ht="57.6" x14ac:dyDescent="0.3">
      <c r="A292" s="96">
        <v>290</v>
      </c>
      <c r="B292" s="176" t="s">
        <v>80</v>
      </c>
      <c r="C292" s="177">
        <v>45735</v>
      </c>
      <c r="D292" s="149" t="s">
        <v>1615</v>
      </c>
      <c r="E292" s="126" t="s">
        <v>1314</v>
      </c>
      <c r="F292" s="127" t="s">
        <v>10</v>
      </c>
      <c r="G292" s="183">
        <v>45735</v>
      </c>
      <c r="H292" s="134"/>
      <c r="I292" s="100" t="s">
        <v>1315</v>
      </c>
      <c r="J292" s="27"/>
      <c r="K292" s="28"/>
      <c r="L292" s="51"/>
      <c r="M292" s="29"/>
      <c r="N292" s="30"/>
      <c r="O292" s="54"/>
      <c r="P292" s="132">
        <v>45736</v>
      </c>
      <c r="Q292" s="89">
        <f t="shared" si="5"/>
        <v>1.00002186509238</v>
      </c>
      <c r="R292" s="101" t="s">
        <v>749</v>
      </c>
      <c r="S292" s="56"/>
    </row>
    <row r="293" spans="1:19" ht="57.6" x14ac:dyDescent="0.3">
      <c r="A293" s="96">
        <v>291</v>
      </c>
      <c r="B293" s="176" t="s">
        <v>80</v>
      </c>
      <c r="C293" s="177">
        <v>45735</v>
      </c>
      <c r="D293" s="98" t="s">
        <v>1616</v>
      </c>
      <c r="E293" s="144" t="s">
        <v>1314</v>
      </c>
      <c r="F293" s="145" t="s">
        <v>10</v>
      </c>
      <c r="G293" s="183">
        <v>45735</v>
      </c>
      <c r="H293" s="146"/>
      <c r="I293" s="100" t="s">
        <v>1315</v>
      </c>
      <c r="J293" s="27"/>
      <c r="K293" s="28"/>
      <c r="L293" s="51"/>
      <c r="M293" s="29"/>
      <c r="N293" s="30"/>
      <c r="O293" s="54"/>
      <c r="P293" s="132">
        <v>45736</v>
      </c>
      <c r="Q293" s="89">
        <f t="shared" si="5"/>
        <v>1.00002186509238</v>
      </c>
      <c r="R293" s="101" t="s">
        <v>214</v>
      </c>
      <c r="S293" s="56"/>
    </row>
    <row r="294" spans="1:19" ht="57.6" x14ac:dyDescent="0.3">
      <c r="A294" s="96">
        <v>292</v>
      </c>
      <c r="B294" s="176" t="s">
        <v>80</v>
      </c>
      <c r="C294" s="177">
        <v>45735</v>
      </c>
      <c r="D294" s="149" t="s">
        <v>1617</v>
      </c>
      <c r="E294" s="144" t="s">
        <v>1314</v>
      </c>
      <c r="F294" s="145" t="s">
        <v>10</v>
      </c>
      <c r="G294" s="183">
        <v>45735</v>
      </c>
      <c r="H294" s="146"/>
      <c r="I294" s="100" t="s">
        <v>1315</v>
      </c>
      <c r="J294" s="27"/>
      <c r="K294" s="28"/>
      <c r="L294" s="51"/>
      <c r="M294" s="29"/>
      <c r="N294" s="30"/>
      <c r="O294" s="54"/>
      <c r="P294" s="132">
        <v>45736</v>
      </c>
      <c r="Q294" s="89">
        <f t="shared" si="5"/>
        <v>1.00002186509238</v>
      </c>
      <c r="R294" s="101" t="s">
        <v>216</v>
      </c>
      <c r="S294" s="147"/>
    </row>
    <row r="295" spans="1:19" ht="57.6" x14ac:dyDescent="0.3">
      <c r="A295" s="96">
        <v>293</v>
      </c>
      <c r="B295" s="123" t="s">
        <v>80</v>
      </c>
      <c r="C295" s="124">
        <v>45735</v>
      </c>
      <c r="D295" s="149" t="s">
        <v>1618</v>
      </c>
      <c r="E295" s="144" t="s">
        <v>1314</v>
      </c>
      <c r="F295" s="145" t="s">
        <v>10</v>
      </c>
      <c r="G295" s="183">
        <v>45735</v>
      </c>
      <c r="H295" s="146"/>
      <c r="I295" s="100" t="s">
        <v>1315</v>
      </c>
      <c r="J295" s="27"/>
      <c r="K295" s="28"/>
      <c r="L295" s="51"/>
      <c r="M295" s="29"/>
      <c r="N295" s="30"/>
      <c r="O295" s="54"/>
      <c r="P295" s="132">
        <v>45736</v>
      </c>
      <c r="Q295" s="89">
        <f t="shared" si="5"/>
        <v>1.00002186509238</v>
      </c>
      <c r="R295" s="101" t="s">
        <v>85</v>
      </c>
      <c r="S295" s="56"/>
    </row>
    <row r="296" spans="1:19" ht="57.6" x14ac:dyDescent="0.3">
      <c r="A296" s="96">
        <v>294</v>
      </c>
      <c r="B296" s="170" t="s">
        <v>80</v>
      </c>
      <c r="C296" s="171">
        <v>45735</v>
      </c>
      <c r="D296" s="98" t="s">
        <v>1619</v>
      </c>
      <c r="E296" s="144" t="s">
        <v>1314</v>
      </c>
      <c r="F296" s="172" t="s">
        <v>10</v>
      </c>
      <c r="G296" s="183">
        <v>45735</v>
      </c>
      <c r="H296" s="173"/>
      <c r="I296" s="100" t="s">
        <v>1315</v>
      </c>
      <c r="J296" s="27"/>
      <c r="K296" s="28"/>
      <c r="L296" s="51"/>
      <c r="M296" s="29"/>
      <c r="N296" s="30"/>
      <c r="O296" s="54"/>
      <c r="P296" s="132">
        <v>45736</v>
      </c>
      <c r="Q296" s="89">
        <f t="shared" si="5"/>
        <v>1.00002186509238</v>
      </c>
      <c r="R296" s="101" t="s">
        <v>85</v>
      </c>
      <c r="S296" s="56"/>
    </row>
    <row r="297" spans="1:19" ht="57.6" x14ac:dyDescent="0.3">
      <c r="A297" s="96">
        <v>295</v>
      </c>
      <c r="B297" s="170" t="s">
        <v>80</v>
      </c>
      <c r="C297" s="171">
        <v>45735</v>
      </c>
      <c r="D297" s="98" t="s">
        <v>1620</v>
      </c>
      <c r="E297" s="166" t="s">
        <v>1314</v>
      </c>
      <c r="F297" s="172" t="s">
        <v>10</v>
      </c>
      <c r="G297" s="183">
        <v>45735</v>
      </c>
      <c r="H297" s="173"/>
      <c r="I297" s="100" t="s">
        <v>1315</v>
      </c>
      <c r="J297" s="27"/>
      <c r="K297" s="28"/>
      <c r="L297" s="51"/>
      <c r="M297" s="29"/>
      <c r="N297" s="30"/>
      <c r="O297" s="54"/>
      <c r="P297" s="132">
        <v>45736</v>
      </c>
      <c r="Q297" s="89">
        <f t="shared" si="5"/>
        <v>1.00002186509238</v>
      </c>
      <c r="R297" s="101" t="s">
        <v>1316</v>
      </c>
      <c r="S297" s="56"/>
    </row>
    <row r="298" spans="1:19" ht="28.8" x14ac:dyDescent="0.3">
      <c r="A298" s="96">
        <v>296</v>
      </c>
      <c r="B298" s="86">
        <v>1550</v>
      </c>
      <c r="C298" s="92">
        <v>45736</v>
      </c>
      <c r="D298" s="149" t="s">
        <v>1621</v>
      </c>
      <c r="E298" s="48" t="s">
        <v>7</v>
      </c>
      <c r="F298" s="80" t="s">
        <v>4</v>
      </c>
      <c r="G298" s="183">
        <v>45736</v>
      </c>
      <c r="H298" s="5"/>
      <c r="I298" s="100" t="s">
        <v>361</v>
      </c>
      <c r="J298" s="27"/>
      <c r="K298" s="28"/>
      <c r="L298" s="51"/>
      <c r="M298" s="29"/>
      <c r="N298" s="30"/>
      <c r="O298" s="54"/>
      <c r="P298" s="83">
        <v>45736</v>
      </c>
      <c r="Q298" s="89">
        <f t="shared" si="5"/>
        <v>1</v>
      </c>
      <c r="R298" s="101"/>
      <c r="S298" s="56"/>
    </row>
    <row r="299" spans="1:19" ht="57.6" x14ac:dyDescent="0.3">
      <c r="A299" s="96">
        <v>297</v>
      </c>
      <c r="B299" s="86">
        <v>1550</v>
      </c>
      <c r="C299" s="92">
        <v>45736</v>
      </c>
      <c r="D299" s="149" t="s">
        <v>1622</v>
      </c>
      <c r="E299" s="48" t="s">
        <v>1</v>
      </c>
      <c r="F299" s="80" t="s">
        <v>8</v>
      </c>
      <c r="G299" s="183">
        <v>45736</v>
      </c>
      <c r="H299" s="105"/>
      <c r="I299" s="100" t="s">
        <v>1315</v>
      </c>
      <c r="J299" s="27"/>
      <c r="K299" s="28"/>
      <c r="L299" s="51"/>
      <c r="M299" s="29"/>
      <c r="N299" s="30"/>
      <c r="O299" s="54"/>
      <c r="P299" s="83">
        <v>45736</v>
      </c>
      <c r="Q299" s="89">
        <f t="shared" si="5"/>
        <v>1</v>
      </c>
      <c r="R299" s="101" t="s">
        <v>136</v>
      </c>
      <c r="S299" s="56"/>
    </row>
    <row r="300" spans="1:19" ht="100.8" x14ac:dyDescent="0.3">
      <c r="A300" s="96">
        <v>298</v>
      </c>
      <c r="B300" s="170" t="s">
        <v>80</v>
      </c>
      <c r="C300" s="171">
        <v>45730</v>
      </c>
      <c r="D300" s="149" t="s">
        <v>1623</v>
      </c>
      <c r="E300" s="48" t="s">
        <v>12</v>
      </c>
      <c r="F300" s="80" t="s">
        <v>10</v>
      </c>
      <c r="G300" s="183">
        <v>45730</v>
      </c>
      <c r="H300" s="5"/>
      <c r="I300" s="102" t="s">
        <v>159</v>
      </c>
      <c r="J300" s="128"/>
      <c r="K300" s="128"/>
      <c r="L300" s="129"/>
      <c r="M300" s="130"/>
      <c r="N300" s="130"/>
      <c r="O300" s="131"/>
      <c r="P300" s="83">
        <v>45737</v>
      </c>
      <c r="Q300" s="89">
        <f t="shared" si="5"/>
        <v>1.000153072381369</v>
      </c>
      <c r="R300" s="101" t="s">
        <v>1366</v>
      </c>
      <c r="S300" s="168"/>
    </row>
    <row r="301" spans="1:19" ht="28.8" x14ac:dyDescent="0.3">
      <c r="A301" s="96">
        <v>299</v>
      </c>
      <c r="B301" s="170">
        <v>1550</v>
      </c>
      <c r="C301" s="171">
        <v>45735</v>
      </c>
      <c r="D301" s="149" t="s">
        <v>1624</v>
      </c>
      <c r="E301" s="144" t="s">
        <v>32</v>
      </c>
      <c r="F301" s="145" t="s">
        <v>4</v>
      </c>
      <c r="G301" s="183">
        <v>45735</v>
      </c>
      <c r="H301" s="146"/>
      <c r="I301" s="102" t="s">
        <v>106</v>
      </c>
      <c r="J301" s="128"/>
      <c r="K301" s="128"/>
      <c r="L301" s="129"/>
      <c r="M301" s="130"/>
      <c r="N301" s="130"/>
      <c r="O301" s="131"/>
      <c r="P301" s="132">
        <v>45737</v>
      </c>
      <c r="Q301" s="89">
        <f t="shared" si="5"/>
        <v>1.00004373018476</v>
      </c>
      <c r="R301" s="101"/>
      <c r="S301" s="168"/>
    </row>
    <row r="302" spans="1:19" ht="28.8" x14ac:dyDescent="0.3">
      <c r="A302" s="96">
        <v>300</v>
      </c>
      <c r="B302" s="170">
        <v>1550</v>
      </c>
      <c r="C302" s="171">
        <v>45735</v>
      </c>
      <c r="D302" s="149" t="s">
        <v>1625</v>
      </c>
      <c r="E302" s="48" t="s">
        <v>32</v>
      </c>
      <c r="F302" s="145" t="s">
        <v>4</v>
      </c>
      <c r="G302" s="183">
        <v>45735</v>
      </c>
      <c r="H302" s="146"/>
      <c r="I302" s="102" t="s">
        <v>106</v>
      </c>
      <c r="J302" s="128"/>
      <c r="K302" s="128"/>
      <c r="L302" s="129"/>
      <c r="M302" s="130"/>
      <c r="N302" s="130"/>
      <c r="O302" s="131"/>
      <c r="P302" s="132">
        <v>45737</v>
      </c>
      <c r="Q302" s="89">
        <f t="shared" si="5"/>
        <v>1.00004373018476</v>
      </c>
      <c r="R302" s="101"/>
      <c r="S302" s="56"/>
    </row>
    <row r="303" spans="1:19" ht="28.8" x14ac:dyDescent="0.3">
      <c r="A303" s="96">
        <v>301</v>
      </c>
      <c r="B303" s="170">
        <v>1550</v>
      </c>
      <c r="C303" s="171">
        <v>45735</v>
      </c>
      <c r="D303" s="149" t="s">
        <v>1626</v>
      </c>
      <c r="E303" s="48" t="s">
        <v>32</v>
      </c>
      <c r="F303" s="80" t="s">
        <v>4</v>
      </c>
      <c r="G303" s="183">
        <v>45735</v>
      </c>
      <c r="H303" s="5"/>
      <c r="I303" s="100" t="s">
        <v>106</v>
      </c>
      <c r="J303" s="128"/>
      <c r="K303" s="128"/>
      <c r="L303" s="129"/>
      <c r="M303" s="130"/>
      <c r="N303" s="130"/>
      <c r="O303" s="131"/>
      <c r="P303" s="83">
        <v>45737</v>
      </c>
      <c r="Q303" s="89">
        <f t="shared" si="5"/>
        <v>1.00004373018476</v>
      </c>
      <c r="R303" s="101"/>
      <c r="S303" s="168"/>
    </row>
    <row r="304" spans="1:19" ht="28.8" x14ac:dyDescent="0.3">
      <c r="A304" s="96">
        <v>302</v>
      </c>
      <c r="B304" s="170">
        <v>1550</v>
      </c>
      <c r="C304" s="171">
        <v>45735</v>
      </c>
      <c r="D304" s="149" t="s">
        <v>1627</v>
      </c>
      <c r="E304" s="48" t="s">
        <v>32</v>
      </c>
      <c r="F304" s="80" t="s">
        <v>4</v>
      </c>
      <c r="G304" s="183">
        <v>45735</v>
      </c>
      <c r="H304" s="146"/>
      <c r="I304" s="100" t="s">
        <v>106</v>
      </c>
      <c r="J304" s="128"/>
      <c r="K304" s="128"/>
      <c r="L304" s="129"/>
      <c r="M304" s="130"/>
      <c r="N304" s="130"/>
      <c r="O304" s="131"/>
      <c r="P304" s="132">
        <v>45737</v>
      </c>
      <c r="Q304" s="89">
        <f t="shared" si="5"/>
        <v>1.00004373018476</v>
      </c>
      <c r="R304" s="101"/>
      <c r="S304" s="168"/>
    </row>
    <row r="305" spans="1:19" ht="28.8" x14ac:dyDescent="0.3">
      <c r="A305" s="96">
        <v>303</v>
      </c>
      <c r="B305" s="86">
        <v>1550</v>
      </c>
      <c r="C305" s="92">
        <v>45736</v>
      </c>
      <c r="D305" s="149" t="s">
        <v>1628</v>
      </c>
      <c r="E305" s="48" t="s">
        <v>32</v>
      </c>
      <c r="F305" s="80" t="s">
        <v>4</v>
      </c>
      <c r="G305" s="183">
        <v>45736</v>
      </c>
      <c r="H305" s="5"/>
      <c r="I305" s="100" t="s">
        <v>106</v>
      </c>
      <c r="J305" s="27"/>
      <c r="K305" s="28"/>
      <c r="L305" s="51"/>
      <c r="M305" s="29"/>
      <c r="N305" s="30"/>
      <c r="O305" s="54"/>
      <c r="P305" s="83">
        <v>45737</v>
      </c>
      <c r="Q305" s="89">
        <f t="shared" si="5"/>
        <v>1.0000218646143082</v>
      </c>
      <c r="R305" s="101"/>
      <c r="S305" s="56"/>
    </row>
    <row r="306" spans="1:19" ht="57.6" x14ac:dyDescent="0.3">
      <c r="A306" s="96">
        <v>304</v>
      </c>
      <c r="B306" s="86" t="s">
        <v>80</v>
      </c>
      <c r="C306" s="92">
        <v>45736</v>
      </c>
      <c r="D306" s="149" t="s">
        <v>1629</v>
      </c>
      <c r="E306" s="126" t="s">
        <v>1314</v>
      </c>
      <c r="F306" s="145" t="s">
        <v>10</v>
      </c>
      <c r="G306" s="183">
        <v>45736</v>
      </c>
      <c r="H306" s="134"/>
      <c r="I306" s="100" t="s">
        <v>1315</v>
      </c>
      <c r="J306" s="27"/>
      <c r="K306" s="28"/>
      <c r="L306" s="51"/>
      <c r="M306" s="29"/>
      <c r="N306" s="30"/>
      <c r="O306" s="54"/>
      <c r="P306" s="83">
        <v>45737</v>
      </c>
      <c r="Q306" s="89">
        <f t="shared" si="5"/>
        <v>1.0000218646143082</v>
      </c>
      <c r="R306" s="101" t="s">
        <v>216</v>
      </c>
      <c r="S306" s="56"/>
    </row>
    <row r="307" spans="1:19" ht="57.6" x14ac:dyDescent="0.3">
      <c r="A307" s="96">
        <v>305</v>
      </c>
      <c r="B307" s="86" t="s">
        <v>80</v>
      </c>
      <c r="C307" s="92">
        <v>45736</v>
      </c>
      <c r="D307" s="149" t="s">
        <v>1630</v>
      </c>
      <c r="E307" s="126" t="s">
        <v>1314</v>
      </c>
      <c r="F307" s="145" t="s">
        <v>10</v>
      </c>
      <c r="G307" s="183">
        <v>45736</v>
      </c>
      <c r="H307" s="134"/>
      <c r="I307" s="100" t="s">
        <v>1315</v>
      </c>
      <c r="J307" s="27"/>
      <c r="K307" s="28"/>
      <c r="L307" s="51"/>
      <c r="M307" s="29"/>
      <c r="N307" s="30"/>
      <c r="O307" s="54"/>
      <c r="P307" s="83">
        <v>45737</v>
      </c>
      <c r="Q307" s="89">
        <f t="shared" si="5"/>
        <v>1.0000218646143082</v>
      </c>
      <c r="R307" s="101" t="s">
        <v>1319</v>
      </c>
      <c r="S307" s="56"/>
    </row>
    <row r="308" spans="1:19" ht="57.6" x14ac:dyDescent="0.3">
      <c r="A308" s="96">
        <v>306</v>
      </c>
      <c r="B308" s="86" t="s">
        <v>80</v>
      </c>
      <c r="C308" s="92">
        <v>45736</v>
      </c>
      <c r="D308" s="149" t="s">
        <v>1631</v>
      </c>
      <c r="E308" s="126" t="s">
        <v>1314</v>
      </c>
      <c r="F308" s="145" t="s">
        <v>10</v>
      </c>
      <c r="G308" s="183">
        <v>45736</v>
      </c>
      <c r="H308" s="134"/>
      <c r="I308" s="100" t="s">
        <v>1315</v>
      </c>
      <c r="J308" s="27"/>
      <c r="K308" s="28"/>
      <c r="L308" s="51"/>
      <c r="M308" s="29"/>
      <c r="N308" s="30"/>
      <c r="O308" s="54"/>
      <c r="P308" s="83">
        <v>45737</v>
      </c>
      <c r="Q308" s="89">
        <f t="shared" si="5"/>
        <v>1.0000218646143082</v>
      </c>
      <c r="R308" s="101" t="s">
        <v>1319</v>
      </c>
      <c r="S308" s="56"/>
    </row>
    <row r="309" spans="1:19" ht="57.6" x14ac:dyDescent="0.3">
      <c r="A309" s="96">
        <v>307</v>
      </c>
      <c r="B309" s="135" t="s">
        <v>80</v>
      </c>
      <c r="C309" s="136">
        <v>45736</v>
      </c>
      <c r="D309" s="149" t="s">
        <v>1632</v>
      </c>
      <c r="E309" s="126" t="s">
        <v>1314</v>
      </c>
      <c r="F309" s="127" t="s">
        <v>10</v>
      </c>
      <c r="G309" s="183">
        <v>45736</v>
      </c>
      <c r="H309" s="134"/>
      <c r="I309" s="100" t="s">
        <v>1315</v>
      </c>
      <c r="J309" s="27"/>
      <c r="K309" s="28"/>
      <c r="L309" s="51"/>
      <c r="M309" s="29"/>
      <c r="N309" s="30"/>
      <c r="O309" s="54"/>
      <c r="P309" s="83">
        <v>45737</v>
      </c>
      <c r="Q309" s="89">
        <f t="shared" si="5"/>
        <v>1.0000218646143082</v>
      </c>
      <c r="R309" s="101" t="s">
        <v>1319</v>
      </c>
      <c r="S309" s="56"/>
    </row>
    <row r="310" spans="1:19" ht="28.8" x14ac:dyDescent="0.3">
      <c r="A310" s="96">
        <v>308</v>
      </c>
      <c r="B310" s="135">
        <v>1550</v>
      </c>
      <c r="C310" s="136">
        <v>45737</v>
      </c>
      <c r="D310" s="149" t="s">
        <v>1633</v>
      </c>
      <c r="E310" s="47" t="s">
        <v>1</v>
      </c>
      <c r="F310" s="125" t="s">
        <v>4</v>
      </c>
      <c r="G310" s="183">
        <v>45737</v>
      </c>
      <c r="H310" s="137"/>
      <c r="I310" s="100" t="s">
        <v>129</v>
      </c>
      <c r="J310" s="27"/>
      <c r="K310" s="28"/>
      <c r="L310" s="51"/>
      <c r="M310" s="29"/>
      <c r="N310" s="30"/>
      <c r="O310" s="54"/>
      <c r="P310" s="83">
        <v>45737</v>
      </c>
      <c r="Q310" s="89">
        <f t="shared" si="5"/>
        <v>1</v>
      </c>
      <c r="R310" s="101"/>
      <c r="S310" s="56"/>
    </row>
    <row r="311" spans="1:19" ht="57.6" x14ac:dyDescent="0.3">
      <c r="A311" s="96">
        <v>309</v>
      </c>
      <c r="B311" s="135">
        <v>1550</v>
      </c>
      <c r="C311" s="136">
        <v>45737</v>
      </c>
      <c r="D311" s="149" t="s">
        <v>1634</v>
      </c>
      <c r="E311" s="111" t="s">
        <v>1</v>
      </c>
      <c r="F311" s="125" t="s">
        <v>6</v>
      </c>
      <c r="G311" s="183">
        <v>45737</v>
      </c>
      <c r="H311" s="137"/>
      <c r="I311" s="100" t="s">
        <v>125</v>
      </c>
      <c r="J311" s="27"/>
      <c r="K311" s="28"/>
      <c r="L311" s="51"/>
      <c r="M311" s="29"/>
      <c r="N311" s="30"/>
      <c r="O311" s="54"/>
      <c r="P311" s="83">
        <v>45737</v>
      </c>
      <c r="Q311" s="89">
        <f t="shared" si="5"/>
        <v>1</v>
      </c>
      <c r="R311" s="101"/>
      <c r="S311" s="56"/>
    </row>
    <row r="312" spans="1:19" ht="28.8" x14ac:dyDescent="0.3">
      <c r="A312" s="96">
        <v>310</v>
      </c>
      <c r="B312" s="135">
        <v>1550</v>
      </c>
      <c r="C312" s="136">
        <v>45737</v>
      </c>
      <c r="D312" s="149" t="s">
        <v>1635</v>
      </c>
      <c r="E312" s="47" t="s">
        <v>7</v>
      </c>
      <c r="F312" s="81" t="s">
        <v>4</v>
      </c>
      <c r="G312" s="183">
        <v>45737</v>
      </c>
      <c r="H312" s="49"/>
      <c r="I312" s="100" t="s">
        <v>361</v>
      </c>
      <c r="J312" s="27"/>
      <c r="K312" s="28"/>
      <c r="L312" s="51"/>
      <c r="M312" s="29"/>
      <c r="N312" s="30"/>
      <c r="O312" s="54"/>
      <c r="P312" s="83">
        <v>45737</v>
      </c>
      <c r="Q312" s="89">
        <f t="shared" si="5"/>
        <v>1</v>
      </c>
      <c r="R312" s="101"/>
      <c r="S312" s="56"/>
    </row>
    <row r="313" spans="1:19" ht="28.8" x14ac:dyDescent="0.3">
      <c r="A313" s="96">
        <v>311</v>
      </c>
      <c r="B313" s="135">
        <v>1550</v>
      </c>
      <c r="C313" s="136">
        <v>45740</v>
      </c>
      <c r="D313" s="149" t="s">
        <v>1636</v>
      </c>
      <c r="E313" s="47" t="s">
        <v>7</v>
      </c>
      <c r="F313" s="81" t="s">
        <v>4</v>
      </c>
      <c r="G313" s="183">
        <v>45740</v>
      </c>
      <c r="H313" s="49"/>
      <c r="I313" s="100" t="s">
        <v>125</v>
      </c>
      <c r="J313" s="27"/>
      <c r="K313" s="28"/>
      <c r="L313" s="51"/>
      <c r="M313" s="29"/>
      <c r="N313" s="30"/>
      <c r="O313" s="54"/>
      <c r="P313" s="83">
        <v>45737</v>
      </c>
      <c r="Q313" s="89">
        <f t="shared" si="5"/>
        <v>0.99993441189331</v>
      </c>
      <c r="R313" s="101"/>
      <c r="S313" s="56"/>
    </row>
    <row r="314" spans="1:19" ht="43.2" x14ac:dyDescent="0.3">
      <c r="A314" s="96">
        <v>312</v>
      </c>
      <c r="B314" s="135">
        <v>1550</v>
      </c>
      <c r="C314" s="136">
        <v>45723</v>
      </c>
      <c r="D314" s="149" t="s">
        <v>1637</v>
      </c>
      <c r="E314" s="47" t="s">
        <v>12</v>
      </c>
      <c r="F314" s="81" t="s">
        <v>8</v>
      </c>
      <c r="G314" s="183">
        <v>45723</v>
      </c>
      <c r="H314" s="49"/>
      <c r="I314" s="100" t="s">
        <v>159</v>
      </c>
      <c r="J314" s="27"/>
      <c r="K314" s="28"/>
      <c r="L314" s="51"/>
      <c r="M314" s="29"/>
      <c r="N314" s="30"/>
      <c r="O314" s="54"/>
      <c r="P314" s="132">
        <v>45740</v>
      </c>
      <c r="Q314" s="89">
        <f t="shared" si="5"/>
        <v>1.0003718041248386</v>
      </c>
      <c r="R314" s="101" t="s">
        <v>138</v>
      </c>
      <c r="S314" s="56"/>
    </row>
    <row r="315" spans="1:19" ht="86.4" x14ac:dyDescent="0.3">
      <c r="A315" s="96">
        <v>313</v>
      </c>
      <c r="B315" s="123">
        <v>1550</v>
      </c>
      <c r="C315" s="124">
        <v>45734</v>
      </c>
      <c r="D315" s="98" t="s">
        <v>1638</v>
      </c>
      <c r="E315" s="47" t="s">
        <v>1</v>
      </c>
      <c r="F315" s="81" t="s">
        <v>6</v>
      </c>
      <c r="G315" s="183">
        <v>45734</v>
      </c>
      <c r="H315" s="49"/>
      <c r="I315" s="102" t="s">
        <v>125</v>
      </c>
      <c r="J315" s="27"/>
      <c r="K315" s="28"/>
      <c r="L315" s="51"/>
      <c r="M315" s="29"/>
      <c r="N315" s="30"/>
      <c r="O315" s="54"/>
      <c r="P315" s="132">
        <v>45740</v>
      </c>
      <c r="Q315" s="89">
        <f t="shared" si="5"/>
        <v>1.0001311934228363</v>
      </c>
      <c r="R315" s="101"/>
      <c r="S315" s="56"/>
    </row>
    <row r="316" spans="1:19" ht="28.8" x14ac:dyDescent="0.3">
      <c r="A316" s="96">
        <v>314</v>
      </c>
      <c r="B316" s="135">
        <v>1550</v>
      </c>
      <c r="C316" s="136">
        <v>45734</v>
      </c>
      <c r="D316" s="149" t="s">
        <v>1639</v>
      </c>
      <c r="E316" s="48" t="s">
        <v>1</v>
      </c>
      <c r="F316" s="127" t="s">
        <v>4</v>
      </c>
      <c r="G316" s="183">
        <v>45734</v>
      </c>
      <c r="H316" s="5"/>
      <c r="I316" s="100" t="s">
        <v>125</v>
      </c>
      <c r="J316" s="27"/>
      <c r="K316" s="28"/>
      <c r="L316" s="51"/>
      <c r="M316" s="29"/>
      <c r="N316" s="30"/>
      <c r="O316" s="54"/>
      <c r="P316" s="83">
        <v>45740</v>
      </c>
      <c r="Q316" s="89">
        <f t="shared" si="5"/>
        <v>1.0001311934228363</v>
      </c>
      <c r="R316" s="101"/>
      <c r="S316" s="56"/>
    </row>
    <row r="317" spans="1:19" ht="43.2" x14ac:dyDescent="0.3">
      <c r="A317" s="96">
        <v>315</v>
      </c>
      <c r="B317" s="135" t="s">
        <v>80</v>
      </c>
      <c r="C317" s="136">
        <v>45734</v>
      </c>
      <c r="D317" s="149" t="s">
        <v>1640</v>
      </c>
      <c r="E317" s="111" t="s">
        <v>14</v>
      </c>
      <c r="F317" s="127" t="s">
        <v>10</v>
      </c>
      <c r="G317" s="183">
        <v>45734</v>
      </c>
      <c r="H317" s="137"/>
      <c r="I317" s="102" t="s">
        <v>253</v>
      </c>
      <c r="J317" s="27"/>
      <c r="K317" s="28"/>
      <c r="L317" s="51"/>
      <c r="M317" s="29"/>
      <c r="N317" s="30"/>
      <c r="O317" s="54"/>
      <c r="P317" s="83">
        <v>45740</v>
      </c>
      <c r="Q317" s="89">
        <f t="shared" si="5"/>
        <v>1.0001311934228363</v>
      </c>
      <c r="R317" s="101" t="s">
        <v>1576</v>
      </c>
      <c r="S317" s="56"/>
    </row>
    <row r="318" spans="1:19" x14ac:dyDescent="0.3">
      <c r="A318" s="96">
        <v>316</v>
      </c>
      <c r="B318" s="123">
        <v>1550</v>
      </c>
      <c r="C318" s="124">
        <v>45735</v>
      </c>
      <c r="D318" s="349" t="s">
        <v>1641</v>
      </c>
      <c r="E318" s="111" t="s">
        <v>23</v>
      </c>
      <c r="F318" s="125" t="s">
        <v>4</v>
      </c>
      <c r="G318" s="183">
        <v>45735</v>
      </c>
      <c r="H318" s="137"/>
      <c r="I318" s="100" t="s">
        <v>135</v>
      </c>
      <c r="J318" s="128"/>
      <c r="K318" s="128"/>
      <c r="L318" s="129"/>
      <c r="M318" s="130"/>
      <c r="N318" s="130"/>
      <c r="O318" s="131"/>
      <c r="P318" s="83">
        <v>45740</v>
      </c>
      <c r="Q318" s="89">
        <f t="shared" si="5"/>
        <v>1.0001093254619</v>
      </c>
      <c r="R318" s="101"/>
      <c r="S318" s="168"/>
    </row>
    <row r="319" spans="1:19" ht="28.8" x14ac:dyDescent="0.3">
      <c r="A319" s="96">
        <v>317</v>
      </c>
      <c r="B319" s="135">
        <v>1550</v>
      </c>
      <c r="C319" s="136">
        <v>45736</v>
      </c>
      <c r="D319" s="149" t="s">
        <v>1642</v>
      </c>
      <c r="E319" s="47" t="s">
        <v>3</v>
      </c>
      <c r="F319" s="81" t="s">
        <v>8</v>
      </c>
      <c r="G319" s="183">
        <v>45736</v>
      </c>
      <c r="H319" s="49"/>
      <c r="I319" s="100" t="s">
        <v>125</v>
      </c>
      <c r="J319" s="27"/>
      <c r="K319" s="28"/>
      <c r="L319" s="51"/>
      <c r="M319" s="29"/>
      <c r="N319" s="30"/>
      <c r="O319" s="54"/>
      <c r="P319" s="83">
        <v>45740</v>
      </c>
      <c r="Q319" s="89">
        <f t="shared" si="5"/>
        <v>1.0000874584572328</v>
      </c>
      <c r="R319" s="101" t="s">
        <v>190</v>
      </c>
      <c r="S319" s="56"/>
    </row>
    <row r="320" spans="1:19" ht="57.6" x14ac:dyDescent="0.3">
      <c r="A320" s="96">
        <v>318</v>
      </c>
      <c r="B320" s="135">
        <v>1550</v>
      </c>
      <c r="C320" s="136">
        <v>45736</v>
      </c>
      <c r="D320" s="149" t="s">
        <v>1643</v>
      </c>
      <c r="E320" s="111" t="s">
        <v>11</v>
      </c>
      <c r="F320" s="125" t="s">
        <v>4</v>
      </c>
      <c r="G320" s="183">
        <v>45736</v>
      </c>
      <c r="H320" s="137"/>
      <c r="I320" s="100" t="s">
        <v>1315</v>
      </c>
      <c r="J320" s="27"/>
      <c r="K320" s="28"/>
      <c r="L320" s="51"/>
      <c r="M320" s="29"/>
      <c r="N320" s="30"/>
      <c r="O320" s="54"/>
      <c r="P320" s="83">
        <v>45740</v>
      </c>
      <c r="Q320" s="89">
        <f t="shared" si="5"/>
        <v>1.0000874584572328</v>
      </c>
      <c r="R320" s="101"/>
      <c r="S320" s="56"/>
    </row>
    <row r="321" spans="1:19" ht="28.8" x14ac:dyDescent="0.3">
      <c r="A321" s="96">
        <v>319</v>
      </c>
      <c r="B321" s="135">
        <v>1550</v>
      </c>
      <c r="C321" s="136">
        <v>45736</v>
      </c>
      <c r="D321" s="149" t="s">
        <v>1644</v>
      </c>
      <c r="E321" s="48" t="s">
        <v>32</v>
      </c>
      <c r="F321" s="80" t="s">
        <v>8</v>
      </c>
      <c r="G321" s="183">
        <v>45736</v>
      </c>
      <c r="H321" s="5"/>
      <c r="I321" s="100" t="s">
        <v>106</v>
      </c>
      <c r="J321" s="27"/>
      <c r="K321" s="28"/>
      <c r="L321" s="51"/>
      <c r="M321" s="29"/>
      <c r="N321" s="30"/>
      <c r="O321" s="54"/>
      <c r="P321" s="83">
        <v>45740</v>
      </c>
      <c r="Q321" s="89">
        <f t="shared" si="5"/>
        <v>1.0000874584572328</v>
      </c>
      <c r="R321" s="101"/>
      <c r="S321" s="56"/>
    </row>
    <row r="322" spans="1:19" ht="28.8" x14ac:dyDescent="0.3">
      <c r="A322" s="96">
        <v>320</v>
      </c>
      <c r="B322" s="135">
        <v>1550</v>
      </c>
      <c r="C322" s="136">
        <v>45736</v>
      </c>
      <c r="D322" s="149" t="s">
        <v>1645</v>
      </c>
      <c r="E322" s="48" t="s">
        <v>7</v>
      </c>
      <c r="F322" s="80" t="s">
        <v>8</v>
      </c>
      <c r="G322" s="183">
        <v>45736</v>
      </c>
      <c r="H322" s="5"/>
      <c r="I322" s="100" t="s">
        <v>125</v>
      </c>
      <c r="J322" s="27"/>
      <c r="K322" s="28"/>
      <c r="L322" s="51"/>
      <c r="M322" s="29"/>
      <c r="N322" s="30"/>
      <c r="O322" s="54"/>
      <c r="P322" s="83">
        <v>45740</v>
      </c>
      <c r="Q322" s="89">
        <f t="shared" si="5"/>
        <v>1.0000874584572328</v>
      </c>
      <c r="R322" s="101" t="s">
        <v>1246</v>
      </c>
      <c r="S322" s="56"/>
    </row>
    <row r="323" spans="1:19" ht="100.8" x14ac:dyDescent="0.3">
      <c r="A323" s="96">
        <v>321</v>
      </c>
      <c r="B323" s="135" t="s">
        <v>80</v>
      </c>
      <c r="C323" s="136">
        <v>45736</v>
      </c>
      <c r="D323" s="149" t="s">
        <v>1646</v>
      </c>
      <c r="E323" s="144" t="s">
        <v>24</v>
      </c>
      <c r="F323" s="145" t="s">
        <v>10</v>
      </c>
      <c r="G323" s="183">
        <v>45736</v>
      </c>
      <c r="H323" s="146"/>
      <c r="I323" s="728" t="s">
        <v>383</v>
      </c>
      <c r="J323" s="27"/>
      <c r="K323" s="28"/>
      <c r="L323" s="51"/>
      <c r="M323" s="29"/>
      <c r="N323" s="30"/>
      <c r="O323" s="54"/>
      <c r="P323" s="83">
        <v>45740</v>
      </c>
      <c r="Q323" s="89">
        <f t="shared" si="5"/>
        <v>1.0000874584572328</v>
      </c>
      <c r="R323" s="101" t="s">
        <v>749</v>
      </c>
      <c r="S323" s="56"/>
    </row>
    <row r="324" spans="1:19" ht="115.2" x14ac:dyDescent="0.3">
      <c r="A324" s="96">
        <v>322</v>
      </c>
      <c r="B324" s="135" t="s">
        <v>80</v>
      </c>
      <c r="C324" s="136">
        <v>45736</v>
      </c>
      <c r="D324" s="149" t="s">
        <v>1647</v>
      </c>
      <c r="E324" s="48" t="s">
        <v>12</v>
      </c>
      <c r="F324" s="145" t="s">
        <v>10</v>
      </c>
      <c r="G324" s="183">
        <v>45736</v>
      </c>
      <c r="H324" s="5"/>
      <c r="I324" s="100" t="s">
        <v>159</v>
      </c>
      <c r="J324" s="27"/>
      <c r="K324" s="28"/>
      <c r="L324" s="51"/>
      <c r="M324" s="29"/>
      <c r="N324" s="30"/>
      <c r="O324" s="54"/>
      <c r="P324" s="83">
        <v>45740</v>
      </c>
      <c r="Q324" s="89">
        <f t="shared" si="5"/>
        <v>1.0000874584572328</v>
      </c>
      <c r="R324" s="101" t="s">
        <v>1319</v>
      </c>
      <c r="S324" s="56"/>
    </row>
    <row r="325" spans="1:19" ht="57.6" x14ac:dyDescent="0.3">
      <c r="A325" s="96">
        <v>323</v>
      </c>
      <c r="B325" s="135" t="s">
        <v>80</v>
      </c>
      <c r="C325" s="136">
        <v>45736</v>
      </c>
      <c r="D325" s="149" t="s">
        <v>1648</v>
      </c>
      <c r="E325" s="48" t="s">
        <v>14</v>
      </c>
      <c r="F325" s="145" t="s">
        <v>10</v>
      </c>
      <c r="G325" s="183">
        <v>45736</v>
      </c>
      <c r="H325" s="5"/>
      <c r="I325" s="102" t="s">
        <v>253</v>
      </c>
      <c r="J325" s="27"/>
      <c r="K325" s="28"/>
      <c r="L325" s="51"/>
      <c r="M325" s="29"/>
      <c r="N325" s="30"/>
      <c r="O325" s="54"/>
      <c r="P325" s="83">
        <v>45740</v>
      </c>
      <c r="Q325" s="89">
        <f t="shared" si="5"/>
        <v>1.0000874584572328</v>
      </c>
      <c r="R325" s="101" t="s">
        <v>1319</v>
      </c>
      <c r="S325" s="56"/>
    </row>
    <row r="326" spans="1:19" ht="57.6" x14ac:dyDescent="0.3">
      <c r="A326" s="96">
        <v>324</v>
      </c>
      <c r="B326" s="135">
        <v>1550</v>
      </c>
      <c r="C326" s="136">
        <v>45737</v>
      </c>
      <c r="D326" s="149" t="s">
        <v>1649</v>
      </c>
      <c r="E326" s="48" t="s">
        <v>1314</v>
      </c>
      <c r="F326" s="80" t="s">
        <v>6</v>
      </c>
      <c r="G326" s="183">
        <v>45737</v>
      </c>
      <c r="H326" s="5"/>
      <c r="I326" s="100" t="s">
        <v>1315</v>
      </c>
      <c r="J326" s="27"/>
      <c r="K326" s="28"/>
      <c r="L326" s="51"/>
      <c r="M326" s="29"/>
      <c r="N326" s="30"/>
      <c r="O326" s="54"/>
      <c r="P326" s="83">
        <v>45740</v>
      </c>
      <c r="Q326" s="89">
        <f t="shared" si="5"/>
        <v>1.0000655924087718</v>
      </c>
      <c r="R326" s="101"/>
      <c r="S326" s="56"/>
    </row>
    <row r="327" spans="1:19" x14ac:dyDescent="0.3">
      <c r="A327" s="96">
        <v>325</v>
      </c>
      <c r="B327" s="135">
        <v>1550</v>
      </c>
      <c r="C327" s="136">
        <v>45737</v>
      </c>
      <c r="D327" s="149" t="s">
        <v>1650</v>
      </c>
      <c r="E327" s="48" t="s">
        <v>14</v>
      </c>
      <c r="F327" s="80" t="s">
        <v>4</v>
      </c>
      <c r="G327" s="183">
        <v>45737</v>
      </c>
      <c r="H327" s="5"/>
      <c r="I327" s="100" t="s">
        <v>106</v>
      </c>
      <c r="J327" s="27"/>
      <c r="K327" s="28"/>
      <c r="L327" s="51"/>
      <c r="M327" s="29"/>
      <c r="N327" s="30"/>
      <c r="O327" s="54"/>
      <c r="P327" s="83">
        <v>45740</v>
      </c>
      <c r="Q327" s="89">
        <f t="shared" si="5"/>
        <v>1.0000655924087718</v>
      </c>
      <c r="R327" s="101"/>
      <c r="S327" s="56"/>
    </row>
    <row r="328" spans="1:19" ht="57.6" x14ac:dyDescent="0.3">
      <c r="A328" s="96">
        <v>326</v>
      </c>
      <c r="B328" s="135">
        <v>1550</v>
      </c>
      <c r="C328" s="136">
        <v>45737</v>
      </c>
      <c r="D328" s="149" t="s">
        <v>1651</v>
      </c>
      <c r="E328" s="48" t="s">
        <v>1326</v>
      </c>
      <c r="F328" s="80" t="s">
        <v>4</v>
      </c>
      <c r="G328" s="183">
        <v>45737</v>
      </c>
      <c r="H328" s="5"/>
      <c r="I328" s="100" t="s">
        <v>1315</v>
      </c>
      <c r="J328" s="128"/>
      <c r="K328" s="128"/>
      <c r="L328" s="129"/>
      <c r="M328" s="130"/>
      <c r="N328" s="130"/>
      <c r="O328" s="131"/>
      <c r="P328" s="132">
        <v>45740</v>
      </c>
      <c r="Q328" s="89">
        <f t="shared" si="5"/>
        <v>1.0000655924087718</v>
      </c>
      <c r="R328" s="101"/>
      <c r="S328" s="168"/>
    </row>
    <row r="329" spans="1:19" ht="57.6" x14ac:dyDescent="0.3">
      <c r="A329" s="96">
        <v>327</v>
      </c>
      <c r="B329" s="135">
        <v>1550</v>
      </c>
      <c r="C329" s="136">
        <v>45737</v>
      </c>
      <c r="D329" s="149" t="s">
        <v>1652</v>
      </c>
      <c r="E329" s="48" t="s">
        <v>1326</v>
      </c>
      <c r="F329" s="145" t="s">
        <v>6</v>
      </c>
      <c r="G329" s="183">
        <v>45737</v>
      </c>
      <c r="H329" s="5"/>
      <c r="I329" s="100" t="s">
        <v>1315</v>
      </c>
      <c r="J329" s="128"/>
      <c r="K329" s="128"/>
      <c r="L329" s="129"/>
      <c r="M329" s="130"/>
      <c r="N329" s="130"/>
      <c r="O329" s="131"/>
      <c r="P329" s="132">
        <v>45740</v>
      </c>
      <c r="Q329" s="89">
        <f t="shared" si="5"/>
        <v>1.0000655924087718</v>
      </c>
      <c r="R329" s="101"/>
      <c r="S329" s="56"/>
    </row>
    <row r="330" spans="1:19" ht="57.6" x14ac:dyDescent="0.3">
      <c r="A330" s="96">
        <v>328</v>
      </c>
      <c r="B330" s="135" t="s">
        <v>80</v>
      </c>
      <c r="C330" s="136">
        <v>45737</v>
      </c>
      <c r="D330" s="149" t="s">
        <v>1653</v>
      </c>
      <c r="E330" s="126" t="s">
        <v>1314</v>
      </c>
      <c r="F330" s="127" t="s">
        <v>10</v>
      </c>
      <c r="G330" s="183">
        <v>45737</v>
      </c>
      <c r="H330" s="134"/>
      <c r="I330" s="100" t="s">
        <v>1315</v>
      </c>
      <c r="J330" s="27"/>
      <c r="K330" s="28"/>
      <c r="L330" s="51"/>
      <c r="M330" s="29"/>
      <c r="N330" s="30"/>
      <c r="O330" s="54"/>
      <c r="P330" s="132">
        <v>45740</v>
      </c>
      <c r="Q330" s="89">
        <f t="shared" si="5"/>
        <v>1.0000655924087718</v>
      </c>
      <c r="R330" s="101" t="s">
        <v>216</v>
      </c>
      <c r="S330" s="56"/>
    </row>
    <row r="331" spans="1:19" ht="57.6" x14ac:dyDescent="0.3">
      <c r="A331" s="96">
        <v>329</v>
      </c>
      <c r="B331" s="135" t="s">
        <v>80</v>
      </c>
      <c r="C331" s="136">
        <v>45737</v>
      </c>
      <c r="D331" s="149" t="s">
        <v>1654</v>
      </c>
      <c r="E331" s="144" t="s">
        <v>1314</v>
      </c>
      <c r="F331" s="145" t="s">
        <v>10</v>
      </c>
      <c r="G331" s="183">
        <v>45737</v>
      </c>
      <c r="H331" s="146"/>
      <c r="I331" s="100" t="s">
        <v>1315</v>
      </c>
      <c r="J331" s="27"/>
      <c r="K331" s="28"/>
      <c r="L331" s="51"/>
      <c r="M331" s="29"/>
      <c r="N331" s="30"/>
      <c r="O331" s="54"/>
      <c r="P331" s="132">
        <v>45740</v>
      </c>
      <c r="Q331" s="89">
        <f t="shared" si="5"/>
        <v>1.0000655924087718</v>
      </c>
      <c r="R331" s="101" t="s">
        <v>216</v>
      </c>
      <c r="S331" s="56"/>
    </row>
    <row r="332" spans="1:19" ht="57.6" x14ac:dyDescent="0.3">
      <c r="A332" s="96">
        <v>330</v>
      </c>
      <c r="B332" s="135" t="s">
        <v>80</v>
      </c>
      <c r="C332" s="136">
        <v>45737</v>
      </c>
      <c r="D332" s="149" t="s">
        <v>1655</v>
      </c>
      <c r="E332" s="126" t="s">
        <v>1314</v>
      </c>
      <c r="F332" s="127" t="s">
        <v>10</v>
      </c>
      <c r="G332" s="183">
        <v>45737</v>
      </c>
      <c r="H332" s="134"/>
      <c r="I332" s="100" t="s">
        <v>1315</v>
      </c>
      <c r="J332" s="27"/>
      <c r="K332" s="28"/>
      <c r="L332" s="51"/>
      <c r="M332" s="29"/>
      <c r="N332" s="30"/>
      <c r="O332" s="54"/>
      <c r="P332" s="132">
        <v>45740</v>
      </c>
      <c r="Q332" s="89">
        <f t="shared" si="5"/>
        <v>1.0000655924087718</v>
      </c>
      <c r="R332" s="101" t="s">
        <v>178</v>
      </c>
      <c r="S332" s="56"/>
    </row>
    <row r="333" spans="1:19" ht="57.6" x14ac:dyDescent="0.3">
      <c r="A333" s="96">
        <v>331</v>
      </c>
      <c r="B333" s="135" t="s">
        <v>80</v>
      </c>
      <c r="C333" s="136">
        <v>45737</v>
      </c>
      <c r="D333" s="149" t="s">
        <v>1656</v>
      </c>
      <c r="E333" s="144" t="s">
        <v>1314</v>
      </c>
      <c r="F333" s="145" t="s">
        <v>10</v>
      </c>
      <c r="G333" s="183">
        <v>45737</v>
      </c>
      <c r="H333" s="146"/>
      <c r="I333" s="100" t="s">
        <v>1315</v>
      </c>
      <c r="J333" s="27"/>
      <c r="K333" s="28"/>
      <c r="L333" s="51"/>
      <c r="M333" s="29"/>
      <c r="N333" s="30"/>
      <c r="O333" s="54"/>
      <c r="P333" s="132">
        <v>45740</v>
      </c>
      <c r="Q333" s="89">
        <f t="shared" si="5"/>
        <v>1.0000655924087718</v>
      </c>
      <c r="R333" s="101" t="s">
        <v>178</v>
      </c>
      <c r="S333" s="56"/>
    </row>
    <row r="334" spans="1:19" ht="57.6" x14ac:dyDescent="0.3">
      <c r="A334" s="96">
        <v>332</v>
      </c>
      <c r="B334" s="135" t="s">
        <v>80</v>
      </c>
      <c r="C334" s="136">
        <v>45737</v>
      </c>
      <c r="D334" s="149" t="s">
        <v>1657</v>
      </c>
      <c r="E334" s="144" t="s">
        <v>1314</v>
      </c>
      <c r="F334" s="145" t="s">
        <v>10</v>
      </c>
      <c r="G334" s="183">
        <v>45737</v>
      </c>
      <c r="H334" s="146"/>
      <c r="I334" s="100" t="s">
        <v>1315</v>
      </c>
      <c r="J334" s="27"/>
      <c r="K334" s="28"/>
      <c r="L334" s="51"/>
      <c r="M334" s="29"/>
      <c r="N334" s="30"/>
      <c r="O334" s="54"/>
      <c r="P334" s="132">
        <v>45740</v>
      </c>
      <c r="Q334" s="89">
        <f t="shared" si="5"/>
        <v>1.0000655924087718</v>
      </c>
      <c r="R334" s="101" t="s">
        <v>1319</v>
      </c>
      <c r="S334" s="56"/>
    </row>
    <row r="335" spans="1:19" ht="57.6" x14ac:dyDescent="0.3">
      <c r="A335" s="96">
        <v>333</v>
      </c>
      <c r="B335" s="135" t="s">
        <v>80</v>
      </c>
      <c r="C335" s="136">
        <v>45737</v>
      </c>
      <c r="D335" s="149" t="s">
        <v>1658</v>
      </c>
      <c r="E335" s="144" t="s">
        <v>1314</v>
      </c>
      <c r="F335" s="145" t="s">
        <v>10</v>
      </c>
      <c r="G335" s="183">
        <v>45737</v>
      </c>
      <c r="H335" s="146"/>
      <c r="I335" s="100" t="s">
        <v>1315</v>
      </c>
      <c r="J335" s="27"/>
      <c r="K335" s="28"/>
      <c r="L335" s="51"/>
      <c r="M335" s="29"/>
      <c r="N335" s="30"/>
      <c r="O335" s="54"/>
      <c r="P335" s="132">
        <v>45740</v>
      </c>
      <c r="Q335" s="89">
        <f t="shared" si="5"/>
        <v>1.0000655924087718</v>
      </c>
      <c r="R335" s="101" t="s">
        <v>216</v>
      </c>
      <c r="S335" s="56"/>
    </row>
    <row r="336" spans="1:19" ht="28.8" x14ac:dyDescent="0.3">
      <c r="A336" s="96">
        <v>334</v>
      </c>
      <c r="B336" s="135">
        <v>1550</v>
      </c>
      <c r="C336" s="136">
        <v>45740</v>
      </c>
      <c r="D336" s="149" t="s">
        <v>1659</v>
      </c>
      <c r="E336" s="48" t="s">
        <v>49</v>
      </c>
      <c r="F336" s="80" t="s">
        <v>8</v>
      </c>
      <c r="G336" s="183">
        <v>45740</v>
      </c>
      <c r="H336" s="5"/>
      <c r="I336" s="102" t="s">
        <v>266</v>
      </c>
      <c r="J336" s="27"/>
      <c r="K336" s="28"/>
      <c r="L336" s="51"/>
      <c r="M336" s="29"/>
      <c r="N336" s="30"/>
      <c r="O336" s="54"/>
      <c r="P336" s="83">
        <v>45740</v>
      </c>
      <c r="Q336" s="89">
        <f t="shared" si="5"/>
        <v>1</v>
      </c>
      <c r="R336" s="101" t="s">
        <v>136</v>
      </c>
      <c r="S336" s="56"/>
    </row>
    <row r="337" spans="1:19" ht="43.2" x14ac:dyDescent="0.3">
      <c r="A337" s="96">
        <v>335</v>
      </c>
      <c r="B337" s="135" t="s">
        <v>80</v>
      </c>
      <c r="C337" s="136">
        <v>45737</v>
      </c>
      <c r="D337" s="149" t="s">
        <v>1660</v>
      </c>
      <c r="E337" s="144" t="s">
        <v>17</v>
      </c>
      <c r="F337" s="145" t="s">
        <v>10</v>
      </c>
      <c r="G337" s="183">
        <v>45737</v>
      </c>
      <c r="H337" s="146"/>
      <c r="I337" s="100" t="s">
        <v>82</v>
      </c>
      <c r="J337" s="27"/>
      <c r="K337" s="28"/>
      <c r="L337" s="51"/>
      <c r="M337" s="29"/>
      <c r="N337" s="30"/>
      <c r="O337" s="54"/>
      <c r="P337" s="132">
        <v>45740</v>
      </c>
      <c r="Q337" s="89">
        <f t="shared" si="5"/>
        <v>1.0000655924087718</v>
      </c>
      <c r="R337" s="101" t="s">
        <v>1319</v>
      </c>
      <c r="S337" s="56"/>
    </row>
    <row r="338" spans="1:19" ht="43.2" x14ac:dyDescent="0.3">
      <c r="A338" s="96">
        <v>336</v>
      </c>
      <c r="B338" s="135">
        <v>1550</v>
      </c>
      <c r="C338" s="136">
        <v>45729</v>
      </c>
      <c r="D338" s="149" t="s">
        <v>1661</v>
      </c>
      <c r="E338" s="144" t="s">
        <v>3</v>
      </c>
      <c r="F338" s="145" t="s">
        <v>6</v>
      </c>
      <c r="G338" s="183">
        <v>45729</v>
      </c>
      <c r="H338" s="146">
        <v>10000275170</v>
      </c>
      <c r="I338" s="100" t="s">
        <v>82</v>
      </c>
      <c r="J338" s="27"/>
      <c r="K338" s="28"/>
      <c r="L338" s="51"/>
      <c r="M338" s="29"/>
      <c r="N338" s="30"/>
      <c r="O338" s="54"/>
      <c r="P338" s="83">
        <v>45741</v>
      </c>
      <c r="Q338" s="89">
        <f t="shared" si="5"/>
        <v>1.0002624155349997</v>
      </c>
      <c r="R338" s="101"/>
      <c r="S338" s="56" t="s">
        <v>1662</v>
      </c>
    </row>
    <row r="339" spans="1:19" ht="115.2" x14ac:dyDescent="0.3">
      <c r="A339" s="96">
        <v>337</v>
      </c>
      <c r="B339" s="123">
        <v>1550</v>
      </c>
      <c r="C339" s="124">
        <v>45734</v>
      </c>
      <c r="D339" s="149" t="s">
        <v>1663</v>
      </c>
      <c r="E339" s="111" t="s">
        <v>1</v>
      </c>
      <c r="F339" s="80" t="s">
        <v>6</v>
      </c>
      <c r="G339" s="183">
        <v>45734</v>
      </c>
      <c r="H339" s="137"/>
      <c r="I339" s="113" t="s">
        <v>125</v>
      </c>
      <c r="J339" s="128"/>
      <c r="K339" s="128"/>
      <c r="L339" s="129"/>
      <c r="M339" s="130"/>
      <c r="N339" s="130"/>
      <c r="O339" s="131"/>
      <c r="P339" s="132">
        <v>45741</v>
      </c>
      <c r="Q339" s="89">
        <f t="shared" si="5"/>
        <v>1.0001530589933092</v>
      </c>
      <c r="R339" s="101"/>
      <c r="S339" s="56"/>
    </row>
    <row r="340" spans="1:19" ht="28.8" x14ac:dyDescent="0.3">
      <c r="A340" s="96">
        <v>338</v>
      </c>
      <c r="B340" s="123">
        <v>1550</v>
      </c>
      <c r="C340" s="124">
        <v>45735</v>
      </c>
      <c r="D340" s="149" t="s">
        <v>1664</v>
      </c>
      <c r="E340" s="126" t="s">
        <v>21</v>
      </c>
      <c r="F340" s="145" t="s">
        <v>8</v>
      </c>
      <c r="G340" s="183">
        <v>45735</v>
      </c>
      <c r="H340" s="134"/>
      <c r="I340" s="107" t="s">
        <v>125</v>
      </c>
      <c r="J340" s="128"/>
      <c r="K340" s="128"/>
      <c r="L340" s="129"/>
      <c r="M340" s="130"/>
      <c r="N340" s="130"/>
      <c r="O340" s="131"/>
      <c r="P340" s="132">
        <v>45741</v>
      </c>
      <c r="Q340" s="89">
        <f t="shared" si="5"/>
        <v>1.00013119055428</v>
      </c>
      <c r="R340" s="101" t="s">
        <v>205</v>
      </c>
      <c r="S340" s="168"/>
    </row>
    <row r="341" spans="1:19" ht="158.4" x14ac:dyDescent="0.3">
      <c r="A341" s="96">
        <v>339</v>
      </c>
      <c r="B341" s="123" t="s">
        <v>80</v>
      </c>
      <c r="C341" s="124">
        <v>45735</v>
      </c>
      <c r="D341" s="149" t="s">
        <v>1665</v>
      </c>
      <c r="E341" s="144" t="s">
        <v>12</v>
      </c>
      <c r="F341" s="145" t="s">
        <v>10</v>
      </c>
      <c r="G341" s="183">
        <v>45735</v>
      </c>
      <c r="H341" s="146"/>
      <c r="I341" s="100" t="s">
        <v>159</v>
      </c>
      <c r="J341" s="27"/>
      <c r="K341" s="28"/>
      <c r="L341" s="51"/>
      <c r="M341" s="29"/>
      <c r="N341" s="30"/>
      <c r="O341" s="54"/>
      <c r="P341" s="132">
        <v>45741</v>
      </c>
      <c r="Q341" s="89">
        <f t="shared" si="5"/>
        <v>1.00013119055428</v>
      </c>
      <c r="R341" s="101" t="s">
        <v>1319</v>
      </c>
      <c r="S341" s="56"/>
    </row>
    <row r="342" spans="1:19" ht="57.6" x14ac:dyDescent="0.3">
      <c r="A342" s="96">
        <v>340</v>
      </c>
      <c r="B342" s="135">
        <v>1550</v>
      </c>
      <c r="C342" s="136">
        <v>45740</v>
      </c>
      <c r="D342" s="349" t="s">
        <v>1666</v>
      </c>
      <c r="E342" s="48" t="s">
        <v>1314</v>
      </c>
      <c r="F342" s="80" t="s">
        <v>4</v>
      </c>
      <c r="G342" s="183">
        <v>45740</v>
      </c>
      <c r="H342" s="5"/>
      <c r="I342" s="100" t="s">
        <v>1315</v>
      </c>
      <c r="J342" s="27"/>
      <c r="K342" s="28"/>
      <c r="L342" s="51"/>
      <c r="M342" s="29"/>
      <c r="N342" s="30"/>
      <c r="O342" s="54"/>
      <c r="P342" s="83">
        <v>45741</v>
      </c>
      <c r="Q342" s="89">
        <f t="shared" si="5"/>
        <v>1.0000218627022299</v>
      </c>
      <c r="R342" s="101"/>
      <c r="S342" s="56"/>
    </row>
    <row r="343" spans="1:19" ht="57.6" x14ac:dyDescent="0.3">
      <c r="A343" s="96">
        <v>341</v>
      </c>
      <c r="B343" s="135">
        <v>1550</v>
      </c>
      <c r="C343" s="136">
        <v>45740</v>
      </c>
      <c r="D343" s="149" t="s">
        <v>1667</v>
      </c>
      <c r="E343" s="48" t="s">
        <v>1314</v>
      </c>
      <c r="F343" s="80" t="s">
        <v>6</v>
      </c>
      <c r="G343" s="183">
        <v>45740</v>
      </c>
      <c r="H343" s="5"/>
      <c r="I343" s="100" t="s">
        <v>1315</v>
      </c>
      <c r="J343" s="27"/>
      <c r="K343" s="28"/>
      <c r="L343" s="51"/>
      <c r="M343" s="29"/>
      <c r="N343" s="30"/>
      <c r="O343" s="54"/>
      <c r="P343" s="83">
        <v>45741</v>
      </c>
      <c r="Q343" s="89">
        <f t="shared" ref="Q343:Q406" si="6">P343/G343</f>
        <v>1.0000218627022299</v>
      </c>
      <c r="R343" s="101"/>
      <c r="S343" s="56"/>
    </row>
    <row r="344" spans="1:19" ht="57.6" x14ac:dyDescent="0.3">
      <c r="A344" s="96">
        <v>342</v>
      </c>
      <c r="B344" s="135" t="s">
        <v>80</v>
      </c>
      <c r="C344" s="136">
        <v>45740</v>
      </c>
      <c r="D344" s="149" t="s">
        <v>1668</v>
      </c>
      <c r="E344" s="126" t="s">
        <v>1314</v>
      </c>
      <c r="F344" s="127" t="s">
        <v>10</v>
      </c>
      <c r="G344" s="183">
        <v>45740</v>
      </c>
      <c r="H344" s="134"/>
      <c r="I344" s="100" t="s">
        <v>1315</v>
      </c>
      <c r="J344" s="27"/>
      <c r="K344" s="28"/>
      <c r="L344" s="51"/>
      <c r="M344" s="29"/>
      <c r="N344" s="30"/>
      <c r="O344" s="54"/>
      <c r="P344" s="83">
        <v>45741</v>
      </c>
      <c r="Q344" s="89">
        <f t="shared" si="6"/>
        <v>1.0000218627022299</v>
      </c>
      <c r="R344" s="101" t="s">
        <v>1319</v>
      </c>
      <c r="S344" s="56"/>
    </row>
    <row r="345" spans="1:19" ht="57.6" x14ac:dyDescent="0.3">
      <c r="A345" s="96">
        <v>343</v>
      </c>
      <c r="B345" s="135" t="s">
        <v>80</v>
      </c>
      <c r="C345" s="136">
        <v>45740</v>
      </c>
      <c r="D345" s="149" t="s">
        <v>1669</v>
      </c>
      <c r="E345" s="126" t="s">
        <v>1314</v>
      </c>
      <c r="F345" s="127" t="s">
        <v>10</v>
      </c>
      <c r="G345" s="183">
        <v>45740</v>
      </c>
      <c r="H345" s="134"/>
      <c r="I345" s="100" t="s">
        <v>1315</v>
      </c>
      <c r="J345" s="27"/>
      <c r="K345" s="28"/>
      <c r="L345" s="51"/>
      <c r="M345" s="29"/>
      <c r="N345" s="30"/>
      <c r="O345" s="54"/>
      <c r="P345" s="83">
        <v>45741</v>
      </c>
      <c r="Q345" s="89">
        <f t="shared" si="6"/>
        <v>1.0000218627022299</v>
      </c>
      <c r="R345" s="101" t="s">
        <v>1319</v>
      </c>
      <c r="S345" s="56"/>
    </row>
    <row r="346" spans="1:19" ht="57.6" x14ac:dyDescent="0.3">
      <c r="A346" s="96">
        <v>344</v>
      </c>
      <c r="B346" s="135" t="s">
        <v>80</v>
      </c>
      <c r="C346" s="136">
        <v>45740</v>
      </c>
      <c r="D346" s="149" t="s">
        <v>1670</v>
      </c>
      <c r="E346" s="126" t="s">
        <v>1314</v>
      </c>
      <c r="F346" s="127" t="s">
        <v>10</v>
      </c>
      <c r="G346" s="183">
        <v>45740</v>
      </c>
      <c r="H346" s="134"/>
      <c r="I346" s="100" t="s">
        <v>1315</v>
      </c>
      <c r="J346" s="27"/>
      <c r="K346" s="28"/>
      <c r="L346" s="51"/>
      <c r="M346" s="29"/>
      <c r="N346" s="30"/>
      <c r="O346" s="54"/>
      <c r="P346" s="83">
        <v>45741</v>
      </c>
      <c r="Q346" s="89">
        <f t="shared" si="6"/>
        <v>1.0000218627022299</v>
      </c>
      <c r="R346" s="101" t="s">
        <v>1319</v>
      </c>
      <c r="S346" s="56"/>
    </row>
    <row r="347" spans="1:19" ht="57.6" x14ac:dyDescent="0.3">
      <c r="A347" s="96">
        <v>345</v>
      </c>
      <c r="B347" s="135" t="s">
        <v>80</v>
      </c>
      <c r="C347" s="136">
        <v>45740</v>
      </c>
      <c r="D347" s="149" t="s">
        <v>1671</v>
      </c>
      <c r="E347" s="126" t="s">
        <v>1314</v>
      </c>
      <c r="F347" s="127" t="s">
        <v>10</v>
      </c>
      <c r="G347" s="183">
        <v>45740</v>
      </c>
      <c r="H347" s="134"/>
      <c r="I347" s="100" t="s">
        <v>1315</v>
      </c>
      <c r="J347" s="27"/>
      <c r="K347" s="28"/>
      <c r="L347" s="51"/>
      <c r="M347" s="29"/>
      <c r="N347" s="30"/>
      <c r="O347" s="54"/>
      <c r="P347" s="83">
        <v>45741</v>
      </c>
      <c r="Q347" s="89">
        <f t="shared" si="6"/>
        <v>1.0000218627022299</v>
      </c>
      <c r="R347" s="101" t="s">
        <v>1332</v>
      </c>
      <c r="S347" s="56"/>
    </row>
    <row r="348" spans="1:19" ht="28.8" x14ac:dyDescent="0.3">
      <c r="A348" s="96">
        <v>346</v>
      </c>
      <c r="B348" s="135">
        <v>1550</v>
      </c>
      <c r="C348" s="136">
        <v>45741</v>
      </c>
      <c r="D348" s="149" t="s">
        <v>410</v>
      </c>
      <c r="E348" s="111" t="s">
        <v>49</v>
      </c>
      <c r="F348" s="125" t="s">
        <v>6</v>
      </c>
      <c r="G348" s="183">
        <v>45741</v>
      </c>
      <c r="H348" s="137"/>
      <c r="I348" s="100" t="s">
        <v>266</v>
      </c>
      <c r="J348" s="27"/>
      <c r="K348" s="28"/>
      <c r="L348" s="51"/>
      <c r="M348" s="29"/>
      <c r="N348" s="30"/>
      <c r="O348" s="54"/>
      <c r="P348" s="83">
        <v>45741</v>
      </c>
      <c r="Q348" s="89">
        <f t="shared" si="6"/>
        <v>1</v>
      </c>
      <c r="R348" s="101"/>
      <c r="S348" s="56"/>
    </row>
    <row r="349" spans="1:19" ht="28.8" x14ac:dyDescent="0.3">
      <c r="A349" s="96">
        <v>347</v>
      </c>
      <c r="B349" s="123">
        <v>1550</v>
      </c>
      <c r="C349" s="124">
        <v>45735</v>
      </c>
      <c r="D349" s="149" t="s">
        <v>1672</v>
      </c>
      <c r="E349" s="48" t="s">
        <v>46</v>
      </c>
      <c r="F349" s="127" t="s">
        <v>4</v>
      </c>
      <c r="G349" s="183">
        <v>45735</v>
      </c>
      <c r="H349" s="5"/>
      <c r="I349" s="100" t="s">
        <v>82</v>
      </c>
      <c r="J349" s="128"/>
      <c r="K349" s="128"/>
      <c r="L349" s="129"/>
      <c r="M349" s="130"/>
      <c r="N349" s="130"/>
      <c r="O349" s="131"/>
      <c r="P349" s="83">
        <v>45742</v>
      </c>
      <c r="Q349" s="89">
        <f t="shared" si="6"/>
        <v>1.00015305564666</v>
      </c>
      <c r="R349" s="101"/>
      <c r="S349" s="168" t="s">
        <v>1673</v>
      </c>
    </row>
    <row r="350" spans="1:19" ht="28.8" x14ac:dyDescent="0.3">
      <c r="A350" s="96">
        <v>348</v>
      </c>
      <c r="B350" s="135">
        <v>1550</v>
      </c>
      <c r="C350" s="136">
        <v>45737</v>
      </c>
      <c r="D350" s="109" t="s">
        <v>1674</v>
      </c>
      <c r="E350" s="111" t="s">
        <v>1</v>
      </c>
      <c r="F350" s="80" t="s">
        <v>4</v>
      </c>
      <c r="G350" s="183">
        <v>45737</v>
      </c>
      <c r="H350" s="137"/>
      <c r="I350" s="100" t="s">
        <v>125</v>
      </c>
      <c r="J350" s="27"/>
      <c r="K350" s="28"/>
      <c r="L350" s="51"/>
      <c r="M350" s="29"/>
      <c r="N350" s="30"/>
      <c r="O350" s="54"/>
      <c r="P350" s="83">
        <v>45742</v>
      </c>
      <c r="Q350" s="89">
        <f t="shared" si="6"/>
        <v>1.0001093206812866</v>
      </c>
      <c r="R350" s="101"/>
      <c r="S350" s="56"/>
    </row>
    <row r="351" spans="1:19" ht="57.6" x14ac:dyDescent="0.3">
      <c r="A351" s="96">
        <v>349</v>
      </c>
      <c r="B351" s="135">
        <v>1550</v>
      </c>
      <c r="C351" s="136">
        <v>45740</v>
      </c>
      <c r="D351" s="109" t="s">
        <v>1675</v>
      </c>
      <c r="E351" s="48" t="s">
        <v>1326</v>
      </c>
      <c r="F351" s="80" t="s">
        <v>6</v>
      </c>
      <c r="G351" s="183">
        <v>45740</v>
      </c>
      <c r="H351" s="5"/>
      <c r="I351" s="100" t="s">
        <v>1315</v>
      </c>
      <c r="J351" s="27"/>
      <c r="K351" s="28"/>
      <c r="L351" s="51"/>
      <c r="M351" s="29"/>
      <c r="N351" s="30"/>
      <c r="O351" s="54"/>
      <c r="P351" s="83">
        <v>45742</v>
      </c>
      <c r="Q351" s="89">
        <f t="shared" si="6"/>
        <v>1.0000437254044601</v>
      </c>
      <c r="R351" s="101"/>
      <c r="S351" s="56"/>
    </row>
    <row r="352" spans="1:19" ht="43.2" x14ac:dyDescent="0.3">
      <c r="A352" s="96">
        <v>350</v>
      </c>
      <c r="B352" s="135">
        <v>1550</v>
      </c>
      <c r="C352" s="136">
        <v>45740</v>
      </c>
      <c r="D352" s="149" t="s">
        <v>1676</v>
      </c>
      <c r="E352" s="48" t="s">
        <v>12</v>
      </c>
      <c r="F352" s="80" t="s">
        <v>8</v>
      </c>
      <c r="G352" s="183">
        <v>45740</v>
      </c>
      <c r="H352" s="5"/>
      <c r="I352" s="100" t="s">
        <v>159</v>
      </c>
      <c r="J352" s="27"/>
      <c r="K352" s="28"/>
      <c r="L352" s="51"/>
      <c r="M352" s="29"/>
      <c r="N352" s="30"/>
      <c r="O352" s="54"/>
      <c r="P352" s="83">
        <v>45742</v>
      </c>
      <c r="Q352" s="89">
        <f t="shared" si="6"/>
        <v>1.0000437254044601</v>
      </c>
      <c r="R352" s="101" t="s">
        <v>1677</v>
      </c>
      <c r="S352" s="56"/>
    </row>
    <row r="353" spans="1:19" ht="57.6" x14ac:dyDescent="0.3">
      <c r="A353" s="96">
        <v>351</v>
      </c>
      <c r="B353" s="135">
        <v>1550</v>
      </c>
      <c r="C353" s="136">
        <v>45740</v>
      </c>
      <c r="D353" s="149" t="s">
        <v>1678</v>
      </c>
      <c r="E353" s="48" t="s">
        <v>1326</v>
      </c>
      <c r="F353" s="80" t="s">
        <v>8</v>
      </c>
      <c r="G353" s="183">
        <v>45740</v>
      </c>
      <c r="H353" s="5"/>
      <c r="I353" s="100" t="s">
        <v>1315</v>
      </c>
      <c r="J353" s="27"/>
      <c r="K353" s="28"/>
      <c r="L353" s="51"/>
      <c r="M353" s="29"/>
      <c r="N353" s="30"/>
      <c r="O353" s="54"/>
      <c r="P353" s="83">
        <v>45742</v>
      </c>
      <c r="Q353" s="89">
        <f t="shared" si="6"/>
        <v>1.0000437254044601</v>
      </c>
      <c r="R353" s="101" t="s">
        <v>160</v>
      </c>
      <c r="S353" s="56"/>
    </row>
    <row r="354" spans="1:19" ht="28.8" x14ac:dyDescent="0.3">
      <c r="A354" s="96">
        <v>352</v>
      </c>
      <c r="B354" s="135">
        <v>1550</v>
      </c>
      <c r="C354" s="136">
        <v>45741</v>
      </c>
      <c r="D354" s="211" t="s">
        <v>1679</v>
      </c>
      <c r="E354" s="48" t="s">
        <v>32</v>
      </c>
      <c r="F354" s="80" t="s">
        <v>8</v>
      </c>
      <c r="G354" s="183">
        <v>45741</v>
      </c>
      <c r="H354" s="146"/>
      <c r="I354" s="100" t="s">
        <v>106</v>
      </c>
      <c r="J354" s="128"/>
      <c r="K354" s="128"/>
      <c r="L354" s="129"/>
      <c r="M354" s="130"/>
      <c r="N354" s="130"/>
      <c r="O354" s="131"/>
      <c r="P354" s="132">
        <v>45742</v>
      </c>
      <c r="Q354" s="89">
        <f t="shared" si="6"/>
        <v>1.0000218622242627</v>
      </c>
      <c r="R354" s="101" t="s">
        <v>758</v>
      </c>
      <c r="S354" s="168"/>
    </row>
    <row r="355" spans="1:19" x14ac:dyDescent="0.3">
      <c r="A355" s="96">
        <v>353</v>
      </c>
      <c r="B355" s="135">
        <v>1550</v>
      </c>
      <c r="C355" s="136">
        <v>45741</v>
      </c>
      <c r="D355" s="349" t="s">
        <v>1680</v>
      </c>
      <c r="E355" s="48" t="s">
        <v>23</v>
      </c>
      <c r="F355" s="145" t="s">
        <v>4</v>
      </c>
      <c r="G355" s="183">
        <v>45741</v>
      </c>
      <c r="H355" s="5"/>
      <c r="I355" s="100" t="s">
        <v>135</v>
      </c>
      <c r="J355" s="27"/>
      <c r="K355" s="28"/>
      <c r="L355" s="51"/>
      <c r="M355" s="29"/>
      <c r="N355" s="30"/>
      <c r="O355" s="54"/>
      <c r="P355" s="83">
        <v>45742</v>
      </c>
      <c r="Q355" s="89">
        <f t="shared" si="6"/>
        <v>1.0000218622242627</v>
      </c>
      <c r="R355" s="101"/>
      <c r="S355" s="56"/>
    </row>
    <row r="356" spans="1:19" ht="28.8" x14ac:dyDescent="0.3">
      <c r="A356" s="96">
        <v>354</v>
      </c>
      <c r="B356" s="135">
        <v>1550</v>
      </c>
      <c r="C356" s="136">
        <v>45834</v>
      </c>
      <c r="D356" s="211" t="s">
        <v>1681</v>
      </c>
      <c r="E356" s="48" t="s">
        <v>3</v>
      </c>
      <c r="F356" s="80" t="s">
        <v>8</v>
      </c>
      <c r="G356" s="183">
        <v>45742</v>
      </c>
      <c r="H356" s="105">
        <v>10000277334</v>
      </c>
      <c r="I356" s="100" t="s">
        <v>82</v>
      </c>
      <c r="J356" s="27"/>
      <c r="K356" s="28"/>
      <c r="L356" s="51"/>
      <c r="M356" s="29"/>
      <c r="N356" s="30"/>
      <c r="O356" s="54"/>
      <c r="P356" s="83">
        <v>45742</v>
      </c>
      <c r="Q356" s="89">
        <f t="shared" si="6"/>
        <v>1</v>
      </c>
      <c r="R356" s="101" t="s">
        <v>190</v>
      </c>
      <c r="S356" s="56"/>
    </row>
    <row r="357" spans="1:19" ht="28.8" x14ac:dyDescent="0.3">
      <c r="A357" s="96">
        <v>355</v>
      </c>
      <c r="B357" s="135">
        <v>1550</v>
      </c>
      <c r="C357" s="136">
        <v>45742</v>
      </c>
      <c r="D357" s="211" t="s">
        <v>1682</v>
      </c>
      <c r="E357" s="48" t="s">
        <v>3</v>
      </c>
      <c r="F357" s="80" t="s">
        <v>6</v>
      </c>
      <c r="G357" s="183">
        <v>45742</v>
      </c>
      <c r="H357" s="625"/>
      <c r="I357" s="100" t="s">
        <v>82</v>
      </c>
      <c r="J357" s="27"/>
      <c r="K357" s="28"/>
      <c r="L357" s="51"/>
      <c r="M357" s="29"/>
      <c r="N357" s="30"/>
      <c r="O357" s="54"/>
      <c r="P357" s="83">
        <v>45742</v>
      </c>
      <c r="Q357" s="89">
        <f t="shared" si="6"/>
        <v>1</v>
      </c>
      <c r="R357" s="101"/>
      <c r="S357" s="56"/>
    </row>
    <row r="358" spans="1:19" ht="86.4" x14ac:dyDescent="0.3">
      <c r="A358" s="96">
        <v>356</v>
      </c>
      <c r="B358" s="135">
        <v>1550</v>
      </c>
      <c r="C358" s="136">
        <v>45742</v>
      </c>
      <c r="D358" s="211" t="s">
        <v>1683</v>
      </c>
      <c r="E358" s="48" t="s">
        <v>1</v>
      </c>
      <c r="F358" s="80" t="s">
        <v>6</v>
      </c>
      <c r="G358" s="183">
        <v>45742</v>
      </c>
      <c r="H358" s="5"/>
      <c r="I358" s="107" t="s">
        <v>129</v>
      </c>
      <c r="J358" s="27"/>
      <c r="K358" s="28"/>
      <c r="L358" s="51"/>
      <c r="M358" s="29"/>
      <c r="N358" s="30"/>
      <c r="O358" s="54"/>
      <c r="P358" s="83">
        <v>45742</v>
      </c>
      <c r="Q358" s="89">
        <f t="shared" si="6"/>
        <v>1</v>
      </c>
      <c r="R358" s="101"/>
      <c r="S358" s="56"/>
    </row>
    <row r="359" spans="1:19" ht="28.8" x14ac:dyDescent="0.3">
      <c r="A359" s="96">
        <v>357</v>
      </c>
      <c r="B359" s="135">
        <v>1550</v>
      </c>
      <c r="C359" s="136">
        <v>45742</v>
      </c>
      <c r="D359" s="211" t="s">
        <v>1684</v>
      </c>
      <c r="E359" s="111" t="s">
        <v>1</v>
      </c>
      <c r="F359" s="125" t="s">
        <v>4</v>
      </c>
      <c r="G359" s="183">
        <v>45742</v>
      </c>
      <c r="H359" s="137"/>
      <c r="I359" s="100" t="s">
        <v>125</v>
      </c>
      <c r="J359" s="27"/>
      <c r="K359" s="28"/>
      <c r="L359" s="51"/>
      <c r="M359" s="29"/>
      <c r="N359" s="30"/>
      <c r="O359" s="54"/>
      <c r="P359" s="83">
        <v>45742</v>
      </c>
      <c r="Q359" s="89">
        <f t="shared" si="6"/>
        <v>1</v>
      </c>
      <c r="R359" s="101"/>
      <c r="S359" s="56"/>
    </row>
    <row r="360" spans="1:19" ht="115.2" x14ac:dyDescent="0.3">
      <c r="A360" s="96">
        <v>358</v>
      </c>
      <c r="B360" s="123" t="s">
        <v>80</v>
      </c>
      <c r="C360" s="136">
        <v>45722</v>
      </c>
      <c r="D360" s="149" t="s">
        <v>1685</v>
      </c>
      <c r="E360" s="111" t="s">
        <v>12</v>
      </c>
      <c r="F360" s="127" t="s">
        <v>10</v>
      </c>
      <c r="G360" s="183">
        <v>45722</v>
      </c>
      <c r="H360" s="137"/>
      <c r="I360" s="100" t="s">
        <v>159</v>
      </c>
      <c r="J360" s="128"/>
      <c r="K360" s="128"/>
      <c r="L360" s="129"/>
      <c r="M360" s="130"/>
      <c r="N360" s="130"/>
      <c r="O360" s="131"/>
      <c r="P360" s="132">
        <v>45743</v>
      </c>
      <c r="Q360" s="89">
        <f t="shared" si="6"/>
        <v>1.000459297493548</v>
      </c>
      <c r="R360" s="101" t="s">
        <v>1686</v>
      </c>
      <c r="S360" s="201"/>
    </row>
    <row r="361" spans="1:19" ht="129.6" x14ac:dyDescent="0.3">
      <c r="A361" s="96">
        <v>359</v>
      </c>
      <c r="B361" s="135" t="s">
        <v>80</v>
      </c>
      <c r="C361" s="136">
        <v>45723</v>
      </c>
      <c r="D361" s="149" t="s">
        <v>1687</v>
      </c>
      <c r="E361" s="111" t="s">
        <v>25</v>
      </c>
      <c r="F361" s="125" t="s">
        <v>10</v>
      </c>
      <c r="G361" s="183">
        <v>45723</v>
      </c>
      <c r="H361" s="137">
        <v>10000272474</v>
      </c>
      <c r="I361" s="100" t="s">
        <v>135</v>
      </c>
      <c r="J361" s="27"/>
      <c r="K361" s="28"/>
      <c r="L361" s="51"/>
      <c r="M361" s="29"/>
      <c r="N361" s="30"/>
      <c r="O361" s="54"/>
      <c r="P361" s="132">
        <v>45743</v>
      </c>
      <c r="Q361" s="89">
        <f t="shared" si="6"/>
        <v>1.0004374166174572</v>
      </c>
      <c r="R361" s="101" t="s">
        <v>1366</v>
      </c>
      <c r="S361" s="56"/>
    </row>
    <row r="362" spans="1:19" ht="72" x14ac:dyDescent="0.3">
      <c r="A362" s="96">
        <v>360</v>
      </c>
      <c r="B362" s="135" t="s">
        <v>80</v>
      </c>
      <c r="C362" s="136">
        <v>45740</v>
      </c>
      <c r="D362" s="188" t="s">
        <v>1688</v>
      </c>
      <c r="E362" s="111" t="s">
        <v>14</v>
      </c>
      <c r="F362" s="127" t="s">
        <v>10</v>
      </c>
      <c r="G362" s="183">
        <v>45740</v>
      </c>
      <c r="H362" s="140"/>
      <c r="I362" s="102" t="s">
        <v>253</v>
      </c>
      <c r="J362" s="27"/>
      <c r="K362" s="28"/>
      <c r="L362" s="51"/>
      <c r="M362" s="29"/>
      <c r="N362" s="30"/>
      <c r="O362" s="54"/>
      <c r="P362" s="83">
        <v>45743</v>
      </c>
      <c r="Q362" s="89">
        <f t="shared" si="6"/>
        <v>1.00006558810669</v>
      </c>
      <c r="R362" s="101" t="s">
        <v>1319</v>
      </c>
      <c r="S362" s="56"/>
    </row>
    <row r="363" spans="1:19" ht="57.6" x14ac:dyDescent="0.3">
      <c r="A363" s="96">
        <v>361</v>
      </c>
      <c r="B363" s="135">
        <v>1550</v>
      </c>
      <c r="C363" s="251">
        <v>45741</v>
      </c>
      <c r="D363" s="175" t="s">
        <v>1689</v>
      </c>
      <c r="E363" s="179" t="s">
        <v>1314</v>
      </c>
      <c r="F363" s="125" t="s">
        <v>8</v>
      </c>
      <c r="G363" s="183">
        <v>45741</v>
      </c>
      <c r="H363" s="137"/>
      <c r="I363" s="100" t="s">
        <v>1315</v>
      </c>
      <c r="J363" s="27"/>
      <c r="K363" s="28"/>
      <c r="L363" s="51"/>
      <c r="M363" s="29"/>
      <c r="N363" s="30"/>
      <c r="O363" s="54"/>
      <c r="P363" s="83">
        <v>45743</v>
      </c>
      <c r="Q363" s="89">
        <f t="shared" si="6"/>
        <v>1.0000437244485254</v>
      </c>
      <c r="R363" s="101" t="s">
        <v>151</v>
      </c>
      <c r="S363" s="56"/>
    </row>
    <row r="364" spans="1:19" ht="57.6" x14ac:dyDescent="0.3">
      <c r="A364" s="96">
        <v>362</v>
      </c>
      <c r="B364" s="135" t="s">
        <v>80</v>
      </c>
      <c r="C364" s="136">
        <v>45741</v>
      </c>
      <c r="D364" s="339" t="s">
        <v>1690</v>
      </c>
      <c r="E364" s="111" t="s">
        <v>1314</v>
      </c>
      <c r="F364" s="125" t="s">
        <v>10</v>
      </c>
      <c r="G364" s="183">
        <v>45741</v>
      </c>
      <c r="H364" s="137"/>
      <c r="I364" s="100" t="s">
        <v>1315</v>
      </c>
      <c r="J364" s="27"/>
      <c r="K364" s="28"/>
      <c r="L364" s="51"/>
      <c r="M364" s="29"/>
      <c r="N364" s="30"/>
      <c r="O364" s="54"/>
      <c r="P364" s="83">
        <v>45743</v>
      </c>
      <c r="Q364" s="89">
        <f t="shared" si="6"/>
        <v>1.0000437244485254</v>
      </c>
      <c r="R364" s="101" t="s">
        <v>1332</v>
      </c>
      <c r="S364" s="56"/>
    </row>
    <row r="365" spans="1:19" ht="57.6" x14ac:dyDescent="0.3">
      <c r="A365" s="96">
        <v>363</v>
      </c>
      <c r="B365" s="135" t="s">
        <v>80</v>
      </c>
      <c r="C365" s="136">
        <v>45741</v>
      </c>
      <c r="D365" s="339" t="s">
        <v>1691</v>
      </c>
      <c r="E365" s="111" t="s">
        <v>1314</v>
      </c>
      <c r="F365" s="125" t="s">
        <v>10</v>
      </c>
      <c r="G365" s="183">
        <v>45741</v>
      </c>
      <c r="H365" s="137"/>
      <c r="I365" s="100" t="s">
        <v>1315</v>
      </c>
      <c r="J365" s="27"/>
      <c r="K365" s="28"/>
      <c r="L365" s="51"/>
      <c r="M365" s="29"/>
      <c r="N365" s="30"/>
      <c r="O365" s="54"/>
      <c r="P365" s="83">
        <v>45743</v>
      </c>
      <c r="Q365" s="89">
        <f t="shared" si="6"/>
        <v>1.0000437244485254</v>
      </c>
      <c r="R365" s="101" t="s">
        <v>1319</v>
      </c>
      <c r="S365" s="56"/>
    </row>
    <row r="366" spans="1:19" ht="57.6" x14ac:dyDescent="0.3">
      <c r="A366" s="96">
        <v>364</v>
      </c>
      <c r="B366" s="135" t="s">
        <v>80</v>
      </c>
      <c r="C366" s="136">
        <v>45741</v>
      </c>
      <c r="D366" s="339" t="s">
        <v>1692</v>
      </c>
      <c r="E366" s="179" t="s">
        <v>14</v>
      </c>
      <c r="F366" s="125" t="s">
        <v>10</v>
      </c>
      <c r="G366" s="183">
        <v>45741</v>
      </c>
      <c r="H366" s="137"/>
      <c r="I366" s="102" t="s">
        <v>253</v>
      </c>
      <c r="J366" s="27"/>
      <c r="K366" s="28"/>
      <c r="L366" s="51"/>
      <c r="M366" s="29"/>
      <c r="N366" s="30"/>
      <c r="O366" s="54"/>
      <c r="P366" s="83">
        <v>45743</v>
      </c>
      <c r="Q366" s="89">
        <f t="shared" si="6"/>
        <v>1.0000437244485254</v>
      </c>
      <c r="R366" s="101" t="s">
        <v>1319</v>
      </c>
      <c r="S366" s="56"/>
    </row>
    <row r="367" spans="1:19" ht="28.8" x14ac:dyDescent="0.3">
      <c r="A367" s="96">
        <v>365</v>
      </c>
      <c r="B367" s="135">
        <v>1550</v>
      </c>
      <c r="C367" s="136">
        <v>45742</v>
      </c>
      <c r="D367" s="211" t="s">
        <v>1693</v>
      </c>
      <c r="E367" s="111" t="s">
        <v>32</v>
      </c>
      <c r="F367" s="80" t="s">
        <v>8</v>
      </c>
      <c r="G367" s="183">
        <v>45742</v>
      </c>
      <c r="H367" s="5"/>
      <c r="I367" s="102" t="s">
        <v>106</v>
      </c>
      <c r="J367" s="27"/>
      <c r="K367" s="28"/>
      <c r="L367" s="51"/>
      <c r="M367" s="29"/>
      <c r="N367" s="30"/>
      <c r="O367" s="54"/>
      <c r="P367" s="83">
        <v>45743</v>
      </c>
      <c r="Q367" s="89">
        <f t="shared" si="6"/>
        <v>1.0000218617463164</v>
      </c>
      <c r="R367" s="101" t="s">
        <v>169</v>
      </c>
      <c r="S367" s="56"/>
    </row>
    <row r="368" spans="1:19" ht="43.2" x14ac:dyDescent="0.3">
      <c r="A368" s="96">
        <v>366</v>
      </c>
      <c r="B368" s="135">
        <v>1550</v>
      </c>
      <c r="C368" s="136">
        <v>45742</v>
      </c>
      <c r="D368" s="211" t="s">
        <v>1694</v>
      </c>
      <c r="E368" s="48" t="s">
        <v>3</v>
      </c>
      <c r="F368" s="80" t="s">
        <v>4</v>
      </c>
      <c r="G368" s="183">
        <v>45742</v>
      </c>
      <c r="H368" s="5">
        <v>10000277334</v>
      </c>
      <c r="I368" s="100" t="s">
        <v>82</v>
      </c>
      <c r="J368" s="27"/>
      <c r="K368" s="28"/>
      <c r="L368" s="51"/>
      <c r="M368" s="29"/>
      <c r="N368" s="30"/>
      <c r="O368" s="54"/>
      <c r="P368" s="83">
        <v>45743</v>
      </c>
      <c r="Q368" s="89">
        <f t="shared" si="6"/>
        <v>1.0000218617463164</v>
      </c>
      <c r="R368" s="101"/>
      <c r="S368" s="56"/>
    </row>
    <row r="369" spans="1:19" ht="28.8" x14ac:dyDescent="0.3">
      <c r="A369" s="96">
        <v>367</v>
      </c>
      <c r="B369" s="135">
        <v>1550</v>
      </c>
      <c r="C369" s="136">
        <v>45834</v>
      </c>
      <c r="D369" s="211" t="s">
        <v>1695</v>
      </c>
      <c r="E369" s="48" t="s">
        <v>3</v>
      </c>
      <c r="F369" s="80" t="s">
        <v>8</v>
      </c>
      <c r="G369" s="183">
        <v>45742</v>
      </c>
      <c r="H369" s="105">
        <v>10000277334</v>
      </c>
      <c r="I369" s="100" t="s">
        <v>82</v>
      </c>
      <c r="J369" s="27"/>
      <c r="K369" s="28"/>
      <c r="L369" s="51"/>
      <c r="M369" s="29"/>
      <c r="N369" s="30"/>
      <c r="O369" s="54"/>
      <c r="P369" s="83">
        <v>45743</v>
      </c>
      <c r="Q369" s="89">
        <f t="shared" si="6"/>
        <v>1.0000218617463164</v>
      </c>
      <c r="R369" s="101" t="s">
        <v>151</v>
      </c>
      <c r="S369" s="56"/>
    </row>
    <row r="370" spans="1:19" ht="57.6" x14ac:dyDescent="0.3">
      <c r="A370" s="96">
        <v>368</v>
      </c>
      <c r="B370" s="135">
        <v>1550</v>
      </c>
      <c r="C370" s="136">
        <v>45742</v>
      </c>
      <c r="D370" s="349" t="s">
        <v>1696</v>
      </c>
      <c r="E370" s="111" t="s">
        <v>1314</v>
      </c>
      <c r="F370" s="80" t="s">
        <v>4</v>
      </c>
      <c r="G370" s="183">
        <v>45742</v>
      </c>
      <c r="H370" s="137"/>
      <c r="I370" s="100" t="s">
        <v>1315</v>
      </c>
      <c r="J370" s="27"/>
      <c r="K370" s="28"/>
      <c r="L370" s="51"/>
      <c r="M370" s="29"/>
      <c r="N370" s="30"/>
      <c r="O370" s="54"/>
      <c r="P370" s="83">
        <v>45743</v>
      </c>
      <c r="Q370" s="89">
        <f t="shared" si="6"/>
        <v>1.0000218617463164</v>
      </c>
      <c r="R370" s="101"/>
      <c r="S370" s="56"/>
    </row>
    <row r="371" spans="1:19" ht="28.8" x14ac:dyDescent="0.3">
      <c r="A371" s="96">
        <v>369</v>
      </c>
      <c r="B371" s="135">
        <v>1550</v>
      </c>
      <c r="C371" s="136">
        <v>45743</v>
      </c>
      <c r="D371" s="211" t="s">
        <v>1697</v>
      </c>
      <c r="E371" s="111" t="s">
        <v>3</v>
      </c>
      <c r="F371" s="80" t="s">
        <v>4</v>
      </c>
      <c r="G371" s="183">
        <v>45743</v>
      </c>
      <c r="H371" s="137"/>
      <c r="I371" s="100" t="s">
        <v>82</v>
      </c>
      <c r="J371" s="128"/>
      <c r="K371" s="128"/>
      <c r="L371" s="129"/>
      <c r="M371" s="130"/>
      <c r="N371" s="130"/>
      <c r="O371" s="131"/>
      <c r="P371" s="83">
        <v>45743</v>
      </c>
      <c r="Q371" s="89">
        <f t="shared" si="6"/>
        <v>1</v>
      </c>
      <c r="R371" s="101"/>
      <c r="S371" s="168"/>
    </row>
    <row r="372" spans="1:19" ht="43.2" x14ac:dyDescent="0.3">
      <c r="A372" s="96">
        <v>370</v>
      </c>
      <c r="B372" s="135">
        <v>1550</v>
      </c>
      <c r="C372" s="136">
        <v>45743</v>
      </c>
      <c r="D372" s="211" t="s">
        <v>1698</v>
      </c>
      <c r="E372" s="48" t="s">
        <v>3</v>
      </c>
      <c r="F372" s="80" t="s">
        <v>8</v>
      </c>
      <c r="G372" s="183">
        <v>45743</v>
      </c>
      <c r="H372" s="5"/>
      <c r="I372" s="100" t="s">
        <v>129</v>
      </c>
      <c r="J372" s="128"/>
      <c r="K372" s="128"/>
      <c r="L372" s="129"/>
      <c r="M372" s="130"/>
      <c r="N372" s="130"/>
      <c r="O372" s="131"/>
      <c r="P372" s="83">
        <v>45743</v>
      </c>
      <c r="Q372" s="89">
        <f t="shared" si="6"/>
        <v>1</v>
      </c>
      <c r="R372" s="101" t="s">
        <v>1246</v>
      </c>
      <c r="S372" s="168"/>
    </row>
    <row r="373" spans="1:19" ht="28.8" x14ac:dyDescent="0.3">
      <c r="A373" s="96">
        <v>371</v>
      </c>
      <c r="B373" s="135">
        <v>1550</v>
      </c>
      <c r="C373" s="136">
        <v>45743</v>
      </c>
      <c r="D373" s="621" t="s">
        <v>1699</v>
      </c>
      <c r="E373" s="48" t="s">
        <v>3</v>
      </c>
      <c r="F373" s="80" t="s">
        <v>6</v>
      </c>
      <c r="G373" s="183">
        <v>45743</v>
      </c>
      <c r="H373" s="5"/>
      <c r="I373" s="100" t="s">
        <v>82</v>
      </c>
      <c r="J373" s="128"/>
      <c r="K373" s="128"/>
      <c r="L373" s="129"/>
      <c r="M373" s="130"/>
      <c r="N373" s="130"/>
      <c r="O373" s="131"/>
      <c r="P373" s="83">
        <v>45743</v>
      </c>
      <c r="Q373" s="89">
        <f t="shared" si="6"/>
        <v>1</v>
      </c>
      <c r="R373" s="101"/>
      <c r="S373" s="168"/>
    </row>
    <row r="374" spans="1:19" ht="28.8" x14ac:dyDescent="0.3">
      <c r="A374" s="96">
        <v>372</v>
      </c>
      <c r="B374" s="135">
        <v>1550</v>
      </c>
      <c r="C374" s="251">
        <v>45743</v>
      </c>
      <c r="D374" s="175" t="s">
        <v>1700</v>
      </c>
      <c r="E374" s="179" t="s">
        <v>1</v>
      </c>
      <c r="F374" s="125" t="s">
        <v>6</v>
      </c>
      <c r="G374" s="183">
        <v>45743</v>
      </c>
      <c r="H374" s="137"/>
      <c r="I374" s="125" t="s">
        <v>125</v>
      </c>
      <c r="J374" s="128"/>
      <c r="K374" s="128"/>
      <c r="L374" s="129"/>
      <c r="M374" s="130"/>
      <c r="N374" s="130"/>
      <c r="O374" s="131"/>
      <c r="P374" s="83">
        <v>45743</v>
      </c>
      <c r="Q374" s="89">
        <f t="shared" si="6"/>
        <v>1</v>
      </c>
      <c r="R374" s="101"/>
      <c r="S374" s="168"/>
    </row>
    <row r="375" spans="1:19" ht="115.2" x14ac:dyDescent="0.3">
      <c r="A375" s="96">
        <v>373</v>
      </c>
      <c r="B375" s="135" t="s">
        <v>80</v>
      </c>
      <c r="C375" s="251">
        <v>45743</v>
      </c>
      <c r="D375" s="175" t="s">
        <v>1701</v>
      </c>
      <c r="E375" s="48" t="s">
        <v>21</v>
      </c>
      <c r="F375" s="80" t="s">
        <v>10</v>
      </c>
      <c r="G375" s="183">
        <v>45743</v>
      </c>
      <c r="H375" s="137"/>
      <c r="I375" s="100" t="s">
        <v>174</v>
      </c>
      <c r="J375" s="128"/>
      <c r="K375" s="128"/>
      <c r="L375" s="129"/>
      <c r="M375" s="130"/>
      <c r="N375" s="130"/>
      <c r="O375" s="131"/>
      <c r="P375" s="83">
        <v>45743</v>
      </c>
      <c r="Q375" s="89">
        <f t="shared" si="6"/>
        <v>1</v>
      </c>
      <c r="R375" s="101" t="s">
        <v>1319</v>
      </c>
      <c r="S375" s="168"/>
    </row>
    <row r="376" spans="1:19" ht="72" x14ac:dyDescent="0.3">
      <c r="A376" s="96">
        <v>374</v>
      </c>
      <c r="B376" s="135" t="s">
        <v>80</v>
      </c>
      <c r="C376" s="251">
        <v>45743</v>
      </c>
      <c r="D376" s="161" t="s">
        <v>1702</v>
      </c>
      <c r="E376" s="179" t="s">
        <v>14</v>
      </c>
      <c r="F376" s="80" t="s">
        <v>10</v>
      </c>
      <c r="G376" s="183">
        <v>45743</v>
      </c>
      <c r="H376" s="134"/>
      <c r="I376" s="102" t="s">
        <v>253</v>
      </c>
      <c r="J376" s="128"/>
      <c r="K376" s="128"/>
      <c r="L376" s="129"/>
      <c r="M376" s="130"/>
      <c r="N376" s="130"/>
      <c r="O376" s="131"/>
      <c r="P376" s="83">
        <v>45743</v>
      </c>
      <c r="Q376" s="89">
        <f t="shared" si="6"/>
        <v>1</v>
      </c>
      <c r="R376" s="101" t="s">
        <v>1319</v>
      </c>
      <c r="S376" s="168"/>
    </row>
    <row r="377" spans="1:19" ht="57.6" x14ac:dyDescent="0.3">
      <c r="A377" s="96">
        <v>375</v>
      </c>
      <c r="B377" s="135" t="s">
        <v>80</v>
      </c>
      <c r="C377" s="136">
        <v>45743</v>
      </c>
      <c r="D377" s="293" t="s">
        <v>1703</v>
      </c>
      <c r="E377" s="48" t="s">
        <v>3</v>
      </c>
      <c r="F377" s="80" t="s">
        <v>10</v>
      </c>
      <c r="G377" s="183">
        <v>45743</v>
      </c>
      <c r="H377" s="5"/>
      <c r="I377" s="100" t="s">
        <v>82</v>
      </c>
      <c r="J377" s="128"/>
      <c r="K377" s="128"/>
      <c r="L377" s="129"/>
      <c r="M377" s="130"/>
      <c r="N377" s="130"/>
      <c r="O377" s="131"/>
      <c r="P377" s="83">
        <v>45743</v>
      </c>
      <c r="Q377" s="89">
        <f t="shared" si="6"/>
        <v>1</v>
      </c>
      <c r="R377" s="101" t="s">
        <v>749</v>
      </c>
      <c r="S377" s="168"/>
    </row>
    <row r="378" spans="1:19" ht="216" x14ac:dyDescent="0.3">
      <c r="A378" s="96">
        <v>376</v>
      </c>
      <c r="B378" s="135" t="s">
        <v>80</v>
      </c>
      <c r="C378" s="136">
        <v>45743</v>
      </c>
      <c r="D378" s="175" t="s">
        <v>1704</v>
      </c>
      <c r="E378" s="48" t="s">
        <v>1</v>
      </c>
      <c r="F378" s="80" t="s">
        <v>10</v>
      </c>
      <c r="G378" s="183">
        <v>45743</v>
      </c>
      <c r="H378" s="146"/>
      <c r="I378" s="100" t="s">
        <v>174</v>
      </c>
      <c r="J378" s="128"/>
      <c r="K378" s="128"/>
      <c r="L378" s="129"/>
      <c r="M378" s="130"/>
      <c r="N378" s="130"/>
      <c r="O378" s="131"/>
      <c r="P378" s="83">
        <v>45743</v>
      </c>
      <c r="Q378" s="89">
        <f t="shared" si="6"/>
        <v>1</v>
      </c>
      <c r="R378" s="101" t="s">
        <v>1332</v>
      </c>
      <c r="S378" s="168"/>
    </row>
    <row r="379" spans="1:19" ht="28.8" x14ac:dyDescent="0.3">
      <c r="A379" s="96">
        <v>377</v>
      </c>
      <c r="B379" s="135" t="s">
        <v>80</v>
      </c>
      <c r="C379" s="136">
        <v>45743</v>
      </c>
      <c r="D379" s="175" t="s">
        <v>1705</v>
      </c>
      <c r="E379" s="111" t="s">
        <v>49</v>
      </c>
      <c r="F379" s="80" t="s">
        <v>10</v>
      </c>
      <c r="G379" s="183">
        <v>45743</v>
      </c>
      <c r="H379" s="140"/>
      <c r="I379" s="107" t="s">
        <v>266</v>
      </c>
      <c r="J379" s="27"/>
      <c r="K379" s="28"/>
      <c r="L379" s="51"/>
      <c r="M379" s="29"/>
      <c r="N379" s="30"/>
      <c r="O379" s="54"/>
      <c r="P379" s="83">
        <v>45743</v>
      </c>
      <c r="Q379" s="89">
        <f t="shared" si="6"/>
        <v>1</v>
      </c>
      <c r="R379" s="101" t="s">
        <v>178</v>
      </c>
      <c r="S379" s="56"/>
    </row>
    <row r="380" spans="1:19" ht="28.8" x14ac:dyDescent="0.3">
      <c r="A380" s="96">
        <v>378</v>
      </c>
      <c r="B380" s="135" t="s">
        <v>80</v>
      </c>
      <c r="C380" s="136">
        <v>45743</v>
      </c>
      <c r="D380" s="175" t="s">
        <v>1706</v>
      </c>
      <c r="E380" s="111" t="s">
        <v>49</v>
      </c>
      <c r="F380" s="125" t="s">
        <v>10</v>
      </c>
      <c r="G380" s="183">
        <v>45743</v>
      </c>
      <c r="H380" s="134"/>
      <c r="I380" s="100" t="s">
        <v>266</v>
      </c>
      <c r="J380" s="128"/>
      <c r="K380" s="128"/>
      <c r="L380" s="129"/>
      <c r="M380" s="130"/>
      <c r="N380" s="130"/>
      <c r="O380" s="131"/>
      <c r="P380" s="83">
        <v>45743</v>
      </c>
      <c r="Q380" s="89">
        <f t="shared" si="6"/>
        <v>1</v>
      </c>
      <c r="R380" s="101" t="s">
        <v>178</v>
      </c>
      <c r="S380" s="168"/>
    </row>
    <row r="381" spans="1:19" ht="43.2" x14ac:dyDescent="0.3">
      <c r="A381" s="96">
        <v>379</v>
      </c>
      <c r="B381" s="135">
        <v>1550</v>
      </c>
      <c r="C381" s="136">
        <v>45742</v>
      </c>
      <c r="D381" s="175" t="s">
        <v>1707</v>
      </c>
      <c r="E381" s="111" t="s">
        <v>17</v>
      </c>
      <c r="F381" s="125" t="s">
        <v>8</v>
      </c>
      <c r="G381" s="183">
        <v>45742</v>
      </c>
      <c r="H381" s="140">
        <v>10000277383</v>
      </c>
      <c r="I381" s="100" t="s">
        <v>82</v>
      </c>
      <c r="J381" s="27"/>
      <c r="K381" s="28"/>
      <c r="L381" s="51"/>
      <c r="M381" s="29"/>
      <c r="N381" s="30"/>
      <c r="O381" s="54"/>
      <c r="P381" s="83">
        <v>45743</v>
      </c>
      <c r="Q381" s="89">
        <f t="shared" si="6"/>
        <v>1.0000218617463164</v>
      </c>
      <c r="R381" s="101" t="s">
        <v>94</v>
      </c>
      <c r="S381" s="257" t="s">
        <v>1708</v>
      </c>
    </row>
    <row r="382" spans="1:19" ht="28.8" x14ac:dyDescent="0.3">
      <c r="A382" s="96">
        <v>380</v>
      </c>
      <c r="B382" s="135">
        <v>1550</v>
      </c>
      <c r="C382" s="136">
        <v>45740</v>
      </c>
      <c r="D382" s="98" t="s">
        <v>1709</v>
      </c>
      <c r="E382" s="111" t="s">
        <v>1</v>
      </c>
      <c r="F382" s="125" t="s">
        <v>8</v>
      </c>
      <c r="G382" s="183">
        <v>45740</v>
      </c>
      <c r="H382" s="137"/>
      <c r="I382" s="125" t="s">
        <v>125</v>
      </c>
      <c r="J382" s="27"/>
      <c r="K382" s="28"/>
      <c r="L382" s="51"/>
      <c r="M382" s="29"/>
      <c r="N382" s="30"/>
      <c r="O382" s="54"/>
      <c r="P382" s="83">
        <v>45744</v>
      </c>
      <c r="Q382" s="89">
        <f t="shared" si="6"/>
        <v>1.0000874508089199</v>
      </c>
      <c r="R382" s="101" t="s">
        <v>136</v>
      </c>
      <c r="S382" s="56"/>
    </row>
    <row r="383" spans="1:19" ht="57.6" x14ac:dyDescent="0.3">
      <c r="A383" s="96">
        <v>381</v>
      </c>
      <c r="B383" s="135">
        <v>1550</v>
      </c>
      <c r="C383" s="136">
        <v>45741</v>
      </c>
      <c r="D383" s="213" t="s">
        <v>1710</v>
      </c>
      <c r="E383" s="126" t="s">
        <v>1314</v>
      </c>
      <c r="F383" s="125" t="s">
        <v>6</v>
      </c>
      <c r="G383" s="183">
        <v>45741</v>
      </c>
      <c r="H383" s="137"/>
      <c r="I383" s="100" t="s">
        <v>1315</v>
      </c>
      <c r="J383" s="27"/>
      <c r="K383" s="28"/>
      <c r="L383" s="51"/>
      <c r="M383" s="29"/>
      <c r="N383" s="30"/>
      <c r="O383" s="54"/>
      <c r="P383" s="83">
        <v>45744</v>
      </c>
      <c r="Q383" s="89">
        <f t="shared" si="6"/>
        <v>1.0000655866727881</v>
      </c>
      <c r="R383" s="101"/>
      <c r="S383" s="56"/>
    </row>
    <row r="384" spans="1:19" x14ac:dyDescent="0.3">
      <c r="A384" s="96">
        <v>382</v>
      </c>
      <c r="B384" s="135">
        <v>1550</v>
      </c>
      <c r="C384" s="136">
        <v>45741</v>
      </c>
      <c r="D384" s="351" t="s">
        <v>1711</v>
      </c>
      <c r="E384" s="111" t="s">
        <v>23</v>
      </c>
      <c r="F384" s="125" t="s">
        <v>4</v>
      </c>
      <c r="G384" s="183">
        <v>45741</v>
      </c>
      <c r="H384" s="137"/>
      <c r="I384" s="100" t="s">
        <v>135</v>
      </c>
      <c r="J384" s="27"/>
      <c r="K384" s="28"/>
      <c r="L384" s="51"/>
      <c r="M384" s="29"/>
      <c r="N384" s="30"/>
      <c r="O384" s="54"/>
      <c r="P384" s="83">
        <v>45744</v>
      </c>
      <c r="Q384" s="89">
        <f t="shared" si="6"/>
        <v>1.0000655866727881</v>
      </c>
      <c r="R384" s="101"/>
      <c r="S384" s="56"/>
    </row>
    <row r="385" spans="1:19" ht="28.8" x14ac:dyDescent="0.3">
      <c r="A385" s="96">
        <v>383</v>
      </c>
      <c r="B385" s="135">
        <v>1550</v>
      </c>
      <c r="C385" s="136">
        <v>45741</v>
      </c>
      <c r="D385" s="622" t="s">
        <v>1712</v>
      </c>
      <c r="E385" s="111" t="s">
        <v>32</v>
      </c>
      <c r="F385" s="125" t="s">
        <v>4</v>
      </c>
      <c r="G385" s="183">
        <v>45741</v>
      </c>
      <c r="H385" s="134"/>
      <c r="I385" s="100" t="s">
        <v>106</v>
      </c>
      <c r="J385" s="128"/>
      <c r="K385" s="128"/>
      <c r="L385" s="129"/>
      <c r="M385" s="130"/>
      <c r="N385" s="130"/>
      <c r="O385" s="131"/>
      <c r="P385" s="132">
        <v>45744</v>
      </c>
      <c r="Q385" s="89">
        <f t="shared" si="6"/>
        <v>1.0000655866727881</v>
      </c>
      <c r="R385" s="101"/>
      <c r="S385" s="168"/>
    </row>
    <row r="386" spans="1:19" ht="28.8" x14ac:dyDescent="0.3">
      <c r="A386" s="96">
        <v>384</v>
      </c>
      <c r="B386" s="135">
        <v>1550</v>
      </c>
      <c r="C386" s="136">
        <v>45741</v>
      </c>
      <c r="D386" s="260" t="s">
        <v>1713</v>
      </c>
      <c r="E386" s="111" t="s">
        <v>32</v>
      </c>
      <c r="F386" s="125" t="s">
        <v>8</v>
      </c>
      <c r="G386" s="183">
        <v>45741</v>
      </c>
      <c r="H386" s="134"/>
      <c r="I386" s="125" t="s">
        <v>106</v>
      </c>
      <c r="J386" s="128"/>
      <c r="K386" s="128"/>
      <c r="L386" s="129"/>
      <c r="M386" s="130"/>
      <c r="N386" s="130"/>
      <c r="O386" s="131"/>
      <c r="P386" s="132">
        <v>45744</v>
      </c>
      <c r="Q386" s="89">
        <f t="shared" si="6"/>
        <v>1.0000655866727881</v>
      </c>
      <c r="R386" s="101" t="s">
        <v>758</v>
      </c>
      <c r="S386" s="101"/>
    </row>
    <row r="387" spans="1:19" ht="57.6" x14ac:dyDescent="0.3">
      <c r="A387" s="96">
        <v>385</v>
      </c>
      <c r="B387" s="135" t="s">
        <v>80</v>
      </c>
      <c r="C387" s="136">
        <v>45742</v>
      </c>
      <c r="D387" s="175" t="s">
        <v>1714</v>
      </c>
      <c r="E387" s="111" t="s">
        <v>1314</v>
      </c>
      <c r="F387" s="125" t="s">
        <v>10</v>
      </c>
      <c r="G387" s="183">
        <v>45742</v>
      </c>
      <c r="H387" s="137"/>
      <c r="I387" s="100" t="s">
        <v>1315</v>
      </c>
      <c r="J387" s="27"/>
      <c r="K387" s="28"/>
      <c r="L387" s="51"/>
      <c r="M387" s="29"/>
      <c r="N387" s="30"/>
      <c r="O387" s="54"/>
      <c r="P387" s="83">
        <v>45744</v>
      </c>
      <c r="Q387" s="89">
        <f t="shared" si="6"/>
        <v>1.0000437234926325</v>
      </c>
      <c r="R387" s="101" t="s">
        <v>216</v>
      </c>
      <c r="S387" s="56"/>
    </row>
    <row r="388" spans="1:19" ht="57.6" x14ac:dyDescent="0.3">
      <c r="A388" s="96">
        <v>386</v>
      </c>
      <c r="B388" s="135" t="s">
        <v>80</v>
      </c>
      <c r="C388" s="136">
        <v>45742</v>
      </c>
      <c r="D388" s="175" t="s">
        <v>1715</v>
      </c>
      <c r="E388" s="111" t="s">
        <v>1314</v>
      </c>
      <c r="F388" s="125" t="s">
        <v>10</v>
      </c>
      <c r="G388" s="183">
        <v>45742</v>
      </c>
      <c r="H388" s="137"/>
      <c r="I388" s="100" t="s">
        <v>1315</v>
      </c>
      <c r="J388" s="27"/>
      <c r="K388" s="28"/>
      <c r="L388" s="51"/>
      <c r="M388" s="29"/>
      <c r="N388" s="30"/>
      <c r="O388" s="54"/>
      <c r="P388" s="83">
        <v>45744</v>
      </c>
      <c r="Q388" s="89">
        <f t="shared" si="6"/>
        <v>1.0000437234926325</v>
      </c>
      <c r="R388" s="101" t="s">
        <v>1319</v>
      </c>
      <c r="S388" s="56"/>
    </row>
    <row r="389" spans="1:19" ht="57.6" x14ac:dyDescent="0.3">
      <c r="A389" s="96">
        <v>387</v>
      </c>
      <c r="B389" s="135" t="s">
        <v>80</v>
      </c>
      <c r="C389" s="136">
        <v>45742</v>
      </c>
      <c r="D389" s="175" t="s">
        <v>1716</v>
      </c>
      <c r="E389" s="111" t="s">
        <v>1314</v>
      </c>
      <c r="F389" s="125" t="s">
        <v>10</v>
      </c>
      <c r="G389" s="183">
        <v>45742</v>
      </c>
      <c r="H389" s="137"/>
      <c r="I389" s="100" t="s">
        <v>1315</v>
      </c>
      <c r="J389" s="27"/>
      <c r="K389" s="28"/>
      <c r="L389" s="51"/>
      <c r="M389" s="29"/>
      <c r="N389" s="30"/>
      <c r="O389" s="54"/>
      <c r="P389" s="83">
        <v>45744</v>
      </c>
      <c r="Q389" s="89">
        <f t="shared" si="6"/>
        <v>1.0000437234926325</v>
      </c>
      <c r="R389" s="101" t="s">
        <v>1332</v>
      </c>
      <c r="S389" s="56"/>
    </row>
    <row r="390" spans="1:19" ht="57.6" x14ac:dyDescent="0.3">
      <c r="A390" s="96">
        <v>388</v>
      </c>
      <c r="B390" s="135" t="s">
        <v>80</v>
      </c>
      <c r="C390" s="136">
        <v>45742</v>
      </c>
      <c r="D390" s="175" t="s">
        <v>1717</v>
      </c>
      <c r="E390" s="111" t="s">
        <v>1314</v>
      </c>
      <c r="F390" s="125" t="s">
        <v>10</v>
      </c>
      <c r="G390" s="183">
        <v>45742</v>
      </c>
      <c r="H390" s="137"/>
      <c r="I390" s="100" t="s">
        <v>1315</v>
      </c>
      <c r="J390" s="27"/>
      <c r="K390" s="28"/>
      <c r="L390" s="51"/>
      <c r="M390" s="29"/>
      <c r="N390" s="30"/>
      <c r="O390" s="54"/>
      <c r="P390" s="83">
        <v>45744</v>
      </c>
      <c r="Q390" s="89">
        <f t="shared" si="6"/>
        <v>1.0000437234926325</v>
      </c>
      <c r="R390" s="101" t="s">
        <v>1319</v>
      </c>
      <c r="S390" s="56"/>
    </row>
    <row r="391" spans="1:19" ht="57.6" x14ac:dyDescent="0.3">
      <c r="A391" s="96">
        <v>389</v>
      </c>
      <c r="B391" s="135">
        <v>1550</v>
      </c>
      <c r="C391" s="136">
        <v>45743</v>
      </c>
      <c r="D391" s="175" t="s">
        <v>1718</v>
      </c>
      <c r="E391" s="111" t="s">
        <v>1314</v>
      </c>
      <c r="F391" s="125" t="s">
        <v>8</v>
      </c>
      <c r="G391" s="183">
        <v>45743</v>
      </c>
      <c r="H391" s="137"/>
      <c r="I391" s="100" t="s">
        <v>1315</v>
      </c>
      <c r="J391" s="27"/>
      <c r="K391" s="50"/>
      <c r="L391" s="51"/>
      <c r="M391" s="29"/>
      <c r="N391" s="30"/>
      <c r="O391" s="54"/>
      <c r="P391" s="83">
        <v>45744</v>
      </c>
      <c r="Q391" s="89">
        <f t="shared" si="6"/>
        <v>1.0000218612683909</v>
      </c>
      <c r="R391" s="101" t="s">
        <v>94</v>
      </c>
      <c r="S391" s="56"/>
    </row>
    <row r="392" spans="1:19" ht="57.6" x14ac:dyDescent="0.3">
      <c r="A392" s="96">
        <v>390</v>
      </c>
      <c r="B392" s="135">
        <v>1550</v>
      </c>
      <c r="C392" s="136">
        <v>45743</v>
      </c>
      <c r="D392" s="175" t="s">
        <v>1719</v>
      </c>
      <c r="E392" s="111" t="s">
        <v>1314</v>
      </c>
      <c r="F392" s="125" t="s">
        <v>8</v>
      </c>
      <c r="G392" s="183">
        <v>45743</v>
      </c>
      <c r="H392" s="137"/>
      <c r="I392" s="100" t="s">
        <v>1315</v>
      </c>
      <c r="J392" s="128"/>
      <c r="K392" s="128"/>
      <c r="L392" s="129"/>
      <c r="M392" s="130"/>
      <c r="N392" s="130"/>
      <c r="O392" s="131"/>
      <c r="P392" s="83">
        <v>45744</v>
      </c>
      <c r="Q392" s="89">
        <f t="shared" si="6"/>
        <v>1.0000218612683909</v>
      </c>
      <c r="R392" s="101" t="s">
        <v>190</v>
      </c>
      <c r="S392" s="168"/>
    </row>
    <row r="393" spans="1:19" ht="28.8" x14ac:dyDescent="0.3">
      <c r="A393" s="96">
        <v>391</v>
      </c>
      <c r="B393" s="135">
        <v>1550</v>
      </c>
      <c r="C393" s="136">
        <v>45743</v>
      </c>
      <c r="D393" s="161" t="s">
        <v>1720</v>
      </c>
      <c r="E393" s="111" t="s">
        <v>32</v>
      </c>
      <c r="F393" s="125" t="s">
        <v>8</v>
      </c>
      <c r="G393" s="183">
        <v>45743</v>
      </c>
      <c r="H393" s="137"/>
      <c r="I393" s="100" t="s">
        <v>106</v>
      </c>
      <c r="J393" s="128"/>
      <c r="K393" s="128"/>
      <c r="L393" s="129"/>
      <c r="M393" s="130"/>
      <c r="N393" s="130"/>
      <c r="O393" s="131"/>
      <c r="P393" s="83">
        <v>45744</v>
      </c>
      <c r="Q393" s="89">
        <f t="shared" si="6"/>
        <v>1.0000218612683909</v>
      </c>
      <c r="R393" s="101" t="s">
        <v>205</v>
      </c>
      <c r="S393" s="168"/>
    </row>
    <row r="394" spans="1:19" ht="57.6" x14ac:dyDescent="0.3">
      <c r="A394" s="96">
        <v>392</v>
      </c>
      <c r="B394" s="135" t="s">
        <v>80</v>
      </c>
      <c r="C394" s="136">
        <v>45743</v>
      </c>
      <c r="D394" s="175" t="s">
        <v>1721</v>
      </c>
      <c r="E394" s="111" t="s">
        <v>1314</v>
      </c>
      <c r="F394" s="125" t="s">
        <v>10</v>
      </c>
      <c r="G394" s="183">
        <v>45743</v>
      </c>
      <c r="H394" s="137"/>
      <c r="I394" s="100" t="s">
        <v>1315</v>
      </c>
      <c r="J394" s="128"/>
      <c r="K394" s="128"/>
      <c r="L394" s="129"/>
      <c r="M394" s="130"/>
      <c r="N394" s="130"/>
      <c r="O394" s="131"/>
      <c r="P394" s="83">
        <v>45744</v>
      </c>
      <c r="Q394" s="89">
        <f t="shared" si="6"/>
        <v>1.0000218612683909</v>
      </c>
      <c r="R394" s="101" t="s">
        <v>216</v>
      </c>
      <c r="S394" s="168"/>
    </row>
    <row r="395" spans="1:19" ht="57.6" x14ac:dyDescent="0.3">
      <c r="A395" s="96">
        <v>393</v>
      </c>
      <c r="B395" s="135" t="s">
        <v>80</v>
      </c>
      <c r="C395" s="136">
        <v>45743</v>
      </c>
      <c r="D395" s="175" t="s">
        <v>1722</v>
      </c>
      <c r="E395" s="111" t="s">
        <v>1314</v>
      </c>
      <c r="F395" s="125" t="s">
        <v>10</v>
      </c>
      <c r="G395" s="183">
        <v>45743</v>
      </c>
      <c r="H395" s="137"/>
      <c r="I395" s="100" t="s">
        <v>1315</v>
      </c>
      <c r="J395" s="128"/>
      <c r="K395" s="128"/>
      <c r="L395" s="129"/>
      <c r="M395" s="130"/>
      <c r="N395" s="130"/>
      <c r="O395" s="131"/>
      <c r="P395" s="83">
        <v>45744</v>
      </c>
      <c r="Q395" s="89">
        <f t="shared" si="6"/>
        <v>1.0000218612683909</v>
      </c>
      <c r="R395" s="101" t="s">
        <v>1723</v>
      </c>
      <c r="S395" s="168"/>
    </row>
    <row r="396" spans="1:19" ht="57.6" x14ac:dyDescent="0.3">
      <c r="A396" s="96">
        <v>394</v>
      </c>
      <c r="B396" s="135">
        <v>1550</v>
      </c>
      <c r="C396" s="136">
        <v>45744</v>
      </c>
      <c r="D396" s="175" t="s">
        <v>1724</v>
      </c>
      <c r="E396" s="126" t="s">
        <v>1326</v>
      </c>
      <c r="F396" s="127" t="s">
        <v>4</v>
      </c>
      <c r="G396" s="183">
        <v>45744</v>
      </c>
      <c r="H396" s="134"/>
      <c r="I396" s="100" t="s">
        <v>1315</v>
      </c>
      <c r="J396" s="27"/>
      <c r="K396" s="28"/>
      <c r="L396" s="51"/>
      <c r="M396" s="29"/>
      <c r="N396" s="30"/>
      <c r="O396" s="54"/>
      <c r="P396" s="83">
        <v>45744</v>
      </c>
      <c r="Q396" s="89">
        <f t="shared" si="6"/>
        <v>1</v>
      </c>
      <c r="R396" s="101"/>
      <c r="S396" s="56"/>
    </row>
    <row r="397" spans="1:19" x14ac:dyDescent="0.3">
      <c r="A397" s="96">
        <v>395</v>
      </c>
      <c r="B397" s="135">
        <v>1550</v>
      </c>
      <c r="C397" s="136">
        <v>45744</v>
      </c>
      <c r="D397" s="175" t="s">
        <v>1725</v>
      </c>
      <c r="E397" s="111" t="s">
        <v>21</v>
      </c>
      <c r="F397" s="125" t="s">
        <v>4</v>
      </c>
      <c r="G397" s="183">
        <v>45744</v>
      </c>
      <c r="H397" s="137"/>
      <c r="I397" s="100" t="s">
        <v>125</v>
      </c>
      <c r="J397" s="27"/>
      <c r="K397" s="28"/>
      <c r="L397" s="51"/>
      <c r="M397" s="29"/>
      <c r="N397" s="30"/>
      <c r="O397" s="54"/>
      <c r="P397" s="83">
        <v>45744</v>
      </c>
      <c r="Q397" s="89">
        <f t="shared" si="6"/>
        <v>1</v>
      </c>
      <c r="R397" s="101"/>
      <c r="S397" s="56"/>
    </row>
    <row r="398" spans="1:19" ht="28.8" x14ac:dyDescent="0.3">
      <c r="A398" s="96">
        <v>396</v>
      </c>
      <c r="B398" s="135">
        <v>1550</v>
      </c>
      <c r="C398" s="136">
        <v>45744</v>
      </c>
      <c r="D398" s="175" t="s">
        <v>1726</v>
      </c>
      <c r="E398" s="111" t="s">
        <v>49</v>
      </c>
      <c r="F398" s="125" t="s">
        <v>8</v>
      </c>
      <c r="G398" s="183">
        <v>45744</v>
      </c>
      <c r="H398" s="137"/>
      <c r="I398" s="100" t="s">
        <v>266</v>
      </c>
      <c r="J398" s="27"/>
      <c r="K398" s="28"/>
      <c r="L398" s="51"/>
      <c r="M398" s="29"/>
      <c r="N398" s="30"/>
      <c r="O398" s="54"/>
      <c r="P398" s="83">
        <v>45744</v>
      </c>
      <c r="Q398" s="89">
        <f t="shared" si="6"/>
        <v>1</v>
      </c>
      <c r="R398" s="101" t="s">
        <v>1727</v>
      </c>
      <c r="S398" s="56"/>
    </row>
    <row r="399" spans="1:19" ht="72" x14ac:dyDescent="0.3">
      <c r="A399" s="96">
        <v>397</v>
      </c>
      <c r="B399" s="123" t="s">
        <v>80</v>
      </c>
      <c r="C399" s="124">
        <v>45744</v>
      </c>
      <c r="D399" s="60" t="s">
        <v>1728</v>
      </c>
      <c r="E399" s="126" t="s">
        <v>3</v>
      </c>
      <c r="F399" s="125" t="s">
        <v>10</v>
      </c>
      <c r="G399" s="183">
        <v>45744</v>
      </c>
      <c r="H399" s="137"/>
      <c r="I399" s="100" t="s">
        <v>82</v>
      </c>
      <c r="J399" s="27"/>
      <c r="K399" s="28"/>
      <c r="L399" s="51"/>
      <c r="M399" s="29"/>
      <c r="N399" s="30"/>
      <c r="O399" s="54"/>
      <c r="P399" s="83">
        <v>45744</v>
      </c>
      <c r="Q399" s="89">
        <f t="shared" si="6"/>
        <v>1</v>
      </c>
      <c r="R399" s="101" t="s">
        <v>1729</v>
      </c>
      <c r="S399" s="147"/>
    </row>
    <row r="400" spans="1:19" ht="43.2" x14ac:dyDescent="0.3">
      <c r="A400" s="96">
        <v>398</v>
      </c>
      <c r="B400" s="135">
        <v>1550</v>
      </c>
      <c r="C400" s="136">
        <v>45720</v>
      </c>
      <c r="D400" s="109" t="s">
        <v>1730</v>
      </c>
      <c r="E400" s="111" t="s">
        <v>23</v>
      </c>
      <c r="F400" s="125" t="s">
        <v>6</v>
      </c>
      <c r="G400" s="183">
        <v>45720</v>
      </c>
      <c r="H400" s="134">
        <v>10000272820</v>
      </c>
      <c r="I400" s="107" t="s">
        <v>135</v>
      </c>
      <c r="J400" s="128"/>
      <c r="K400" s="128"/>
      <c r="L400" s="129"/>
      <c r="M400" s="130"/>
      <c r="N400" s="130"/>
      <c r="O400" s="131"/>
      <c r="P400" s="83">
        <v>45747</v>
      </c>
      <c r="Q400" s="89">
        <f t="shared" si="6"/>
        <v>1.0005905511811024</v>
      </c>
      <c r="R400" s="101"/>
      <c r="S400" s="627" t="s">
        <v>1731</v>
      </c>
    </row>
    <row r="401" spans="1:19" ht="28.8" x14ac:dyDescent="0.3">
      <c r="A401" s="96">
        <v>399</v>
      </c>
      <c r="B401" s="135">
        <v>1550</v>
      </c>
      <c r="C401" s="136">
        <v>45722</v>
      </c>
      <c r="D401" s="109" t="s">
        <v>1732</v>
      </c>
      <c r="E401" s="111" t="s">
        <v>23</v>
      </c>
      <c r="F401" s="125" t="s">
        <v>6</v>
      </c>
      <c r="G401" s="183">
        <v>45722</v>
      </c>
      <c r="H401" s="137"/>
      <c r="I401" s="100" t="s">
        <v>135</v>
      </c>
      <c r="J401" s="27"/>
      <c r="K401" s="28"/>
      <c r="L401" s="51"/>
      <c r="M401" s="29"/>
      <c r="N401" s="30"/>
      <c r="O401" s="54"/>
      <c r="P401" s="132">
        <v>45747</v>
      </c>
      <c r="Q401" s="89">
        <f t="shared" si="6"/>
        <v>1.0005467827304142</v>
      </c>
      <c r="R401" s="101"/>
      <c r="S401" s="56" t="s">
        <v>1733</v>
      </c>
    </row>
    <row r="402" spans="1:19" ht="43.2" x14ac:dyDescent="0.3">
      <c r="A402" s="96">
        <v>400</v>
      </c>
      <c r="B402" s="123">
        <v>1550</v>
      </c>
      <c r="C402" s="124">
        <v>45728</v>
      </c>
      <c r="D402" s="109" t="s">
        <v>1734</v>
      </c>
      <c r="E402" s="126" t="s">
        <v>3</v>
      </c>
      <c r="F402" s="127" t="s">
        <v>6</v>
      </c>
      <c r="G402" s="183">
        <v>45728</v>
      </c>
      <c r="H402" s="134">
        <v>10000272966</v>
      </c>
      <c r="I402" s="100" t="s">
        <v>82</v>
      </c>
      <c r="J402" s="128"/>
      <c r="K402" s="128"/>
      <c r="L402" s="129"/>
      <c r="M402" s="130"/>
      <c r="N402" s="130"/>
      <c r="O402" s="131"/>
      <c r="P402" s="83">
        <v>45747</v>
      </c>
      <c r="Q402" s="89">
        <f t="shared" si="6"/>
        <v>1.0004155003498951</v>
      </c>
      <c r="R402" s="101"/>
      <c r="S402" s="168" t="s">
        <v>1735</v>
      </c>
    </row>
    <row r="403" spans="1:19" ht="115.2" x14ac:dyDescent="0.3">
      <c r="A403" s="96">
        <v>401</v>
      </c>
      <c r="B403" s="135" t="s">
        <v>80</v>
      </c>
      <c r="C403" s="136">
        <v>45729</v>
      </c>
      <c r="D403" s="109" t="s">
        <v>1736</v>
      </c>
      <c r="E403" s="111" t="s">
        <v>12</v>
      </c>
      <c r="F403" s="127" t="s">
        <v>10</v>
      </c>
      <c r="G403" s="183">
        <v>45729</v>
      </c>
      <c r="H403" s="137"/>
      <c r="I403" s="100" t="s">
        <v>159</v>
      </c>
      <c r="J403" s="128"/>
      <c r="K403" s="128"/>
      <c r="L403" s="129"/>
      <c r="M403" s="130"/>
      <c r="N403" s="130"/>
      <c r="O403" s="131"/>
      <c r="P403" s="83">
        <v>45747</v>
      </c>
      <c r="Q403" s="89">
        <f t="shared" si="6"/>
        <v>1.0003936233024995</v>
      </c>
      <c r="R403" s="101" t="s">
        <v>749</v>
      </c>
      <c r="S403" s="168"/>
    </row>
    <row r="404" spans="1:19" ht="43.2" x14ac:dyDescent="0.3">
      <c r="A404" s="96">
        <v>402</v>
      </c>
      <c r="B404" s="135">
        <v>1550</v>
      </c>
      <c r="C404" s="136">
        <v>45743</v>
      </c>
      <c r="D404" s="175" t="s">
        <v>1737</v>
      </c>
      <c r="E404" s="111" t="s">
        <v>12</v>
      </c>
      <c r="F404" s="125" t="s">
        <v>8</v>
      </c>
      <c r="G404" s="183">
        <v>45743</v>
      </c>
      <c r="H404" s="137"/>
      <c r="I404" s="102" t="s">
        <v>159</v>
      </c>
      <c r="J404" s="27"/>
      <c r="K404" s="28"/>
      <c r="L404" s="51"/>
      <c r="M404" s="29"/>
      <c r="N404" s="30"/>
      <c r="O404" s="54"/>
      <c r="P404" s="83">
        <v>45747</v>
      </c>
      <c r="Q404" s="89">
        <f t="shared" si="6"/>
        <v>1.0000874450735631</v>
      </c>
      <c r="R404" s="101" t="s">
        <v>151</v>
      </c>
      <c r="S404" s="56"/>
    </row>
    <row r="405" spans="1:19" ht="28.8" x14ac:dyDescent="0.3">
      <c r="A405" s="96">
        <v>403</v>
      </c>
      <c r="B405" s="135">
        <v>1550</v>
      </c>
      <c r="C405" s="136">
        <v>45743</v>
      </c>
      <c r="D405" s="175" t="s">
        <v>1738</v>
      </c>
      <c r="E405" s="111" t="s">
        <v>32</v>
      </c>
      <c r="F405" s="125" t="s">
        <v>8</v>
      </c>
      <c r="G405" s="183">
        <v>45743</v>
      </c>
      <c r="H405" s="137"/>
      <c r="I405" s="100" t="s">
        <v>106</v>
      </c>
      <c r="J405" s="128"/>
      <c r="K405" s="128"/>
      <c r="L405" s="129"/>
      <c r="M405" s="130"/>
      <c r="N405" s="130"/>
      <c r="O405" s="131"/>
      <c r="P405" s="83">
        <v>45747</v>
      </c>
      <c r="Q405" s="89">
        <f t="shared" si="6"/>
        <v>1.0000874450735631</v>
      </c>
      <c r="R405" s="101" t="s">
        <v>1246</v>
      </c>
      <c r="S405" s="168"/>
    </row>
    <row r="406" spans="1:19" ht="57.6" x14ac:dyDescent="0.3">
      <c r="A406" s="96">
        <v>404</v>
      </c>
      <c r="B406" s="135">
        <v>1550</v>
      </c>
      <c r="C406" s="136">
        <v>45744</v>
      </c>
      <c r="D406" s="175" t="s">
        <v>1739</v>
      </c>
      <c r="E406" s="111" t="s">
        <v>39</v>
      </c>
      <c r="F406" s="125" t="s">
        <v>8</v>
      </c>
      <c r="G406" s="183">
        <v>45744</v>
      </c>
      <c r="H406" s="137"/>
      <c r="I406" s="100" t="s">
        <v>22</v>
      </c>
      <c r="J406" s="27" t="s">
        <v>262</v>
      </c>
      <c r="K406" s="258">
        <v>45744</v>
      </c>
      <c r="L406" s="259" t="s">
        <v>22</v>
      </c>
      <c r="M406" s="29"/>
      <c r="N406" s="30"/>
      <c r="O406" s="54"/>
      <c r="P406" s="83">
        <v>45747</v>
      </c>
      <c r="Q406" s="89">
        <f t="shared" si="6"/>
        <v>1.0000655823714586</v>
      </c>
      <c r="R406" s="101" t="s">
        <v>136</v>
      </c>
      <c r="S406" s="257" t="s">
        <v>1740</v>
      </c>
    </row>
    <row r="407" spans="1:19" ht="57.6" x14ac:dyDescent="0.3">
      <c r="A407" s="96">
        <v>405</v>
      </c>
      <c r="B407" s="135">
        <v>1550</v>
      </c>
      <c r="C407" s="136">
        <v>45744</v>
      </c>
      <c r="D407" s="254" t="s">
        <v>1741</v>
      </c>
      <c r="E407" s="126" t="s">
        <v>1314</v>
      </c>
      <c r="F407" s="125" t="s">
        <v>6</v>
      </c>
      <c r="G407" s="183">
        <v>45744</v>
      </c>
      <c r="H407" s="137"/>
      <c r="I407" s="100" t="s">
        <v>1315</v>
      </c>
      <c r="J407" s="128"/>
      <c r="K407" s="128"/>
      <c r="L407" s="129"/>
      <c r="M407" s="130"/>
      <c r="N407" s="130"/>
      <c r="O407" s="131"/>
      <c r="P407" s="132">
        <v>45747</v>
      </c>
      <c r="Q407" s="89">
        <f t="shared" ref="Q407:Q439" si="7">P407/G407</f>
        <v>1.0000655823714586</v>
      </c>
      <c r="R407" s="101"/>
      <c r="S407" s="168"/>
    </row>
    <row r="408" spans="1:19" ht="57.6" x14ac:dyDescent="0.3">
      <c r="A408" s="96">
        <v>406</v>
      </c>
      <c r="B408" s="123" t="s">
        <v>80</v>
      </c>
      <c r="C408" s="124">
        <v>45744</v>
      </c>
      <c r="D408" s="60" t="s">
        <v>1742</v>
      </c>
      <c r="E408" s="111" t="s">
        <v>1314</v>
      </c>
      <c r="F408" s="125" t="s">
        <v>10</v>
      </c>
      <c r="G408" s="183">
        <v>45744</v>
      </c>
      <c r="H408" s="137"/>
      <c r="I408" s="100" t="s">
        <v>1315</v>
      </c>
      <c r="J408" s="128"/>
      <c r="K408" s="128"/>
      <c r="L408" s="129"/>
      <c r="M408" s="130"/>
      <c r="N408" s="130"/>
      <c r="O408" s="131"/>
      <c r="P408" s="132">
        <v>45747</v>
      </c>
      <c r="Q408" s="89">
        <f t="shared" si="7"/>
        <v>1.0000655823714586</v>
      </c>
      <c r="R408" s="101" t="s">
        <v>216</v>
      </c>
      <c r="S408" s="56"/>
    </row>
    <row r="409" spans="1:19" ht="57.6" x14ac:dyDescent="0.3">
      <c r="A409" s="96">
        <v>407</v>
      </c>
      <c r="B409" s="123" t="s">
        <v>80</v>
      </c>
      <c r="C409" s="124">
        <v>45744</v>
      </c>
      <c r="D409" s="60" t="s">
        <v>1743</v>
      </c>
      <c r="E409" s="111" t="s">
        <v>1314</v>
      </c>
      <c r="F409" s="125" t="s">
        <v>10</v>
      </c>
      <c r="G409" s="183">
        <v>45744</v>
      </c>
      <c r="H409" s="137"/>
      <c r="I409" s="100" t="s">
        <v>1315</v>
      </c>
      <c r="J409" s="27"/>
      <c r="K409" s="28"/>
      <c r="L409" s="51"/>
      <c r="M409" s="29"/>
      <c r="N409" s="30"/>
      <c r="O409" s="54"/>
      <c r="P409" s="132">
        <v>45747</v>
      </c>
      <c r="Q409" s="89">
        <f t="shared" si="7"/>
        <v>1.0000655823714586</v>
      </c>
      <c r="R409" s="101" t="s">
        <v>216</v>
      </c>
      <c r="S409" s="56"/>
    </row>
    <row r="410" spans="1:19" ht="57.6" x14ac:dyDescent="0.3">
      <c r="A410" s="96">
        <v>408</v>
      </c>
      <c r="B410" s="123" t="s">
        <v>80</v>
      </c>
      <c r="C410" s="124">
        <v>45744</v>
      </c>
      <c r="D410" s="60" t="s">
        <v>1744</v>
      </c>
      <c r="E410" s="111" t="s">
        <v>1314</v>
      </c>
      <c r="F410" s="125" t="s">
        <v>10</v>
      </c>
      <c r="G410" s="183">
        <v>45744</v>
      </c>
      <c r="H410" s="137"/>
      <c r="I410" s="100" t="s">
        <v>1315</v>
      </c>
      <c r="J410" s="27"/>
      <c r="K410" s="28"/>
      <c r="L410" s="51"/>
      <c r="M410" s="29"/>
      <c r="N410" s="30"/>
      <c r="O410" s="54"/>
      <c r="P410" s="132">
        <v>45747</v>
      </c>
      <c r="Q410" s="89">
        <f t="shared" si="7"/>
        <v>1.0000655823714586</v>
      </c>
      <c r="R410" s="101" t="s">
        <v>216</v>
      </c>
      <c r="S410" s="56"/>
    </row>
    <row r="411" spans="1:19" ht="57.6" x14ac:dyDescent="0.3">
      <c r="A411" s="96">
        <v>409</v>
      </c>
      <c r="B411" s="123" t="s">
        <v>80</v>
      </c>
      <c r="C411" s="124">
        <v>45744</v>
      </c>
      <c r="D411" s="60" t="s">
        <v>1745</v>
      </c>
      <c r="E411" s="111" t="s">
        <v>1314</v>
      </c>
      <c r="F411" s="125" t="s">
        <v>10</v>
      </c>
      <c r="G411" s="183">
        <v>45744</v>
      </c>
      <c r="H411" s="137"/>
      <c r="I411" s="100" t="s">
        <v>1315</v>
      </c>
      <c r="J411" s="27"/>
      <c r="K411" s="28"/>
      <c r="L411" s="51"/>
      <c r="M411" s="29"/>
      <c r="N411" s="30"/>
      <c r="O411" s="54"/>
      <c r="P411" s="132">
        <v>45747</v>
      </c>
      <c r="Q411" s="89">
        <f t="shared" si="7"/>
        <v>1.0000655823714586</v>
      </c>
      <c r="R411" s="101" t="s">
        <v>214</v>
      </c>
      <c r="S411" s="56"/>
    </row>
    <row r="412" spans="1:19" ht="57.6" x14ac:dyDescent="0.3">
      <c r="A412" s="96">
        <v>410</v>
      </c>
      <c r="B412" s="123" t="s">
        <v>80</v>
      </c>
      <c r="C412" s="124">
        <v>45744</v>
      </c>
      <c r="D412" s="60" t="s">
        <v>1746</v>
      </c>
      <c r="E412" s="111" t="s">
        <v>1314</v>
      </c>
      <c r="F412" s="125" t="s">
        <v>10</v>
      </c>
      <c r="G412" s="183">
        <v>45744</v>
      </c>
      <c r="H412" s="137"/>
      <c r="I412" s="100" t="s">
        <v>1315</v>
      </c>
      <c r="J412" s="128"/>
      <c r="K412" s="128"/>
      <c r="L412" s="129"/>
      <c r="M412" s="130"/>
      <c r="N412" s="130"/>
      <c r="O412" s="131"/>
      <c r="P412" s="132">
        <v>45747</v>
      </c>
      <c r="Q412" s="89">
        <f t="shared" si="7"/>
        <v>1.0000655823714586</v>
      </c>
      <c r="R412" s="200" t="s">
        <v>178</v>
      </c>
      <c r="S412" s="230"/>
    </row>
    <row r="413" spans="1:19" ht="57.6" x14ac:dyDescent="0.3">
      <c r="A413" s="96">
        <v>411</v>
      </c>
      <c r="B413" s="123" t="s">
        <v>80</v>
      </c>
      <c r="C413" s="124">
        <v>45744</v>
      </c>
      <c r="D413" s="60" t="s">
        <v>1747</v>
      </c>
      <c r="E413" s="111" t="s">
        <v>1314</v>
      </c>
      <c r="F413" s="125" t="s">
        <v>10</v>
      </c>
      <c r="G413" s="183">
        <v>45744</v>
      </c>
      <c r="H413" s="137"/>
      <c r="I413" s="100" t="s">
        <v>1315</v>
      </c>
      <c r="J413" s="128"/>
      <c r="K413" s="128"/>
      <c r="L413" s="129"/>
      <c r="M413" s="130"/>
      <c r="N413" s="130"/>
      <c r="O413" s="131"/>
      <c r="P413" s="132">
        <v>45747</v>
      </c>
      <c r="Q413" s="89">
        <f t="shared" si="7"/>
        <v>1.0000655823714586</v>
      </c>
      <c r="R413" s="101" t="s">
        <v>85</v>
      </c>
      <c r="S413" s="168"/>
    </row>
    <row r="414" spans="1:19" ht="57.6" x14ac:dyDescent="0.3">
      <c r="A414" s="96">
        <v>412</v>
      </c>
      <c r="B414" s="123" t="s">
        <v>80</v>
      </c>
      <c r="C414" s="124">
        <v>45744</v>
      </c>
      <c r="D414" s="60" t="s">
        <v>1748</v>
      </c>
      <c r="E414" s="111" t="s">
        <v>1314</v>
      </c>
      <c r="F414" s="125" t="s">
        <v>10</v>
      </c>
      <c r="G414" s="183">
        <v>45744</v>
      </c>
      <c r="H414" s="137"/>
      <c r="I414" s="100" t="s">
        <v>1315</v>
      </c>
      <c r="J414" s="27"/>
      <c r="K414" s="28"/>
      <c r="L414" s="51"/>
      <c r="M414" s="29"/>
      <c r="N414" s="30"/>
      <c r="O414" s="54"/>
      <c r="P414" s="132">
        <v>45747</v>
      </c>
      <c r="Q414" s="89">
        <f t="shared" si="7"/>
        <v>1.0000655823714586</v>
      </c>
      <c r="R414" s="101" t="s">
        <v>85</v>
      </c>
      <c r="S414" s="56"/>
    </row>
    <row r="415" spans="1:19" ht="28.8" x14ac:dyDescent="0.3">
      <c r="A415" s="96">
        <v>413</v>
      </c>
      <c r="B415" s="135">
        <v>1550</v>
      </c>
      <c r="C415" s="136">
        <v>45747</v>
      </c>
      <c r="D415" s="109" t="s">
        <v>1749</v>
      </c>
      <c r="E415" s="111" t="s">
        <v>3</v>
      </c>
      <c r="F415" s="127" t="s">
        <v>4</v>
      </c>
      <c r="G415" s="183">
        <v>45747</v>
      </c>
      <c r="H415" s="137"/>
      <c r="I415" s="100" t="s">
        <v>82</v>
      </c>
      <c r="J415" s="27"/>
      <c r="K415" s="28"/>
      <c r="L415" s="51"/>
      <c r="M415" s="29"/>
      <c r="N415" s="30"/>
      <c r="O415" s="54"/>
      <c r="P415" s="83">
        <v>45747</v>
      </c>
      <c r="Q415" s="89">
        <f t="shared" si="7"/>
        <v>1</v>
      </c>
      <c r="R415" s="101"/>
      <c r="S415" s="56"/>
    </row>
    <row r="416" spans="1:19" ht="28.8" x14ac:dyDescent="0.3">
      <c r="A416" s="96">
        <v>414</v>
      </c>
      <c r="B416" s="135">
        <v>1550</v>
      </c>
      <c r="C416" s="136">
        <v>45747</v>
      </c>
      <c r="D416" s="623" t="s">
        <v>1750</v>
      </c>
      <c r="E416" s="111" t="s">
        <v>49</v>
      </c>
      <c r="F416" s="127" t="s">
        <v>4</v>
      </c>
      <c r="G416" s="183">
        <v>45747</v>
      </c>
      <c r="H416" s="137"/>
      <c r="I416" s="100" t="s">
        <v>266</v>
      </c>
      <c r="J416" s="27"/>
      <c r="K416" s="28"/>
      <c r="L416" s="51"/>
      <c r="M416" s="29"/>
      <c r="N416" s="30"/>
      <c r="O416" s="54"/>
      <c r="P416" s="83">
        <v>45747</v>
      </c>
      <c r="Q416" s="89">
        <f t="shared" si="7"/>
        <v>1</v>
      </c>
      <c r="R416" s="101"/>
      <c r="S416" s="56"/>
    </row>
    <row r="417" spans="1:19" ht="43.2" x14ac:dyDescent="0.3">
      <c r="A417" s="96">
        <v>415</v>
      </c>
      <c r="B417" s="135">
        <v>1550</v>
      </c>
      <c r="C417" s="136">
        <v>45747</v>
      </c>
      <c r="D417" s="109" t="s">
        <v>1751</v>
      </c>
      <c r="E417" s="111" t="s">
        <v>12</v>
      </c>
      <c r="F417" s="127" t="s">
        <v>6</v>
      </c>
      <c r="G417" s="183">
        <v>45747</v>
      </c>
      <c r="H417" s="137"/>
      <c r="I417" s="102" t="s">
        <v>159</v>
      </c>
      <c r="J417" s="27"/>
      <c r="K417" s="28"/>
      <c r="L417" s="51"/>
      <c r="M417" s="29"/>
      <c r="N417" s="30"/>
      <c r="O417" s="54"/>
      <c r="P417" s="83">
        <v>45747</v>
      </c>
      <c r="Q417" s="89">
        <f t="shared" si="7"/>
        <v>1</v>
      </c>
      <c r="R417" s="101"/>
      <c r="S417" s="56"/>
    </row>
    <row r="418" spans="1:19" ht="43.2" x14ac:dyDescent="0.3">
      <c r="A418" s="96">
        <v>416</v>
      </c>
      <c r="B418" s="123" t="s">
        <v>80</v>
      </c>
      <c r="C418" s="124">
        <v>45747</v>
      </c>
      <c r="D418" s="60" t="s">
        <v>1752</v>
      </c>
      <c r="E418" s="111" t="s">
        <v>3</v>
      </c>
      <c r="F418" s="127" t="s">
        <v>10</v>
      </c>
      <c r="G418" s="183">
        <v>45747</v>
      </c>
      <c r="H418" s="137"/>
      <c r="I418" s="100" t="s">
        <v>82</v>
      </c>
      <c r="J418" s="128"/>
      <c r="K418" s="128"/>
      <c r="L418" s="129"/>
      <c r="M418" s="130"/>
      <c r="N418" s="130"/>
      <c r="O418" s="131"/>
      <c r="P418" s="132">
        <v>45747</v>
      </c>
      <c r="Q418" s="89">
        <f t="shared" si="7"/>
        <v>1</v>
      </c>
      <c r="R418" s="101" t="s">
        <v>749</v>
      </c>
      <c r="S418" s="56"/>
    </row>
    <row r="419" spans="1:19" ht="43.2" x14ac:dyDescent="0.3">
      <c r="A419" s="96">
        <v>417</v>
      </c>
      <c r="B419" s="123" t="s">
        <v>80</v>
      </c>
      <c r="C419" s="124">
        <v>45747</v>
      </c>
      <c r="D419" s="60" t="s">
        <v>1753</v>
      </c>
      <c r="E419" s="111" t="s">
        <v>3</v>
      </c>
      <c r="F419" s="127" t="s">
        <v>10</v>
      </c>
      <c r="G419" s="183">
        <v>45747</v>
      </c>
      <c r="H419" s="137"/>
      <c r="I419" s="100" t="s">
        <v>82</v>
      </c>
      <c r="J419" s="27"/>
      <c r="K419" s="28"/>
      <c r="L419" s="51"/>
      <c r="M419" s="29"/>
      <c r="N419" s="30"/>
      <c r="O419" s="54"/>
      <c r="P419" s="132">
        <v>45747</v>
      </c>
      <c r="Q419" s="89">
        <f t="shared" si="7"/>
        <v>1</v>
      </c>
      <c r="R419" s="101" t="s">
        <v>323</v>
      </c>
      <c r="S419" s="56"/>
    </row>
    <row r="420" spans="1:19" ht="72" x14ac:dyDescent="0.3">
      <c r="A420" s="96">
        <v>418</v>
      </c>
      <c r="B420" s="135" t="s">
        <v>80</v>
      </c>
      <c r="C420" s="136">
        <v>45723</v>
      </c>
      <c r="D420" s="109" t="s">
        <v>1754</v>
      </c>
      <c r="E420" s="126" t="s">
        <v>3</v>
      </c>
      <c r="F420" s="125" t="s">
        <v>10</v>
      </c>
      <c r="G420" s="183">
        <v>45723</v>
      </c>
      <c r="H420" s="134"/>
      <c r="I420" s="100" t="s">
        <v>82</v>
      </c>
      <c r="J420" s="27"/>
      <c r="K420" s="28"/>
      <c r="L420" s="51"/>
      <c r="M420" s="29"/>
      <c r="N420" s="30"/>
      <c r="O420" s="54"/>
      <c r="P420" s="132">
        <v>45748</v>
      </c>
      <c r="Q420" s="89">
        <f t="shared" si="7"/>
        <v>1.0005467707718216</v>
      </c>
      <c r="R420" s="101" t="s">
        <v>1319</v>
      </c>
      <c r="S420" s="56"/>
    </row>
    <row r="421" spans="1:19" ht="28.8" x14ac:dyDescent="0.3">
      <c r="A421" s="96">
        <v>419</v>
      </c>
      <c r="B421" s="123">
        <v>1550</v>
      </c>
      <c r="C421" s="124">
        <v>45735</v>
      </c>
      <c r="D421" s="109" t="s">
        <v>1755</v>
      </c>
      <c r="E421" s="111" t="s">
        <v>3</v>
      </c>
      <c r="F421" s="125" t="s">
        <v>4</v>
      </c>
      <c r="G421" s="183">
        <v>45735</v>
      </c>
      <c r="H421" s="137">
        <v>10000272966</v>
      </c>
      <c r="I421" s="100" t="s">
        <v>82</v>
      </c>
      <c r="J421" s="128"/>
      <c r="K421" s="128"/>
      <c r="L421" s="129"/>
      <c r="M421" s="130"/>
      <c r="N421" s="130"/>
      <c r="O421" s="131"/>
      <c r="P421" s="83">
        <v>45748</v>
      </c>
      <c r="Q421" s="89">
        <f t="shared" si="7"/>
        <v>1.0002842462009403</v>
      </c>
      <c r="R421" s="101"/>
      <c r="S421" s="168" t="s">
        <v>1756</v>
      </c>
    </row>
    <row r="422" spans="1:19" ht="57.6" x14ac:dyDescent="0.3">
      <c r="A422" s="96">
        <v>420</v>
      </c>
      <c r="B422" s="135">
        <v>1550</v>
      </c>
      <c r="C422" s="136">
        <v>45741</v>
      </c>
      <c r="D422" s="175" t="s">
        <v>1757</v>
      </c>
      <c r="E422" s="126" t="s">
        <v>3</v>
      </c>
      <c r="F422" s="127" t="s">
        <v>6</v>
      </c>
      <c r="G422" s="183">
        <v>45741</v>
      </c>
      <c r="H422" s="134">
        <v>10000277339</v>
      </c>
      <c r="I422" s="100" t="s">
        <v>82</v>
      </c>
      <c r="J422" s="27"/>
      <c r="K422" s="28"/>
      <c r="L422" s="51"/>
      <c r="M422" s="29"/>
      <c r="N422" s="30"/>
      <c r="O422" s="54"/>
      <c r="P422" s="132">
        <v>45748</v>
      </c>
      <c r="Q422" s="89">
        <f t="shared" si="7"/>
        <v>1.0001530355698389</v>
      </c>
      <c r="R422" s="101"/>
      <c r="S422" s="56" t="s">
        <v>1758</v>
      </c>
    </row>
    <row r="423" spans="1:19" ht="28.8" x14ac:dyDescent="0.3">
      <c r="A423" s="96">
        <v>421</v>
      </c>
      <c r="B423" s="135">
        <v>1550</v>
      </c>
      <c r="C423" s="136">
        <v>45742</v>
      </c>
      <c r="D423" s="175" t="s">
        <v>1759</v>
      </c>
      <c r="E423" s="111" t="s">
        <v>3</v>
      </c>
      <c r="F423" s="125" t="s">
        <v>6</v>
      </c>
      <c r="G423" s="183">
        <v>45742</v>
      </c>
      <c r="H423" s="134">
        <v>10000277334</v>
      </c>
      <c r="I423" s="100" t="s">
        <v>82</v>
      </c>
      <c r="J423" s="27"/>
      <c r="K423" s="28"/>
      <c r="L423" s="51"/>
      <c r="M423" s="29"/>
      <c r="N423" s="30"/>
      <c r="O423" s="54"/>
      <c r="P423" s="83">
        <v>45748</v>
      </c>
      <c r="Q423" s="89">
        <f t="shared" si="7"/>
        <v>1.0001311704778977</v>
      </c>
      <c r="R423" s="101"/>
      <c r="S423" s="56" t="s">
        <v>1758</v>
      </c>
    </row>
    <row r="424" spans="1:19" ht="43.2" x14ac:dyDescent="0.3">
      <c r="A424" s="96">
        <v>422</v>
      </c>
      <c r="B424" s="135" t="s">
        <v>80</v>
      </c>
      <c r="C424" s="136">
        <v>45742</v>
      </c>
      <c r="D424" s="175" t="s">
        <v>1760</v>
      </c>
      <c r="E424" s="111" t="s">
        <v>52</v>
      </c>
      <c r="F424" s="125" t="s">
        <v>10</v>
      </c>
      <c r="G424" s="183">
        <v>45742</v>
      </c>
      <c r="H424" s="137"/>
      <c r="I424" s="100" t="s">
        <v>253</v>
      </c>
      <c r="J424" s="27"/>
      <c r="K424" s="28"/>
      <c r="L424" s="51"/>
      <c r="M424" s="29"/>
      <c r="N424" s="30"/>
      <c r="O424" s="54"/>
      <c r="P424" s="83">
        <v>45748</v>
      </c>
      <c r="Q424" s="89">
        <f t="shared" si="7"/>
        <v>1.0001311704778977</v>
      </c>
      <c r="R424" s="101" t="s">
        <v>1319</v>
      </c>
      <c r="S424" s="56"/>
    </row>
    <row r="425" spans="1:19" ht="28.8" x14ac:dyDescent="0.3">
      <c r="A425" s="96">
        <v>423</v>
      </c>
      <c r="B425" s="135">
        <v>1550</v>
      </c>
      <c r="C425" s="136">
        <v>45743</v>
      </c>
      <c r="D425" s="175" t="s">
        <v>1761</v>
      </c>
      <c r="E425" s="111" t="s">
        <v>3</v>
      </c>
      <c r="F425" s="125" t="s">
        <v>6</v>
      </c>
      <c r="G425" s="183">
        <v>45743</v>
      </c>
      <c r="H425" s="137">
        <v>10000277782</v>
      </c>
      <c r="I425" s="100" t="s">
        <v>82</v>
      </c>
      <c r="J425" s="128"/>
      <c r="K425" s="128"/>
      <c r="L425" s="129"/>
      <c r="M425" s="130"/>
      <c r="N425" s="130"/>
      <c r="O425" s="131"/>
      <c r="P425" s="83">
        <v>45748</v>
      </c>
      <c r="Q425" s="89">
        <f t="shared" si="7"/>
        <v>1.0001093063419539</v>
      </c>
      <c r="R425" s="101"/>
      <c r="S425" s="168" t="s">
        <v>1762</v>
      </c>
    </row>
    <row r="426" spans="1:19" ht="57.6" x14ac:dyDescent="0.3">
      <c r="A426" s="96">
        <v>424</v>
      </c>
      <c r="B426" s="123">
        <v>1550</v>
      </c>
      <c r="C426" s="206">
        <v>45747</v>
      </c>
      <c r="D426" s="36" t="s">
        <v>1763</v>
      </c>
      <c r="E426" s="111" t="s">
        <v>1314</v>
      </c>
      <c r="F426" s="127" t="s">
        <v>4</v>
      </c>
      <c r="G426" s="183">
        <v>45747</v>
      </c>
      <c r="H426" s="134"/>
      <c r="I426" s="100" t="s">
        <v>1315</v>
      </c>
      <c r="J426" s="128"/>
      <c r="K426" s="128"/>
      <c r="L426" s="129"/>
      <c r="M426" s="130"/>
      <c r="N426" s="130"/>
      <c r="O426" s="131"/>
      <c r="P426" s="132">
        <v>45748</v>
      </c>
      <c r="Q426" s="89">
        <f t="shared" si="7"/>
        <v>1.0000218593568977</v>
      </c>
      <c r="R426" s="101"/>
      <c r="S426" s="168"/>
    </row>
    <row r="427" spans="1:19" ht="57.6" x14ac:dyDescent="0.3">
      <c r="A427" s="96">
        <v>425</v>
      </c>
      <c r="B427" s="135">
        <v>1550</v>
      </c>
      <c r="C427" s="136">
        <v>45747</v>
      </c>
      <c r="D427" s="36" t="s">
        <v>1764</v>
      </c>
      <c r="E427" s="111" t="s">
        <v>1314</v>
      </c>
      <c r="F427" s="127" t="s">
        <v>4</v>
      </c>
      <c r="G427" s="183">
        <v>45747</v>
      </c>
      <c r="H427" s="134"/>
      <c r="I427" s="100" t="s">
        <v>1315</v>
      </c>
      <c r="J427" s="128"/>
      <c r="K427" s="128"/>
      <c r="L427" s="129"/>
      <c r="M427" s="130"/>
      <c r="N427" s="130"/>
      <c r="O427" s="131"/>
      <c r="P427" s="132">
        <v>45748</v>
      </c>
      <c r="Q427" s="89">
        <f t="shared" si="7"/>
        <v>1.0000218593568977</v>
      </c>
      <c r="R427" s="101"/>
      <c r="S427" s="56"/>
    </row>
    <row r="428" spans="1:19" ht="28.8" x14ac:dyDescent="0.3">
      <c r="A428" s="96">
        <v>426</v>
      </c>
      <c r="B428" s="135">
        <v>1550</v>
      </c>
      <c r="C428" s="136">
        <v>45747</v>
      </c>
      <c r="D428" s="109" t="s">
        <v>1765</v>
      </c>
      <c r="E428" s="111" t="s">
        <v>7</v>
      </c>
      <c r="F428" s="125" t="s">
        <v>8</v>
      </c>
      <c r="G428" s="183">
        <v>45747</v>
      </c>
      <c r="H428" s="137"/>
      <c r="I428" s="127" t="s">
        <v>125</v>
      </c>
      <c r="J428" s="27"/>
      <c r="K428" s="28"/>
      <c r="L428" s="51"/>
      <c r="M428" s="29"/>
      <c r="N428" s="30"/>
      <c r="O428" s="54"/>
      <c r="P428" s="132">
        <v>45748</v>
      </c>
      <c r="Q428" s="89">
        <f t="shared" si="7"/>
        <v>1.0000218593568977</v>
      </c>
      <c r="R428" s="101" t="s">
        <v>94</v>
      </c>
      <c r="S428" s="56" t="s">
        <v>1766</v>
      </c>
    </row>
    <row r="429" spans="1:19" ht="72" x14ac:dyDescent="0.3">
      <c r="A429" s="96">
        <v>427</v>
      </c>
      <c r="B429" s="123" t="s">
        <v>80</v>
      </c>
      <c r="C429" s="124">
        <v>45747</v>
      </c>
      <c r="D429" s="60" t="s">
        <v>1767</v>
      </c>
      <c r="E429" s="111" t="s">
        <v>3</v>
      </c>
      <c r="F429" s="125" t="s">
        <v>10</v>
      </c>
      <c r="G429" s="183">
        <v>45747</v>
      </c>
      <c r="H429" s="137"/>
      <c r="I429" s="100" t="s">
        <v>1315</v>
      </c>
      <c r="J429" s="27"/>
      <c r="K429" s="28"/>
      <c r="L429" s="51"/>
      <c r="M429" s="29"/>
      <c r="N429" s="30"/>
      <c r="O429" s="54"/>
      <c r="P429" s="83">
        <v>45748</v>
      </c>
      <c r="Q429" s="89">
        <f t="shared" si="7"/>
        <v>1.0000218593568977</v>
      </c>
      <c r="R429" s="101" t="s">
        <v>749</v>
      </c>
      <c r="S429" s="56"/>
    </row>
    <row r="430" spans="1:19" ht="57.6" x14ac:dyDescent="0.3">
      <c r="A430" s="96">
        <v>428</v>
      </c>
      <c r="B430" s="123" t="s">
        <v>80</v>
      </c>
      <c r="C430" s="124">
        <v>45747</v>
      </c>
      <c r="D430" s="261" t="s">
        <v>1768</v>
      </c>
      <c r="E430" s="111" t="s">
        <v>1314</v>
      </c>
      <c r="F430" s="125" t="s">
        <v>10</v>
      </c>
      <c r="G430" s="183">
        <v>45747</v>
      </c>
      <c r="H430" s="137"/>
      <c r="I430" s="100" t="s">
        <v>1315</v>
      </c>
      <c r="J430" s="128"/>
      <c r="K430" s="128"/>
      <c r="L430" s="129"/>
      <c r="M430" s="130"/>
      <c r="N430" s="130"/>
      <c r="O430" s="131"/>
      <c r="P430" s="83">
        <v>45748</v>
      </c>
      <c r="Q430" s="89">
        <f t="shared" si="7"/>
        <v>1.0000218593568977</v>
      </c>
      <c r="R430" s="101" t="s">
        <v>1769</v>
      </c>
      <c r="S430" s="168"/>
    </row>
    <row r="431" spans="1:19" ht="57.6" x14ac:dyDescent="0.3">
      <c r="A431" s="96">
        <v>429</v>
      </c>
      <c r="B431" s="123" t="s">
        <v>80</v>
      </c>
      <c r="C431" s="124">
        <v>45747</v>
      </c>
      <c r="D431" s="262" t="s">
        <v>1770</v>
      </c>
      <c r="E431" s="111" t="s">
        <v>1314</v>
      </c>
      <c r="F431" s="125" t="s">
        <v>10</v>
      </c>
      <c r="G431" s="183">
        <v>45747</v>
      </c>
      <c r="H431" s="137"/>
      <c r="I431" s="100" t="s">
        <v>1315</v>
      </c>
      <c r="J431" s="128"/>
      <c r="K431" s="128"/>
      <c r="L431" s="129"/>
      <c r="M431" s="130"/>
      <c r="N431" s="130"/>
      <c r="O431" s="131"/>
      <c r="P431" s="83">
        <v>45748</v>
      </c>
      <c r="Q431" s="89">
        <f t="shared" si="7"/>
        <v>1.0000218593568977</v>
      </c>
      <c r="R431" s="101" t="s">
        <v>1771</v>
      </c>
      <c r="S431" s="168"/>
    </row>
    <row r="432" spans="1:19" ht="57.6" x14ac:dyDescent="0.3">
      <c r="A432" s="96">
        <v>430</v>
      </c>
      <c r="B432" s="123" t="s">
        <v>80</v>
      </c>
      <c r="C432" s="124">
        <v>45747</v>
      </c>
      <c r="D432" s="262" t="s">
        <v>1772</v>
      </c>
      <c r="E432" s="111" t="s">
        <v>1314</v>
      </c>
      <c r="F432" s="125" t="s">
        <v>10</v>
      </c>
      <c r="G432" s="183">
        <v>45747</v>
      </c>
      <c r="H432" s="137"/>
      <c r="I432" s="100" t="s">
        <v>1315</v>
      </c>
      <c r="J432" s="128"/>
      <c r="K432" s="128"/>
      <c r="L432" s="129"/>
      <c r="M432" s="130"/>
      <c r="N432" s="130"/>
      <c r="O432" s="131"/>
      <c r="P432" s="83">
        <v>45748</v>
      </c>
      <c r="Q432" s="89">
        <f t="shared" si="7"/>
        <v>1.0000218593568977</v>
      </c>
      <c r="R432" s="101" t="s">
        <v>1773</v>
      </c>
      <c r="S432" s="168"/>
    </row>
    <row r="433" spans="1:19" ht="43.2" x14ac:dyDescent="0.3">
      <c r="A433" s="96">
        <v>431</v>
      </c>
      <c r="B433" s="135" t="s">
        <v>80</v>
      </c>
      <c r="C433" s="136">
        <v>45743</v>
      </c>
      <c r="D433" s="212" t="s">
        <v>1774</v>
      </c>
      <c r="E433" s="111" t="s">
        <v>17</v>
      </c>
      <c r="F433" s="125" t="s">
        <v>10</v>
      </c>
      <c r="G433" s="183">
        <v>45743</v>
      </c>
      <c r="H433" s="137"/>
      <c r="I433" s="100" t="s">
        <v>82</v>
      </c>
      <c r="J433" s="128"/>
      <c r="K433" s="128"/>
      <c r="L433" s="129"/>
      <c r="M433" s="130"/>
      <c r="N433" s="130"/>
      <c r="O433" s="202"/>
      <c r="P433" s="83">
        <v>45748</v>
      </c>
      <c r="Q433" s="89">
        <f t="shared" si="7"/>
        <v>1.0001093063419539</v>
      </c>
      <c r="R433" s="101" t="s">
        <v>1775</v>
      </c>
      <c r="S433" s="168"/>
    </row>
    <row r="434" spans="1:19" ht="28.8" x14ac:dyDescent="0.3">
      <c r="A434" s="96">
        <v>432</v>
      </c>
      <c r="B434" s="135" t="s">
        <v>80</v>
      </c>
      <c r="C434" s="136">
        <v>45729</v>
      </c>
      <c r="D434" s="110" t="s">
        <v>1776</v>
      </c>
      <c r="E434" s="126" t="s">
        <v>23</v>
      </c>
      <c r="F434" s="127" t="s">
        <v>10</v>
      </c>
      <c r="G434" s="183">
        <v>45729</v>
      </c>
      <c r="H434" s="134"/>
      <c r="I434" s="100" t="s">
        <v>135</v>
      </c>
      <c r="J434" s="27"/>
      <c r="K434" s="28"/>
      <c r="L434" s="51"/>
      <c r="M434" s="29"/>
      <c r="N434" s="30"/>
      <c r="O434" s="54"/>
      <c r="P434" s="83">
        <v>45749</v>
      </c>
      <c r="Q434" s="89">
        <f t="shared" si="7"/>
        <v>1.0004373592249995</v>
      </c>
      <c r="R434" s="101" t="s">
        <v>323</v>
      </c>
      <c r="S434" s="56"/>
    </row>
    <row r="435" spans="1:19" ht="57.6" x14ac:dyDescent="0.3">
      <c r="A435" s="96">
        <v>433</v>
      </c>
      <c r="B435" s="135" t="s">
        <v>80</v>
      </c>
      <c r="C435" s="136">
        <v>45745</v>
      </c>
      <c r="D435" s="110" t="s">
        <v>1777</v>
      </c>
      <c r="E435" s="126" t="s">
        <v>1314</v>
      </c>
      <c r="F435" s="127" t="s">
        <v>8</v>
      </c>
      <c r="G435" s="183">
        <v>45745</v>
      </c>
      <c r="H435" s="134"/>
      <c r="I435" s="100" t="s">
        <v>1315</v>
      </c>
      <c r="J435" s="128"/>
      <c r="K435" s="128"/>
      <c r="L435" s="129"/>
      <c r="M435" s="130"/>
      <c r="N435" s="130"/>
      <c r="O435" s="131"/>
      <c r="P435" s="83">
        <v>45749</v>
      </c>
      <c r="Q435" s="89">
        <f t="shared" si="7"/>
        <v>1.0000874412504099</v>
      </c>
      <c r="R435" s="101" t="s">
        <v>151</v>
      </c>
      <c r="S435" s="168"/>
    </row>
    <row r="436" spans="1:19" ht="57.6" x14ac:dyDescent="0.3">
      <c r="A436" s="96">
        <v>434</v>
      </c>
      <c r="B436" s="123" t="s">
        <v>80</v>
      </c>
      <c r="C436" s="124">
        <v>45747</v>
      </c>
      <c r="D436" s="262" t="s">
        <v>1619</v>
      </c>
      <c r="E436" s="111" t="s">
        <v>1314</v>
      </c>
      <c r="F436" s="125" t="s">
        <v>10</v>
      </c>
      <c r="G436" s="183">
        <v>45747</v>
      </c>
      <c r="H436" s="137"/>
      <c r="I436" s="100" t="s">
        <v>1315</v>
      </c>
      <c r="J436" s="128"/>
      <c r="K436" s="128"/>
      <c r="L436" s="129"/>
      <c r="M436" s="130"/>
      <c r="N436" s="130"/>
      <c r="O436" s="131"/>
      <c r="P436" s="83">
        <v>45749</v>
      </c>
      <c r="Q436" s="89">
        <f t="shared" si="7"/>
        <v>1.0000437187137954</v>
      </c>
      <c r="R436" s="101" t="s">
        <v>85</v>
      </c>
      <c r="S436" s="56"/>
    </row>
    <row r="437" spans="1:19" ht="43.2" x14ac:dyDescent="0.3">
      <c r="A437" s="96">
        <v>435</v>
      </c>
      <c r="B437" s="135" t="s">
        <v>80</v>
      </c>
      <c r="C437" s="136">
        <v>45740</v>
      </c>
      <c r="D437" s="624" t="s">
        <v>1778</v>
      </c>
      <c r="E437" s="111" t="s">
        <v>23</v>
      </c>
      <c r="F437" s="127" t="s">
        <v>10</v>
      </c>
      <c r="G437" s="183">
        <v>45740</v>
      </c>
      <c r="H437" s="134">
        <v>10000276804</v>
      </c>
      <c r="I437" s="100" t="s">
        <v>135</v>
      </c>
      <c r="J437" s="27"/>
      <c r="K437" s="28"/>
      <c r="L437" s="51"/>
      <c r="M437" s="29"/>
      <c r="N437" s="30"/>
      <c r="O437" s="54"/>
      <c r="P437" s="83">
        <v>45750</v>
      </c>
      <c r="Q437" s="89">
        <f t="shared" si="7"/>
        <v>1.0002186270222999</v>
      </c>
      <c r="R437" s="101" t="s">
        <v>749</v>
      </c>
      <c r="S437" s="56"/>
    </row>
    <row r="438" spans="1:19" ht="57.6" x14ac:dyDescent="0.3">
      <c r="A438" s="96">
        <v>436</v>
      </c>
      <c r="B438" s="135" t="s">
        <v>80</v>
      </c>
      <c r="C438" s="136">
        <v>45743</v>
      </c>
      <c r="D438" s="212" t="s">
        <v>1779</v>
      </c>
      <c r="E438" s="111" t="s">
        <v>48</v>
      </c>
      <c r="F438" s="125" t="s">
        <v>10</v>
      </c>
      <c r="G438" s="183">
        <v>45743</v>
      </c>
      <c r="H438" s="137"/>
      <c r="I438" s="100" t="s">
        <v>1315</v>
      </c>
      <c r="J438" s="128"/>
      <c r="K438" s="128"/>
      <c r="L438" s="129"/>
      <c r="M438" s="130"/>
      <c r="N438" s="130"/>
      <c r="O438" s="131"/>
      <c r="P438" s="83">
        <v>45750</v>
      </c>
      <c r="Q438" s="89">
        <f t="shared" si="7"/>
        <v>1.0001530288787355</v>
      </c>
      <c r="R438" s="101" t="s">
        <v>1780</v>
      </c>
      <c r="S438" s="168" t="s">
        <v>1781</v>
      </c>
    </row>
    <row r="439" spans="1:19" ht="57.6" x14ac:dyDescent="0.3">
      <c r="A439" s="96">
        <v>437</v>
      </c>
      <c r="B439" s="135">
        <v>1550</v>
      </c>
      <c r="C439" s="136">
        <v>45747</v>
      </c>
      <c r="D439" s="109" t="s">
        <v>1782</v>
      </c>
      <c r="E439" s="195" t="s">
        <v>1</v>
      </c>
      <c r="F439" s="127" t="s">
        <v>6</v>
      </c>
      <c r="G439" s="183">
        <v>45747</v>
      </c>
      <c r="H439" s="173"/>
      <c r="I439" s="100" t="s">
        <v>125</v>
      </c>
      <c r="J439" s="27"/>
      <c r="K439" s="28"/>
      <c r="L439" s="51"/>
      <c r="M439" s="29"/>
      <c r="N439" s="30"/>
      <c r="O439" s="54"/>
      <c r="P439" s="83">
        <v>45750</v>
      </c>
      <c r="Q439" s="89">
        <f t="shared" si="7"/>
        <v>1.0000655780706931</v>
      </c>
      <c r="R439" s="101"/>
      <c r="S439" s="56"/>
    </row>
    <row r="440" spans="1:19" ht="57.6" x14ac:dyDescent="0.3">
      <c r="A440" s="96">
        <v>438</v>
      </c>
      <c r="B440" s="135">
        <v>1550</v>
      </c>
      <c r="C440" s="136">
        <v>45733</v>
      </c>
      <c r="D440" s="109" t="s">
        <v>1783</v>
      </c>
      <c r="E440" s="126" t="s">
        <v>48</v>
      </c>
      <c r="F440" s="127" t="s">
        <v>4</v>
      </c>
      <c r="G440" s="183">
        <v>45733</v>
      </c>
      <c r="H440" s="137"/>
      <c r="I440" s="100" t="s">
        <v>1315</v>
      </c>
      <c r="J440" s="27"/>
      <c r="K440" s="28"/>
      <c r="L440" s="51"/>
      <c r="M440" s="29"/>
      <c r="N440" s="30"/>
      <c r="O440" s="54"/>
      <c r="P440" s="83">
        <v>45751</v>
      </c>
      <c r="Q440" s="89"/>
      <c r="R440" s="101"/>
      <c r="S440" s="168" t="s">
        <v>1784</v>
      </c>
    </row>
    <row r="441" spans="1:19" ht="57.6" x14ac:dyDescent="0.3">
      <c r="A441" s="96">
        <v>439</v>
      </c>
      <c r="B441" s="135">
        <v>1550</v>
      </c>
      <c r="C441" s="136">
        <v>45744</v>
      </c>
      <c r="D441" s="161" t="s">
        <v>1785</v>
      </c>
      <c r="E441" s="111" t="s">
        <v>1326</v>
      </c>
      <c r="F441" s="125" t="s">
        <v>4</v>
      </c>
      <c r="G441" s="183">
        <v>45744</v>
      </c>
      <c r="H441" s="137"/>
      <c r="I441" s="100" t="s">
        <v>1315</v>
      </c>
      <c r="J441" s="27"/>
      <c r="K441" s="28"/>
      <c r="L441" s="51"/>
      <c r="M441" s="29"/>
      <c r="N441" s="30"/>
      <c r="O441" s="54"/>
      <c r="P441" s="83">
        <v>45751</v>
      </c>
      <c r="Q441" s="89">
        <f t="shared" ref="Q441:Q452" si="8">P441/G441</f>
        <v>1.0001530255334032</v>
      </c>
      <c r="R441" s="101"/>
      <c r="S441" s="56"/>
    </row>
    <row r="442" spans="1:19" ht="43.2" x14ac:dyDescent="0.3">
      <c r="A442" s="96">
        <v>440</v>
      </c>
      <c r="B442" s="123" t="s">
        <v>80</v>
      </c>
      <c r="C442" s="124">
        <v>45747</v>
      </c>
      <c r="D442" s="60" t="s">
        <v>1786</v>
      </c>
      <c r="E442" s="126" t="s">
        <v>25</v>
      </c>
      <c r="F442" s="125" t="s">
        <v>10</v>
      </c>
      <c r="G442" s="183">
        <v>45747</v>
      </c>
      <c r="H442" s="134">
        <v>10000278644</v>
      </c>
      <c r="I442" s="125" t="s">
        <v>135</v>
      </c>
      <c r="J442" s="27"/>
      <c r="K442" s="28"/>
      <c r="L442" s="51"/>
      <c r="M442" s="29"/>
      <c r="N442" s="30"/>
      <c r="O442" s="54"/>
      <c r="P442" s="83">
        <v>45751</v>
      </c>
      <c r="Q442" s="89">
        <f t="shared" si="8"/>
        <v>1.000087437427591</v>
      </c>
      <c r="R442" s="101" t="s">
        <v>749</v>
      </c>
      <c r="S442" s="56"/>
    </row>
    <row r="443" spans="1:19" ht="72" x14ac:dyDescent="0.3">
      <c r="A443" s="96">
        <v>441</v>
      </c>
      <c r="B443" s="135" t="s">
        <v>80</v>
      </c>
      <c r="C443" s="136">
        <v>45726</v>
      </c>
      <c r="D443" s="98" t="s">
        <v>1787</v>
      </c>
      <c r="E443" s="151" t="s">
        <v>3</v>
      </c>
      <c r="F443" s="127" t="s">
        <v>10</v>
      </c>
      <c r="G443" s="183">
        <v>45726</v>
      </c>
      <c r="H443" s="49">
        <v>10000272966</v>
      </c>
      <c r="I443" s="100" t="s">
        <v>82</v>
      </c>
      <c r="J443" s="27"/>
      <c r="K443" s="28"/>
      <c r="L443" s="51"/>
      <c r="M443" s="29"/>
      <c r="N443" s="30"/>
      <c r="O443" s="54"/>
      <c r="P443" s="83">
        <v>45755</v>
      </c>
      <c r="Q443" s="89">
        <f t="shared" si="8"/>
        <v>1.0006342124830512</v>
      </c>
      <c r="R443" s="101" t="s">
        <v>749</v>
      </c>
      <c r="S443" s="56"/>
    </row>
    <row r="444" spans="1:19" ht="57.6" x14ac:dyDescent="0.3">
      <c r="A444" s="96">
        <v>442</v>
      </c>
      <c r="B444" s="135" t="s">
        <v>80</v>
      </c>
      <c r="C444" s="136">
        <v>45741</v>
      </c>
      <c r="D444" s="337" t="s">
        <v>1788</v>
      </c>
      <c r="E444" s="111" t="s">
        <v>3</v>
      </c>
      <c r="F444" s="125" t="s">
        <v>10</v>
      </c>
      <c r="G444" s="183">
        <v>45741</v>
      </c>
      <c r="H444" s="137"/>
      <c r="I444" s="100" t="s">
        <v>82</v>
      </c>
      <c r="J444" s="27"/>
      <c r="K444" s="28"/>
      <c r="L444" s="51"/>
      <c r="M444" s="29"/>
      <c r="N444" s="30"/>
      <c r="O444" s="54"/>
      <c r="P444" s="83">
        <v>45758</v>
      </c>
      <c r="Q444" s="89">
        <f t="shared" si="8"/>
        <v>1.0003716578124657</v>
      </c>
      <c r="R444" s="101" t="s">
        <v>1319</v>
      </c>
      <c r="S444" s="56"/>
    </row>
    <row r="445" spans="1:19" ht="57.6" x14ac:dyDescent="0.3">
      <c r="A445" s="96">
        <v>443</v>
      </c>
      <c r="B445" s="135" t="s">
        <v>80</v>
      </c>
      <c r="C445" s="136">
        <v>45734</v>
      </c>
      <c r="D445" s="109" t="s">
        <v>1789</v>
      </c>
      <c r="E445" s="111" t="s">
        <v>25</v>
      </c>
      <c r="F445" s="127" t="s">
        <v>10</v>
      </c>
      <c r="G445" s="183">
        <v>45734</v>
      </c>
      <c r="H445" s="137">
        <v>10000275445</v>
      </c>
      <c r="I445" s="125" t="s">
        <v>135</v>
      </c>
      <c r="J445" s="27"/>
      <c r="K445" s="28"/>
      <c r="L445" s="51"/>
      <c r="M445" s="29"/>
      <c r="N445" s="30"/>
      <c r="O445" s="54"/>
      <c r="P445" s="83">
        <v>45761</v>
      </c>
      <c r="Q445" s="89">
        <f t="shared" si="8"/>
        <v>1.0005903704027639</v>
      </c>
      <c r="R445" s="101" t="s">
        <v>1319</v>
      </c>
      <c r="S445" s="56"/>
    </row>
    <row r="446" spans="1:19" ht="86.4" x14ac:dyDescent="0.3">
      <c r="A446" s="96">
        <v>444</v>
      </c>
      <c r="B446" s="135" t="s">
        <v>80</v>
      </c>
      <c r="C446" s="136">
        <v>45723</v>
      </c>
      <c r="D446" s="109" t="s">
        <v>1790</v>
      </c>
      <c r="E446" s="111" t="s">
        <v>17</v>
      </c>
      <c r="F446" s="127" t="s">
        <v>10</v>
      </c>
      <c r="G446" s="183">
        <v>45723</v>
      </c>
      <c r="H446" s="49">
        <v>10000273305</v>
      </c>
      <c r="I446" s="100" t="s">
        <v>82</v>
      </c>
      <c r="J446" s="27"/>
      <c r="K446" s="28"/>
      <c r="L446" s="51"/>
      <c r="M446" s="29"/>
      <c r="N446" s="30"/>
      <c r="O446" s="54"/>
      <c r="P446" s="132">
        <v>45768</v>
      </c>
      <c r="Q446" s="89">
        <f t="shared" si="8"/>
        <v>1.0009841873892789</v>
      </c>
      <c r="R446" s="101" t="s">
        <v>1319</v>
      </c>
      <c r="S446" s="56"/>
    </row>
    <row r="447" spans="1:19" ht="72" x14ac:dyDescent="0.3">
      <c r="A447" s="96">
        <v>445</v>
      </c>
      <c r="B447" s="135" t="s">
        <v>80</v>
      </c>
      <c r="C447" s="136">
        <v>45723</v>
      </c>
      <c r="D447" s="213" t="s">
        <v>1791</v>
      </c>
      <c r="E447" s="111" t="s">
        <v>17</v>
      </c>
      <c r="F447" s="127" t="s">
        <v>10</v>
      </c>
      <c r="G447" s="183">
        <v>45723</v>
      </c>
      <c r="H447" s="173">
        <v>10000273302</v>
      </c>
      <c r="I447" s="100" t="s">
        <v>82</v>
      </c>
      <c r="J447" s="233"/>
      <c r="K447" s="231"/>
      <c r="L447" s="232"/>
      <c r="M447" s="130"/>
      <c r="N447" s="130"/>
      <c r="O447" s="131"/>
      <c r="P447" s="132">
        <v>45768</v>
      </c>
      <c r="Q447" s="89">
        <f t="shared" si="8"/>
        <v>1.0009841873892789</v>
      </c>
      <c r="R447" s="101" t="s">
        <v>1332</v>
      </c>
      <c r="S447" s="168"/>
    </row>
    <row r="448" spans="1:19" ht="43.2" x14ac:dyDescent="0.3">
      <c r="A448" s="96">
        <v>446</v>
      </c>
      <c r="B448" s="135" t="s">
        <v>80</v>
      </c>
      <c r="C448" s="136">
        <v>45727</v>
      </c>
      <c r="D448" s="110" t="s">
        <v>1792</v>
      </c>
      <c r="E448" s="111" t="s">
        <v>17</v>
      </c>
      <c r="F448" s="125" t="s">
        <v>10</v>
      </c>
      <c r="G448" s="183">
        <v>45727</v>
      </c>
      <c r="H448" s="49">
        <v>10000273870</v>
      </c>
      <c r="I448" s="100" t="s">
        <v>82</v>
      </c>
      <c r="J448" s="27"/>
      <c r="K448" s="28"/>
      <c r="L448" s="51"/>
      <c r="M448" s="29"/>
      <c r="N448" s="30"/>
      <c r="O448" s="54"/>
      <c r="P448" s="83">
        <v>45768</v>
      </c>
      <c r="Q448" s="89">
        <f t="shared" si="8"/>
        <v>1.0008966256259977</v>
      </c>
      <c r="R448" s="101" t="s">
        <v>1319</v>
      </c>
      <c r="S448" s="56"/>
    </row>
    <row r="449" spans="1:19" ht="100.8" x14ac:dyDescent="0.3">
      <c r="A449" s="96">
        <v>447</v>
      </c>
      <c r="B449" s="135" t="s">
        <v>80</v>
      </c>
      <c r="C449" s="136">
        <v>45740</v>
      </c>
      <c r="D449" s="110" t="s">
        <v>1793</v>
      </c>
      <c r="E449" s="111" t="s">
        <v>17</v>
      </c>
      <c r="F449" s="127" t="s">
        <v>10</v>
      </c>
      <c r="G449" s="183">
        <v>45740</v>
      </c>
      <c r="H449" s="137">
        <v>10000277386</v>
      </c>
      <c r="I449" s="100" t="s">
        <v>82</v>
      </c>
      <c r="J449" s="27"/>
      <c r="K449" s="28"/>
      <c r="L449" s="51"/>
      <c r="M449" s="29"/>
      <c r="N449" s="30"/>
      <c r="O449" s="54"/>
      <c r="P449" s="83">
        <v>45768</v>
      </c>
      <c r="Q449" s="89">
        <f t="shared" si="8"/>
        <v>1.0006121556624399</v>
      </c>
      <c r="R449" s="101" t="s">
        <v>1319</v>
      </c>
      <c r="S449" s="56" t="s">
        <v>1708</v>
      </c>
    </row>
    <row r="450" spans="1:19" ht="86.4" x14ac:dyDescent="0.3">
      <c r="A450" s="96">
        <v>448</v>
      </c>
      <c r="B450" s="135" t="s">
        <v>80</v>
      </c>
      <c r="C450" s="136">
        <v>45742</v>
      </c>
      <c r="D450" s="212" t="s">
        <v>1794</v>
      </c>
      <c r="E450" s="111" t="s">
        <v>17</v>
      </c>
      <c r="F450" s="125" t="s">
        <v>10</v>
      </c>
      <c r="G450" s="183">
        <v>45742</v>
      </c>
      <c r="H450" s="137">
        <v>10000279022</v>
      </c>
      <c r="I450" s="100" t="s">
        <v>82</v>
      </c>
      <c r="J450" s="27"/>
      <c r="K450" s="28"/>
      <c r="L450" s="51"/>
      <c r="M450" s="29"/>
      <c r="N450" s="30"/>
      <c r="O450" s="54"/>
      <c r="P450" s="83">
        <v>45768</v>
      </c>
      <c r="Q450" s="89">
        <f t="shared" si="8"/>
        <v>1.0005684054042236</v>
      </c>
      <c r="R450" s="101" t="s">
        <v>1769</v>
      </c>
      <c r="S450" s="56"/>
    </row>
    <row r="451" spans="1:19" ht="115.2" x14ac:dyDescent="0.3">
      <c r="A451" s="96">
        <v>449</v>
      </c>
      <c r="B451" s="135" t="s">
        <v>80</v>
      </c>
      <c r="C451" s="136">
        <v>45743</v>
      </c>
      <c r="D451" s="212" t="s">
        <v>1795</v>
      </c>
      <c r="E451" s="111" t="s">
        <v>17</v>
      </c>
      <c r="F451" s="125" t="s">
        <v>10</v>
      </c>
      <c r="G451" s="183">
        <v>45743</v>
      </c>
      <c r="H451" s="137">
        <v>10000279017</v>
      </c>
      <c r="I451" s="100" t="s">
        <v>82</v>
      </c>
      <c r="J451" s="128"/>
      <c r="K451" s="128"/>
      <c r="L451" s="129"/>
      <c r="M451" s="130"/>
      <c r="N451" s="130"/>
      <c r="O451" s="131"/>
      <c r="P451" s="83">
        <v>45768</v>
      </c>
      <c r="Q451" s="89">
        <f t="shared" si="8"/>
        <v>1.0005465317097697</v>
      </c>
      <c r="R451" s="101" t="s">
        <v>1319</v>
      </c>
      <c r="S451" s="168"/>
    </row>
    <row r="452" spans="1:19" ht="43.2" x14ac:dyDescent="0.3">
      <c r="A452" s="96">
        <v>450</v>
      </c>
      <c r="B452" s="123" t="s">
        <v>80</v>
      </c>
      <c r="C452" s="124">
        <v>45744</v>
      </c>
      <c r="D452" s="262" t="s">
        <v>1796</v>
      </c>
      <c r="E452" s="111" t="s">
        <v>17</v>
      </c>
      <c r="F452" s="125" t="s">
        <v>10</v>
      </c>
      <c r="G452" s="183">
        <v>45744</v>
      </c>
      <c r="H452" s="137">
        <v>10000279009</v>
      </c>
      <c r="I452" s="100" t="s">
        <v>82</v>
      </c>
      <c r="J452" s="128"/>
      <c r="K452" s="128"/>
      <c r="L452" s="129"/>
      <c r="M452" s="130"/>
      <c r="N452" s="130"/>
      <c r="O452" s="131"/>
      <c r="P452" s="132">
        <v>45768</v>
      </c>
      <c r="Q452" s="89">
        <f t="shared" si="8"/>
        <v>1.0005246589716683</v>
      </c>
      <c r="R452" s="101" t="s">
        <v>1729</v>
      </c>
      <c r="S452" s="168"/>
    </row>
    <row r="453" spans="1:19" ht="57.6" x14ac:dyDescent="0.3">
      <c r="A453" s="96">
        <v>451</v>
      </c>
      <c r="B453" s="135" t="s">
        <v>80</v>
      </c>
      <c r="C453" s="136">
        <v>45723</v>
      </c>
      <c r="D453" s="110" t="s">
        <v>1797</v>
      </c>
      <c r="E453" s="195" t="s">
        <v>39</v>
      </c>
      <c r="F453" s="125" t="s">
        <v>10</v>
      </c>
      <c r="G453" s="183">
        <v>45723</v>
      </c>
      <c r="H453" s="173">
        <v>10000272559</v>
      </c>
      <c r="I453" s="125" t="s">
        <v>135</v>
      </c>
      <c r="J453" s="128"/>
      <c r="K453" s="128"/>
      <c r="L453" s="129"/>
      <c r="M453" s="130"/>
      <c r="N453" s="130"/>
      <c r="O453" s="131"/>
      <c r="P453" s="132">
        <v>45785</v>
      </c>
      <c r="Q453" s="89">
        <f t="shared" ref="Q453:Q454" si="9">P453/G453</f>
        <v>1.0013559915141177</v>
      </c>
      <c r="R453" s="101" t="s">
        <v>1319</v>
      </c>
      <c r="S453" s="168"/>
    </row>
    <row r="454" spans="1:19" ht="72" x14ac:dyDescent="0.3">
      <c r="A454" s="96">
        <v>452</v>
      </c>
      <c r="B454" s="123" t="s">
        <v>80</v>
      </c>
      <c r="C454" s="206">
        <v>45728</v>
      </c>
      <c r="D454" s="213" t="s">
        <v>1798</v>
      </c>
      <c r="E454" s="126" t="s">
        <v>39</v>
      </c>
      <c r="F454" s="127" t="s">
        <v>10</v>
      </c>
      <c r="G454" s="183">
        <v>45728</v>
      </c>
      <c r="H454" s="134">
        <v>10000273846</v>
      </c>
      <c r="I454" s="100" t="s">
        <v>135</v>
      </c>
      <c r="J454" s="128"/>
      <c r="K454" s="128"/>
      <c r="L454" s="129"/>
      <c r="M454" s="130"/>
      <c r="N454" s="130"/>
      <c r="O454" s="131"/>
      <c r="P454" s="83">
        <v>45797</v>
      </c>
      <c r="Q454" s="89">
        <f t="shared" si="9"/>
        <v>1.0015089223233029</v>
      </c>
      <c r="R454" s="101" t="s">
        <v>1332</v>
      </c>
      <c r="S454" s="168"/>
    </row>
    <row r="457" spans="1:19" x14ac:dyDescent="0.3">
      <c r="D457" s="255"/>
    </row>
  </sheetData>
  <autoFilter ref="B2:S454" xr:uid="{0AAF3E4B-E41D-47BA-AAA6-F984464886FE}">
    <sortState xmlns:xlrd2="http://schemas.microsoft.com/office/spreadsheetml/2017/richdata2" ref="B3:S454">
      <sortCondition ref="P2:P454"/>
    </sortState>
  </autoFilter>
  <mergeCells count="1">
    <mergeCell ref="F1:O1"/>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896C8348-8ADA-4193-8E88-7152752F39BE}">
          <x14:formula1>
            <xm:f>'Conceptos de Tipificación'!$E$4:$E$7</xm:f>
          </x14:formula1>
          <xm:sqref>F3:F61 F63:F1048576</xm:sqref>
        </x14:dataValidation>
        <x14:dataValidation type="list" allowBlank="1" showInputMessage="1" showErrorMessage="1" xr:uid="{B9B87176-A620-419E-9677-AD83CCB5C173}">
          <x14:formula1>
            <xm:f>'Conceptos de Tipificación'!$A$3:$A$53</xm:f>
          </x14:formula1>
          <xm:sqref>E3:E1048576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E0377-1EE5-437F-8E35-391948F425B0}">
  <sheetPr>
    <tabColor rgb="FF92D050"/>
  </sheetPr>
  <dimension ref="A1:S428"/>
  <sheetViews>
    <sheetView workbookViewId="0">
      <selection activeCell="B428" sqref="B428"/>
    </sheetView>
  </sheetViews>
  <sheetFormatPr baseColWidth="10" defaultColWidth="9.109375" defaultRowHeight="14.4" x14ac:dyDescent="0.3"/>
  <cols>
    <col min="1" max="1" width="5.88671875" customWidth="1"/>
    <col min="2" max="2" width="14.88671875" customWidth="1"/>
    <col min="3" max="3" width="12.33203125" bestFit="1" customWidth="1"/>
    <col min="4" max="4" width="42.44140625" customWidth="1"/>
    <col min="5" max="5" width="14.44140625" customWidth="1"/>
    <col min="6" max="6" width="14.33203125" customWidth="1"/>
    <col min="7" max="7" width="11.44140625" bestFit="1" customWidth="1"/>
    <col min="8" max="8" width="13.33203125" bestFit="1" customWidth="1"/>
    <col min="9" max="9" width="26" bestFit="1" customWidth="1"/>
    <col min="10" max="15" width="13.33203125" customWidth="1"/>
    <col min="16" max="16" width="17.44140625" customWidth="1"/>
    <col min="17" max="17" width="12.44140625" customWidth="1"/>
    <col min="18" max="18" width="15.44140625" customWidth="1"/>
    <col min="19" max="19" width="39.109375" customWidth="1"/>
  </cols>
  <sheetData>
    <row r="1" spans="1:19" x14ac:dyDescent="0.3">
      <c r="B1" s="32"/>
      <c r="C1" s="42"/>
      <c r="D1" s="273"/>
      <c r="E1" s="41"/>
      <c r="F1" s="854" t="s">
        <v>65</v>
      </c>
      <c r="G1" s="855"/>
      <c r="H1" s="855"/>
      <c r="I1" s="855"/>
      <c r="J1" s="855"/>
      <c r="K1" s="855"/>
      <c r="L1" s="855"/>
      <c r="M1" s="855"/>
      <c r="N1" s="855"/>
      <c r="O1" s="856"/>
      <c r="P1" s="34"/>
      <c r="Q1" s="70"/>
      <c r="R1" s="70"/>
      <c r="S1" s="46"/>
    </row>
    <row r="2" spans="1:19" ht="43.2" x14ac:dyDescent="0.3">
      <c r="B2" s="44" t="s">
        <v>66</v>
      </c>
      <c r="C2" s="236" t="s">
        <v>67</v>
      </c>
      <c r="D2" s="67" t="s">
        <v>68</v>
      </c>
      <c r="E2" s="272" t="s">
        <v>69</v>
      </c>
      <c r="F2" s="237" t="s">
        <v>70</v>
      </c>
      <c r="G2" s="2" t="s">
        <v>71</v>
      </c>
      <c r="H2" s="3" t="s">
        <v>72</v>
      </c>
      <c r="I2" s="39" t="s">
        <v>73</v>
      </c>
      <c r="J2" s="13" t="s">
        <v>74</v>
      </c>
      <c r="K2" s="14" t="s">
        <v>71</v>
      </c>
      <c r="L2" s="15" t="s">
        <v>73</v>
      </c>
      <c r="M2" s="6" t="s">
        <v>75</v>
      </c>
      <c r="N2" s="7" t="s">
        <v>71</v>
      </c>
      <c r="O2" s="8" t="s">
        <v>73</v>
      </c>
      <c r="P2" s="64" t="s">
        <v>76</v>
      </c>
      <c r="Q2" s="67" t="s">
        <v>77</v>
      </c>
      <c r="R2" s="67" t="s">
        <v>78</v>
      </c>
      <c r="S2" s="68" t="s">
        <v>79</v>
      </c>
    </row>
    <row r="3" spans="1:19" x14ac:dyDescent="0.3">
      <c r="A3" s="96">
        <v>1</v>
      </c>
      <c r="B3" s="86" t="s">
        <v>1044</v>
      </c>
      <c r="C3" s="253">
        <v>45748</v>
      </c>
      <c r="D3" s="268" t="s">
        <v>1799</v>
      </c>
      <c r="E3" s="93" t="s">
        <v>17</v>
      </c>
      <c r="F3" s="79" t="s">
        <v>4</v>
      </c>
      <c r="G3" s="183">
        <v>45748</v>
      </c>
      <c r="H3" s="4">
        <v>10000278997</v>
      </c>
      <c r="I3" s="37" t="s">
        <v>82</v>
      </c>
      <c r="J3" s="20"/>
      <c r="K3" s="16"/>
      <c r="L3" s="17"/>
      <c r="M3" s="22"/>
      <c r="N3" s="9"/>
      <c r="O3" s="10"/>
      <c r="P3" s="83">
        <v>45748</v>
      </c>
      <c r="Q3" s="89">
        <f t="shared" ref="Q3:Q34" si="0">P3/G3</f>
        <v>1</v>
      </c>
      <c r="R3" s="101" t="s">
        <v>1800</v>
      </c>
      <c r="S3" s="56" t="s">
        <v>1801</v>
      </c>
    </row>
    <row r="4" spans="1:19" ht="28.8" x14ac:dyDescent="0.3">
      <c r="A4" s="96">
        <v>2</v>
      </c>
      <c r="B4" s="86">
        <v>1550</v>
      </c>
      <c r="C4" s="253">
        <v>45748</v>
      </c>
      <c r="D4" s="268" t="s">
        <v>1802</v>
      </c>
      <c r="E4" s="93" t="s">
        <v>33</v>
      </c>
      <c r="F4" s="80" t="s">
        <v>8</v>
      </c>
      <c r="G4" s="183">
        <v>45748</v>
      </c>
      <c r="H4" s="4"/>
      <c r="I4" s="100" t="s">
        <v>99</v>
      </c>
      <c r="J4" s="21"/>
      <c r="K4" s="18"/>
      <c r="L4" s="19"/>
      <c r="M4" s="23"/>
      <c r="N4" s="11"/>
      <c r="O4" s="12"/>
      <c r="P4" s="83">
        <v>45748</v>
      </c>
      <c r="Q4" s="89">
        <f t="shared" si="0"/>
        <v>1</v>
      </c>
      <c r="R4" s="101" t="s">
        <v>270</v>
      </c>
      <c r="S4" s="66"/>
    </row>
    <row r="5" spans="1:19" ht="28.8" x14ac:dyDescent="0.3">
      <c r="A5" s="96">
        <v>3</v>
      </c>
      <c r="B5" s="152">
        <v>1550</v>
      </c>
      <c r="C5" s="103">
        <v>45748</v>
      </c>
      <c r="D5" s="268" t="s">
        <v>1803</v>
      </c>
      <c r="E5" s="48" t="s">
        <v>21</v>
      </c>
      <c r="F5" s="145" t="s">
        <v>8</v>
      </c>
      <c r="G5" s="183">
        <v>45748</v>
      </c>
      <c r="H5" s="5"/>
      <c r="I5" s="107" t="s">
        <v>129</v>
      </c>
      <c r="J5" s="21"/>
      <c r="K5" s="18"/>
      <c r="L5" s="19"/>
      <c r="M5" s="23"/>
      <c r="N5" s="11"/>
      <c r="O5" s="12"/>
      <c r="P5" s="65">
        <v>45748</v>
      </c>
      <c r="Q5" s="89">
        <f t="shared" si="0"/>
        <v>1</v>
      </c>
      <c r="R5" s="101" t="s">
        <v>138</v>
      </c>
      <c r="S5" s="66"/>
    </row>
    <row r="6" spans="1:19" ht="57.6" x14ac:dyDescent="0.3">
      <c r="A6" s="96">
        <v>4</v>
      </c>
      <c r="B6" s="152" t="s">
        <v>1044</v>
      </c>
      <c r="C6" s="103">
        <v>45748</v>
      </c>
      <c r="D6" s="269" t="s">
        <v>1804</v>
      </c>
      <c r="E6" s="48" t="s">
        <v>1314</v>
      </c>
      <c r="F6" s="145" t="s">
        <v>4</v>
      </c>
      <c r="G6" s="183">
        <v>45748</v>
      </c>
      <c r="H6" s="5"/>
      <c r="I6" s="100" t="s">
        <v>99</v>
      </c>
      <c r="J6" s="154"/>
      <c r="K6" s="155"/>
      <c r="L6" s="156"/>
      <c r="M6" s="157"/>
      <c r="N6" s="158"/>
      <c r="O6" s="159"/>
      <c r="P6" s="65">
        <v>45748</v>
      </c>
      <c r="Q6" s="89">
        <f t="shared" si="0"/>
        <v>1</v>
      </c>
      <c r="R6" s="101"/>
      <c r="S6" s="66"/>
    </row>
    <row r="7" spans="1:19" ht="129.6" x14ac:dyDescent="0.3">
      <c r="A7" s="96">
        <v>5</v>
      </c>
      <c r="B7" s="87">
        <v>1550</v>
      </c>
      <c r="C7" s="103">
        <v>45748</v>
      </c>
      <c r="D7" s="395" t="s">
        <v>1805</v>
      </c>
      <c r="E7" s="93" t="s">
        <v>1</v>
      </c>
      <c r="F7" s="80" t="s">
        <v>10</v>
      </c>
      <c r="G7" s="183">
        <v>45748</v>
      </c>
      <c r="H7" s="5"/>
      <c r="I7" s="100" t="s">
        <v>174</v>
      </c>
      <c r="J7" s="21"/>
      <c r="K7" s="18"/>
      <c r="L7" s="19"/>
      <c r="M7" s="23"/>
      <c r="N7" s="11"/>
      <c r="O7" s="12"/>
      <c r="P7" s="65">
        <v>45748</v>
      </c>
      <c r="Q7" s="89">
        <f t="shared" si="0"/>
        <v>1</v>
      </c>
      <c r="R7" s="101" t="s">
        <v>1806</v>
      </c>
      <c r="S7" s="66"/>
    </row>
    <row r="8" spans="1:19" ht="115.2" x14ac:dyDescent="0.3">
      <c r="A8" s="96">
        <v>6</v>
      </c>
      <c r="B8" s="87">
        <v>1550</v>
      </c>
      <c r="C8" s="103">
        <v>45748</v>
      </c>
      <c r="D8" s="395" t="s">
        <v>1807</v>
      </c>
      <c r="E8" s="93" t="s">
        <v>1</v>
      </c>
      <c r="F8" s="80" t="s">
        <v>10</v>
      </c>
      <c r="G8" s="183">
        <v>45748</v>
      </c>
      <c r="H8" s="146"/>
      <c r="I8" s="100" t="s">
        <v>125</v>
      </c>
      <c r="J8" s="154"/>
      <c r="K8" s="155"/>
      <c r="L8" s="156"/>
      <c r="M8" s="157"/>
      <c r="N8" s="158"/>
      <c r="O8" s="159"/>
      <c r="P8" s="65">
        <v>45748</v>
      </c>
      <c r="Q8" s="89">
        <f t="shared" si="0"/>
        <v>1</v>
      </c>
      <c r="R8" s="101" t="s">
        <v>1729</v>
      </c>
      <c r="S8" s="256"/>
    </row>
    <row r="9" spans="1:19" ht="28.8" x14ac:dyDescent="0.3">
      <c r="A9" s="96">
        <v>7</v>
      </c>
      <c r="B9" s="87">
        <v>1550</v>
      </c>
      <c r="C9" s="103">
        <v>45748</v>
      </c>
      <c r="D9" s="395" t="s">
        <v>1808</v>
      </c>
      <c r="E9" s="48" t="s">
        <v>23</v>
      </c>
      <c r="F9" s="80" t="s">
        <v>10</v>
      </c>
      <c r="G9" s="183">
        <v>45748</v>
      </c>
      <c r="H9" s="5"/>
      <c r="I9" s="100" t="s">
        <v>135</v>
      </c>
      <c r="J9" s="21"/>
      <c r="K9" s="18"/>
      <c r="L9" s="19"/>
      <c r="M9" s="23"/>
      <c r="N9" s="11"/>
      <c r="O9" s="12"/>
      <c r="P9" s="65">
        <v>45748</v>
      </c>
      <c r="Q9" s="89">
        <f t="shared" si="0"/>
        <v>1</v>
      </c>
      <c r="R9" s="101" t="s">
        <v>214</v>
      </c>
      <c r="S9" s="160"/>
    </row>
    <row r="10" spans="1:19" ht="57.6" x14ac:dyDescent="0.3">
      <c r="A10" s="96">
        <v>8</v>
      </c>
      <c r="B10" s="152" t="s">
        <v>1044</v>
      </c>
      <c r="C10" s="103">
        <v>45748</v>
      </c>
      <c r="D10" s="270" t="s">
        <v>1809</v>
      </c>
      <c r="E10" s="93" t="s">
        <v>1314</v>
      </c>
      <c r="F10" s="145" t="s">
        <v>4</v>
      </c>
      <c r="G10" s="183">
        <v>45748</v>
      </c>
      <c r="H10" s="5"/>
      <c r="I10" s="100" t="s">
        <v>99</v>
      </c>
      <c r="J10" s="154"/>
      <c r="K10" s="155"/>
      <c r="L10" s="156"/>
      <c r="M10" s="157"/>
      <c r="N10" s="158"/>
      <c r="O10" s="159"/>
      <c r="P10" s="65">
        <v>45749</v>
      </c>
      <c r="Q10" s="89">
        <f t="shared" si="0"/>
        <v>1.0000218588790766</v>
      </c>
      <c r="R10" s="101"/>
      <c r="S10" s="167"/>
    </row>
    <row r="11" spans="1:19" ht="57.6" x14ac:dyDescent="0.3">
      <c r="A11" s="96">
        <v>9</v>
      </c>
      <c r="B11" s="87">
        <v>1550</v>
      </c>
      <c r="C11" s="103">
        <v>45748</v>
      </c>
      <c r="D11" s="395" t="s">
        <v>1744</v>
      </c>
      <c r="E11" s="93" t="s">
        <v>1314</v>
      </c>
      <c r="F11" s="80" t="s">
        <v>10</v>
      </c>
      <c r="G11" s="183">
        <v>45748</v>
      </c>
      <c r="H11" s="5"/>
      <c r="I11" s="100" t="s">
        <v>99</v>
      </c>
      <c r="J11" s="21"/>
      <c r="K11" s="18"/>
      <c r="L11" s="19"/>
      <c r="M11" s="23"/>
      <c r="N11" s="11"/>
      <c r="O11" s="12"/>
      <c r="P11" s="65">
        <v>45749</v>
      </c>
      <c r="Q11" s="89">
        <f t="shared" si="0"/>
        <v>1.0000218588790766</v>
      </c>
      <c r="R11" s="101" t="s">
        <v>216</v>
      </c>
      <c r="S11" s="66"/>
    </row>
    <row r="12" spans="1:19" ht="57.6" x14ac:dyDescent="0.3">
      <c r="A12" s="96">
        <v>10</v>
      </c>
      <c r="B12" s="87">
        <v>1550</v>
      </c>
      <c r="C12" s="103">
        <v>45748</v>
      </c>
      <c r="D12" s="270" t="s">
        <v>1810</v>
      </c>
      <c r="E12" s="93" t="s">
        <v>39</v>
      </c>
      <c r="F12" s="80" t="s">
        <v>6</v>
      </c>
      <c r="G12" s="183">
        <v>45749</v>
      </c>
      <c r="H12" s="5">
        <v>10000279194</v>
      </c>
      <c r="I12" s="102" t="s">
        <v>135</v>
      </c>
      <c r="J12" s="21"/>
      <c r="K12" s="18"/>
      <c r="L12" s="19"/>
      <c r="M12" s="23"/>
      <c r="N12" s="11"/>
      <c r="O12" s="12"/>
      <c r="P12" s="65">
        <v>45749</v>
      </c>
      <c r="Q12" s="89">
        <f t="shared" si="0"/>
        <v>1</v>
      </c>
      <c r="R12" s="101" t="s">
        <v>1811</v>
      </c>
      <c r="S12" s="66"/>
    </row>
    <row r="13" spans="1:19" ht="57.6" x14ac:dyDescent="0.3">
      <c r="A13" s="96">
        <v>11</v>
      </c>
      <c r="B13" s="87">
        <v>1550</v>
      </c>
      <c r="C13" s="103">
        <v>45749</v>
      </c>
      <c r="D13" s="270" t="s">
        <v>1812</v>
      </c>
      <c r="E13" s="93" t="s">
        <v>57</v>
      </c>
      <c r="F13" s="80" t="s">
        <v>6</v>
      </c>
      <c r="G13" s="183">
        <v>45749</v>
      </c>
      <c r="H13" s="5"/>
      <c r="I13" s="100" t="s">
        <v>253</v>
      </c>
      <c r="J13" s="21"/>
      <c r="K13" s="18"/>
      <c r="L13" s="19"/>
      <c r="M13" s="23"/>
      <c r="N13" s="11"/>
      <c r="O13" s="12"/>
      <c r="P13" s="65">
        <v>45749</v>
      </c>
      <c r="Q13" s="89">
        <f t="shared" si="0"/>
        <v>1</v>
      </c>
      <c r="R13" s="101" t="s">
        <v>1813</v>
      </c>
      <c r="S13" s="66"/>
    </row>
    <row r="14" spans="1:19" ht="43.2" x14ac:dyDescent="0.3">
      <c r="A14" s="96">
        <v>12</v>
      </c>
      <c r="B14" s="87">
        <v>1550</v>
      </c>
      <c r="C14" s="103">
        <v>45749</v>
      </c>
      <c r="D14" s="391" t="s">
        <v>1814</v>
      </c>
      <c r="E14" s="93" t="s">
        <v>49</v>
      </c>
      <c r="F14" s="80" t="s">
        <v>4</v>
      </c>
      <c r="G14" s="183">
        <v>45749</v>
      </c>
      <c r="H14" s="5"/>
      <c r="I14" s="100" t="s">
        <v>266</v>
      </c>
      <c r="J14" s="154"/>
      <c r="K14" s="155"/>
      <c r="L14" s="156"/>
      <c r="M14" s="157"/>
      <c r="N14" s="158"/>
      <c r="O14" s="159"/>
      <c r="P14" s="65">
        <v>45749</v>
      </c>
      <c r="Q14" s="89">
        <f t="shared" si="0"/>
        <v>1</v>
      </c>
      <c r="R14" s="101"/>
      <c r="S14" s="160"/>
    </row>
    <row r="15" spans="1:19" ht="72" x14ac:dyDescent="0.3">
      <c r="A15" s="96">
        <v>13</v>
      </c>
      <c r="B15" s="87">
        <v>1550</v>
      </c>
      <c r="C15" s="103">
        <v>45749</v>
      </c>
      <c r="D15" s="270" t="s">
        <v>1815</v>
      </c>
      <c r="E15" s="93" t="s">
        <v>1</v>
      </c>
      <c r="F15" s="80" t="s">
        <v>6</v>
      </c>
      <c r="G15" s="183">
        <v>45749</v>
      </c>
      <c r="H15" s="5"/>
      <c r="I15" s="100" t="s">
        <v>125</v>
      </c>
      <c r="J15" s="21"/>
      <c r="K15" s="18"/>
      <c r="L15" s="19"/>
      <c r="M15" s="23"/>
      <c r="N15" s="11"/>
      <c r="O15" s="12"/>
      <c r="P15" s="65">
        <v>45749</v>
      </c>
      <c r="Q15" s="89">
        <f t="shared" si="0"/>
        <v>1</v>
      </c>
      <c r="R15" s="101" t="s">
        <v>1816</v>
      </c>
      <c r="S15" s="66"/>
    </row>
    <row r="16" spans="1:19" ht="57.6" x14ac:dyDescent="0.3">
      <c r="A16" s="96">
        <v>14</v>
      </c>
      <c r="B16" s="87">
        <v>1550</v>
      </c>
      <c r="C16" s="103">
        <v>45749</v>
      </c>
      <c r="D16" s="270" t="s">
        <v>1817</v>
      </c>
      <c r="E16" s="93" t="s">
        <v>1326</v>
      </c>
      <c r="F16" s="80" t="s">
        <v>6</v>
      </c>
      <c r="G16" s="183">
        <v>45749</v>
      </c>
      <c r="H16" s="5"/>
      <c r="I16" s="100" t="s">
        <v>99</v>
      </c>
      <c r="J16" s="21"/>
      <c r="K16" s="18"/>
      <c r="L16" s="19"/>
      <c r="M16" s="23"/>
      <c r="N16" s="11"/>
      <c r="O16" s="12"/>
      <c r="P16" s="65">
        <v>45749</v>
      </c>
      <c r="Q16" s="89">
        <f t="shared" si="0"/>
        <v>1</v>
      </c>
      <c r="R16" s="101" t="s">
        <v>1816</v>
      </c>
      <c r="S16" s="66"/>
    </row>
    <row r="17" spans="1:19" ht="43.2" x14ac:dyDescent="0.3">
      <c r="A17" s="96">
        <v>15</v>
      </c>
      <c r="B17" s="87">
        <v>1550</v>
      </c>
      <c r="C17" s="103">
        <v>45749</v>
      </c>
      <c r="D17" s="343" t="s">
        <v>1818</v>
      </c>
      <c r="E17" s="93" t="s">
        <v>49</v>
      </c>
      <c r="F17" s="145" t="s">
        <v>4</v>
      </c>
      <c r="G17" s="183">
        <v>45749</v>
      </c>
      <c r="H17" s="5"/>
      <c r="I17" s="100" t="s">
        <v>266</v>
      </c>
      <c r="J17" s="21"/>
      <c r="K17" s="18"/>
      <c r="L17" s="19"/>
      <c r="M17" s="23"/>
      <c r="N17" s="11"/>
      <c r="O17" s="12"/>
      <c r="P17" s="65">
        <v>45749</v>
      </c>
      <c r="Q17" s="89">
        <f t="shared" si="0"/>
        <v>1</v>
      </c>
      <c r="R17" s="101"/>
      <c r="S17" s="160"/>
    </row>
    <row r="18" spans="1:19" ht="43.2" x14ac:dyDescent="0.3">
      <c r="A18" s="96">
        <v>16</v>
      </c>
      <c r="B18" s="87">
        <v>1550</v>
      </c>
      <c r="C18" s="103">
        <v>45749</v>
      </c>
      <c r="D18" s="110" t="s">
        <v>1819</v>
      </c>
      <c r="E18" s="93" t="s">
        <v>49</v>
      </c>
      <c r="F18" s="145" t="s">
        <v>4</v>
      </c>
      <c r="G18" s="183">
        <v>45749</v>
      </c>
      <c r="H18" s="5"/>
      <c r="I18" s="100" t="s">
        <v>266</v>
      </c>
      <c r="J18" s="154"/>
      <c r="K18" s="155"/>
      <c r="L18" s="156"/>
      <c r="M18" s="157"/>
      <c r="N18" s="158"/>
      <c r="O18" s="159"/>
      <c r="P18" s="65">
        <v>45749</v>
      </c>
      <c r="Q18" s="89">
        <f t="shared" si="0"/>
        <v>1</v>
      </c>
      <c r="R18" s="101"/>
      <c r="S18" s="160"/>
    </row>
    <row r="19" spans="1:19" ht="57.6" x14ac:dyDescent="0.3">
      <c r="A19" s="96">
        <v>17</v>
      </c>
      <c r="B19" s="87">
        <v>1550</v>
      </c>
      <c r="C19" s="103">
        <v>45749</v>
      </c>
      <c r="D19" s="262" t="s">
        <v>1820</v>
      </c>
      <c r="E19" s="266" t="s">
        <v>3</v>
      </c>
      <c r="F19" s="145" t="s">
        <v>10</v>
      </c>
      <c r="G19" s="183">
        <v>45749</v>
      </c>
      <c r="H19" s="5"/>
      <c r="I19" s="37" t="s">
        <v>82</v>
      </c>
      <c r="J19" s="154"/>
      <c r="K19" s="155"/>
      <c r="L19" s="156"/>
      <c r="M19" s="157"/>
      <c r="N19" s="158"/>
      <c r="O19" s="159"/>
      <c r="P19" s="65">
        <v>45749</v>
      </c>
      <c r="Q19" s="89">
        <f t="shared" si="0"/>
        <v>1</v>
      </c>
      <c r="R19" s="101" t="s">
        <v>1821</v>
      </c>
      <c r="S19" s="160"/>
    </row>
    <row r="20" spans="1:19" ht="57.6" x14ac:dyDescent="0.3">
      <c r="A20" s="96">
        <v>18</v>
      </c>
      <c r="B20" s="87">
        <v>1550</v>
      </c>
      <c r="C20" s="103">
        <v>45749</v>
      </c>
      <c r="D20" s="262" t="s">
        <v>1822</v>
      </c>
      <c r="E20" s="93" t="s">
        <v>3</v>
      </c>
      <c r="F20" s="145" t="s">
        <v>10</v>
      </c>
      <c r="G20" s="183">
        <v>45749</v>
      </c>
      <c r="H20" s="5"/>
      <c r="I20" s="37" t="s">
        <v>82</v>
      </c>
      <c r="J20" s="21"/>
      <c r="K20" s="18"/>
      <c r="L20" s="19"/>
      <c r="M20" s="23"/>
      <c r="N20" s="11"/>
      <c r="O20" s="12"/>
      <c r="P20" s="65">
        <v>45749</v>
      </c>
      <c r="Q20" s="89">
        <f t="shared" si="0"/>
        <v>1</v>
      </c>
      <c r="R20" s="101" t="s">
        <v>1823</v>
      </c>
      <c r="S20" s="66"/>
    </row>
    <row r="21" spans="1:19" ht="172.8" x14ac:dyDescent="0.3">
      <c r="A21" s="96">
        <v>19</v>
      </c>
      <c r="B21" s="87">
        <v>1550</v>
      </c>
      <c r="C21" s="103">
        <v>45749</v>
      </c>
      <c r="D21" s="262" t="s">
        <v>1824</v>
      </c>
      <c r="E21" s="266" t="s">
        <v>1</v>
      </c>
      <c r="F21" s="145" t="s">
        <v>10</v>
      </c>
      <c r="G21" s="183">
        <v>45749</v>
      </c>
      <c r="H21" s="5"/>
      <c r="I21" s="100" t="s">
        <v>129</v>
      </c>
      <c r="J21" s="21"/>
      <c r="K21" s="18"/>
      <c r="L21" s="19"/>
      <c r="M21" s="23"/>
      <c r="N21" s="11"/>
      <c r="O21" s="12"/>
      <c r="P21" s="65">
        <v>45749</v>
      </c>
      <c r="Q21" s="89">
        <f t="shared" si="0"/>
        <v>1</v>
      </c>
      <c r="R21" s="101" t="s">
        <v>1806</v>
      </c>
      <c r="S21" s="66"/>
    </row>
    <row r="22" spans="1:19" ht="28.8" x14ac:dyDescent="0.3">
      <c r="A22" s="96">
        <v>20</v>
      </c>
      <c r="B22" s="242" t="s">
        <v>1044</v>
      </c>
      <c r="C22" s="103">
        <v>45749</v>
      </c>
      <c r="D22" s="270" t="s">
        <v>1825</v>
      </c>
      <c r="E22" s="93" t="s">
        <v>1</v>
      </c>
      <c r="F22" s="80" t="s">
        <v>4</v>
      </c>
      <c r="G22" s="183">
        <v>45749</v>
      </c>
      <c r="H22" s="5"/>
      <c r="I22" s="102" t="s">
        <v>99</v>
      </c>
      <c r="J22" s="163" t="s">
        <v>262</v>
      </c>
      <c r="K22" s="155"/>
      <c r="L22" s="156"/>
      <c r="M22" s="157"/>
      <c r="N22" s="158"/>
      <c r="O22" s="159"/>
      <c r="P22" s="65">
        <v>45750</v>
      </c>
      <c r="Q22" s="89">
        <f t="shared" si="0"/>
        <v>1.0000218584012766</v>
      </c>
      <c r="R22" s="101"/>
      <c r="S22" s="160"/>
    </row>
    <row r="23" spans="1:19" ht="28.8" x14ac:dyDescent="0.3">
      <c r="A23" s="96">
        <v>21</v>
      </c>
      <c r="B23" s="87" t="s">
        <v>1826</v>
      </c>
      <c r="C23" s="103">
        <v>45749</v>
      </c>
      <c r="D23" s="270" t="s">
        <v>1827</v>
      </c>
      <c r="E23" s="179" t="s">
        <v>11</v>
      </c>
      <c r="F23" s="127" t="s">
        <v>4</v>
      </c>
      <c r="G23" s="183">
        <v>45749</v>
      </c>
      <c r="H23" s="137"/>
      <c r="I23" s="100" t="s">
        <v>99</v>
      </c>
      <c r="J23" s="21"/>
      <c r="K23" s="18"/>
      <c r="L23" s="19"/>
      <c r="M23" s="23"/>
      <c r="N23" s="11"/>
      <c r="O23" s="12"/>
      <c r="P23" s="65">
        <v>45750</v>
      </c>
      <c r="Q23" s="89">
        <f t="shared" si="0"/>
        <v>1.0000218584012766</v>
      </c>
      <c r="R23" s="101"/>
      <c r="S23" s="160"/>
    </row>
    <row r="24" spans="1:19" x14ac:dyDescent="0.3">
      <c r="A24" s="96">
        <v>22</v>
      </c>
      <c r="B24" s="87" t="s">
        <v>1044</v>
      </c>
      <c r="C24" s="103">
        <v>45749</v>
      </c>
      <c r="D24" s="270" t="s">
        <v>1828</v>
      </c>
      <c r="E24" s="179" t="s">
        <v>17</v>
      </c>
      <c r="F24" s="127" t="s">
        <v>4</v>
      </c>
      <c r="G24" s="183">
        <v>45749</v>
      </c>
      <c r="H24" s="137"/>
      <c r="I24" s="37" t="s">
        <v>82</v>
      </c>
      <c r="J24" s="21"/>
      <c r="K24" s="18"/>
      <c r="L24" s="19"/>
      <c r="M24" s="23"/>
      <c r="N24" s="11"/>
      <c r="O24" s="12"/>
      <c r="P24" s="65">
        <v>45750</v>
      </c>
      <c r="Q24" s="89">
        <f t="shared" si="0"/>
        <v>1.0000218584012766</v>
      </c>
      <c r="R24" s="101"/>
      <c r="S24" s="160"/>
    </row>
    <row r="25" spans="1:19" ht="144" x14ac:dyDescent="0.3">
      <c r="A25" s="96">
        <v>23</v>
      </c>
      <c r="B25" s="87">
        <v>1550</v>
      </c>
      <c r="C25" s="103">
        <v>45749</v>
      </c>
      <c r="D25" s="395" t="s">
        <v>1829</v>
      </c>
      <c r="E25" s="179" t="s">
        <v>1</v>
      </c>
      <c r="F25" s="127" t="s">
        <v>10</v>
      </c>
      <c r="G25" s="183">
        <v>45749</v>
      </c>
      <c r="H25" s="137"/>
      <c r="I25" s="100" t="s">
        <v>125</v>
      </c>
      <c r="J25" s="21"/>
      <c r="K25" s="18"/>
      <c r="L25" s="19"/>
      <c r="M25" s="23"/>
      <c r="N25" s="11"/>
      <c r="O25" s="12"/>
      <c r="P25" s="65">
        <v>45750</v>
      </c>
      <c r="Q25" s="89">
        <f t="shared" si="0"/>
        <v>1.0000218584012766</v>
      </c>
      <c r="R25" s="101" t="s">
        <v>1775</v>
      </c>
      <c r="S25" s="66"/>
    </row>
    <row r="26" spans="1:19" ht="28.8" x14ac:dyDescent="0.3">
      <c r="A26" s="96">
        <v>24</v>
      </c>
      <c r="B26" s="87">
        <v>1550</v>
      </c>
      <c r="C26" s="103">
        <v>45750</v>
      </c>
      <c r="D26" s="270" t="s">
        <v>1830</v>
      </c>
      <c r="E26" s="93" t="s">
        <v>1</v>
      </c>
      <c r="F26" s="80" t="s">
        <v>4</v>
      </c>
      <c r="G26" s="183">
        <v>45750</v>
      </c>
      <c r="H26" s="5"/>
      <c r="I26" s="100" t="s">
        <v>174</v>
      </c>
      <c r="J26" s="21"/>
      <c r="K26" s="18"/>
      <c r="L26" s="19"/>
      <c r="M26" s="23"/>
      <c r="N26" s="11"/>
      <c r="O26" s="12"/>
      <c r="P26" s="85">
        <v>45750</v>
      </c>
      <c r="Q26" s="89">
        <f t="shared" si="0"/>
        <v>1</v>
      </c>
      <c r="R26" s="101"/>
      <c r="S26" s="66"/>
    </row>
    <row r="27" spans="1:19" ht="43.2" x14ac:dyDescent="0.3">
      <c r="A27" s="96">
        <v>25</v>
      </c>
      <c r="B27" s="87">
        <v>1550</v>
      </c>
      <c r="C27" s="103">
        <v>45750</v>
      </c>
      <c r="D27" s="394" t="s">
        <v>1831</v>
      </c>
      <c r="E27" s="93" t="s">
        <v>25</v>
      </c>
      <c r="F27" s="80" t="s">
        <v>4</v>
      </c>
      <c r="G27" s="183">
        <v>45750</v>
      </c>
      <c r="H27" s="5">
        <v>10000279545</v>
      </c>
      <c r="I27" s="100" t="s">
        <v>135</v>
      </c>
      <c r="J27" s="21"/>
      <c r="K27" s="18"/>
      <c r="L27" s="19"/>
      <c r="M27" s="23"/>
      <c r="N27" s="11"/>
      <c r="O27" s="12"/>
      <c r="P27" s="85">
        <v>45750</v>
      </c>
      <c r="Q27" s="89">
        <f t="shared" si="0"/>
        <v>1</v>
      </c>
      <c r="R27" s="101"/>
      <c r="S27" s="66"/>
    </row>
    <row r="28" spans="1:19" ht="57.6" x14ac:dyDescent="0.3">
      <c r="A28" s="96">
        <v>26</v>
      </c>
      <c r="B28" s="87">
        <v>1550</v>
      </c>
      <c r="C28" s="103">
        <v>45750</v>
      </c>
      <c r="D28" s="270" t="s">
        <v>1832</v>
      </c>
      <c r="E28" s="93" t="s">
        <v>1326</v>
      </c>
      <c r="F28" s="80" t="s">
        <v>4</v>
      </c>
      <c r="G28" s="183">
        <v>45750</v>
      </c>
      <c r="H28" s="5"/>
      <c r="I28" s="100" t="s">
        <v>99</v>
      </c>
      <c r="J28" s="21"/>
      <c r="K28" s="245"/>
      <c r="L28" s="244"/>
      <c r="M28" s="23"/>
      <c r="N28" s="11"/>
      <c r="O28" s="12"/>
      <c r="P28" s="85">
        <v>45750</v>
      </c>
      <c r="Q28" s="89">
        <f t="shared" si="0"/>
        <v>1</v>
      </c>
      <c r="R28" s="101"/>
      <c r="S28" s="66"/>
    </row>
    <row r="29" spans="1:19" ht="28.8" x14ac:dyDescent="0.3">
      <c r="A29" s="96">
        <v>27</v>
      </c>
      <c r="B29" s="87" t="s">
        <v>1044</v>
      </c>
      <c r="C29" s="103">
        <v>45750</v>
      </c>
      <c r="D29" s="98" t="s">
        <v>1833</v>
      </c>
      <c r="E29" s="93" t="s">
        <v>1</v>
      </c>
      <c r="F29" s="80" t="s">
        <v>4</v>
      </c>
      <c r="G29" s="183">
        <v>45750</v>
      </c>
      <c r="H29" s="5"/>
      <c r="I29" s="100" t="s">
        <v>125</v>
      </c>
      <c r="J29" s="21"/>
      <c r="K29" s="18"/>
      <c r="L29" s="19"/>
      <c r="M29" s="23"/>
      <c r="N29" s="11"/>
      <c r="O29" s="12"/>
      <c r="P29" s="65">
        <v>45750</v>
      </c>
      <c r="Q29" s="89">
        <f t="shared" si="0"/>
        <v>1</v>
      </c>
      <c r="R29" s="101"/>
      <c r="S29" s="66"/>
    </row>
    <row r="30" spans="1:19" ht="28.8" x14ac:dyDescent="0.3">
      <c r="A30" s="96">
        <v>28</v>
      </c>
      <c r="B30" s="87">
        <v>1550</v>
      </c>
      <c r="C30" s="103">
        <v>45750</v>
      </c>
      <c r="D30" s="395" t="s">
        <v>1834</v>
      </c>
      <c r="E30" s="93" t="s">
        <v>23</v>
      </c>
      <c r="F30" s="80" t="s">
        <v>10</v>
      </c>
      <c r="G30" s="183">
        <v>45750</v>
      </c>
      <c r="H30" s="5"/>
      <c r="I30" s="107" t="s">
        <v>135</v>
      </c>
      <c r="J30" s="21"/>
      <c r="K30" s="18"/>
      <c r="L30" s="19"/>
      <c r="M30" s="23"/>
      <c r="N30" s="11"/>
      <c r="O30" s="12"/>
      <c r="P30" s="85">
        <v>45750</v>
      </c>
      <c r="Q30" s="89">
        <f t="shared" si="0"/>
        <v>1</v>
      </c>
      <c r="R30" s="101" t="s">
        <v>1835</v>
      </c>
      <c r="S30" s="66"/>
    </row>
    <row r="31" spans="1:19" ht="144" x14ac:dyDescent="0.3">
      <c r="A31" s="96">
        <v>29</v>
      </c>
      <c r="B31" s="87">
        <v>1550</v>
      </c>
      <c r="C31" s="103">
        <v>45750</v>
      </c>
      <c r="D31" s="395" t="s">
        <v>1836</v>
      </c>
      <c r="E31" s="93" t="s">
        <v>7</v>
      </c>
      <c r="F31" s="80" t="s">
        <v>10</v>
      </c>
      <c r="G31" s="183">
        <v>45750</v>
      </c>
      <c r="H31" s="5"/>
      <c r="I31" s="100" t="s">
        <v>174</v>
      </c>
      <c r="J31" s="21"/>
      <c r="K31" s="18"/>
      <c r="L31" s="19"/>
      <c r="M31" s="23"/>
      <c r="N31" s="11"/>
      <c r="O31" s="12"/>
      <c r="P31" s="85">
        <v>45750</v>
      </c>
      <c r="Q31" s="89">
        <f t="shared" si="0"/>
        <v>1</v>
      </c>
      <c r="R31" s="101" t="s">
        <v>1837</v>
      </c>
      <c r="S31" s="66"/>
    </row>
    <row r="32" spans="1:19" ht="57.6" x14ac:dyDescent="0.3">
      <c r="A32" s="96">
        <v>30</v>
      </c>
      <c r="B32" s="152">
        <v>1550</v>
      </c>
      <c r="C32" s="103">
        <v>45748</v>
      </c>
      <c r="D32" s="270" t="s">
        <v>1838</v>
      </c>
      <c r="E32" s="48" t="s">
        <v>1</v>
      </c>
      <c r="F32" s="145" t="s">
        <v>6</v>
      </c>
      <c r="G32" s="183">
        <v>45748</v>
      </c>
      <c r="H32" s="5"/>
      <c r="I32" s="100" t="s">
        <v>125</v>
      </c>
      <c r="J32" s="21"/>
      <c r="K32" s="18"/>
      <c r="L32" s="19"/>
      <c r="M32" s="23"/>
      <c r="N32" s="11"/>
      <c r="O32" s="12"/>
      <c r="P32" s="65">
        <v>45751</v>
      </c>
      <c r="Q32" s="89">
        <f t="shared" si="0"/>
        <v>1.0000655766372299</v>
      </c>
      <c r="R32" s="101" t="s">
        <v>1811</v>
      </c>
      <c r="S32" s="66"/>
    </row>
    <row r="33" spans="1:19" ht="57.6" x14ac:dyDescent="0.3">
      <c r="A33" s="96">
        <v>31</v>
      </c>
      <c r="B33" s="87">
        <v>1550</v>
      </c>
      <c r="C33" s="103">
        <v>45749</v>
      </c>
      <c r="D33" s="98" t="s">
        <v>1839</v>
      </c>
      <c r="E33" s="93" t="s">
        <v>1314</v>
      </c>
      <c r="F33" s="80" t="s">
        <v>6</v>
      </c>
      <c r="G33" s="183">
        <v>45749</v>
      </c>
      <c r="H33" s="5"/>
      <c r="I33" s="100" t="s">
        <v>99</v>
      </c>
      <c r="J33" s="21"/>
      <c r="K33" s="18"/>
      <c r="L33" s="19"/>
      <c r="M33" s="23"/>
      <c r="N33" s="11"/>
      <c r="O33" s="12"/>
      <c r="P33" s="65">
        <v>45751</v>
      </c>
      <c r="Q33" s="89">
        <f t="shared" si="0"/>
        <v>1.0000437168025531</v>
      </c>
      <c r="R33" s="101" t="s">
        <v>1811</v>
      </c>
      <c r="S33" s="66"/>
    </row>
    <row r="34" spans="1:19" ht="57.6" x14ac:dyDescent="0.3">
      <c r="A34" s="96">
        <v>32</v>
      </c>
      <c r="B34" s="87">
        <v>1550</v>
      </c>
      <c r="C34" s="103">
        <v>45749</v>
      </c>
      <c r="D34" s="270" t="s">
        <v>1840</v>
      </c>
      <c r="E34" s="93" t="s">
        <v>1</v>
      </c>
      <c r="F34" s="80" t="s">
        <v>6</v>
      </c>
      <c r="G34" s="183">
        <v>45749</v>
      </c>
      <c r="H34" s="5"/>
      <c r="I34" s="100" t="s">
        <v>125</v>
      </c>
      <c r="J34" s="21"/>
      <c r="K34" s="18"/>
      <c r="L34" s="19"/>
      <c r="M34" s="23"/>
      <c r="N34" s="11"/>
      <c r="O34" s="12"/>
      <c r="P34" s="65">
        <v>45751</v>
      </c>
      <c r="Q34" s="89">
        <f t="shared" si="0"/>
        <v>1.0000437168025531</v>
      </c>
      <c r="R34" s="101" t="s">
        <v>1813</v>
      </c>
      <c r="S34" s="66"/>
    </row>
    <row r="35" spans="1:19" ht="28.8" x14ac:dyDescent="0.3">
      <c r="A35" s="96">
        <v>33</v>
      </c>
      <c r="B35" s="87" t="s">
        <v>1044</v>
      </c>
      <c r="C35" s="103">
        <v>45749</v>
      </c>
      <c r="D35" s="270" t="s">
        <v>1841</v>
      </c>
      <c r="E35" s="93" t="s">
        <v>12</v>
      </c>
      <c r="F35" s="80" t="s">
        <v>4</v>
      </c>
      <c r="G35" s="183">
        <v>45749</v>
      </c>
      <c r="H35" s="5"/>
      <c r="I35" s="100" t="s">
        <v>159</v>
      </c>
      <c r="J35" s="154"/>
      <c r="K35" s="155"/>
      <c r="L35" s="156"/>
      <c r="M35" s="157"/>
      <c r="N35" s="158"/>
      <c r="O35" s="159"/>
      <c r="P35" s="65">
        <v>45751</v>
      </c>
      <c r="Q35" s="89">
        <f t="shared" ref="Q35:Q66" si="1">P35/G35</f>
        <v>1.0000437168025531</v>
      </c>
      <c r="R35" s="101"/>
      <c r="S35" s="160"/>
    </row>
    <row r="36" spans="1:19" ht="43.2" x14ac:dyDescent="0.3">
      <c r="A36" s="96">
        <v>34</v>
      </c>
      <c r="B36" s="87">
        <v>1550</v>
      </c>
      <c r="C36" s="103">
        <v>45749</v>
      </c>
      <c r="D36" s="270" t="s">
        <v>1842</v>
      </c>
      <c r="E36" s="93" t="s">
        <v>34</v>
      </c>
      <c r="F36" s="145" t="s">
        <v>4</v>
      </c>
      <c r="G36" s="183">
        <v>45749</v>
      </c>
      <c r="H36" s="5"/>
      <c r="I36" s="100" t="s">
        <v>99</v>
      </c>
      <c r="J36" s="21"/>
      <c r="K36" s="18"/>
      <c r="L36" s="19"/>
      <c r="M36" s="23"/>
      <c r="N36" s="11"/>
      <c r="O36" s="12"/>
      <c r="P36" s="65">
        <v>45751</v>
      </c>
      <c r="Q36" s="89">
        <f t="shared" si="1"/>
        <v>1.0000437168025531</v>
      </c>
      <c r="R36" s="101"/>
      <c r="S36" s="160"/>
    </row>
    <row r="37" spans="1:19" ht="115.2" x14ac:dyDescent="0.3">
      <c r="A37" s="96">
        <v>35</v>
      </c>
      <c r="B37" s="87">
        <v>1550</v>
      </c>
      <c r="C37" s="103">
        <v>45749</v>
      </c>
      <c r="D37" s="395" t="s">
        <v>1843</v>
      </c>
      <c r="E37" s="93" t="s">
        <v>12</v>
      </c>
      <c r="F37" s="145" t="s">
        <v>10</v>
      </c>
      <c r="G37" s="183">
        <v>45749</v>
      </c>
      <c r="H37" s="5"/>
      <c r="I37" s="100" t="s">
        <v>159</v>
      </c>
      <c r="J37" s="21"/>
      <c r="K37" s="18"/>
      <c r="L37" s="19"/>
      <c r="M37" s="23"/>
      <c r="N37" s="11"/>
      <c r="O37" s="12"/>
      <c r="P37" s="65">
        <v>45751</v>
      </c>
      <c r="Q37" s="89">
        <f t="shared" si="1"/>
        <v>1.0000437168025531</v>
      </c>
      <c r="R37" s="101" t="s">
        <v>1844</v>
      </c>
      <c r="S37" s="66"/>
    </row>
    <row r="38" spans="1:19" ht="115.2" x14ac:dyDescent="0.3">
      <c r="A38" s="96">
        <v>36</v>
      </c>
      <c r="B38" s="87">
        <v>1550</v>
      </c>
      <c r="C38" s="103">
        <v>45749</v>
      </c>
      <c r="D38" s="261" t="s">
        <v>1845</v>
      </c>
      <c r="E38" s="93" t="s">
        <v>12</v>
      </c>
      <c r="F38" s="145" t="s">
        <v>10</v>
      </c>
      <c r="G38" s="183">
        <v>45749</v>
      </c>
      <c r="H38" s="5"/>
      <c r="I38" s="107" t="s">
        <v>159</v>
      </c>
      <c r="J38" s="21"/>
      <c r="K38" s="18"/>
      <c r="L38" s="19"/>
      <c r="M38" s="23"/>
      <c r="N38" s="11"/>
      <c r="O38" s="12"/>
      <c r="P38" s="65">
        <v>45751</v>
      </c>
      <c r="Q38" s="89">
        <f t="shared" si="1"/>
        <v>1.0000437168025531</v>
      </c>
      <c r="R38" s="101" t="s">
        <v>1806</v>
      </c>
      <c r="S38" s="66"/>
    </row>
    <row r="39" spans="1:19" ht="57.6" x14ac:dyDescent="0.3">
      <c r="A39" s="96">
        <v>37</v>
      </c>
      <c r="B39" s="152">
        <v>1550</v>
      </c>
      <c r="C39" s="103">
        <v>45750</v>
      </c>
      <c r="D39" s="110" t="s">
        <v>1846</v>
      </c>
      <c r="E39" s="93" t="s">
        <v>1314</v>
      </c>
      <c r="F39" s="145" t="s">
        <v>6</v>
      </c>
      <c r="G39" s="183">
        <v>45750</v>
      </c>
      <c r="H39" s="5"/>
      <c r="I39" s="107" t="s">
        <v>99</v>
      </c>
      <c r="J39" s="154"/>
      <c r="K39" s="155"/>
      <c r="L39" s="156"/>
      <c r="M39" s="157"/>
      <c r="N39" s="158"/>
      <c r="O39" s="159"/>
      <c r="P39" s="85">
        <v>45751</v>
      </c>
      <c r="Q39" s="89">
        <f t="shared" si="1"/>
        <v>1.0000218579234972</v>
      </c>
      <c r="R39" s="101" t="s">
        <v>216</v>
      </c>
      <c r="S39" s="167"/>
    </row>
    <row r="40" spans="1:19" ht="43.2" x14ac:dyDescent="0.3">
      <c r="A40" s="96">
        <v>38</v>
      </c>
      <c r="B40" s="152">
        <v>1550</v>
      </c>
      <c r="C40" s="103">
        <v>45750</v>
      </c>
      <c r="D40" s="110" t="s">
        <v>1847</v>
      </c>
      <c r="E40" s="48" t="s">
        <v>25</v>
      </c>
      <c r="F40" s="145" t="s">
        <v>4</v>
      </c>
      <c r="G40" s="183">
        <v>45750</v>
      </c>
      <c r="H40" s="5">
        <v>10000279626</v>
      </c>
      <c r="I40" s="37" t="s">
        <v>135</v>
      </c>
      <c r="J40" s="21"/>
      <c r="K40" s="18"/>
      <c r="L40" s="19"/>
      <c r="M40" s="23"/>
      <c r="N40" s="11"/>
      <c r="O40" s="12"/>
      <c r="P40" s="85">
        <v>45751</v>
      </c>
      <c r="Q40" s="89">
        <f t="shared" si="1"/>
        <v>1.0000218579234972</v>
      </c>
      <c r="R40" s="101" t="s">
        <v>1844</v>
      </c>
      <c r="S40" s="66" t="s">
        <v>1848</v>
      </c>
    </row>
    <row r="41" spans="1:19" ht="57.6" x14ac:dyDescent="0.3">
      <c r="A41" s="96">
        <v>39</v>
      </c>
      <c r="B41" s="152">
        <v>1550</v>
      </c>
      <c r="C41" s="103">
        <v>45750</v>
      </c>
      <c r="D41" s="342" t="s">
        <v>1849</v>
      </c>
      <c r="E41" s="93" t="s">
        <v>1314</v>
      </c>
      <c r="F41" s="145" t="s">
        <v>4</v>
      </c>
      <c r="G41" s="183">
        <v>45750</v>
      </c>
      <c r="H41" s="5"/>
      <c r="I41" s="107" t="s">
        <v>99</v>
      </c>
      <c r="J41" s="21"/>
      <c r="K41" s="18"/>
      <c r="L41" s="19"/>
      <c r="M41" s="23"/>
      <c r="N41" s="11"/>
      <c r="O41" s="12"/>
      <c r="P41" s="85">
        <v>45751</v>
      </c>
      <c r="Q41" s="89">
        <f t="shared" si="1"/>
        <v>1.0000218579234972</v>
      </c>
      <c r="R41" s="101" t="s">
        <v>1850</v>
      </c>
      <c r="S41" s="66"/>
    </row>
    <row r="42" spans="1:19" ht="57.6" x14ac:dyDescent="0.3">
      <c r="A42" s="96">
        <v>40</v>
      </c>
      <c r="B42" s="87" t="s">
        <v>1044</v>
      </c>
      <c r="C42" s="103">
        <v>45750</v>
      </c>
      <c r="D42" s="342" t="s">
        <v>1851</v>
      </c>
      <c r="E42" s="93" t="s">
        <v>1314</v>
      </c>
      <c r="F42" s="145" t="s">
        <v>4</v>
      </c>
      <c r="G42" s="183">
        <v>45750</v>
      </c>
      <c r="H42" s="5"/>
      <c r="I42" s="107" t="s">
        <v>99</v>
      </c>
      <c r="J42" s="21"/>
      <c r="K42" s="18"/>
      <c r="L42" s="19"/>
      <c r="M42" s="23"/>
      <c r="N42" s="11"/>
      <c r="O42" s="12"/>
      <c r="P42" s="85">
        <v>45751</v>
      </c>
      <c r="Q42" s="89">
        <f t="shared" si="1"/>
        <v>1.0000218579234972</v>
      </c>
      <c r="R42" s="101"/>
      <c r="S42" s="66"/>
    </row>
    <row r="43" spans="1:19" ht="57.6" x14ac:dyDescent="0.3">
      <c r="A43" s="96">
        <v>41</v>
      </c>
      <c r="B43" s="87">
        <v>1550</v>
      </c>
      <c r="C43" s="103">
        <v>45750</v>
      </c>
      <c r="D43" s="110" t="s">
        <v>1852</v>
      </c>
      <c r="E43" s="93" t="s">
        <v>1314</v>
      </c>
      <c r="F43" s="80" t="s">
        <v>6</v>
      </c>
      <c r="G43" s="183">
        <v>45750</v>
      </c>
      <c r="H43" s="5"/>
      <c r="I43" s="100" t="s">
        <v>99</v>
      </c>
      <c r="J43" s="21"/>
      <c r="K43" s="18"/>
      <c r="L43" s="19"/>
      <c r="M43" s="23"/>
      <c r="N43" s="11"/>
      <c r="O43" s="12"/>
      <c r="P43" s="65">
        <v>45751</v>
      </c>
      <c r="Q43" s="89">
        <f t="shared" si="1"/>
        <v>1.0000218579234972</v>
      </c>
      <c r="R43" s="101" t="s">
        <v>1811</v>
      </c>
      <c r="S43" s="66"/>
    </row>
    <row r="44" spans="1:19" ht="28.8" x14ac:dyDescent="0.3">
      <c r="A44" s="96">
        <v>42</v>
      </c>
      <c r="B44" s="87">
        <v>1550</v>
      </c>
      <c r="C44" s="103">
        <v>45750</v>
      </c>
      <c r="D44" s="270" t="s">
        <v>1853</v>
      </c>
      <c r="E44" s="179" t="s">
        <v>1</v>
      </c>
      <c r="F44" s="125" t="s">
        <v>4</v>
      </c>
      <c r="G44" s="183">
        <v>45750</v>
      </c>
      <c r="H44" s="137"/>
      <c r="I44" s="102" t="s">
        <v>125</v>
      </c>
      <c r="J44" s="21"/>
      <c r="K44" s="18"/>
      <c r="L44" s="19"/>
      <c r="M44" s="23"/>
      <c r="N44" s="11"/>
      <c r="O44" s="12"/>
      <c r="P44" s="65">
        <v>45751</v>
      </c>
      <c r="Q44" s="89">
        <f t="shared" si="1"/>
        <v>1.0000218579234972</v>
      </c>
      <c r="R44" s="101"/>
      <c r="S44" s="66"/>
    </row>
    <row r="45" spans="1:19" ht="28.8" x14ac:dyDescent="0.3">
      <c r="A45" s="96">
        <v>43</v>
      </c>
      <c r="B45" s="87">
        <v>1550</v>
      </c>
      <c r="C45" s="103">
        <v>45750</v>
      </c>
      <c r="D45" s="270" t="s">
        <v>1854</v>
      </c>
      <c r="E45" s="179" t="s">
        <v>1</v>
      </c>
      <c r="F45" s="125" t="s">
        <v>4</v>
      </c>
      <c r="G45" s="183">
        <v>45750</v>
      </c>
      <c r="H45" s="137"/>
      <c r="I45" s="102" t="s">
        <v>125</v>
      </c>
      <c r="J45" s="21"/>
      <c r="K45" s="18"/>
      <c r="L45" s="19"/>
      <c r="M45" s="23"/>
      <c r="N45" s="11"/>
      <c r="O45" s="12"/>
      <c r="P45" s="65">
        <v>45751</v>
      </c>
      <c r="Q45" s="89">
        <f t="shared" si="1"/>
        <v>1.0000218579234972</v>
      </c>
      <c r="R45" s="101"/>
      <c r="S45" s="66"/>
    </row>
    <row r="46" spans="1:19" ht="57.6" x14ac:dyDescent="0.3">
      <c r="A46" s="96">
        <v>44</v>
      </c>
      <c r="B46" s="87">
        <v>1550</v>
      </c>
      <c r="C46" s="103">
        <v>45750</v>
      </c>
      <c r="D46" s="395" t="s">
        <v>1855</v>
      </c>
      <c r="E46" s="93" t="s">
        <v>1314</v>
      </c>
      <c r="F46" s="80" t="s">
        <v>10</v>
      </c>
      <c r="G46" s="183">
        <v>45750</v>
      </c>
      <c r="H46" s="5"/>
      <c r="I46" s="100" t="s">
        <v>99</v>
      </c>
      <c r="J46" s="21"/>
      <c r="K46" s="18"/>
      <c r="L46" s="19"/>
      <c r="M46" s="23"/>
      <c r="N46" s="11"/>
      <c r="O46" s="12"/>
      <c r="P46" s="85">
        <v>45751</v>
      </c>
      <c r="Q46" s="89">
        <f t="shared" si="1"/>
        <v>1.0000218579234972</v>
      </c>
      <c r="R46" s="101" t="s">
        <v>1773</v>
      </c>
      <c r="S46" s="66"/>
    </row>
    <row r="47" spans="1:19" ht="57.6" x14ac:dyDescent="0.3">
      <c r="A47" s="96">
        <v>45</v>
      </c>
      <c r="B47" s="87">
        <v>1550</v>
      </c>
      <c r="C47" s="103">
        <v>45751</v>
      </c>
      <c r="D47" s="98" t="s">
        <v>1856</v>
      </c>
      <c r="E47" s="93" t="s">
        <v>1314</v>
      </c>
      <c r="F47" s="145" t="s">
        <v>6</v>
      </c>
      <c r="G47" s="183">
        <v>45751</v>
      </c>
      <c r="H47" s="5"/>
      <c r="I47" s="100" t="s">
        <v>99</v>
      </c>
      <c r="J47" s="21"/>
      <c r="K47" s="18"/>
      <c r="L47" s="19"/>
      <c r="M47" s="23"/>
      <c r="N47" s="11"/>
      <c r="O47" s="12"/>
      <c r="P47" s="85">
        <v>45751</v>
      </c>
      <c r="Q47" s="89">
        <f t="shared" si="1"/>
        <v>1</v>
      </c>
      <c r="R47" s="101" t="s">
        <v>216</v>
      </c>
      <c r="S47" s="160"/>
    </row>
    <row r="48" spans="1:19" ht="57.6" x14ac:dyDescent="0.3">
      <c r="A48" s="96">
        <v>46</v>
      </c>
      <c r="B48" s="87">
        <v>1550</v>
      </c>
      <c r="C48" s="103">
        <v>45748</v>
      </c>
      <c r="D48" s="98" t="s">
        <v>1857</v>
      </c>
      <c r="E48" s="93" t="s">
        <v>37</v>
      </c>
      <c r="F48" s="80" t="s">
        <v>4</v>
      </c>
      <c r="G48" s="183">
        <v>45748</v>
      </c>
      <c r="H48" s="5"/>
      <c r="I48" s="100" t="s">
        <v>99</v>
      </c>
      <c r="J48" s="21"/>
      <c r="K48" s="18"/>
      <c r="L48" s="19"/>
      <c r="M48" s="23"/>
      <c r="N48" s="11"/>
      <c r="O48" s="12"/>
      <c r="P48" s="65">
        <v>45754</v>
      </c>
      <c r="Q48" s="89">
        <f t="shared" si="1"/>
        <v>1.0001311532744601</v>
      </c>
      <c r="R48" s="101"/>
      <c r="S48" s="66"/>
    </row>
    <row r="49" spans="1:19" ht="28.8" x14ac:dyDescent="0.3">
      <c r="A49" s="96">
        <v>47</v>
      </c>
      <c r="B49" s="87">
        <v>1550</v>
      </c>
      <c r="C49" s="103">
        <v>45748</v>
      </c>
      <c r="D49" s="270" t="s">
        <v>1858</v>
      </c>
      <c r="E49" s="93" t="s">
        <v>3</v>
      </c>
      <c r="F49" s="80" t="s">
        <v>8</v>
      </c>
      <c r="G49" s="183">
        <v>45748</v>
      </c>
      <c r="H49" s="105">
        <v>10000278959</v>
      </c>
      <c r="I49" s="37" t="s">
        <v>82</v>
      </c>
      <c r="J49" s="21"/>
      <c r="K49" s="18"/>
      <c r="L49" s="19"/>
      <c r="M49" s="23"/>
      <c r="N49" s="11"/>
      <c r="O49" s="12"/>
      <c r="P49" s="65">
        <v>45754</v>
      </c>
      <c r="Q49" s="89">
        <f t="shared" si="1"/>
        <v>1.0001311532744601</v>
      </c>
      <c r="R49" s="101" t="s">
        <v>270</v>
      </c>
      <c r="S49" s="274" t="s">
        <v>1801</v>
      </c>
    </row>
    <row r="50" spans="1:19" ht="57.6" x14ac:dyDescent="0.3">
      <c r="A50" s="96">
        <v>48</v>
      </c>
      <c r="B50" s="87">
        <v>1550</v>
      </c>
      <c r="C50" s="103">
        <v>45749</v>
      </c>
      <c r="D50" s="270" t="s">
        <v>1859</v>
      </c>
      <c r="E50" s="93" t="s">
        <v>1</v>
      </c>
      <c r="F50" s="80" t="s">
        <v>6</v>
      </c>
      <c r="G50" s="183">
        <v>45750</v>
      </c>
      <c r="H50" s="5"/>
      <c r="I50" s="100" t="s">
        <v>174</v>
      </c>
      <c r="J50" s="21"/>
      <c r="K50" s="18"/>
      <c r="L50" s="19"/>
      <c r="M50" s="23"/>
      <c r="N50" s="11"/>
      <c r="O50" s="12"/>
      <c r="P50" s="85">
        <v>45754</v>
      </c>
      <c r="Q50" s="89">
        <f t="shared" si="1"/>
        <v>1.0000874316939892</v>
      </c>
      <c r="R50" s="101" t="s">
        <v>1860</v>
      </c>
      <c r="S50" s="66"/>
    </row>
    <row r="51" spans="1:19" ht="28.8" x14ac:dyDescent="0.3">
      <c r="A51" s="96">
        <v>49</v>
      </c>
      <c r="B51" s="87" t="s">
        <v>1044</v>
      </c>
      <c r="C51" s="103">
        <v>45750</v>
      </c>
      <c r="D51" s="270" t="s">
        <v>1861</v>
      </c>
      <c r="E51" s="93" t="s">
        <v>11</v>
      </c>
      <c r="F51" s="80" t="s">
        <v>4</v>
      </c>
      <c r="G51" s="183">
        <v>45750</v>
      </c>
      <c r="H51" s="5"/>
      <c r="I51" s="113" t="s">
        <v>99</v>
      </c>
      <c r="J51" s="154"/>
      <c r="K51" s="155"/>
      <c r="L51" s="156"/>
      <c r="M51" s="157"/>
      <c r="N51" s="158"/>
      <c r="O51" s="159"/>
      <c r="P51" s="85">
        <v>45754</v>
      </c>
      <c r="Q51" s="89">
        <f t="shared" si="1"/>
        <v>1.0000874316939892</v>
      </c>
      <c r="R51" s="101"/>
      <c r="S51" s="160"/>
    </row>
    <row r="52" spans="1:19" ht="72" x14ac:dyDescent="0.3">
      <c r="A52" s="96">
        <v>50</v>
      </c>
      <c r="B52" s="87">
        <v>1550</v>
      </c>
      <c r="C52" s="103">
        <v>45750</v>
      </c>
      <c r="D52" s="270" t="s">
        <v>1862</v>
      </c>
      <c r="E52" s="93" t="s">
        <v>39</v>
      </c>
      <c r="F52" s="145" t="s">
        <v>6</v>
      </c>
      <c r="G52" s="183">
        <v>45751</v>
      </c>
      <c r="H52" s="5"/>
      <c r="I52" s="100" t="s">
        <v>22</v>
      </c>
      <c r="J52" s="21"/>
      <c r="K52" s="18"/>
      <c r="L52" s="19"/>
      <c r="M52" s="23"/>
      <c r="N52" s="11"/>
      <c r="O52" s="12"/>
      <c r="P52" s="85">
        <v>45754</v>
      </c>
      <c r="Q52" s="89">
        <f t="shared" si="1"/>
        <v>1.0000655723372167</v>
      </c>
      <c r="R52" s="101" t="s">
        <v>1811</v>
      </c>
      <c r="S52" s="66"/>
    </row>
    <row r="53" spans="1:19" ht="28.8" x14ac:dyDescent="0.3">
      <c r="A53" s="96">
        <v>51</v>
      </c>
      <c r="B53" s="87">
        <v>1550</v>
      </c>
      <c r="C53" s="103">
        <v>45751</v>
      </c>
      <c r="D53" s="98" t="s">
        <v>1863</v>
      </c>
      <c r="E53" s="93" t="s">
        <v>32</v>
      </c>
      <c r="F53" s="80" t="s">
        <v>4</v>
      </c>
      <c r="G53" s="183">
        <v>45751</v>
      </c>
      <c r="H53" s="5"/>
      <c r="I53" s="100" t="s">
        <v>106</v>
      </c>
      <c r="J53" s="21"/>
      <c r="K53" s="18"/>
      <c r="L53" s="19"/>
      <c r="M53" s="23"/>
      <c r="N53" s="11"/>
      <c r="O53" s="12"/>
      <c r="P53" s="85">
        <v>45754</v>
      </c>
      <c r="Q53" s="89">
        <f t="shared" si="1"/>
        <v>1.0000655723372167</v>
      </c>
      <c r="R53" s="101"/>
      <c r="S53" s="66"/>
    </row>
    <row r="54" spans="1:19" ht="57.6" x14ac:dyDescent="0.3">
      <c r="A54" s="96">
        <v>52</v>
      </c>
      <c r="B54" s="87">
        <v>1550</v>
      </c>
      <c r="C54" s="103">
        <v>45751</v>
      </c>
      <c r="D54" s="98" t="s">
        <v>1864</v>
      </c>
      <c r="E54" s="93" t="s">
        <v>1314</v>
      </c>
      <c r="F54" s="145" t="s">
        <v>6</v>
      </c>
      <c r="G54" s="183">
        <v>45751</v>
      </c>
      <c r="H54" s="5"/>
      <c r="I54" s="100" t="s">
        <v>99</v>
      </c>
      <c r="J54" s="21"/>
      <c r="K54" s="18"/>
      <c r="L54" s="19"/>
      <c r="M54" s="23"/>
      <c r="N54" s="11"/>
      <c r="O54" s="12"/>
      <c r="P54" s="85">
        <v>45754</v>
      </c>
      <c r="Q54" s="89">
        <f t="shared" si="1"/>
        <v>1.0000655723372167</v>
      </c>
      <c r="R54" s="101" t="s">
        <v>216</v>
      </c>
      <c r="S54" s="66"/>
    </row>
    <row r="55" spans="1:19" ht="57.6" x14ac:dyDescent="0.3">
      <c r="A55" s="96">
        <v>53</v>
      </c>
      <c r="B55" s="87">
        <v>1550</v>
      </c>
      <c r="C55" s="103">
        <v>45751</v>
      </c>
      <c r="D55" s="270" t="s">
        <v>1865</v>
      </c>
      <c r="E55" s="93" t="s">
        <v>1314</v>
      </c>
      <c r="F55" s="145" t="s">
        <v>6</v>
      </c>
      <c r="G55" s="183">
        <v>45751</v>
      </c>
      <c r="H55" s="5"/>
      <c r="I55" s="100" t="s">
        <v>99</v>
      </c>
      <c r="J55" s="21"/>
      <c r="K55" s="18"/>
      <c r="L55" s="19"/>
      <c r="M55" s="23"/>
      <c r="N55" s="11"/>
      <c r="O55" s="12"/>
      <c r="P55" s="85">
        <v>45754</v>
      </c>
      <c r="Q55" s="89">
        <f t="shared" si="1"/>
        <v>1.0000655723372167</v>
      </c>
      <c r="R55" s="101" t="s">
        <v>1813</v>
      </c>
      <c r="S55" s="66"/>
    </row>
    <row r="56" spans="1:19" ht="43.2" x14ac:dyDescent="0.3">
      <c r="A56" s="96">
        <v>54</v>
      </c>
      <c r="B56" s="87">
        <v>1550</v>
      </c>
      <c r="C56" s="103">
        <v>45751</v>
      </c>
      <c r="D56" s="395" t="s">
        <v>1866</v>
      </c>
      <c r="E56" s="93" t="s">
        <v>17</v>
      </c>
      <c r="F56" s="145" t="s">
        <v>10</v>
      </c>
      <c r="G56" s="183">
        <v>45751</v>
      </c>
      <c r="H56" s="146"/>
      <c r="I56" s="37" t="s">
        <v>82</v>
      </c>
      <c r="J56" s="163"/>
      <c r="K56" s="164"/>
      <c r="L56" s="165"/>
      <c r="M56" s="157"/>
      <c r="N56" s="158"/>
      <c r="O56" s="159"/>
      <c r="P56" s="85">
        <v>45754</v>
      </c>
      <c r="Q56" s="89">
        <f t="shared" si="1"/>
        <v>1.0000655723372167</v>
      </c>
      <c r="R56" s="101" t="s">
        <v>1775</v>
      </c>
      <c r="S56" s="160"/>
    </row>
    <row r="57" spans="1:19" ht="57.6" x14ac:dyDescent="0.3">
      <c r="A57" s="96">
        <v>55</v>
      </c>
      <c r="B57" s="87">
        <v>1550</v>
      </c>
      <c r="C57" s="103">
        <v>45751</v>
      </c>
      <c r="D57" s="395" t="s">
        <v>1867</v>
      </c>
      <c r="E57" s="93" t="s">
        <v>1314</v>
      </c>
      <c r="F57" s="80" t="s">
        <v>10</v>
      </c>
      <c r="G57" s="183">
        <v>45751</v>
      </c>
      <c r="H57" s="5"/>
      <c r="I57" s="100" t="s">
        <v>99</v>
      </c>
      <c r="J57" s="154"/>
      <c r="K57" s="155"/>
      <c r="L57" s="156"/>
      <c r="M57" s="157"/>
      <c r="N57" s="158"/>
      <c r="O57" s="159"/>
      <c r="P57" s="85">
        <v>45754</v>
      </c>
      <c r="Q57" s="89">
        <f t="shared" si="1"/>
        <v>1.0000655723372167</v>
      </c>
      <c r="R57" s="101" t="s">
        <v>1347</v>
      </c>
      <c r="S57" s="160"/>
    </row>
    <row r="58" spans="1:19" ht="201.6" x14ac:dyDescent="0.3">
      <c r="A58" s="96">
        <v>56</v>
      </c>
      <c r="B58" s="87">
        <v>1550</v>
      </c>
      <c r="C58" s="103">
        <v>45751</v>
      </c>
      <c r="D58" s="395" t="s">
        <v>1868</v>
      </c>
      <c r="E58" s="93" t="s">
        <v>1</v>
      </c>
      <c r="F58" s="145" t="s">
        <v>10</v>
      </c>
      <c r="G58" s="183">
        <v>45751</v>
      </c>
      <c r="H58" s="5"/>
      <c r="I58" s="100" t="s">
        <v>125</v>
      </c>
      <c r="J58" s="21"/>
      <c r="K58" s="18"/>
      <c r="L58" s="19"/>
      <c r="M58" s="23"/>
      <c r="N58" s="11"/>
      <c r="O58" s="12"/>
      <c r="P58" s="85">
        <v>45754</v>
      </c>
      <c r="Q58" s="89">
        <f t="shared" si="1"/>
        <v>1.0000655723372167</v>
      </c>
      <c r="R58" s="101" t="s">
        <v>85</v>
      </c>
      <c r="S58" s="66"/>
    </row>
    <row r="59" spans="1:19" ht="57.6" x14ac:dyDescent="0.3">
      <c r="A59" s="96">
        <v>57</v>
      </c>
      <c r="B59" s="87">
        <v>1550</v>
      </c>
      <c r="C59" s="103">
        <v>45751</v>
      </c>
      <c r="D59" s="395" t="s">
        <v>1869</v>
      </c>
      <c r="E59" s="93" t="s">
        <v>1314</v>
      </c>
      <c r="F59" s="80" t="s">
        <v>10</v>
      </c>
      <c r="G59" s="183">
        <v>45751</v>
      </c>
      <c r="H59" s="5"/>
      <c r="I59" s="100" t="s">
        <v>99</v>
      </c>
      <c r="J59" s="21"/>
      <c r="K59" s="18"/>
      <c r="L59" s="19"/>
      <c r="M59" s="23"/>
      <c r="N59" s="11"/>
      <c r="O59" s="12"/>
      <c r="P59" s="85">
        <v>45754</v>
      </c>
      <c r="Q59" s="89">
        <f t="shared" si="1"/>
        <v>1.0000655723372167</v>
      </c>
      <c r="R59" s="101" t="s">
        <v>1870</v>
      </c>
      <c r="S59" s="66"/>
    </row>
    <row r="60" spans="1:19" ht="28.8" x14ac:dyDescent="0.3">
      <c r="A60" s="96">
        <v>58</v>
      </c>
      <c r="B60" s="152">
        <v>1550</v>
      </c>
      <c r="C60" s="265">
        <v>45754</v>
      </c>
      <c r="D60" s="213" t="s">
        <v>1871</v>
      </c>
      <c r="E60" s="93" t="s">
        <v>1</v>
      </c>
      <c r="F60" s="80" t="s">
        <v>4</v>
      </c>
      <c r="G60" s="183">
        <v>45754</v>
      </c>
      <c r="H60" s="5"/>
      <c r="I60" s="102" t="s">
        <v>125</v>
      </c>
      <c r="J60" s="21"/>
      <c r="K60" s="18"/>
      <c r="L60" s="19"/>
      <c r="M60" s="23"/>
      <c r="N60" s="11"/>
      <c r="O60" s="12"/>
      <c r="P60" s="65">
        <v>45754</v>
      </c>
      <c r="Q60" s="89">
        <f t="shared" si="1"/>
        <v>1</v>
      </c>
      <c r="R60" s="101"/>
      <c r="S60" s="66"/>
    </row>
    <row r="61" spans="1:19" ht="43.2" x14ac:dyDescent="0.3">
      <c r="A61" s="96">
        <v>59</v>
      </c>
      <c r="B61" s="152">
        <v>1550</v>
      </c>
      <c r="C61" s="103">
        <v>45754</v>
      </c>
      <c r="D61" s="212" t="s">
        <v>1872</v>
      </c>
      <c r="E61" s="93" t="s">
        <v>49</v>
      </c>
      <c r="F61" s="80" t="s">
        <v>4</v>
      </c>
      <c r="G61" s="183">
        <v>45754</v>
      </c>
      <c r="H61" s="5"/>
      <c r="I61" s="107" t="s">
        <v>266</v>
      </c>
      <c r="J61" s="154"/>
      <c r="K61" s="155"/>
      <c r="L61" s="156"/>
      <c r="M61" s="157"/>
      <c r="N61" s="158"/>
      <c r="O61" s="159"/>
      <c r="P61" s="65">
        <v>45754</v>
      </c>
      <c r="Q61" s="89">
        <f t="shared" si="1"/>
        <v>1</v>
      </c>
      <c r="R61" s="101"/>
      <c r="S61" s="69"/>
    </row>
    <row r="62" spans="1:19" ht="57.6" x14ac:dyDescent="0.3">
      <c r="A62" s="96">
        <v>60</v>
      </c>
      <c r="B62" s="152">
        <v>1550</v>
      </c>
      <c r="C62" s="103">
        <v>45754</v>
      </c>
      <c r="D62" s="262" t="s">
        <v>1873</v>
      </c>
      <c r="E62" s="179" t="s">
        <v>1</v>
      </c>
      <c r="F62" s="145" t="s">
        <v>10</v>
      </c>
      <c r="G62" s="183">
        <v>45754</v>
      </c>
      <c r="H62" s="137"/>
      <c r="I62" s="100" t="s">
        <v>174</v>
      </c>
      <c r="J62" s="21"/>
      <c r="K62" s="18"/>
      <c r="L62" s="19"/>
      <c r="M62" s="23"/>
      <c r="N62" s="11"/>
      <c r="O62" s="12"/>
      <c r="P62" s="65">
        <v>45754</v>
      </c>
      <c r="Q62" s="89">
        <f t="shared" si="1"/>
        <v>1</v>
      </c>
      <c r="R62" s="101" t="s">
        <v>1870</v>
      </c>
      <c r="S62" s="56"/>
    </row>
    <row r="63" spans="1:19" ht="57.6" x14ac:dyDescent="0.3">
      <c r="A63" s="96">
        <v>61</v>
      </c>
      <c r="B63" s="152">
        <v>1550</v>
      </c>
      <c r="C63" s="265">
        <v>45754</v>
      </c>
      <c r="D63" s="110" t="s">
        <v>1874</v>
      </c>
      <c r="E63" s="162" t="s">
        <v>39</v>
      </c>
      <c r="F63" s="80" t="s">
        <v>4</v>
      </c>
      <c r="G63" s="183">
        <v>45754</v>
      </c>
      <c r="H63" s="5">
        <v>10000280410</v>
      </c>
      <c r="I63" s="102" t="s">
        <v>22</v>
      </c>
      <c r="J63" s="21"/>
      <c r="K63" s="18"/>
      <c r="L63" s="19"/>
      <c r="M63" s="23"/>
      <c r="N63" s="11"/>
      <c r="O63" s="12"/>
      <c r="P63" s="65">
        <v>45755</v>
      </c>
      <c r="Q63" s="89">
        <f t="shared" si="1"/>
        <v>1.0000218560125891</v>
      </c>
      <c r="R63" s="101"/>
      <c r="S63" s="66"/>
    </row>
    <row r="64" spans="1:19" ht="57.6" x14ac:dyDescent="0.3">
      <c r="A64" s="96">
        <v>62</v>
      </c>
      <c r="B64" s="152">
        <v>1550</v>
      </c>
      <c r="C64" s="103">
        <v>45754</v>
      </c>
      <c r="D64" s="212" t="s">
        <v>1875</v>
      </c>
      <c r="E64" s="93" t="s">
        <v>22</v>
      </c>
      <c r="F64" s="80" t="s">
        <v>6</v>
      </c>
      <c r="G64" s="183">
        <v>45754</v>
      </c>
      <c r="H64" s="5"/>
      <c r="I64" s="100" t="s">
        <v>22</v>
      </c>
      <c r="J64" s="21"/>
      <c r="K64" s="18"/>
      <c r="L64" s="19"/>
      <c r="M64" s="23"/>
      <c r="N64" s="11"/>
      <c r="O64" s="12"/>
      <c r="P64" s="65">
        <v>45755</v>
      </c>
      <c r="Q64" s="89">
        <f t="shared" si="1"/>
        <v>1.0000218560125891</v>
      </c>
      <c r="R64" s="101" t="s">
        <v>1816</v>
      </c>
      <c r="S64" s="66"/>
    </row>
    <row r="65" spans="1:19" x14ac:dyDescent="0.3">
      <c r="A65" s="96">
        <v>63</v>
      </c>
      <c r="B65" s="152" t="s">
        <v>1044</v>
      </c>
      <c r="C65" s="103">
        <v>45754</v>
      </c>
      <c r="D65" s="212" t="s">
        <v>1876</v>
      </c>
      <c r="E65" s="93" t="s">
        <v>17</v>
      </c>
      <c r="F65" s="80" t="s">
        <v>4</v>
      </c>
      <c r="G65" s="183">
        <v>45754</v>
      </c>
      <c r="H65" s="146"/>
      <c r="I65" s="37" t="s">
        <v>82</v>
      </c>
      <c r="J65" s="21"/>
      <c r="K65" s="18"/>
      <c r="L65" s="19"/>
      <c r="M65" s="23"/>
      <c r="N65" s="11"/>
      <c r="O65" s="12"/>
      <c r="P65" s="65">
        <v>45755</v>
      </c>
      <c r="Q65" s="89">
        <f t="shared" si="1"/>
        <v>1.0000218560125891</v>
      </c>
      <c r="R65" s="101"/>
      <c r="S65" s="66"/>
    </row>
    <row r="66" spans="1:19" ht="57.6" x14ac:dyDescent="0.3">
      <c r="A66" s="96">
        <v>64</v>
      </c>
      <c r="B66" s="152" t="s">
        <v>1044</v>
      </c>
      <c r="C66" s="250">
        <v>45754</v>
      </c>
      <c r="D66" s="487" t="s">
        <v>1877</v>
      </c>
      <c r="E66" s="35" t="s">
        <v>1314</v>
      </c>
      <c r="F66" s="363" t="s">
        <v>4</v>
      </c>
      <c r="G66" s="183">
        <v>45754</v>
      </c>
      <c r="H66" s="5"/>
      <c r="I66" s="100" t="s">
        <v>99</v>
      </c>
      <c r="J66" s="21"/>
      <c r="K66" s="18"/>
      <c r="L66" s="19"/>
      <c r="M66" s="23"/>
      <c r="N66" s="11"/>
      <c r="O66" s="12"/>
      <c r="P66" s="65">
        <v>45755</v>
      </c>
      <c r="Q66" s="89">
        <f t="shared" si="1"/>
        <v>1.0000218560125891</v>
      </c>
      <c r="R66" s="101"/>
      <c r="S66" s="66"/>
    </row>
    <row r="67" spans="1:19" x14ac:dyDescent="0.3">
      <c r="A67" s="96">
        <v>65</v>
      </c>
      <c r="B67" s="186" t="s">
        <v>1044</v>
      </c>
      <c r="C67" s="136">
        <v>45754</v>
      </c>
      <c r="D67" s="175" t="s">
        <v>1878</v>
      </c>
      <c r="E67" s="111" t="s">
        <v>3</v>
      </c>
      <c r="F67" s="125" t="s">
        <v>4</v>
      </c>
      <c r="G67" s="99">
        <v>45754</v>
      </c>
      <c r="H67" s="5"/>
      <c r="I67" s="100" t="s">
        <v>125</v>
      </c>
      <c r="J67" s="21"/>
      <c r="K67" s="18"/>
      <c r="L67" s="19"/>
      <c r="M67" s="23"/>
      <c r="N67" s="11"/>
      <c r="O67" s="12"/>
      <c r="P67" s="65">
        <v>45755</v>
      </c>
      <c r="Q67" s="89">
        <f t="shared" ref="Q67:Q98" si="2">P67/G67</f>
        <v>1.0000218560125891</v>
      </c>
      <c r="R67" s="101"/>
      <c r="S67" s="66"/>
    </row>
    <row r="68" spans="1:19" ht="57.6" x14ac:dyDescent="0.3">
      <c r="A68" s="96">
        <v>66</v>
      </c>
      <c r="B68" s="186">
        <v>1550</v>
      </c>
      <c r="C68" s="136">
        <v>45754</v>
      </c>
      <c r="D68" s="60" t="s">
        <v>1879</v>
      </c>
      <c r="E68" s="111" t="s">
        <v>1314</v>
      </c>
      <c r="F68" s="125" t="s">
        <v>10</v>
      </c>
      <c r="G68" s="99">
        <v>45754</v>
      </c>
      <c r="H68" s="5"/>
      <c r="I68" s="100" t="s">
        <v>99</v>
      </c>
      <c r="J68" s="21"/>
      <c r="K68" s="18"/>
      <c r="L68" s="19"/>
      <c r="M68" s="23"/>
      <c r="N68" s="11"/>
      <c r="O68" s="12"/>
      <c r="P68" s="65">
        <v>45755</v>
      </c>
      <c r="Q68" s="89">
        <f t="shared" si="2"/>
        <v>1.0000218560125891</v>
      </c>
      <c r="R68" s="101" t="s">
        <v>1773</v>
      </c>
      <c r="S68" s="66"/>
    </row>
    <row r="69" spans="1:19" ht="57.6" x14ac:dyDescent="0.3">
      <c r="A69" s="96">
        <v>67</v>
      </c>
      <c r="B69" s="186">
        <v>1550</v>
      </c>
      <c r="C69" s="136">
        <v>45754</v>
      </c>
      <c r="D69" s="60" t="s">
        <v>1880</v>
      </c>
      <c r="E69" s="111" t="s">
        <v>1314</v>
      </c>
      <c r="F69" s="125" t="s">
        <v>10</v>
      </c>
      <c r="G69" s="99">
        <v>45754</v>
      </c>
      <c r="H69" s="5"/>
      <c r="I69" s="100" t="s">
        <v>99</v>
      </c>
      <c r="J69" s="21"/>
      <c r="K69" s="18"/>
      <c r="L69" s="19"/>
      <c r="M69" s="23"/>
      <c r="N69" s="11"/>
      <c r="O69" s="12"/>
      <c r="P69" s="65">
        <v>45755</v>
      </c>
      <c r="Q69" s="89">
        <f t="shared" si="2"/>
        <v>1.0000218560125891</v>
      </c>
      <c r="R69" s="101" t="s">
        <v>1773</v>
      </c>
      <c r="S69" s="66"/>
    </row>
    <row r="70" spans="1:19" ht="57.6" x14ac:dyDescent="0.3">
      <c r="A70" s="96">
        <v>68</v>
      </c>
      <c r="B70" s="87">
        <v>1550</v>
      </c>
      <c r="C70" s="253">
        <v>45755</v>
      </c>
      <c r="D70" s="277" t="s">
        <v>1881</v>
      </c>
      <c r="E70" s="93" t="s">
        <v>1314</v>
      </c>
      <c r="F70" s="278" t="s">
        <v>6</v>
      </c>
      <c r="G70" s="183">
        <v>45755</v>
      </c>
      <c r="H70" s="5"/>
      <c r="I70" s="100" t="s">
        <v>1882</v>
      </c>
      <c r="J70" s="154"/>
      <c r="K70" s="155"/>
      <c r="L70" s="156"/>
      <c r="M70" s="157"/>
      <c r="N70" s="158"/>
      <c r="O70" s="159"/>
      <c r="P70" s="65">
        <v>45755</v>
      </c>
      <c r="Q70" s="89">
        <f t="shared" si="2"/>
        <v>1</v>
      </c>
      <c r="R70" s="101" t="s">
        <v>1883</v>
      </c>
      <c r="S70" s="160"/>
    </row>
    <row r="71" spans="1:19" ht="57.6" x14ac:dyDescent="0.3">
      <c r="A71" s="96">
        <v>69</v>
      </c>
      <c r="B71" s="87">
        <v>1550</v>
      </c>
      <c r="C71" s="103">
        <v>45755</v>
      </c>
      <c r="D71" s="270" t="s">
        <v>1884</v>
      </c>
      <c r="E71" s="93" t="s">
        <v>1314</v>
      </c>
      <c r="F71" s="278" t="s">
        <v>6</v>
      </c>
      <c r="G71" s="183">
        <v>45755</v>
      </c>
      <c r="H71" s="5"/>
      <c r="I71" s="100" t="s">
        <v>1882</v>
      </c>
      <c r="J71" s="154"/>
      <c r="K71" s="155"/>
      <c r="L71" s="156"/>
      <c r="M71" s="157"/>
      <c r="N71" s="158"/>
      <c r="O71" s="159"/>
      <c r="P71" s="65">
        <v>45755</v>
      </c>
      <c r="Q71" s="89">
        <f t="shared" si="2"/>
        <v>1</v>
      </c>
      <c r="R71" s="101" t="s">
        <v>1883</v>
      </c>
      <c r="S71" s="160"/>
    </row>
    <row r="72" spans="1:19" ht="28.8" x14ac:dyDescent="0.3">
      <c r="A72" s="96">
        <v>70</v>
      </c>
      <c r="B72" s="152">
        <v>1550</v>
      </c>
      <c r="C72" s="265">
        <v>45755</v>
      </c>
      <c r="D72" s="213" t="s">
        <v>1885</v>
      </c>
      <c r="E72" s="93" t="s">
        <v>1</v>
      </c>
      <c r="F72" s="80" t="s">
        <v>4</v>
      </c>
      <c r="G72" s="183">
        <v>45755</v>
      </c>
      <c r="H72" s="5"/>
      <c r="I72" s="107" t="s">
        <v>125</v>
      </c>
      <c r="J72" s="21"/>
      <c r="K72" s="18"/>
      <c r="L72" s="19"/>
      <c r="M72" s="23"/>
      <c r="N72" s="11"/>
      <c r="O72" s="12"/>
      <c r="P72" s="65">
        <v>45755</v>
      </c>
      <c r="Q72" s="89">
        <f t="shared" si="2"/>
        <v>1</v>
      </c>
      <c r="R72" s="101"/>
      <c r="S72" s="160"/>
    </row>
    <row r="73" spans="1:19" ht="158.4" x14ac:dyDescent="0.3">
      <c r="A73" s="96">
        <v>71</v>
      </c>
      <c r="B73" s="87">
        <v>1550</v>
      </c>
      <c r="C73" s="103">
        <v>45755</v>
      </c>
      <c r="D73" s="262" t="s">
        <v>1886</v>
      </c>
      <c r="E73" s="93" t="s">
        <v>21</v>
      </c>
      <c r="F73" s="80" t="s">
        <v>10</v>
      </c>
      <c r="G73" s="183">
        <v>45755</v>
      </c>
      <c r="H73" s="146"/>
      <c r="I73" s="100" t="s">
        <v>125</v>
      </c>
      <c r="J73" s="21"/>
      <c r="K73" s="18"/>
      <c r="L73" s="19"/>
      <c r="M73" s="23"/>
      <c r="N73" s="11"/>
      <c r="O73" s="12"/>
      <c r="P73" s="65">
        <v>45755</v>
      </c>
      <c r="Q73" s="89">
        <f t="shared" si="2"/>
        <v>1</v>
      </c>
      <c r="R73" s="101" t="s">
        <v>1823</v>
      </c>
      <c r="S73" s="66"/>
    </row>
    <row r="74" spans="1:19" ht="129.6" x14ac:dyDescent="0.3">
      <c r="A74" s="96">
        <v>72</v>
      </c>
      <c r="B74" s="87">
        <v>1550</v>
      </c>
      <c r="C74" s="103">
        <v>45755</v>
      </c>
      <c r="D74" s="262" t="s">
        <v>1887</v>
      </c>
      <c r="E74" s="179" t="s">
        <v>1</v>
      </c>
      <c r="F74" s="80" t="s">
        <v>10</v>
      </c>
      <c r="G74" s="183">
        <v>45755</v>
      </c>
      <c r="H74" s="137"/>
      <c r="I74" s="100" t="s">
        <v>125</v>
      </c>
      <c r="J74" s="21"/>
      <c r="K74" s="18"/>
      <c r="L74" s="19"/>
      <c r="M74" s="23"/>
      <c r="N74" s="11"/>
      <c r="O74" s="12"/>
      <c r="P74" s="65">
        <v>45755</v>
      </c>
      <c r="Q74" s="89">
        <f t="shared" si="2"/>
        <v>1</v>
      </c>
      <c r="R74" s="101" t="s">
        <v>1870</v>
      </c>
      <c r="S74" s="66"/>
    </row>
    <row r="75" spans="1:19" ht="28.8" x14ac:dyDescent="0.3">
      <c r="A75" s="96">
        <v>73</v>
      </c>
      <c r="B75" s="87">
        <v>1550</v>
      </c>
      <c r="C75" s="103">
        <v>45748</v>
      </c>
      <c r="D75" s="110" t="s">
        <v>1888</v>
      </c>
      <c r="E75" s="93" t="s">
        <v>1</v>
      </c>
      <c r="F75" s="80" t="s">
        <v>4</v>
      </c>
      <c r="G75" s="183">
        <v>45748</v>
      </c>
      <c r="H75" s="5"/>
      <c r="I75" s="100" t="s">
        <v>125</v>
      </c>
      <c r="J75" s="21"/>
      <c r="K75" s="18"/>
      <c r="L75" s="19"/>
      <c r="M75" s="23"/>
      <c r="N75" s="11"/>
      <c r="O75" s="12"/>
      <c r="P75" s="65">
        <v>45756</v>
      </c>
      <c r="Q75" s="89">
        <f t="shared" si="2"/>
        <v>1.0001748710326135</v>
      </c>
      <c r="R75" s="101"/>
      <c r="S75" s="66"/>
    </row>
    <row r="76" spans="1:19" ht="57.6" x14ac:dyDescent="0.3">
      <c r="A76" s="96">
        <v>74</v>
      </c>
      <c r="B76" s="87" t="s">
        <v>1826</v>
      </c>
      <c r="C76" s="103">
        <v>45751</v>
      </c>
      <c r="D76" s="342" t="s">
        <v>1889</v>
      </c>
      <c r="E76" s="179" t="s">
        <v>1314</v>
      </c>
      <c r="F76" s="145" t="s">
        <v>4</v>
      </c>
      <c r="G76" s="183">
        <v>45751</v>
      </c>
      <c r="H76" s="137"/>
      <c r="I76" s="100" t="s">
        <v>99</v>
      </c>
      <c r="J76" s="21"/>
      <c r="K76" s="18"/>
      <c r="L76" s="19"/>
      <c r="M76" s="23"/>
      <c r="N76" s="11"/>
      <c r="O76" s="12"/>
      <c r="P76" s="85">
        <v>45756</v>
      </c>
      <c r="Q76" s="89">
        <f t="shared" si="2"/>
        <v>1.0001092872286945</v>
      </c>
      <c r="R76" s="101"/>
      <c r="S76" s="167"/>
    </row>
    <row r="77" spans="1:19" ht="57.6" x14ac:dyDescent="0.3">
      <c r="A77" s="96">
        <v>75</v>
      </c>
      <c r="B77" s="152" t="s">
        <v>1044</v>
      </c>
      <c r="C77" s="265">
        <v>45754</v>
      </c>
      <c r="D77" t="s">
        <v>1890</v>
      </c>
      <c r="E77" s="179" t="s">
        <v>1314</v>
      </c>
      <c r="F77" s="125" t="s">
        <v>4</v>
      </c>
      <c r="G77" s="183">
        <v>45754</v>
      </c>
      <c r="H77" s="137"/>
      <c r="I77" s="100" t="s">
        <v>99</v>
      </c>
      <c r="J77" s="21"/>
      <c r="K77" s="18"/>
      <c r="L77" s="19"/>
      <c r="M77" s="23"/>
      <c r="N77" s="11"/>
      <c r="O77" s="12"/>
      <c r="P77" s="65">
        <v>45756</v>
      </c>
      <c r="Q77" s="89">
        <f t="shared" si="2"/>
        <v>1.0000437120251782</v>
      </c>
      <c r="R77" s="101"/>
      <c r="S77" s="66"/>
    </row>
    <row r="78" spans="1:19" ht="28.8" x14ac:dyDescent="0.3">
      <c r="A78" s="96">
        <v>76</v>
      </c>
      <c r="B78" s="152" t="s">
        <v>1044</v>
      </c>
      <c r="C78" s="103">
        <v>45754</v>
      </c>
      <c r="D78" s="271" t="s">
        <v>1891</v>
      </c>
      <c r="E78" s="48" t="s">
        <v>7</v>
      </c>
      <c r="F78" s="125" t="s">
        <v>4</v>
      </c>
      <c r="G78" s="183">
        <v>45754</v>
      </c>
      <c r="H78" s="137"/>
      <c r="I78" s="100" t="s">
        <v>125</v>
      </c>
      <c r="J78" s="21"/>
      <c r="K78" s="18"/>
      <c r="L78" s="19"/>
      <c r="M78" s="23"/>
      <c r="N78" s="11"/>
      <c r="O78" s="12"/>
      <c r="P78" s="65">
        <v>45756</v>
      </c>
      <c r="Q78" s="89">
        <f t="shared" si="2"/>
        <v>1.0000437120251782</v>
      </c>
      <c r="R78" s="101"/>
      <c r="S78" s="66"/>
    </row>
    <row r="79" spans="1:19" ht="24.75" customHeight="1" x14ac:dyDescent="0.3">
      <c r="A79" s="96">
        <v>77</v>
      </c>
      <c r="B79" s="152">
        <v>1550</v>
      </c>
      <c r="C79" s="103">
        <v>45754</v>
      </c>
      <c r="D79" s="399" t="s">
        <v>1892</v>
      </c>
      <c r="E79" s="48" t="s">
        <v>12</v>
      </c>
      <c r="F79" s="125" t="s">
        <v>6</v>
      </c>
      <c r="G79" s="183">
        <v>45754</v>
      </c>
      <c r="H79" s="137"/>
      <c r="I79" s="100" t="s">
        <v>159</v>
      </c>
      <c r="J79" s="21"/>
      <c r="K79" s="18"/>
      <c r="L79" s="19"/>
      <c r="M79" s="23"/>
      <c r="N79" s="11"/>
      <c r="O79" s="12"/>
      <c r="P79" s="65">
        <v>45756</v>
      </c>
      <c r="Q79" s="89">
        <f t="shared" si="2"/>
        <v>1.0000437120251782</v>
      </c>
      <c r="R79" s="101" t="s">
        <v>1893</v>
      </c>
      <c r="S79" s="66"/>
    </row>
    <row r="80" spans="1:19" ht="57.6" x14ac:dyDescent="0.3">
      <c r="A80" s="96">
        <v>78</v>
      </c>
      <c r="B80" s="152">
        <v>1550</v>
      </c>
      <c r="C80" s="265">
        <v>45754</v>
      </c>
      <c r="D80" s="706" t="s">
        <v>1894</v>
      </c>
      <c r="E80" s="93" t="s">
        <v>1314</v>
      </c>
      <c r="F80" s="80" t="s">
        <v>4</v>
      </c>
      <c r="G80" s="183">
        <v>45754</v>
      </c>
      <c r="H80" s="5"/>
      <c r="I80" s="100" t="s">
        <v>99</v>
      </c>
      <c r="J80" s="21"/>
      <c r="K80" s="18"/>
      <c r="L80" s="19"/>
      <c r="M80" s="23"/>
      <c r="N80" s="11"/>
      <c r="O80" s="12"/>
      <c r="P80" s="65">
        <v>45756</v>
      </c>
      <c r="Q80" s="89">
        <f t="shared" si="2"/>
        <v>1.0000437120251782</v>
      </c>
      <c r="R80" s="101"/>
      <c r="S80" s="160"/>
    </row>
    <row r="81" spans="1:19" ht="28.8" x14ac:dyDescent="0.3">
      <c r="A81" s="96">
        <v>79</v>
      </c>
      <c r="B81" s="87">
        <v>1550</v>
      </c>
      <c r="C81" s="103">
        <v>45755</v>
      </c>
      <c r="D81" s="269" t="s">
        <v>1895</v>
      </c>
      <c r="E81" s="93" t="s">
        <v>3</v>
      </c>
      <c r="F81" s="145" t="s">
        <v>4</v>
      </c>
      <c r="G81" s="183">
        <v>45755</v>
      </c>
      <c r="H81" s="5"/>
      <c r="I81" s="37" t="s">
        <v>82</v>
      </c>
      <c r="J81" s="154"/>
      <c r="K81" s="155"/>
      <c r="L81" s="156"/>
      <c r="M81" s="157"/>
      <c r="N81" s="158"/>
      <c r="O81" s="159"/>
      <c r="P81" s="90">
        <v>45756</v>
      </c>
      <c r="Q81" s="89">
        <f t="shared" si="2"/>
        <v>1.0000218555349143</v>
      </c>
      <c r="R81" s="101"/>
      <c r="S81" s="160"/>
    </row>
    <row r="82" spans="1:19" ht="57.6" x14ac:dyDescent="0.3">
      <c r="A82" s="96">
        <v>80</v>
      </c>
      <c r="B82" s="87">
        <v>1550</v>
      </c>
      <c r="C82" s="103">
        <v>45755</v>
      </c>
      <c r="D82" s="270" t="s">
        <v>1896</v>
      </c>
      <c r="E82" s="93" t="s">
        <v>7</v>
      </c>
      <c r="F82" s="145" t="s">
        <v>6</v>
      </c>
      <c r="G82" s="183">
        <v>45755</v>
      </c>
      <c r="H82" s="5"/>
      <c r="I82" s="100" t="s">
        <v>361</v>
      </c>
      <c r="J82" s="21"/>
      <c r="K82" s="18"/>
      <c r="L82" s="19"/>
      <c r="M82" s="23"/>
      <c r="N82" s="11"/>
      <c r="O82" s="12"/>
      <c r="P82" s="65">
        <v>45756</v>
      </c>
      <c r="Q82" s="89">
        <f t="shared" si="2"/>
        <v>1.0000218555349143</v>
      </c>
      <c r="R82" s="101" t="s">
        <v>1312</v>
      </c>
      <c r="S82" s="66"/>
    </row>
    <row r="83" spans="1:19" ht="100.8" x14ac:dyDescent="0.3">
      <c r="A83" s="96">
        <v>81</v>
      </c>
      <c r="B83" s="87">
        <v>1550</v>
      </c>
      <c r="C83" s="103">
        <v>45755</v>
      </c>
      <c r="D83" s="270" t="s">
        <v>1897</v>
      </c>
      <c r="E83" s="93" t="s">
        <v>12</v>
      </c>
      <c r="F83" s="145" t="s">
        <v>6</v>
      </c>
      <c r="G83" s="183">
        <v>45755</v>
      </c>
      <c r="H83" s="5"/>
      <c r="I83" s="100" t="s">
        <v>159</v>
      </c>
      <c r="J83" s="21"/>
      <c r="K83" s="18"/>
      <c r="L83" s="19"/>
      <c r="M83" s="23"/>
      <c r="N83" s="11"/>
      <c r="O83" s="12"/>
      <c r="P83" s="65">
        <v>45756</v>
      </c>
      <c r="Q83" s="89">
        <f t="shared" si="2"/>
        <v>1.0000218555349143</v>
      </c>
      <c r="R83" s="101" t="s">
        <v>1813</v>
      </c>
      <c r="S83" s="66"/>
    </row>
    <row r="84" spans="1:19" ht="57.6" x14ac:dyDescent="0.3">
      <c r="A84" s="96">
        <v>82</v>
      </c>
      <c r="B84" s="87">
        <v>1550</v>
      </c>
      <c r="C84" s="250">
        <v>45755</v>
      </c>
      <c r="D84" s="270" t="s">
        <v>1898</v>
      </c>
      <c r="E84" s="93" t="s">
        <v>1314</v>
      </c>
      <c r="F84" s="145" t="s">
        <v>6</v>
      </c>
      <c r="G84" s="183">
        <v>45755</v>
      </c>
      <c r="H84" s="5"/>
      <c r="I84" s="100" t="s">
        <v>99</v>
      </c>
      <c r="J84" s="154"/>
      <c r="K84" s="155"/>
      <c r="L84" s="156"/>
      <c r="M84" s="157"/>
      <c r="N84" s="158"/>
      <c r="O84" s="159"/>
      <c r="P84" s="65">
        <v>45756</v>
      </c>
      <c r="Q84" s="89">
        <f t="shared" si="2"/>
        <v>1.0000218555349143</v>
      </c>
      <c r="R84" s="101" t="s">
        <v>1860</v>
      </c>
      <c r="S84" s="66"/>
    </row>
    <row r="85" spans="1:19" ht="43.2" x14ac:dyDescent="0.3">
      <c r="A85" s="96">
        <v>83</v>
      </c>
      <c r="B85" s="87">
        <v>1550</v>
      </c>
      <c r="C85" s="251">
        <v>45755</v>
      </c>
      <c r="D85" s="270" t="s">
        <v>1899</v>
      </c>
      <c r="E85" s="93" t="s">
        <v>25</v>
      </c>
      <c r="F85" s="145" t="s">
        <v>4</v>
      </c>
      <c r="G85" s="183">
        <v>45755</v>
      </c>
      <c r="H85" s="5">
        <v>10000280890</v>
      </c>
      <c r="I85" s="100" t="s">
        <v>135</v>
      </c>
      <c r="J85" s="21"/>
      <c r="K85" s="18"/>
      <c r="L85" s="19"/>
      <c r="M85" s="23"/>
      <c r="N85" s="11"/>
      <c r="O85" s="12"/>
      <c r="P85" s="65">
        <v>45756</v>
      </c>
      <c r="Q85" s="89">
        <f t="shared" si="2"/>
        <v>1.0000218555349143</v>
      </c>
      <c r="R85" s="101"/>
      <c r="S85" s="69" t="s">
        <v>1900</v>
      </c>
    </row>
    <row r="86" spans="1:19" x14ac:dyDescent="0.3">
      <c r="A86" s="96">
        <v>84</v>
      </c>
      <c r="B86" s="152">
        <v>1550</v>
      </c>
      <c r="C86" s="252">
        <v>45755</v>
      </c>
      <c r="D86" t="s">
        <v>1901</v>
      </c>
      <c r="E86" s="93" t="s">
        <v>23</v>
      </c>
      <c r="F86" s="125" t="s">
        <v>4</v>
      </c>
      <c r="G86" s="183">
        <v>45755</v>
      </c>
      <c r="H86" s="137"/>
      <c r="I86" s="100" t="s">
        <v>135</v>
      </c>
      <c r="J86" s="21"/>
      <c r="K86" s="18"/>
      <c r="L86" s="19"/>
      <c r="M86" s="23"/>
      <c r="N86" s="11"/>
      <c r="O86" s="12"/>
      <c r="P86" s="65">
        <v>45756</v>
      </c>
      <c r="Q86" s="89">
        <f t="shared" si="2"/>
        <v>1.0000218555349143</v>
      </c>
      <c r="R86" s="101"/>
      <c r="S86" s="66"/>
    </row>
    <row r="87" spans="1:19" x14ac:dyDescent="0.3">
      <c r="A87" s="96">
        <v>85</v>
      </c>
      <c r="B87" s="87" t="s">
        <v>1044</v>
      </c>
      <c r="C87" s="103">
        <v>45755</v>
      </c>
      <c r="D87" s="701" t="s">
        <v>1902</v>
      </c>
      <c r="E87" s="179" t="s">
        <v>17</v>
      </c>
      <c r="F87" s="127" t="s">
        <v>4</v>
      </c>
      <c r="G87" s="183">
        <v>45755</v>
      </c>
      <c r="H87" s="137"/>
      <c r="I87" s="37" t="s">
        <v>82</v>
      </c>
      <c r="J87" s="21"/>
      <c r="K87" s="18"/>
      <c r="L87" s="19"/>
      <c r="M87" s="23"/>
      <c r="N87" s="11"/>
      <c r="O87" s="12"/>
      <c r="P87" s="65">
        <v>45756</v>
      </c>
      <c r="Q87" s="89">
        <f t="shared" si="2"/>
        <v>1.0000218555349143</v>
      </c>
      <c r="R87" s="101"/>
      <c r="S87" s="66"/>
    </row>
    <row r="88" spans="1:19" ht="28.8" x14ac:dyDescent="0.3">
      <c r="A88" s="96">
        <v>86</v>
      </c>
      <c r="B88" s="87" t="s">
        <v>1044</v>
      </c>
      <c r="C88" s="251">
        <v>45755</v>
      </c>
      <c r="D88" s="701" t="s">
        <v>1903</v>
      </c>
      <c r="E88" s="93" t="s">
        <v>1</v>
      </c>
      <c r="F88" s="145" t="s">
        <v>4</v>
      </c>
      <c r="G88" s="183">
        <v>45755</v>
      </c>
      <c r="H88" s="146"/>
      <c r="I88" s="100" t="s">
        <v>125</v>
      </c>
      <c r="J88" s="21"/>
      <c r="K88" s="18"/>
      <c r="L88" s="19"/>
      <c r="M88" s="23"/>
      <c r="N88" s="11"/>
      <c r="O88" s="12"/>
      <c r="P88" s="65">
        <v>45756</v>
      </c>
      <c r="Q88" s="89">
        <f t="shared" si="2"/>
        <v>1.0000218555349143</v>
      </c>
      <c r="R88" s="101"/>
      <c r="S88" s="66"/>
    </row>
    <row r="89" spans="1:19" ht="57.6" x14ac:dyDescent="0.3">
      <c r="A89" s="96">
        <v>87</v>
      </c>
      <c r="B89" s="87">
        <v>1550</v>
      </c>
      <c r="C89" s="251">
        <v>45755</v>
      </c>
      <c r="D89" s="698" t="s">
        <v>1904</v>
      </c>
      <c r="E89" s="93" t="s">
        <v>1314</v>
      </c>
      <c r="F89" s="125" t="s">
        <v>10</v>
      </c>
      <c r="G89" s="183">
        <v>45755</v>
      </c>
      <c r="H89" s="137"/>
      <c r="I89" s="100" t="s">
        <v>99</v>
      </c>
      <c r="J89" s="21"/>
      <c r="K89" s="18"/>
      <c r="L89" s="19"/>
      <c r="M89" s="23"/>
      <c r="N89" s="11"/>
      <c r="O89" s="12"/>
      <c r="P89" s="65">
        <v>45756</v>
      </c>
      <c r="Q89" s="89">
        <f t="shared" si="2"/>
        <v>1.0000218555349143</v>
      </c>
      <c r="R89" s="101" t="s">
        <v>1870</v>
      </c>
      <c r="S89" s="66"/>
    </row>
    <row r="90" spans="1:19" ht="57.6" x14ac:dyDescent="0.3">
      <c r="A90" s="96">
        <v>88</v>
      </c>
      <c r="B90" s="87">
        <v>1550</v>
      </c>
      <c r="C90" s="103">
        <v>45755</v>
      </c>
      <c r="D90" s="395" t="s">
        <v>1905</v>
      </c>
      <c r="E90" s="93" t="s">
        <v>1314</v>
      </c>
      <c r="F90" s="80" t="s">
        <v>10</v>
      </c>
      <c r="G90" s="183">
        <v>45755</v>
      </c>
      <c r="H90" s="5"/>
      <c r="I90" s="100" t="s">
        <v>99</v>
      </c>
      <c r="J90" s="21"/>
      <c r="K90" s="18"/>
      <c r="L90" s="19"/>
      <c r="M90" s="23"/>
      <c r="N90" s="11"/>
      <c r="O90" s="12"/>
      <c r="P90" s="65">
        <v>45756</v>
      </c>
      <c r="Q90" s="89">
        <f t="shared" si="2"/>
        <v>1.0000218555349143</v>
      </c>
      <c r="R90" s="101" t="s">
        <v>1821</v>
      </c>
      <c r="S90" s="66"/>
    </row>
    <row r="91" spans="1:19" ht="43.2" x14ac:dyDescent="0.3">
      <c r="A91" s="96">
        <v>89</v>
      </c>
      <c r="B91" s="87">
        <v>1550</v>
      </c>
      <c r="C91" s="103">
        <v>45756</v>
      </c>
      <c r="D91" s="268" t="s">
        <v>1906</v>
      </c>
      <c r="E91" s="93" t="s">
        <v>49</v>
      </c>
      <c r="F91" s="145" t="s">
        <v>4</v>
      </c>
      <c r="G91" s="183">
        <v>45756</v>
      </c>
      <c r="H91" s="5"/>
      <c r="I91" s="100" t="s">
        <v>266</v>
      </c>
      <c r="J91" s="21"/>
      <c r="K91" s="18"/>
      <c r="L91" s="19"/>
      <c r="M91" s="23"/>
      <c r="N91" s="11"/>
      <c r="O91" s="12"/>
      <c r="P91" s="65">
        <v>45756</v>
      </c>
      <c r="Q91" s="89">
        <f t="shared" si="2"/>
        <v>1</v>
      </c>
      <c r="R91" s="101"/>
      <c r="S91" s="66"/>
    </row>
    <row r="92" spans="1:19" ht="43.2" x14ac:dyDescent="0.3">
      <c r="A92" s="96">
        <v>90</v>
      </c>
      <c r="B92" s="87">
        <v>1550</v>
      </c>
      <c r="C92" s="251">
        <v>45756</v>
      </c>
      <c r="D92" s="213" t="s">
        <v>1907</v>
      </c>
      <c r="E92" s="93" t="s">
        <v>49</v>
      </c>
      <c r="F92" s="145" t="s">
        <v>4</v>
      </c>
      <c r="G92" s="183">
        <v>45756</v>
      </c>
      <c r="H92" s="5"/>
      <c r="I92" s="100" t="s">
        <v>266</v>
      </c>
      <c r="J92" s="154"/>
      <c r="K92" s="155"/>
      <c r="L92" s="156"/>
      <c r="M92" s="157"/>
      <c r="N92" s="158"/>
      <c r="O92" s="159"/>
      <c r="P92" s="65">
        <v>45756</v>
      </c>
      <c r="Q92" s="89">
        <f t="shared" si="2"/>
        <v>1</v>
      </c>
      <c r="R92" s="101"/>
      <c r="S92" s="66"/>
    </row>
    <row r="93" spans="1:19" ht="43.2" x14ac:dyDescent="0.3">
      <c r="A93" s="96">
        <v>91</v>
      </c>
      <c r="B93" s="87">
        <v>1550</v>
      </c>
      <c r="C93" s="251">
        <v>45756</v>
      </c>
      <c r="D93" s="110" t="s">
        <v>1908</v>
      </c>
      <c r="E93" s="93" t="s">
        <v>49</v>
      </c>
      <c r="F93" s="80" t="s">
        <v>4</v>
      </c>
      <c r="G93" s="183">
        <v>45756</v>
      </c>
      <c r="H93" s="5"/>
      <c r="I93" s="100" t="s">
        <v>266</v>
      </c>
      <c r="J93" s="21"/>
      <c r="K93" s="18"/>
      <c r="L93" s="19"/>
      <c r="M93" s="23"/>
      <c r="N93" s="11"/>
      <c r="O93" s="12"/>
      <c r="P93" s="65">
        <v>45756</v>
      </c>
      <c r="Q93" s="89">
        <f t="shared" si="2"/>
        <v>1</v>
      </c>
      <c r="R93" s="101"/>
      <c r="S93" s="66"/>
    </row>
    <row r="94" spans="1:19" ht="57.6" x14ac:dyDescent="0.3">
      <c r="A94" s="96">
        <v>92</v>
      </c>
      <c r="B94" s="87">
        <v>1550</v>
      </c>
      <c r="C94" s="251">
        <v>45757</v>
      </c>
      <c r="D94" s="262" t="s">
        <v>1909</v>
      </c>
      <c r="E94" s="162" t="s">
        <v>24</v>
      </c>
      <c r="F94" s="80" t="s">
        <v>10</v>
      </c>
      <c r="G94" s="183">
        <v>45757</v>
      </c>
      <c r="H94" s="146"/>
      <c r="I94" s="728" t="s">
        <v>383</v>
      </c>
      <c r="J94" s="154"/>
      <c r="K94" s="155"/>
      <c r="L94" s="156"/>
      <c r="M94" s="157"/>
      <c r="N94" s="158"/>
      <c r="O94" s="159"/>
      <c r="P94" s="65">
        <v>45756</v>
      </c>
      <c r="Q94" s="89">
        <f t="shared" si="2"/>
        <v>0.99997814542037289</v>
      </c>
      <c r="R94" s="101" t="s">
        <v>1910</v>
      </c>
      <c r="S94" s="160"/>
    </row>
    <row r="95" spans="1:19" ht="57.6" x14ac:dyDescent="0.3">
      <c r="A95" s="96">
        <v>93</v>
      </c>
      <c r="B95" s="87">
        <v>1550</v>
      </c>
      <c r="C95" s="103">
        <v>45748</v>
      </c>
      <c r="D95" s="268" t="s">
        <v>1911</v>
      </c>
      <c r="E95" s="93" t="s">
        <v>1314</v>
      </c>
      <c r="F95" s="80" t="s">
        <v>8</v>
      </c>
      <c r="G95" s="183">
        <v>45748</v>
      </c>
      <c r="H95" s="5"/>
      <c r="I95" s="100" t="s">
        <v>99</v>
      </c>
      <c r="J95" s="21"/>
      <c r="K95" s="18"/>
      <c r="L95" s="19"/>
      <c r="M95" s="23"/>
      <c r="N95" s="11"/>
      <c r="O95" s="12"/>
      <c r="P95" s="65">
        <v>45757</v>
      </c>
      <c r="Q95" s="89">
        <f t="shared" si="2"/>
        <v>1.0001967299116901</v>
      </c>
      <c r="R95" s="101" t="s">
        <v>1912</v>
      </c>
      <c r="S95" s="66"/>
    </row>
    <row r="96" spans="1:19" ht="57.6" x14ac:dyDescent="0.3">
      <c r="A96" s="96">
        <v>94</v>
      </c>
      <c r="B96" s="152">
        <v>1550</v>
      </c>
      <c r="C96" s="103">
        <v>45748</v>
      </c>
      <c r="D96" s="268" t="s">
        <v>1913</v>
      </c>
      <c r="E96" s="93" t="s">
        <v>1314</v>
      </c>
      <c r="F96" s="145" t="s">
        <v>8</v>
      </c>
      <c r="G96" s="183">
        <v>45748</v>
      </c>
      <c r="H96" s="146"/>
      <c r="I96" s="100" t="s">
        <v>99</v>
      </c>
      <c r="J96" s="154"/>
      <c r="K96" s="155"/>
      <c r="L96" s="156"/>
      <c r="M96" s="157"/>
      <c r="N96" s="158"/>
      <c r="O96" s="159"/>
      <c r="P96" s="65">
        <v>45757</v>
      </c>
      <c r="Q96" s="89">
        <f t="shared" si="2"/>
        <v>1.0001967299116901</v>
      </c>
      <c r="R96" s="101" t="s">
        <v>138</v>
      </c>
      <c r="S96" s="160"/>
    </row>
    <row r="97" spans="1:19" ht="57.6" x14ac:dyDescent="0.3">
      <c r="A97" s="96">
        <v>95</v>
      </c>
      <c r="B97" s="152">
        <v>1550</v>
      </c>
      <c r="C97" s="103">
        <v>45748</v>
      </c>
      <c r="D97" s="268" t="s">
        <v>1914</v>
      </c>
      <c r="E97" s="93" t="s">
        <v>1314</v>
      </c>
      <c r="F97" s="145" t="s">
        <v>8</v>
      </c>
      <c r="G97" s="183">
        <v>45748</v>
      </c>
      <c r="H97" s="5"/>
      <c r="I97" s="100" t="s">
        <v>99</v>
      </c>
      <c r="J97" s="154"/>
      <c r="K97" s="155"/>
      <c r="L97" s="156"/>
      <c r="M97" s="157"/>
      <c r="N97" s="158"/>
      <c r="O97" s="159"/>
      <c r="P97" s="65">
        <v>45757</v>
      </c>
      <c r="Q97" s="89">
        <f t="shared" si="2"/>
        <v>1.0001967299116901</v>
      </c>
      <c r="R97" s="101" t="s">
        <v>94</v>
      </c>
      <c r="S97" s="160"/>
    </row>
    <row r="98" spans="1:19" ht="57.6" x14ac:dyDescent="0.3">
      <c r="A98" s="96">
        <v>96</v>
      </c>
      <c r="B98" s="152">
        <v>1550</v>
      </c>
      <c r="C98" s="103">
        <v>45748</v>
      </c>
      <c r="D98" s="268" t="s">
        <v>1915</v>
      </c>
      <c r="E98" s="179" t="s">
        <v>1314</v>
      </c>
      <c r="F98" s="145" t="s">
        <v>8</v>
      </c>
      <c r="G98" s="183">
        <v>45748</v>
      </c>
      <c r="H98" s="137"/>
      <c r="I98" s="100" t="s">
        <v>99</v>
      </c>
      <c r="J98" s="154"/>
      <c r="K98" s="155"/>
      <c r="L98" s="156"/>
      <c r="M98" s="157"/>
      <c r="N98" s="158"/>
      <c r="O98" s="159"/>
      <c r="P98" s="65">
        <v>45757</v>
      </c>
      <c r="Q98" s="89">
        <f t="shared" si="2"/>
        <v>1.0001967299116901</v>
      </c>
      <c r="R98" s="101" t="s">
        <v>1916</v>
      </c>
      <c r="S98" s="160"/>
    </row>
    <row r="99" spans="1:19" ht="28.8" x14ac:dyDescent="0.3">
      <c r="A99" s="96">
        <v>97</v>
      </c>
      <c r="B99" s="152" t="s">
        <v>1044</v>
      </c>
      <c r="C99" s="265">
        <v>45754</v>
      </c>
      <c r="D99" s="268" t="s">
        <v>1917</v>
      </c>
      <c r="E99" s="179" t="s">
        <v>12</v>
      </c>
      <c r="F99" s="80" t="s">
        <v>4</v>
      </c>
      <c r="G99" s="183">
        <v>45754</v>
      </c>
      <c r="H99" s="137"/>
      <c r="I99" s="102" t="s">
        <v>159</v>
      </c>
      <c r="J99" s="21"/>
      <c r="K99" s="18"/>
      <c r="L99" s="19"/>
      <c r="M99" s="23"/>
      <c r="N99" s="11"/>
      <c r="O99" s="12"/>
      <c r="P99" s="65">
        <v>45757</v>
      </c>
      <c r="Q99" s="89">
        <f t="shared" ref="Q99:Q130" si="3">P99/G99</f>
        <v>1.0000655680377672</v>
      </c>
      <c r="R99" s="101"/>
      <c r="S99" s="66"/>
    </row>
    <row r="100" spans="1:19" ht="57.6" x14ac:dyDescent="0.3">
      <c r="A100" s="96">
        <v>98</v>
      </c>
      <c r="B100" s="87">
        <v>1550</v>
      </c>
      <c r="C100" s="103">
        <v>45755</v>
      </c>
      <c r="D100" s="706" t="s">
        <v>1918</v>
      </c>
      <c r="E100" s="48" t="s">
        <v>1314</v>
      </c>
      <c r="F100" s="145" t="s">
        <v>4</v>
      </c>
      <c r="G100" s="183">
        <v>45755</v>
      </c>
      <c r="H100" s="146"/>
      <c r="I100" s="100" t="s">
        <v>99</v>
      </c>
      <c r="J100" s="21"/>
      <c r="K100" s="18"/>
      <c r="L100" s="19"/>
      <c r="M100" s="23"/>
      <c r="N100" s="11"/>
      <c r="O100" s="12"/>
      <c r="P100" s="65">
        <v>45757</v>
      </c>
      <c r="Q100" s="89">
        <f t="shared" si="3"/>
        <v>1.0000437110698284</v>
      </c>
      <c r="R100" s="101"/>
      <c r="S100" s="66"/>
    </row>
    <row r="101" spans="1:19" ht="28.8" x14ac:dyDescent="0.3">
      <c r="A101" s="96">
        <v>99</v>
      </c>
      <c r="B101" s="87">
        <v>1550</v>
      </c>
      <c r="C101" s="103">
        <v>45756</v>
      </c>
      <c r="D101" s="703" t="s">
        <v>1919</v>
      </c>
      <c r="E101" s="48" t="s">
        <v>3</v>
      </c>
      <c r="F101" s="80" t="s">
        <v>10</v>
      </c>
      <c r="G101" s="183">
        <v>45756</v>
      </c>
      <c r="H101" s="5"/>
      <c r="I101" s="37" t="s">
        <v>82</v>
      </c>
      <c r="J101" s="21"/>
      <c r="K101" s="18"/>
      <c r="L101" s="19"/>
      <c r="M101" s="23"/>
      <c r="N101" s="11"/>
      <c r="O101" s="12"/>
      <c r="P101" s="65">
        <v>45757</v>
      </c>
      <c r="Q101" s="89">
        <f t="shared" si="3"/>
        <v>1.0000218550572602</v>
      </c>
      <c r="R101" s="101" t="s">
        <v>85</v>
      </c>
      <c r="S101" s="66"/>
    </row>
    <row r="102" spans="1:19" ht="57.6" x14ac:dyDescent="0.3">
      <c r="A102" s="96">
        <v>100</v>
      </c>
      <c r="B102" s="87">
        <v>1550</v>
      </c>
      <c r="C102" s="103">
        <v>45757</v>
      </c>
      <c r="D102" s="268" t="s">
        <v>1920</v>
      </c>
      <c r="E102" s="179" t="s">
        <v>12</v>
      </c>
      <c r="F102" s="145" t="s">
        <v>4</v>
      </c>
      <c r="G102" s="183">
        <v>45757</v>
      </c>
      <c r="H102" s="137"/>
      <c r="I102" s="100" t="s">
        <v>159</v>
      </c>
      <c r="J102" s="21"/>
      <c r="K102" s="18"/>
      <c r="L102" s="19"/>
      <c r="M102" s="23"/>
      <c r="N102" s="11"/>
      <c r="O102" s="12"/>
      <c r="P102" s="65">
        <v>45757</v>
      </c>
      <c r="Q102" s="89">
        <f t="shared" si="3"/>
        <v>1</v>
      </c>
      <c r="R102" s="101"/>
      <c r="S102" s="69"/>
    </row>
    <row r="103" spans="1:19" ht="43.2" x14ac:dyDescent="0.3">
      <c r="A103" s="96">
        <v>101</v>
      </c>
      <c r="B103" s="87">
        <v>1550</v>
      </c>
      <c r="C103" s="103">
        <v>45757</v>
      </c>
      <c r="D103" s="268" t="s">
        <v>1921</v>
      </c>
      <c r="E103" s="162" t="s">
        <v>49</v>
      </c>
      <c r="F103" s="80" t="s">
        <v>4</v>
      </c>
      <c r="G103" s="183">
        <v>45757</v>
      </c>
      <c r="H103" s="146"/>
      <c r="I103" s="100" t="s">
        <v>266</v>
      </c>
      <c r="J103" s="21"/>
      <c r="K103" s="18"/>
      <c r="L103" s="19"/>
      <c r="M103" s="23"/>
      <c r="N103" s="11"/>
      <c r="O103" s="12"/>
      <c r="P103" s="65">
        <v>45757</v>
      </c>
      <c r="Q103" s="89">
        <f t="shared" si="3"/>
        <v>1</v>
      </c>
      <c r="R103" s="101"/>
      <c r="S103" s="66"/>
    </row>
    <row r="104" spans="1:19" ht="57.6" x14ac:dyDescent="0.3">
      <c r="A104" s="96">
        <v>102</v>
      </c>
      <c r="B104" s="87">
        <v>1550</v>
      </c>
      <c r="C104" s="103">
        <v>45757</v>
      </c>
      <c r="D104" s="706" t="s">
        <v>1922</v>
      </c>
      <c r="E104" s="93" t="s">
        <v>1314</v>
      </c>
      <c r="F104" s="80" t="s">
        <v>4</v>
      </c>
      <c r="G104" s="183">
        <v>45757</v>
      </c>
      <c r="H104" s="5"/>
      <c r="I104" s="100" t="s">
        <v>99</v>
      </c>
      <c r="J104" s="21"/>
      <c r="K104" s="18"/>
      <c r="L104" s="19"/>
      <c r="M104" s="23"/>
      <c r="N104" s="11"/>
      <c r="O104" s="12"/>
      <c r="P104" s="65">
        <v>45758</v>
      </c>
      <c r="Q104" s="89">
        <f t="shared" si="3"/>
        <v>1.0000218545796271</v>
      </c>
      <c r="R104" s="101"/>
      <c r="S104" s="66"/>
    </row>
    <row r="105" spans="1:19" ht="57.6" x14ac:dyDescent="0.3">
      <c r="A105" s="96">
        <v>103</v>
      </c>
      <c r="B105" s="87">
        <v>1550</v>
      </c>
      <c r="C105" s="103">
        <v>45757</v>
      </c>
      <c r="D105" s="698" t="s">
        <v>1923</v>
      </c>
      <c r="E105" s="48" t="s">
        <v>1314</v>
      </c>
      <c r="F105" s="80" t="s">
        <v>10</v>
      </c>
      <c r="G105" s="183">
        <v>45757</v>
      </c>
      <c r="H105" s="5"/>
      <c r="I105" s="100" t="s">
        <v>99</v>
      </c>
      <c r="J105" s="21"/>
      <c r="K105" s="18"/>
      <c r="L105" s="19"/>
      <c r="M105" s="23"/>
      <c r="N105" s="11"/>
      <c r="O105" s="12"/>
      <c r="P105" s="65">
        <v>45758</v>
      </c>
      <c r="Q105" s="89">
        <f t="shared" si="3"/>
        <v>1.0000218545796271</v>
      </c>
      <c r="R105" s="101" t="s">
        <v>1310</v>
      </c>
      <c r="S105" s="66"/>
    </row>
    <row r="106" spans="1:19" ht="57.6" x14ac:dyDescent="0.3">
      <c r="A106" s="96">
        <v>104</v>
      </c>
      <c r="B106" s="87">
        <v>1550</v>
      </c>
      <c r="C106" s="103">
        <v>45758</v>
      </c>
      <c r="D106" s="269" t="s">
        <v>1924</v>
      </c>
      <c r="E106" s="162" t="s">
        <v>1326</v>
      </c>
      <c r="F106" s="145" t="s">
        <v>4</v>
      </c>
      <c r="G106" s="183">
        <v>45758</v>
      </c>
      <c r="H106" s="146"/>
      <c r="I106" s="100" t="s">
        <v>99</v>
      </c>
      <c r="J106" s="154"/>
      <c r="K106" s="155"/>
      <c r="L106" s="156"/>
      <c r="M106" s="157"/>
      <c r="N106" s="158"/>
      <c r="O106" s="159"/>
      <c r="P106" s="65">
        <v>45758</v>
      </c>
      <c r="Q106" s="89">
        <f t="shared" si="3"/>
        <v>1</v>
      </c>
      <c r="R106" s="101"/>
      <c r="S106" s="120"/>
    </row>
    <row r="107" spans="1:19" ht="43.2" x14ac:dyDescent="0.3">
      <c r="A107" s="96">
        <v>105</v>
      </c>
      <c r="B107" s="87">
        <v>1550</v>
      </c>
      <c r="C107" s="103">
        <v>45758</v>
      </c>
      <c r="D107" s="702" t="s">
        <v>1925</v>
      </c>
      <c r="E107" s="48" t="s">
        <v>14</v>
      </c>
      <c r="F107" s="80" t="s">
        <v>6</v>
      </c>
      <c r="G107" s="183">
        <v>45758</v>
      </c>
      <c r="H107" s="146"/>
      <c r="I107" s="100" t="s">
        <v>99</v>
      </c>
      <c r="J107" s="154"/>
      <c r="K107" s="155"/>
      <c r="L107" s="156"/>
      <c r="M107" s="157"/>
      <c r="N107" s="158"/>
      <c r="O107" s="159"/>
      <c r="P107" s="65">
        <v>45758</v>
      </c>
      <c r="Q107" s="89">
        <f t="shared" si="3"/>
        <v>1</v>
      </c>
      <c r="R107" s="94" t="s">
        <v>1816</v>
      </c>
      <c r="S107" s="66"/>
    </row>
    <row r="108" spans="1:19" ht="43.2" x14ac:dyDescent="0.3">
      <c r="A108" s="96">
        <v>106</v>
      </c>
      <c r="B108" s="87">
        <v>1550</v>
      </c>
      <c r="C108" s="91">
        <v>45758</v>
      </c>
      <c r="D108" s="98" t="s">
        <v>1926</v>
      </c>
      <c r="E108" s="179" t="s">
        <v>1</v>
      </c>
      <c r="F108" s="80" t="s">
        <v>6</v>
      </c>
      <c r="G108" s="183">
        <v>45758</v>
      </c>
      <c r="H108" s="5"/>
      <c r="I108" s="100" t="s">
        <v>125</v>
      </c>
      <c r="J108" s="21"/>
      <c r="K108" s="18"/>
      <c r="L108" s="19"/>
      <c r="M108" s="23"/>
      <c r="N108" s="11"/>
      <c r="O108" s="12"/>
      <c r="P108" s="65">
        <v>45758</v>
      </c>
      <c r="Q108" s="89">
        <f t="shared" si="3"/>
        <v>1</v>
      </c>
      <c r="R108" s="94" t="s">
        <v>1927</v>
      </c>
      <c r="S108" s="66"/>
    </row>
    <row r="109" spans="1:19" x14ac:dyDescent="0.3">
      <c r="A109" s="96">
        <v>107</v>
      </c>
      <c r="B109" s="87">
        <v>1550</v>
      </c>
      <c r="C109" s="91">
        <v>45758</v>
      </c>
      <c r="D109" s="213" t="s">
        <v>1928</v>
      </c>
      <c r="E109" s="48" t="s">
        <v>24</v>
      </c>
      <c r="F109" s="80" t="s">
        <v>4</v>
      </c>
      <c r="G109" s="183">
        <v>45758</v>
      </c>
      <c r="H109" s="5"/>
      <c r="I109" s="100" t="s">
        <v>129</v>
      </c>
      <c r="J109" s="21"/>
      <c r="K109" s="18"/>
      <c r="L109" s="19"/>
      <c r="M109" s="23"/>
      <c r="N109" s="11"/>
      <c r="O109" s="12"/>
      <c r="P109" s="65">
        <v>45758</v>
      </c>
      <c r="Q109" s="89">
        <f t="shared" si="3"/>
        <v>1</v>
      </c>
      <c r="R109" s="94"/>
      <c r="S109" s="66"/>
    </row>
    <row r="110" spans="1:19" ht="158.4" x14ac:dyDescent="0.3">
      <c r="A110" s="96">
        <v>108</v>
      </c>
      <c r="B110" s="87">
        <v>1550</v>
      </c>
      <c r="C110" s="91">
        <v>45758</v>
      </c>
      <c r="D110" s="262" t="s">
        <v>1929</v>
      </c>
      <c r="E110" s="48" t="s">
        <v>21</v>
      </c>
      <c r="F110" s="145" t="s">
        <v>10</v>
      </c>
      <c r="G110" s="183">
        <v>45758</v>
      </c>
      <c r="H110" s="5"/>
      <c r="I110" s="100" t="s">
        <v>125</v>
      </c>
      <c r="J110" s="21"/>
      <c r="K110" s="18"/>
      <c r="L110" s="19"/>
      <c r="M110" s="23"/>
      <c r="N110" s="11"/>
      <c r="O110" s="12"/>
      <c r="P110" s="65">
        <v>45758</v>
      </c>
      <c r="Q110" s="89">
        <f t="shared" si="3"/>
        <v>1</v>
      </c>
      <c r="R110" s="101" t="s">
        <v>1823</v>
      </c>
      <c r="S110" s="66"/>
    </row>
    <row r="111" spans="1:19" ht="72" x14ac:dyDescent="0.3">
      <c r="A111" s="96">
        <v>109</v>
      </c>
      <c r="B111" s="87">
        <v>1550</v>
      </c>
      <c r="C111" s="91">
        <v>45758</v>
      </c>
      <c r="D111" s="262" t="s">
        <v>1930</v>
      </c>
      <c r="E111" s="93" t="s">
        <v>33</v>
      </c>
      <c r="F111" s="145" t="s">
        <v>10</v>
      </c>
      <c r="G111" s="183">
        <v>45758</v>
      </c>
      <c r="H111" s="5"/>
      <c r="I111" s="100" t="s">
        <v>99</v>
      </c>
      <c r="J111" s="21"/>
      <c r="K111" s="18"/>
      <c r="L111" s="19"/>
      <c r="M111" s="23"/>
      <c r="N111" s="11"/>
      <c r="O111" s="12"/>
      <c r="P111" s="65">
        <v>45758</v>
      </c>
      <c r="Q111" s="89">
        <f t="shared" si="3"/>
        <v>1</v>
      </c>
      <c r="R111" s="101" t="s">
        <v>1347</v>
      </c>
      <c r="S111" s="66"/>
    </row>
    <row r="112" spans="1:19" ht="57.6" x14ac:dyDescent="0.3">
      <c r="A112" s="96">
        <v>110</v>
      </c>
      <c r="B112" s="87">
        <v>1550</v>
      </c>
      <c r="C112" s="91">
        <v>45756</v>
      </c>
      <c r="D112" s="262" t="s">
        <v>1931</v>
      </c>
      <c r="E112" s="93" t="s">
        <v>1314</v>
      </c>
      <c r="F112" s="80" t="s">
        <v>10</v>
      </c>
      <c r="G112" s="183">
        <v>45756</v>
      </c>
      <c r="H112" s="5"/>
      <c r="I112" s="100" t="s">
        <v>99</v>
      </c>
      <c r="J112" s="21"/>
      <c r="K112" s="18"/>
      <c r="L112" s="19"/>
      <c r="M112" s="23"/>
      <c r="N112" s="11"/>
      <c r="O112" s="12"/>
      <c r="P112" s="65">
        <v>45761</v>
      </c>
      <c r="Q112" s="89">
        <f t="shared" si="3"/>
        <v>1.0001092752863012</v>
      </c>
      <c r="R112" s="101" t="s">
        <v>1310</v>
      </c>
      <c r="S112" s="66"/>
    </row>
    <row r="113" spans="1:19" x14ac:dyDescent="0.3">
      <c r="A113" s="96">
        <v>111</v>
      </c>
      <c r="B113" s="87" t="s">
        <v>1044</v>
      </c>
      <c r="C113" s="91">
        <v>45757</v>
      </c>
      <c r="D113" s="342" t="s">
        <v>1932</v>
      </c>
      <c r="E113" s="93" t="s">
        <v>23</v>
      </c>
      <c r="F113" s="145" t="s">
        <v>4</v>
      </c>
      <c r="G113" s="183">
        <v>45757</v>
      </c>
      <c r="H113" s="5"/>
      <c r="I113" s="107" t="s">
        <v>135</v>
      </c>
      <c r="J113" s="21"/>
      <c r="K113" s="18"/>
      <c r="L113" s="19"/>
      <c r="M113" s="23"/>
      <c r="N113" s="11"/>
      <c r="O113" s="12"/>
      <c r="P113" s="65">
        <v>45761</v>
      </c>
      <c r="Q113" s="89">
        <f t="shared" si="3"/>
        <v>1.0000874183185087</v>
      </c>
      <c r="R113" s="101"/>
      <c r="S113" s="69"/>
    </row>
    <row r="114" spans="1:19" ht="57.6" x14ac:dyDescent="0.3">
      <c r="A114" s="96">
        <v>112</v>
      </c>
      <c r="B114" s="87">
        <v>1550</v>
      </c>
      <c r="C114" s="91">
        <v>45758</v>
      </c>
      <c r="D114" s="110" t="s">
        <v>1933</v>
      </c>
      <c r="E114" s="162" t="s">
        <v>1314</v>
      </c>
      <c r="F114" s="145" t="s">
        <v>6</v>
      </c>
      <c r="G114" s="183">
        <v>45758</v>
      </c>
      <c r="H114" s="5"/>
      <c r="I114" s="100" t="s">
        <v>99</v>
      </c>
      <c r="J114" s="21"/>
      <c r="K114" s="18"/>
      <c r="L114" s="19"/>
      <c r="M114" s="23"/>
      <c r="N114" s="11"/>
      <c r="O114" s="12"/>
      <c r="P114" s="65">
        <v>45761</v>
      </c>
      <c r="Q114" s="89">
        <f t="shared" si="3"/>
        <v>1.0000655623060448</v>
      </c>
      <c r="R114" s="94" t="s">
        <v>1934</v>
      </c>
      <c r="S114" s="160"/>
    </row>
    <row r="115" spans="1:19" ht="57.6" x14ac:dyDescent="0.3">
      <c r="A115" s="96">
        <v>113</v>
      </c>
      <c r="B115" s="87">
        <v>1550</v>
      </c>
      <c r="C115" s="91">
        <v>45758</v>
      </c>
      <c r="D115" s="110" t="s">
        <v>1935</v>
      </c>
      <c r="E115" s="144" t="s">
        <v>1314</v>
      </c>
      <c r="F115" s="145" t="s">
        <v>6</v>
      </c>
      <c r="G115" s="183">
        <v>45758</v>
      </c>
      <c r="H115" s="5"/>
      <c r="I115" s="100" t="s">
        <v>99</v>
      </c>
      <c r="J115" s="21"/>
      <c r="K115" s="18"/>
      <c r="L115" s="19"/>
      <c r="M115" s="23"/>
      <c r="N115" s="11"/>
      <c r="O115" s="12"/>
      <c r="P115" s="65">
        <v>45761</v>
      </c>
      <c r="Q115" s="89">
        <f t="shared" si="3"/>
        <v>1.0000655623060448</v>
      </c>
      <c r="R115" s="101" t="s">
        <v>1936</v>
      </c>
      <c r="S115" s="66"/>
    </row>
    <row r="116" spans="1:19" ht="57.6" x14ac:dyDescent="0.3">
      <c r="A116" s="96">
        <v>114</v>
      </c>
      <c r="B116" s="87">
        <v>1550</v>
      </c>
      <c r="C116" s="91">
        <v>45758</v>
      </c>
      <c r="D116" s="149" t="s">
        <v>1937</v>
      </c>
      <c r="E116" s="48" t="s">
        <v>12</v>
      </c>
      <c r="F116" s="80" t="s">
        <v>4</v>
      </c>
      <c r="G116" s="183">
        <v>45758</v>
      </c>
      <c r="H116" s="5"/>
      <c r="I116" s="107" t="s">
        <v>159</v>
      </c>
      <c r="J116" s="21"/>
      <c r="K116" s="18"/>
      <c r="L116" s="19"/>
      <c r="M116" s="23"/>
      <c r="N116" s="11"/>
      <c r="O116" s="12"/>
      <c r="P116" s="65">
        <v>45761</v>
      </c>
      <c r="Q116" s="89">
        <f t="shared" si="3"/>
        <v>1.0000655623060448</v>
      </c>
      <c r="R116" s="101"/>
      <c r="S116" s="66"/>
    </row>
    <row r="117" spans="1:19" ht="57.6" x14ac:dyDescent="0.3">
      <c r="A117" s="96">
        <v>115</v>
      </c>
      <c r="B117" s="87">
        <v>1550</v>
      </c>
      <c r="C117" s="91">
        <v>45758</v>
      </c>
      <c r="D117" s="210" t="s">
        <v>1938</v>
      </c>
      <c r="E117" s="144" t="s">
        <v>1314</v>
      </c>
      <c r="F117" s="145" t="s">
        <v>10</v>
      </c>
      <c r="G117" s="183">
        <v>45758</v>
      </c>
      <c r="H117" s="5"/>
      <c r="I117" s="107" t="s">
        <v>99</v>
      </c>
      <c r="J117" s="154"/>
      <c r="K117" s="155"/>
      <c r="L117" s="156"/>
      <c r="M117" s="157"/>
      <c r="N117" s="158"/>
      <c r="O117" s="159"/>
      <c r="P117" s="65">
        <v>45761</v>
      </c>
      <c r="Q117" s="89">
        <f t="shared" si="3"/>
        <v>1.0000655623060448</v>
      </c>
      <c r="R117" s="101" t="s">
        <v>1870</v>
      </c>
      <c r="S117" s="160"/>
    </row>
    <row r="118" spans="1:19" ht="28.8" x14ac:dyDescent="0.3">
      <c r="A118" s="96">
        <v>116</v>
      </c>
      <c r="B118" s="87">
        <v>1550</v>
      </c>
      <c r="C118" s="91">
        <v>45758</v>
      </c>
      <c r="D118" s="210" t="s">
        <v>1939</v>
      </c>
      <c r="E118" s="126" t="s">
        <v>23</v>
      </c>
      <c r="F118" s="127" t="s">
        <v>10</v>
      </c>
      <c r="G118" s="183">
        <v>45758</v>
      </c>
      <c r="H118" s="134"/>
      <c r="I118" s="107" t="s">
        <v>135</v>
      </c>
      <c r="J118" s="154"/>
      <c r="K118" s="155"/>
      <c r="L118" s="156"/>
      <c r="M118" s="157"/>
      <c r="N118" s="158"/>
      <c r="O118" s="159"/>
      <c r="P118" s="65">
        <v>45761</v>
      </c>
      <c r="Q118" s="89">
        <f t="shared" si="3"/>
        <v>1.0000655623060448</v>
      </c>
      <c r="R118" s="101" t="s">
        <v>1686</v>
      </c>
      <c r="S118" s="160"/>
    </row>
    <row r="119" spans="1:19" ht="57.6" x14ac:dyDescent="0.3">
      <c r="A119" s="96">
        <v>117</v>
      </c>
      <c r="B119" s="87">
        <v>1550</v>
      </c>
      <c r="C119" s="91">
        <v>45758</v>
      </c>
      <c r="D119" s="261" t="s">
        <v>1940</v>
      </c>
      <c r="E119" s="162" t="s">
        <v>1314</v>
      </c>
      <c r="F119" s="145" t="s">
        <v>10</v>
      </c>
      <c r="G119" s="183">
        <v>45758</v>
      </c>
      <c r="H119" s="5"/>
      <c r="I119" s="100" t="s">
        <v>99</v>
      </c>
      <c r="J119" s="154"/>
      <c r="K119" s="155"/>
      <c r="L119" s="156"/>
      <c r="M119" s="157"/>
      <c r="N119" s="158"/>
      <c r="O119" s="159"/>
      <c r="P119" s="65">
        <v>45761</v>
      </c>
      <c r="Q119" s="89">
        <f t="shared" si="3"/>
        <v>1.0000655623060448</v>
      </c>
      <c r="R119" s="101" t="s">
        <v>1821</v>
      </c>
      <c r="S119" s="160"/>
    </row>
    <row r="120" spans="1:19" ht="57.6" x14ac:dyDescent="0.3">
      <c r="A120" s="96">
        <v>118</v>
      </c>
      <c r="B120" s="87" t="s">
        <v>1044</v>
      </c>
      <c r="C120" s="91">
        <v>45761</v>
      </c>
      <c r="D120" s="342" t="s">
        <v>1941</v>
      </c>
      <c r="E120" s="111" t="s">
        <v>1314</v>
      </c>
      <c r="F120" s="145" t="s">
        <v>4</v>
      </c>
      <c r="G120" s="183">
        <v>45761</v>
      </c>
      <c r="H120" s="137"/>
      <c r="I120" s="107" t="s">
        <v>99</v>
      </c>
      <c r="J120" s="21"/>
      <c r="K120" s="18"/>
      <c r="L120" s="19"/>
      <c r="M120" s="23"/>
      <c r="N120" s="11"/>
      <c r="O120" s="12"/>
      <c r="P120" s="65">
        <v>45761</v>
      </c>
      <c r="Q120" s="89">
        <f t="shared" si="3"/>
        <v>1</v>
      </c>
      <c r="R120" s="101"/>
      <c r="S120" s="66"/>
    </row>
    <row r="121" spans="1:19" ht="57.6" x14ac:dyDescent="0.3">
      <c r="A121" s="96">
        <v>119</v>
      </c>
      <c r="B121" s="87" t="s">
        <v>1044</v>
      </c>
      <c r="C121" s="91">
        <v>45761</v>
      </c>
      <c r="D121" t="s">
        <v>1942</v>
      </c>
      <c r="E121" s="48" t="s">
        <v>1314</v>
      </c>
      <c r="F121" s="127" t="s">
        <v>4</v>
      </c>
      <c r="G121" s="183">
        <v>45761</v>
      </c>
      <c r="H121" s="5"/>
      <c r="I121" s="100" t="s">
        <v>99</v>
      </c>
      <c r="J121" s="21"/>
      <c r="K121" s="18"/>
      <c r="L121" s="19"/>
      <c r="M121" s="23"/>
      <c r="N121" s="11"/>
      <c r="O121" s="12"/>
      <c r="P121" s="65">
        <v>45761</v>
      </c>
      <c r="Q121" s="89">
        <f t="shared" si="3"/>
        <v>1</v>
      </c>
      <c r="R121" s="101"/>
      <c r="S121" s="160"/>
    </row>
    <row r="122" spans="1:19" ht="48" customHeight="1" x14ac:dyDescent="0.3">
      <c r="A122" s="96">
        <v>120</v>
      </c>
      <c r="B122" s="87" t="s">
        <v>1044</v>
      </c>
      <c r="C122" s="91">
        <v>45761</v>
      </c>
      <c r="D122" s="209" t="s">
        <v>1943</v>
      </c>
      <c r="E122" s="48" t="s">
        <v>1314</v>
      </c>
      <c r="F122" s="127" t="s">
        <v>4</v>
      </c>
      <c r="G122" s="183">
        <v>45761</v>
      </c>
      <c r="H122" s="5"/>
      <c r="I122" s="107" t="s">
        <v>99</v>
      </c>
      <c r="J122" s="21"/>
      <c r="K122" s="18"/>
      <c r="L122" s="19"/>
      <c r="M122" s="23"/>
      <c r="N122" s="11"/>
      <c r="O122" s="12"/>
      <c r="P122" s="65">
        <v>45761</v>
      </c>
      <c r="Q122" s="89">
        <f t="shared" si="3"/>
        <v>1</v>
      </c>
      <c r="R122" s="101"/>
      <c r="S122" s="66"/>
    </row>
    <row r="123" spans="1:19" ht="57.6" x14ac:dyDescent="0.3">
      <c r="A123" s="96">
        <v>121</v>
      </c>
      <c r="B123" s="87" t="s">
        <v>1044</v>
      </c>
      <c r="C123" s="91">
        <v>45761</v>
      </c>
      <c r="D123" s="209" t="s">
        <v>1944</v>
      </c>
      <c r="E123" s="93" t="s">
        <v>1314</v>
      </c>
      <c r="F123" s="145" t="s">
        <v>4</v>
      </c>
      <c r="G123" s="183">
        <v>45761</v>
      </c>
      <c r="H123" s="5"/>
      <c r="I123" s="100" t="s">
        <v>99</v>
      </c>
      <c r="J123" s="21"/>
      <c r="K123" s="18"/>
      <c r="L123" s="19"/>
      <c r="M123" s="23"/>
      <c r="N123" s="11"/>
      <c r="O123" s="12"/>
      <c r="P123" s="65">
        <v>45761</v>
      </c>
      <c r="Q123" s="89">
        <f t="shared" si="3"/>
        <v>1</v>
      </c>
      <c r="R123" s="101"/>
      <c r="S123" s="66"/>
    </row>
    <row r="124" spans="1:19" ht="28.8" x14ac:dyDescent="0.3">
      <c r="A124" s="96">
        <v>122</v>
      </c>
      <c r="B124" s="87">
        <v>1550</v>
      </c>
      <c r="C124" s="91">
        <v>45761</v>
      </c>
      <c r="D124" s="98" t="s">
        <v>1945</v>
      </c>
      <c r="E124" s="93" t="s">
        <v>1</v>
      </c>
      <c r="F124" s="145" t="s">
        <v>4</v>
      </c>
      <c r="G124" s="183">
        <v>45761</v>
      </c>
      <c r="H124" s="146"/>
      <c r="I124" s="100" t="s">
        <v>125</v>
      </c>
      <c r="J124" s="154"/>
      <c r="K124" s="155"/>
      <c r="L124" s="156"/>
      <c r="M124" s="157"/>
      <c r="N124" s="158"/>
      <c r="O124" s="159"/>
      <c r="P124" s="65">
        <v>45761</v>
      </c>
      <c r="Q124" s="89">
        <f t="shared" si="3"/>
        <v>1</v>
      </c>
      <c r="R124" s="101"/>
      <c r="S124" s="160"/>
    </row>
    <row r="125" spans="1:19" ht="57.6" x14ac:dyDescent="0.3">
      <c r="A125" s="96">
        <v>123</v>
      </c>
      <c r="B125" s="87" t="s">
        <v>1044</v>
      </c>
      <c r="C125" s="91">
        <v>45761</v>
      </c>
      <c r="D125" s="209" t="s">
        <v>1946</v>
      </c>
      <c r="E125" s="48" t="s">
        <v>1314</v>
      </c>
      <c r="F125" s="127" t="s">
        <v>4</v>
      </c>
      <c r="G125" s="183">
        <v>45761</v>
      </c>
      <c r="H125" s="5"/>
      <c r="I125" s="100" t="s">
        <v>99</v>
      </c>
      <c r="J125" s="21"/>
      <c r="K125" s="18"/>
      <c r="L125" s="19"/>
      <c r="M125" s="23"/>
      <c r="N125" s="11"/>
      <c r="O125" s="12"/>
      <c r="P125" s="65">
        <v>45761</v>
      </c>
      <c r="Q125" s="89">
        <f t="shared" si="3"/>
        <v>1</v>
      </c>
      <c r="R125" s="101"/>
      <c r="S125" s="160"/>
    </row>
    <row r="126" spans="1:19" x14ac:dyDescent="0.3">
      <c r="A126" s="96">
        <v>124</v>
      </c>
      <c r="B126" s="87" t="s">
        <v>1044</v>
      </c>
      <c r="C126" s="91">
        <v>45761</v>
      </c>
      <c r="D126" s="149" t="s">
        <v>1947</v>
      </c>
      <c r="E126" s="111" t="s">
        <v>23</v>
      </c>
      <c r="F126" s="127" t="s">
        <v>4</v>
      </c>
      <c r="G126" s="183">
        <v>45761</v>
      </c>
      <c r="H126" s="134"/>
      <c r="I126" s="100" t="s">
        <v>135</v>
      </c>
      <c r="J126" s="154"/>
      <c r="K126" s="155"/>
      <c r="L126" s="156"/>
      <c r="M126" s="157"/>
      <c r="N126" s="158"/>
      <c r="O126" s="159"/>
      <c r="P126" s="65">
        <v>45761</v>
      </c>
      <c r="Q126" s="89">
        <f t="shared" si="3"/>
        <v>1</v>
      </c>
      <c r="R126" s="101"/>
      <c r="S126" s="69"/>
    </row>
    <row r="127" spans="1:19" ht="57.6" x14ac:dyDescent="0.3">
      <c r="A127" s="96">
        <v>125</v>
      </c>
      <c r="B127" s="87">
        <v>1550</v>
      </c>
      <c r="C127" s="91">
        <v>45761</v>
      </c>
      <c r="D127" s="261" t="s">
        <v>1948</v>
      </c>
      <c r="E127" s="162" t="s">
        <v>1314</v>
      </c>
      <c r="F127" s="145" t="s">
        <v>10</v>
      </c>
      <c r="G127" s="183">
        <v>45761</v>
      </c>
      <c r="H127" s="5"/>
      <c r="I127" s="100" t="s">
        <v>99</v>
      </c>
      <c r="J127" s="21"/>
      <c r="K127" s="18"/>
      <c r="L127" s="19"/>
      <c r="M127" s="23"/>
      <c r="N127" s="11"/>
      <c r="O127" s="12"/>
      <c r="P127" s="65">
        <v>45761</v>
      </c>
      <c r="Q127" s="89">
        <f t="shared" si="3"/>
        <v>1</v>
      </c>
      <c r="R127" s="101"/>
      <c r="S127" s="66"/>
    </row>
    <row r="128" spans="1:19" ht="57.6" x14ac:dyDescent="0.3">
      <c r="A128" s="96">
        <v>126</v>
      </c>
      <c r="B128" s="87">
        <v>1550</v>
      </c>
      <c r="C128" s="91">
        <v>45761</v>
      </c>
      <c r="D128" s="262" t="s">
        <v>1949</v>
      </c>
      <c r="E128" s="216" t="s">
        <v>1314</v>
      </c>
      <c r="F128" s="145" t="s">
        <v>10</v>
      </c>
      <c r="G128" s="183">
        <v>45761</v>
      </c>
      <c r="H128" s="354"/>
      <c r="I128" s="238" t="s">
        <v>99</v>
      </c>
      <c r="J128" s="21"/>
      <c r="K128" s="18"/>
      <c r="L128" s="19"/>
      <c r="M128" s="23"/>
      <c r="N128" s="11"/>
      <c r="O128" s="12"/>
      <c r="P128" s="65">
        <v>45761</v>
      </c>
      <c r="Q128" s="89">
        <f t="shared" si="3"/>
        <v>1</v>
      </c>
      <c r="R128" s="101"/>
      <c r="S128" s="66"/>
    </row>
    <row r="129" spans="1:19" ht="28.8" x14ac:dyDescent="0.3">
      <c r="A129" s="96">
        <v>127</v>
      </c>
      <c r="B129" s="152" t="s">
        <v>1044</v>
      </c>
      <c r="C129" s="91">
        <v>45748</v>
      </c>
      <c r="D129" s="110" t="s">
        <v>1950</v>
      </c>
      <c r="E129" s="195" t="s">
        <v>7</v>
      </c>
      <c r="F129" s="145" t="s">
        <v>4</v>
      </c>
      <c r="G129" s="183">
        <v>45748</v>
      </c>
      <c r="H129" s="134"/>
      <c r="I129" s="125" t="s">
        <v>99</v>
      </c>
      <c r="J129" s="712"/>
      <c r="K129" s="155"/>
      <c r="L129" s="156"/>
      <c r="M129" s="157"/>
      <c r="N129" s="158"/>
      <c r="O129" s="159"/>
      <c r="P129" s="65">
        <v>45762</v>
      </c>
      <c r="Q129" s="89">
        <f t="shared" si="3"/>
        <v>1.0003060243070736</v>
      </c>
      <c r="R129" s="101"/>
      <c r="S129" s="160"/>
    </row>
    <row r="130" spans="1:19" ht="100.8" x14ac:dyDescent="0.3">
      <c r="A130" s="96">
        <v>128</v>
      </c>
      <c r="B130" s="87">
        <v>1550</v>
      </c>
      <c r="C130" s="91">
        <v>45748</v>
      </c>
      <c r="D130" s="262" t="s">
        <v>1951</v>
      </c>
      <c r="E130" s="111" t="s">
        <v>32</v>
      </c>
      <c r="F130" s="80" t="s">
        <v>10</v>
      </c>
      <c r="G130" s="183">
        <v>45748</v>
      </c>
      <c r="H130" s="137"/>
      <c r="I130" s="127" t="s">
        <v>106</v>
      </c>
      <c r="J130" s="114"/>
      <c r="K130" s="18"/>
      <c r="L130" s="19"/>
      <c r="M130" s="23"/>
      <c r="N130" s="11"/>
      <c r="O130" s="12"/>
      <c r="P130" s="65">
        <v>45762</v>
      </c>
      <c r="Q130" s="89">
        <f t="shared" si="3"/>
        <v>1.0003060243070736</v>
      </c>
      <c r="R130" s="101" t="s">
        <v>1844</v>
      </c>
      <c r="S130" s="66"/>
    </row>
    <row r="131" spans="1:19" x14ac:dyDescent="0.3">
      <c r="A131" s="96">
        <v>129</v>
      </c>
      <c r="B131" s="87" t="s">
        <v>1044</v>
      </c>
      <c r="C131" s="91">
        <v>45749</v>
      </c>
      <c r="D131" s="110" t="s">
        <v>1952</v>
      </c>
      <c r="E131" s="126" t="s">
        <v>3</v>
      </c>
      <c r="F131" s="80" t="s">
        <v>4</v>
      </c>
      <c r="G131" s="183">
        <v>45749</v>
      </c>
      <c r="H131" s="134"/>
      <c r="I131" s="37" t="s">
        <v>82</v>
      </c>
      <c r="J131" s="190"/>
      <c r="K131" s="155"/>
      <c r="L131" s="156"/>
      <c r="M131" s="157"/>
      <c r="N131" s="158"/>
      <c r="O131" s="159"/>
      <c r="P131" s="65">
        <v>45762</v>
      </c>
      <c r="Q131" s="89">
        <f t="shared" ref="Q131:Q162" si="4">P131/G131</f>
        <v>1.000284159216595</v>
      </c>
      <c r="R131" s="101"/>
      <c r="S131" s="160"/>
    </row>
    <row r="132" spans="1:19" x14ac:dyDescent="0.3">
      <c r="A132" s="96">
        <v>130</v>
      </c>
      <c r="B132" s="87" t="s">
        <v>1044</v>
      </c>
      <c r="C132" s="91">
        <v>45750</v>
      </c>
      <c r="D132" s="342" t="s">
        <v>1953</v>
      </c>
      <c r="E132" s="111" t="s">
        <v>23</v>
      </c>
      <c r="F132" s="80" t="s">
        <v>4</v>
      </c>
      <c r="G132" s="183">
        <v>45750</v>
      </c>
      <c r="H132" s="137"/>
      <c r="I132" s="125" t="s">
        <v>135</v>
      </c>
      <c r="J132" s="114"/>
      <c r="K132" s="18"/>
      <c r="L132" s="19"/>
      <c r="M132" s="23"/>
      <c r="N132" s="11"/>
      <c r="O132" s="12"/>
      <c r="P132" s="85">
        <v>45762</v>
      </c>
      <c r="Q132" s="89">
        <f t="shared" si="4"/>
        <v>1.0002622950819673</v>
      </c>
      <c r="R132" s="101"/>
      <c r="S132" s="66"/>
    </row>
    <row r="133" spans="1:19" ht="100.8" x14ac:dyDescent="0.3">
      <c r="A133" s="96">
        <v>131</v>
      </c>
      <c r="B133" s="189">
        <v>1550</v>
      </c>
      <c r="C133" s="136">
        <v>45750</v>
      </c>
      <c r="D133" s="60" t="s">
        <v>1954</v>
      </c>
      <c r="E133" s="111" t="s">
        <v>32</v>
      </c>
      <c r="F133" s="125" t="s">
        <v>10</v>
      </c>
      <c r="G133" s="138">
        <v>45750</v>
      </c>
      <c r="H133" s="137"/>
      <c r="I133" s="37" t="s">
        <v>106</v>
      </c>
      <c r="J133" s="114"/>
      <c r="K133" s="18"/>
      <c r="L133" s="19"/>
      <c r="M133" s="23"/>
      <c r="N133" s="11"/>
      <c r="O133" s="12"/>
      <c r="P133" s="85">
        <v>45762</v>
      </c>
      <c r="Q133" s="89">
        <f t="shared" si="4"/>
        <v>1.0002622950819673</v>
      </c>
      <c r="R133" s="101" t="s">
        <v>1955</v>
      </c>
      <c r="S133" s="66"/>
    </row>
    <row r="134" spans="1:19" ht="115.2" x14ac:dyDescent="0.3">
      <c r="A134" s="96">
        <v>132</v>
      </c>
      <c r="B134" s="189">
        <v>1550</v>
      </c>
      <c r="C134" s="136">
        <v>45751</v>
      </c>
      <c r="D134" s="698" t="s">
        <v>1956</v>
      </c>
      <c r="E134" s="126" t="s">
        <v>14</v>
      </c>
      <c r="F134" s="127" t="s">
        <v>10</v>
      </c>
      <c r="G134" s="138">
        <v>45751</v>
      </c>
      <c r="H134" s="134">
        <v>10000280070</v>
      </c>
      <c r="I134" s="100" t="s">
        <v>135</v>
      </c>
      <c r="J134" s="190"/>
      <c r="K134" s="155"/>
      <c r="L134" s="156"/>
      <c r="M134" s="157"/>
      <c r="N134" s="158"/>
      <c r="O134" s="159"/>
      <c r="P134" s="85">
        <v>45762</v>
      </c>
      <c r="Q134" s="89">
        <f t="shared" si="4"/>
        <v>1.0002404319031277</v>
      </c>
      <c r="R134" s="101" t="s">
        <v>1844</v>
      </c>
      <c r="S134" s="160"/>
    </row>
    <row r="135" spans="1:19" ht="115.2" x14ac:dyDescent="0.3">
      <c r="A135" s="96">
        <v>133</v>
      </c>
      <c r="B135" s="189">
        <v>1550</v>
      </c>
      <c r="C135" s="136">
        <v>45755</v>
      </c>
      <c r="D135" s="698" t="s">
        <v>1957</v>
      </c>
      <c r="E135" s="111" t="s">
        <v>32</v>
      </c>
      <c r="F135" s="125" t="s">
        <v>10</v>
      </c>
      <c r="G135" s="138">
        <v>45755</v>
      </c>
      <c r="H135" s="137"/>
      <c r="I135" s="125" t="s">
        <v>106</v>
      </c>
      <c r="J135" s="114"/>
      <c r="K135" s="18"/>
      <c r="L135" s="19"/>
      <c r="M135" s="23"/>
      <c r="N135" s="11"/>
      <c r="O135" s="12"/>
      <c r="P135" s="65">
        <v>45762</v>
      </c>
      <c r="Q135" s="89">
        <f t="shared" si="4"/>
        <v>1.0001529887443996</v>
      </c>
      <c r="R135" s="101" t="s">
        <v>1844</v>
      </c>
      <c r="S135" s="66"/>
    </row>
    <row r="136" spans="1:19" ht="43.2" x14ac:dyDescent="0.3">
      <c r="A136" s="96">
        <v>134</v>
      </c>
      <c r="B136" s="189">
        <v>1550</v>
      </c>
      <c r="C136" s="136">
        <v>45755</v>
      </c>
      <c r="D136" s="60" t="s">
        <v>1958</v>
      </c>
      <c r="E136" s="111" t="s">
        <v>3</v>
      </c>
      <c r="F136" s="125" t="s">
        <v>10</v>
      </c>
      <c r="G136" s="138">
        <v>45755</v>
      </c>
      <c r="H136" s="137" t="s">
        <v>1959</v>
      </c>
      <c r="I136" s="37" t="s">
        <v>82</v>
      </c>
      <c r="J136" s="114"/>
      <c r="K136" s="18"/>
      <c r="L136" s="19"/>
      <c r="M136" s="23"/>
      <c r="N136" s="11"/>
      <c r="O136" s="12"/>
      <c r="P136" s="136">
        <v>45762</v>
      </c>
      <c r="Q136" s="89">
        <f t="shared" si="4"/>
        <v>1.0001529887443996</v>
      </c>
      <c r="R136" s="101" t="s">
        <v>1310</v>
      </c>
      <c r="S136" s="66"/>
    </row>
    <row r="137" spans="1:19" ht="115.2" x14ac:dyDescent="0.3">
      <c r="A137" s="96">
        <v>135</v>
      </c>
      <c r="B137" s="87">
        <v>1550</v>
      </c>
      <c r="C137" s="90">
        <v>45757</v>
      </c>
      <c r="D137" s="210" t="s">
        <v>1960</v>
      </c>
      <c r="E137" s="126" t="s">
        <v>1</v>
      </c>
      <c r="F137" s="125" t="s">
        <v>10</v>
      </c>
      <c r="G137" s="138">
        <v>45757</v>
      </c>
      <c r="H137" s="134"/>
      <c r="I137" s="125" t="s">
        <v>125</v>
      </c>
      <c r="J137" s="114"/>
      <c r="K137" s="18"/>
      <c r="L137" s="19"/>
      <c r="M137" s="23"/>
      <c r="N137" s="11"/>
      <c r="O137" s="12"/>
      <c r="P137" s="65">
        <v>45762</v>
      </c>
      <c r="Q137" s="89">
        <f t="shared" si="4"/>
        <v>1.0001092728981358</v>
      </c>
      <c r="R137" s="101" t="s">
        <v>1870</v>
      </c>
      <c r="S137" s="66"/>
    </row>
    <row r="138" spans="1:19" ht="115.2" x14ac:dyDescent="0.3">
      <c r="A138" s="96">
        <v>136</v>
      </c>
      <c r="B138" s="87">
        <v>1550</v>
      </c>
      <c r="C138" s="90">
        <v>45757</v>
      </c>
      <c r="D138" s="698" t="s">
        <v>1961</v>
      </c>
      <c r="E138" s="144" t="s">
        <v>12</v>
      </c>
      <c r="F138" s="80" t="s">
        <v>10</v>
      </c>
      <c r="G138" s="138">
        <v>45757</v>
      </c>
      <c r="H138" s="134"/>
      <c r="I138" s="125" t="s">
        <v>159</v>
      </c>
      <c r="J138" s="114"/>
      <c r="K138" s="18"/>
      <c r="L138" s="19"/>
      <c r="M138" s="23"/>
      <c r="N138" s="11"/>
      <c r="O138" s="12"/>
      <c r="P138" s="65">
        <v>45762</v>
      </c>
      <c r="Q138" s="89">
        <f t="shared" si="4"/>
        <v>1.0001092728981358</v>
      </c>
      <c r="R138" s="101" t="s">
        <v>1806</v>
      </c>
      <c r="S138" s="66"/>
    </row>
    <row r="139" spans="1:19" ht="28.8" x14ac:dyDescent="0.3">
      <c r="A139" s="96">
        <v>137</v>
      </c>
      <c r="B139" s="87">
        <v>1550</v>
      </c>
      <c r="C139" s="91">
        <v>45758</v>
      </c>
      <c r="D139" s="98" t="s">
        <v>1962</v>
      </c>
      <c r="E139" s="48" t="s">
        <v>21</v>
      </c>
      <c r="F139" s="80" t="s">
        <v>4</v>
      </c>
      <c r="G139" s="183">
        <v>45758</v>
      </c>
      <c r="H139" s="5"/>
      <c r="I139" s="100" t="s">
        <v>361</v>
      </c>
      <c r="J139" s="21"/>
      <c r="K139" s="18"/>
      <c r="L139" s="19"/>
      <c r="M139" s="23"/>
      <c r="N139" s="11"/>
      <c r="O139" s="12"/>
      <c r="P139" s="65">
        <v>45762</v>
      </c>
      <c r="Q139" s="89">
        <f t="shared" si="4"/>
        <v>1.0000874164080598</v>
      </c>
      <c r="R139" s="101"/>
      <c r="S139" s="69"/>
    </row>
    <row r="140" spans="1:19" ht="28.8" x14ac:dyDescent="0.3">
      <c r="A140" s="96">
        <v>138</v>
      </c>
      <c r="B140" s="87" t="s">
        <v>1826</v>
      </c>
      <c r="C140" s="91" t="s">
        <v>1963</v>
      </c>
      <c r="D140" s="351" t="s">
        <v>1964</v>
      </c>
      <c r="E140" s="144" t="s">
        <v>32</v>
      </c>
      <c r="F140" s="145" t="s">
        <v>4</v>
      </c>
      <c r="G140" s="183">
        <v>45761</v>
      </c>
      <c r="H140" s="146"/>
      <c r="I140" s="102" t="s">
        <v>106</v>
      </c>
      <c r="J140" s="154"/>
      <c r="K140" s="155"/>
      <c r="L140" s="156"/>
      <c r="M140" s="157"/>
      <c r="N140" s="158"/>
      <c r="O140" s="159"/>
      <c r="P140" s="65">
        <v>45762</v>
      </c>
      <c r="Q140" s="89">
        <f t="shared" si="4"/>
        <v>1.0000218526693037</v>
      </c>
      <c r="R140" s="101"/>
      <c r="S140" s="160"/>
    </row>
    <row r="141" spans="1:19" ht="28.8" x14ac:dyDescent="0.3">
      <c r="A141" s="96">
        <v>139</v>
      </c>
      <c r="B141" s="87">
        <v>1550</v>
      </c>
      <c r="C141" s="91">
        <v>45761</v>
      </c>
      <c r="D141" s="149" t="s">
        <v>1965</v>
      </c>
      <c r="E141" s="144" t="s">
        <v>3</v>
      </c>
      <c r="F141" s="145" t="s">
        <v>4</v>
      </c>
      <c r="G141" s="183">
        <v>45761</v>
      </c>
      <c r="H141" s="146"/>
      <c r="I141" s="37" t="s">
        <v>82</v>
      </c>
      <c r="J141" s="154"/>
      <c r="K141" s="155"/>
      <c r="L141" s="156"/>
      <c r="M141" s="157"/>
      <c r="N141" s="158"/>
      <c r="O141" s="159"/>
      <c r="P141" s="65">
        <v>45762</v>
      </c>
      <c r="Q141" s="89">
        <f t="shared" si="4"/>
        <v>1.0000218526693037</v>
      </c>
      <c r="R141" s="101"/>
      <c r="S141" s="160"/>
    </row>
    <row r="142" spans="1:19" ht="28.8" x14ac:dyDescent="0.3">
      <c r="A142" s="96">
        <v>140</v>
      </c>
      <c r="B142" s="87" t="s">
        <v>1826</v>
      </c>
      <c r="C142" s="91">
        <v>45761</v>
      </c>
      <c r="D142" s="98" t="s">
        <v>1966</v>
      </c>
      <c r="E142" s="48" t="s">
        <v>32</v>
      </c>
      <c r="F142" s="145" t="s">
        <v>4</v>
      </c>
      <c r="G142" s="183">
        <v>45761</v>
      </c>
      <c r="H142" s="146"/>
      <c r="I142" s="100" t="s">
        <v>106</v>
      </c>
      <c r="J142" s="154"/>
      <c r="K142" s="155"/>
      <c r="L142" s="156"/>
      <c r="M142" s="157"/>
      <c r="N142" s="158"/>
      <c r="O142" s="159"/>
      <c r="P142" s="65">
        <v>45762</v>
      </c>
      <c r="Q142" s="89">
        <f t="shared" si="4"/>
        <v>1.0000218526693037</v>
      </c>
      <c r="R142" s="101"/>
      <c r="S142" s="160"/>
    </row>
    <row r="143" spans="1:19" ht="28.8" x14ac:dyDescent="0.3">
      <c r="A143" s="96">
        <v>141</v>
      </c>
      <c r="B143" s="414" t="s">
        <v>1826</v>
      </c>
      <c r="C143" s="187">
        <v>45761</v>
      </c>
      <c r="D143" s="188" t="s">
        <v>1967</v>
      </c>
      <c r="E143" s="279" t="s">
        <v>32</v>
      </c>
      <c r="F143" s="276" t="s">
        <v>4</v>
      </c>
      <c r="G143" s="418">
        <v>45761</v>
      </c>
      <c r="H143" s="223"/>
      <c r="I143" s="238" t="s">
        <v>106</v>
      </c>
      <c r="J143" s="435"/>
      <c r="K143" s="436"/>
      <c r="L143" s="437"/>
      <c r="M143" s="438"/>
      <c r="N143" s="439"/>
      <c r="O143" s="440"/>
      <c r="P143" s="441">
        <v>45762</v>
      </c>
      <c r="Q143" s="181">
        <f t="shared" si="4"/>
        <v>1.0000218526693037</v>
      </c>
      <c r="R143" s="182"/>
      <c r="S143" s="723"/>
    </row>
    <row r="144" spans="1:19" ht="57.6" x14ac:dyDescent="0.3">
      <c r="A144" s="96">
        <v>142</v>
      </c>
      <c r="B144" s="135" t="s">
        <v>1044</v>
      </c>
      <c r="C144" s="136">
        <v>45761</v>
      </c>
      <c r="D144" s="36" t="s">
        <v>1968</v>
      </c>
      <c r="E144" s="111" t="s">
        <v>1314</v>
      </c>
      <c r="F144" s="127" t="s">
        <v>4</v>
      </c>
      <c r="G144" s="138">
        <v>45761</v>
      </c>
      <c r="H144" s="137"/>
      <c r="I144" s="125" t="s">
        <v>99</v>
      </c>
      <c r="J144" s="431"/>
      <c r="K144" s="432"/>
      <c r="L144" s="432"/>
      <c r="M144" s="433"/>
      <c r="N144" s="434"/>
      <c r="O144" s="434"/>
      <c r="P144" s="136">
        <v>45762</v>
      </c>
      <c r="Q144" s="135">
        <f t="shared" si="4"/>
        <v>1.0000218526693037</v>
      </c>
      <c r="R144" s="111"/>
      <c r="S144" s="36"/>
    </row>
    <row r="145" spans="1:19" ht="57.6" x14ac:dyDescent="0.3">
      <c r="A145" s="96">
        <v>143</v>
      </c>
      <c r="B145" s="86">
        <v>1550</v>
      </c>
      <c r="C145" s="90">
        <v>45761</v>
      </c>
      <c r="D145" s="110" t="s">
        <v>1969</v>
      </c>
      <c r="E145" s="195" t="s">
        <v>32</v>
      </c>
      <c r="F145" s="278" t="s">
        <v>6</v>
      </c>
      <c r="G145" s="183">
        <v>45761</v>
      </c>
      <c r="H145" s="353"/>
      <c r="I145" s="107" t="s">
        <v>106</v>
      </c>
      <c r="J145" s="20"/>
      <c r="K145" s="16"/>
      <c r="L145" s="17"/>
      <c r="M145" s="22"/>
      <c r="N145" s="9"/>
      <c r="O145" s="10"/>
      <c r="P145" s="83">
        <v>45762</v>
      </c>
      <c r="Q145" s="89">
        <f t="shared" si="4"/>
        <v>1.0000218526693037</v>
      </c>
      <c r="R145" s="101" t="s">
        <v>1816</v>
      </c>
      <c r="S145" s="56"/>
    </row>
    <row r="146" spans="1:19" ht="57.6" x14ac:dyDescent="0.3">
      <c r="A146" s="96">
        <v>144</v>
      </c>
      <c r="B146" s="87">
        <v>1550</v>
      </c>
      <c r="C146" s="91">
        <v>45761</v>
      </c>
      <c r="D146" s="342" t="s">
        <v>1970</v>
      </c>
      <c r="E146" s="144" t="s">
        <v>1314</v>
      </c>
      <c r="F146" s="145" t="s">
        <v>4</v>
      </c>
      <c r="G146" s="183">
        <v>45761</v>
      </c>
      <c r="H146" s="146"/>
      <c r="I146" s="100" t="s">
        <v>99</v>
      </c>
      <c r="J146" s="21"/>
      <c r="K146" s="18"/>
      <c r="L146" s="19"/>
      <c r="M146" s="23"/>
      <c r="N146" s="11"/>
      <c r="O146" s="12"/>
      <c r="P146" s="65">
        <v>45762</v>
      </c>
      <c r="Q146" s="89">
        <f t="shared" si="4"/>
        <v>1.0000218526693037</v>
      </c>
      <c r="R146" s="101"/>
      <c r="S146" s="66"/>
    </row>
    <row r="147" spans="1:19" ht="28.8" x14ac:dyDescent="0.3">
      <c r="A147" s="96">
        <v>145</v>
      </c>
      <c r="B147" s="87">
        <v>1550</v>
      </c>
      <c r="C147" s="91">
        <v>45761</v>
      </c>
      <c r="D147" s="699" t="s">
        <v>1971</v>
      </c>
      <c r="E147" s="144" t="s">
        <v>7</v>
      </c>
      <c r="F147" s="145" t="s">
        <v>4</v>
      </c>
      <c r="G147" s="183">
        <v>45761</v>
      </c>
      <c r="H147" s="146"/>
      <c r="I147" s="100" t="s">
        <v>258</v>
      </c>
      <c r="J147" s="21"/>
      <c r="K147" s="18"/>
      <c r="L147" s="19"/>
      <c r="M147" s="23"/>
      <c r="N147" s="11"/>
      <c r="O147" s="12"/>
      <c r="P147" s="65">
        <v>45762</v>
      </c>
      <c r="Q147" s="89">
        <f t="shared" si="4"/>
        <v>1.0000218526693037</v>
      </c>
      <c r="R147" s="101"/>
      <c r="S147" s="66"/>
    </row>
    <row r="148" spans="1:19" ht="72" x14ac:dyDescent="0.3">
      <c r="A148" s="96">
        <v>146</v>
      </c>
      <c r="B148" s="87">
        <v>1550</v>
      </c>
      <c r="C148" s="91">
        <v>45761</v>
      </c>
      <c r="D148" s="262" t="s">
        <v>1972</v>
      </c>
      <c r="E148" s="126" t="s">
        <v>32</v>
      </c>
      <c r="F148" s="145" t="s">
        <v>10</v>
      </c>
      <c r="G148" s="183">
        <v>45761</v>
      </c>
      <c r="H148" s="5"/>
      <c r="I148" s="100" t="s">
        <v>106</v>
      </c>
      <c r="J148" s="21"/>
      <c r="K148" s="18"/>
      <c r="L148" s="19"/>
      <c r="M148" s="23"/>
      <c r="N148" s="11"/>
      <c r="O148" s="12"/>
      <c r="P148" s="65">
        <v>45762</v>
      </c>
      <c r="Q148" s="89">
        <f t="shared" si="4"/>
        <v>1.0000218526693037</v>
      </c>
      <c r="R148" s="101"/>
      <c r="S148" s="66"/>
    </row>
    <row r="149" spans="1:19" ht="86.4" x14ac:dyDescent="0.3">
      <c r="A149" s="96">
        <v>147</v>
      </c>
      <c r="B149" s="87">
        <v>1550</v>
      </c>
      <c r="C149" s="91">
        <v>45761</v>
      </c>
      <c r="D149" s="262" t="s">
        <v>1973</v>
      </c>
      <c r="E149" s="144" t="s">
        <v>32</v>
      </c>
      <c r="F149" s="145" t="s">
        <v>10</v>
      </c>
      <c r="G149" s="183">
        <v>45761</v>
      </c>
      <c r="H149" s="5"/>
      <c r="I149" s="100" t="s">
        <v>106</v>
      </c>
      <c r="J149" s="154"/>
      <c r="K149" s="155"/>
      <c r="L149" s="156"/>
      <c r="M149" s="157"/>
      <c r="N149" s="158"/>
      <c r="O149" s="159"/>
      <c r="P149" s="65">
        <v>45762</v>
      </c>
      <c r="Q149" s="89">
        <f t="shared" si="4"/>
        <v>1.0000218526693037</v>
      </c>
      <c r="R149" s="101"/>
      <c r="S149" s="160"/>
    </row>
    <row r="150" spans="1:19" ht="115.2" x14ac:dyDescent="0.3">
      <c r="A150" s="96">
        <v>148</v>
      </c>
      <c r="B150" s="87">
        <v>1550</v>
      </c>
      <c r="C150" s="91">
        <v>45761</v>
      </c>
      <c r="D150" s="262" t="s">
        <v>1974</v>
      </c>
      <c r="E150" s="48" t="s">
        <v>12</v>
      </c>
      <c r="F150" s="145" t="s">
        <v>10</v>
      </c>
      <c r="G150" s="183">
        <v>45761</v>
      </c>
      <c r="H150" s="5"/>
      <c r="I150" s="102" t="s">
        <v>159</v>
      </c>
      <c r="J150" s="154"/>
      <c r="K150" s="155"/>
      <c r="L150" s="156"/>
      <c r="M150" s="157"/>
      <c r="N150" s="158"/>
      <c r="O150" s="159"/>
      <c r="P150" s="65">
        <v>45762</v>
      </c>
      <c r="Q150" s="89">
        <f t="shared" si="4"/>
        <v>1.0000218526693037</v>
      </c>
      <c r="R150" s="101"/>
      <c r="S150" s="160"/>
    </row>
    <row r="151" spans="1:19" ht="72" x14ac:dyDescent="0.3">
      <c r="A151" s="96">
        <v>149</v>
      </c>
      <c r="B151" s="87">
        <v>1550</v>
      </c>
      <c r="C151" s="91">
        <v>45761</v>
      </c>
      <c r="D151" s="284" t="s">
        <v>1975</v>
      </c>
      <c r="E151" s="144" t="s">
        <v>32</v>
      </c>
      <c r="F151" s="145" t="s">
        <v>10</v>
      </c>
      <c r="G151" s="183">
        <v>45761</v>
      </c>
      <c r="H151" s="5"/>
      <c r="I151" s="100" t="s">
        <v>106</v>
      </c>
      <c r="J151" s="154"/>
      <c r="K151" s="155"/>
      <c r="L151" s="156"/>
      <c r="M151" s="157"/>
      <c r="N151" s="158"/>
      <c r="O151" s="159"/>
      <c r="P151" s="65">
        <v>45762</v>
      </c>
      <c r="Q151" s="89">
        <f t="shared" si="4"/>
        <v>1.0000218526693037</v>
      </c>
      <c r="R151" s="101"/>
      <c r="S151" s="160"/>
    </row>
    <row r="152" spans="1:19" ht="57.6" x14ac:dyDescent="0.3">
      <c r="A152" s="96">
        <v>150</v>
      </c>
      <c r="B152" s="87">
        <v>1550</v>
      </c>
      <c r="C152" s="103">
        <v>45761</v>
      </c>
      <c r="D152" s="60" t="s">
        <v>1976</v>
      </c>
      <c r="E152" s="144" t="s">
        <v>1314</v>
      </c>
      <c r="F152" s="145" t="s">
        <v>10</v>
      </c>
      <c r="G152" s="183">
        <v>45761</v>
      </c>
      <c r="H152" s="5"/>
      <c r="I152" s="100" t="s">
        <v>99</v>
      </c>
      <c r="J152" s="154"/>
      <c r="K152" s="155"/>
      <c r="L152" s="156"/>
      <c r="M152" s="157"/>
      <c r="N152" s="158"/>
      <c r="O152" s="159"/>
      <c r="P152" s="65">
        <v>45762</v>
      </c>
      <c r="Q152" s="89">
        <f t="shared" si="4"/>
        <v>1.0000218526693037</v>
      </c>
      <c r="R152" s="101"/>
      <c r="S152" s="160"/>
    </row>
    <row r="153" spans="1:19" ht="57.6" x14ac:dyDescent="0.3">
      <c r="A153" s="96">
        <v>151</v>
      </c>
      <c r="B153" s="87">
        <v>1550</v>
      </c>
      <c r="C153" s="103">
        <v>45761</v>
      </c>
      <c r="D153" s="60" t="s">
        <v>1977</v>
      </c>
      <c r="E153" s="267" t="s">
        <v>1314</v>
      </c>
      <c r="F153" s="145" t="s">
        <v>10</v>
      </c>
      <c r="G153" s="183">
        <v>45761</v>
      </c>
      <c r="H153" s="5"/>
      <c r="I153" s="100" t="s">
        <v>99</v>
      </c>
      <c r="J153" s="154"/>
      <c r="K153" s="155"/>
      <c r="L153" s="156"/>
      <c r="M153" s="157"/>
      <c r="N153" s="158"/>
      <c r="O153" s="159"/>
      <c r="P153" s="65">
        <v>45762</v>
      </c>
      <c r="Q153" s="89">
        <f t="shared" si="4"/>
        <v>1.0000218526693037</v>
      </c>
      <c r="R153" s="101"/>
      <c r="S153" s="160"/>
    </row>
    <row r="154" spans="1:19" ht="57.6" x14ac:dyDescent="0.3">
      <c r="A154" s="96">
        <v>152</v>
      </c>
      <c r="B154" s="87">
        <v>1550</v>
      </c>
      <c r="C154" s="103">
        <v>45761</v>
      </c>
      <c r="D154" s="60" t="s">
        <v>1978</v>
      </c>
      <c r="E154" s="267" t="s">
        <v>1314</v>
      </c>
      <c r="F154" s="145" t="s">
        <v>10</v>
      </c>
      <c r="G154" s="183">
        <v>45761</v>
      </c>
      <c r="H154" s="5"/>
      <c r="I154" s="100" t="s">
        <v>99</v>
      </c>
      <c r="J154" s="21"/>
      <c r="K154" s="18"/>
      <c r="L154" s="19"/>
      <c r="M154" s="23"/>
      <c r="N154" s="11"/>
      <c r="O154" s="12"/>
      <c r="P154" s="65">
        <v>45762</v>
      </c>
      <c r="Q154" s="89">
        <f t="shared" si="4"/>
        <v>1.0000218526693037</v>
      </c>
      <c r="R154" s="101"/>
      <c r="S154" s="66"/>
    </row>
    <row r="155" spans="1:19" x14ac:dyDescent="0.3">
      <c r="A155" s="96">
        <v>153</v>
      </c>
      <c r="B155" s="152">
        <v>1550</v>
      </c>
      <c r="C155" s="282">
        <v>45762</v>
      </c>
      <c r="D155" s="109" t="s">
        <v>1979</v>
      </c>
      <c r="E155" s="468" t="s">
        <v>3</v>
      </c>
      <c r="F155" s="145" t="s">
        <v>4</v>
      </c>
      <c r="G155" s="183">
        <v>45762</v>
      </c>
      <c r="H155" s="146"/>
      <c r="I155" s="37" t="s">
        <v>82</v>
      </c>
      <c r="J155" s="21"/>
      <c r="K155" s="18"/>
      <c r="L155" s="19"/>
      <c r="M155" s="23"/>
      <c r="N155" s="11"/>
      <c r="O155" s="12"/>
      <c r="P155" s="65">
        <v>45762</v>
      </c>
      <c r="Q155" s="89">
        <f t="shared" si="4"/>
        <v>1</v>
      </c>
      <c r="R155" s="101"/>
      <c r="S155" s="66"/>
    </row>
    <row r="156" spans="1:19" ht="57.6" x14ac:dyDescent="0.3">
      <c r="A156" s="96">
        <v>154</v>
      </c>
      <c r="B156" s="152">
        <v>1550</v>
      </c>
      <c r="C156" s="282">
        <v>45762</v>
      </c>
      <c r="D156" s="40" t="s">
        <v>1980</v>
      </c>
      <c r="E156" s="126" t="s">
        <v>1314</v>
      </c>
      <c r="F156" s="221" t="s">
        <v>4</v>
      </c>
      <c r="G156" s="183">
        <v>45762</v>
      </c>
      <c r="H156" s="134"/>
      <c r="I156" s="100" t="s">
        <v>99</v>
      </c>
      <c r="J156" s="226"/>
      <c r="K156" s="164"/>
      <c r="L156" s="228"/>
      <c r="M156" s="157"/>
      <c r="N156" s="158"/>
      <c r="O156" s="159"/>
      <c r="P156" s="65">
        <v>45762</v>
      </c>
      <c r="Q156" s="89">
        <f t="shared" si="4"/>
        <v>1</v>
      </c>
      <c r="R156" s="101"/>
      <c r="S156" s="160"/>
    </row>
    <row r="157" spans="1:19" ht="129.6" x14ac:dyDescent="0.3">
      <c r="A157" s="96">
        <v>155</v>
      </c>
      <c r="B157" s="152">
        <v>1550</v>
      </c>
      <c r="C157" s="208">
        <v>45762</v>
      </c>
      <c r="D157" s="149" t="s">
        <v>1981</v>
      </c>
      <c r="E157" s="162" t="s">
        <v>14</v>
      </c>
      <c r="F157" s="145" t="s">
        <v>6</v>
      </c>
      <c r="G157" s="183">
        <v>45762</v>
      </c>
      <c r="H157" s="146"/>
      <c r="I157" s="100" t="s">
        <v>99</v>
      </c>
      <c r="J157" s="154"/>
      <c r="K157" s="155"/>
      <c r="L157" s="156"/>
      <c r="M157" s="157"/>
      <c r="N157" s="158"/>
      <c r="O157" s="159"/>
      <c r="P157" s="65">
        <v>45762</v>
      </c>
      <c r="Q157" s="89">
        <f t="shared" si="4"/>
        <v>1</v>
      </c>
      <c r="R157" s="101" t="s">
        <v>1813</v>
      </c>
      <c r="S157" s="160"/>
    </row>
    <row r="158" spans="1:19" ht="28.8" x14ac:dyDescent="0.3">
      <c r="A158" s="96">
        <v>156</v>
      </c>
      <c r="B158" s="152">
        <v>1550</v>
      </c>
      <c r="C158" s="208">
        <v>45762</v>
      </c>
      <c r="D158" s="149" t="s">
        <v>1982</v>
      </c>
      <c r="E158" s="144" t="s">
        <v>3</v>
      </c>
      <c r="F158" s="145" t="s">
        <v>4</v>
      </c>
      <c r="G158" s="183">
        <v>45762</v>
      </c>
      <c r="H158" s="146"/>
      <c r="I158" s="37" t="s">
        <v>82</v>
      </c>
      <c r="J158" s="154"/>
      <c r="K158" s="155"/>
      <c r="L158" s="156"/>
      <c r="M158" s="157"/>
      <c r="N158" s="158"/>
      <c r="O158" s="159"/>
      <c r="P158" s="65">
        <v>45762</v>
      </c>
      <c r="Q158" s="89">
        <f t="shared" si="4"/>
        <v>1</v>
      </c>
      <c r="R158" s="101"/>
      <c r="S158" s="160"/>
    </row>
    <row r="159" spans="1:19" ht="72" x14ac:dyDescent="0.3">
      <c r="A159" s="96">
        <v>157</v>
      </c>
      <c r="B159" s="152">
        <v>1550</v>
      </c>
      <c r="C159" s="208">
        <v>45762</v>
      </c>
      <c r="D159" s="98" t="s">
        <v>1983</v>
      </c>
      <c r="E159" s="279" t="s">
        <v>32</v>
      </c>
      <c r="F159" s="145" t="s">
        <v>6</v>
      </c>
      <c r="G159" s="183">
        <v>45762</v>
      </c>
      <c r="H159" s="710"/>
      <c r="I159" s="100" t="s">
        <v>106</v>
      </c>
      <c r="J159" s="154"/>
      <c r="K159" s="155"/>
      <c r="L159" s="156"/>
      <c r="M159" s="157"/>
      <c r="N159" s="158"/>
      <c r="O159" s="159"/>
      <c r="P159" s="65">
        <v>45762</v>
      </c>
      <c r="Q159" s="89">
        <f t="shared" si="4"/>
        <v>1</v>
      </c>
      <c r="R159" s="101" t="s">
        <v>1893</v>
      </c>
      <c r="S159" s="160"/>
    </row>
    <row r="160" spans="1:19" ht="57.6" x14ac:dyDescent="0.3">
      <c r="A160" s="96">
        <v>158</v>
      </c>
      <c r="B160" s="152">
        <v>1550</v>
      </c>
      <c r="C160" s="282">
        <v>45762</v>
      </c>
      <c r="D160" s="109" t="s">
        <v>1984</v>
      </c>
      <c r="E160" s="126" t="s">
        <v>1</v>
      </c>
      <c r="F160" s="221" t="s">
        <v>6</v>
      </c>
      <c r="G160" s="183">
        <v>45762</v>
      </c>
      <c r="H160" s="146"/>
      <c r="I160" s="107" t="s">
        <v>258</v>
      </c>
      <c r="J160" s="154"/>
      <c r="K160" s="155"/>
      <c r="L160" s="156"/>
      <c r="M160" s="157"/>
      <c r="N160" s="158"/>
      <c r="O160" s="159"/>
      <c r="P160" s="65">
        <v>45762</v>
      </c>
      <c r="Q160" s="89">
        <f t="shared" si="4"/>
        <v>1</v>
      </c>
      <c r="R160" s="101" t="s">
        <v>1985</v>
      </c>
      <c r="S160" s="160"/>
    </row>
    <row r="161" spans="1:19" ht="57.6" x14ac:dyDescent="0.3">
      <c r="A161" s="96">
        <v>159</v>
      </c>
      <c r="B161" s="152">
        <v>1550</v>
      </c>
      <c r="C161" s="208">
        <v>45762</v>
      </c>
      <c r="D161" s="209" t="s">
        <v>1986</v>
      </c>
      <c r="E161" s="162" t="s">
        <v>1314</v>
      </c>
      <c r="F161" s="145" t="s">
        <v>4</v>
      </c>
      <c r="G161" s="183">
        <v>45762</v>
      </c>
      <c r="H161" s="146"/>
      <c r="I161" s="107" t="s">
        <v>99</v>
      </c>
      <c r="J161" s="226"/>
      <c r="K161" s="164"/>
      <c r="L161" s="228"/>
      <c r="M161" s="157"/>
      <c r="N161" s="158"/>
      <c r="O161" s="159"/>
      <c r="P161" s="65">
        <v>45762</v>
      </c>
      <c r="Q161" s="89">
        <f t="shared" si="4"/>
        <v>1</v>
      </c>
      <c r="R161" s="101"/>
      <c r="S161" s="66"/>
    </row>
    <row r="162" spans="1:19" ht="57.6" x14ac:dyDescent="0.3">
      <c r="A162" s="96">
        <v>160</v>
      </c>
      <c r="B162" s="152">
        <v>1550</v>
      </c>
      <c r="C162" s="208">
        <v>45762</v>
      </c>
      <c r="D162" s="361" t="s">
        <v>1987</v>
      </c>
      <c r="E162" s="144" t="s">
        <v>1314</v>
      </c>
      <c r="F162" s="145" t="s">
        <v>4</v>
      </c>
      <c r="G162" s="183">
        <v>45762</v>
      </c>
      <c r="H162" s="146"/>
      <c r="I162" s="100" t="s">
        <v>99</v>
      </c>
      <c r="J162" s="226"/>
      <c r="K162" s="164"/>
      <c r="L162" s="228"/>
      <c r="M162" s="157"/>
      <c r="N162" s="158"/>
      <c r="O162" s="159"/>
      <c r="P162" s="65">
        <v>45762</v>
      </c>
      <c r="Q162" s="89">
        <f t="shared" si="4"/>
        <v>1</v>
      </c>
      <c r="R162" s="101"/>
      <c r="S162" s="66"/>
    </row>
    <row r="163" spans="1:19" ht="86.4" x14ac:dyDescent="0.3">
      <c r="A163" s="96">
        <v>161</v>
      </c>
      <c r="B163" s="87">
        <v>1550</v>
      </c>
      <c r="C163" s="103">
        <v>45762</v>
      </c>
      <c r="D163" s="109" t="s">
        <v>1988</v>
      </c>
      <c r="E163" s="144" t="s">
        <v>3</v>
      </c>
      <c r="F163" s="80" t="s">
        <v>6</v>
      </c>
      <c r="G163" s="183">
        <v>45762</v>
      </c>
      <c r="H163" s="146"/>
      <c r="I163" s="102" t="s">
        <v>361</v>
      </c>
      <c r="J163" s="154"/>
      <c r="K163" s="155"/>
      <c r="L163" s="156"/>
      <c r="M163" s="157"/>
      <c r="N163" s="158"/>
      <c r="O163" s="159"/>
      <c r="P163" s="65">
        <v>45762</v>
      </c>
      <c r="Q163" s="89">
        <f t="shared" ref="Q163:Q186" si="5">P163/G163</f>
        <v>1</v>
      </c>
      <c r="R163" s="101" t="s">
        <v>1860</v>
      </c>
      <c r="S163" s="160"/>
    </row>
    <row r="164" spans="1:19" ht="57.6" x14ac:dyDescent="0.3">
      <c r="A164" s="96">
        <v>162</v>
      </c>
      <c r="B164" s="87">
        <v>1550</v>
      </c>
      <c r="C164" s="103">
        <v>45762</v>
      </c>
      <c r="D164" s="109" t="s">
        <v>1989</v>
      </c>
      <c r="E164" s="48" t="s">
        <v>1314</v>
      </c>
      <c r="F164" s="80" t="s">
        <v>6</v>
      </c>
      <c r="G164" s="183">
        <v>45762</v>
      </c>
      <c r="H164" s="5"/>
      <c r="I164" s="100" t="s">
        <v>99</v>
      </c>
      <c r="J164" s="21"/>
      <c r="K164" s="18"/>
      <c r="L164" s="19"/>
      <c r="M164" s="23"/>
      <c r="N164" s="11"/>
      <c r="O164" s="12"/>
      <c r="P164" s="65">
        <v>45762</v>
      </c>
      <c r="Q164" s="89">
        <f t="shared" si="5"/>
        <v>1</v>
      </c>
      <c r="R164" s="101" t="s">
        <v>1813</v>
      </c>
      <c r="S164" s="66"/>
    </row>
    <row r="165" spans="1:19" x14ac:dyDescent="0.3">
      <c r="A165" s="96">
        <v>163</v>
      </c>
      <c r="B165" s="87" t="s">
        <v>1044</v>
      </c>
      <c r="C165" s="91">
        <v>45749</v>
      </c>
      <c r="D165" s="149" t="s">
        <v>1990</v>
      </c>
      <c r="E165" s="48" t="s">
        <v>17</v>
      </c>
      <c r="F165" s="145" t="s">
        <v>4</v>
      </c>
      <c r="G165" s="183">
        <v>45749</v>
      </c>
      <c r="H165" s="5">
        <v>10000279514</v>
      </c>
      <c r="I165" s="37" t="s">
        <v>82</v>
      </c>
      <c r="J165" s="21"/>
      <c r="K165" s="18"/>
      <c r="L165" s="19"/>
      <c r="M165" s="23"/>
      <c r="N165" s="11"/>
      <c r="O165" s="12"/>
      <c r="P165" s="65">
        <v>45768</v>
      </c>
      <c r="Q165" s="89">
        <f t="shared" si="5"/>
        <v>1.0004153096242541</v>
      </c>
      <c r="R165" s="101"/>
      <c r="S165" s="66"/>
    </row>
    <row r="166" spans="1:19" ht="70.5" customHeight="1" x14ac:dyDescent="0.3">
      <c r="A166" s="96">
        <v>164</v>
      </c>
      <c r="B166" s="87" t="s">
        <v>1044</v>
      </c>
      <c r="C166" s="187">
        <v>45750</v>
      </c>
      <c r="D166" s="188" t="s">
        <v>1991</v>
      </c>
      <c r="E166" s="280" t="s">
        <v>17</v>
      </c>
      <c r="F166" s="363" t="s">
        <v>4</v>
      </c>
      <c r="G166" s="183">
        <v>45750</v>
      </c>
      <c r="H166" s="5">
        <v>10000279524</v>
      </c>
      <c r="I166" s="37" t="s">
        <v>82</v>
      </c>
      <c r="J166" s="21"/>
      <c r="K166" s="18"/>
      <c r="L166" s="19"/>
      <c r="M166" s="23"/>
      <c r="N166" s="11"/>
      <c r="O166" s="12"/>
      <c r="P166" s="85">
        <v>45768</v>
      </c>
      <c r="Q166" s="89">
        <f t="shared" si="5"/>
        <v>1.0003934426229508</v>
      </c>
      <c r="R166" s="101"/>
      <c r="S166" s="56" t="s">
        <v>1756</v>
      </c>
    </row>
    <row r="167" spans="1:19" ht="28.8" x14ac:dyDescent="0.3">
      <c r="A167" s="96">
        <v>165</v>
      </c>
      <c r="B167" s="186" t="s">
        <v>1044</v>
      </c>
      <c r="C167" s="136">
        <v>45750</v>
      </c>
      <c r="D167" s="109" t="s">
        <v>1992</v>
      </c>
      <c r="E167" s="111" t="s">
        <v>17</v>
      </c>
      <c r="F167" s="127" t="s">
        <v>4</v>
      </c>
      <c r="G167" s="99">
        <v>45750</v>
      </c>
      <c r="H167" s="5">
        <v>10000280482</v>
      </c>
      <c r="I167" s="37" t="s">
        <v>82</v>
      </c>
      <c r="J167" s="21"/>
      <c r="K167" s="18"/>
      <c r="L167" s="19"/>
      <c r="M167" s="23"/>
      <c r="N167" s="11"/>
      <c r="O167" s="12"/>
      <c r="P167" s="85">
        <v>45768</v>
      </c>
      <c r="Q167" s="89">
        <f t="shared" si="5"/>
        <v>1.0003934426229508</v>
      </c>
      <c r="R167" s="101"/>
      <c r="S167" s="66"/>
    </row>
    <row r="168" spans="1:19" ht="43.2" x14ac:dyDescent="0.3">
      <c r="A168" s="96">
        <v>166</v>
      </c>
      <c r="B168" s="186" t="s">
        <v>1044</v>
      </c>
      <c r="C168" s="124">
        <v>45754</v>
      </c>
      <c r="D168" s="98" t="s">
        <v>1993</v>
      </c>
      <c r="E168" s="111" t="s">
        <v>17</v>
      </c>
      <c r="F168" s="125" t="s">
        <v>4</v>
      </c>
      <c r="G168" s="99">
        <v>45754</v>
      </c>
      <c r="H168" s="5">
        <v>10000280484</v>
      </c>
      <c r="I168" s="37" t="s">
        <v>82</v>
      </c>
      <c r="J168" s="21"/>
      <c r="K168" s="18"/>
      <c r="L168" s="19"/>
      <c r="M168" s="23"/>
      <c r="N168" s="11"/>
      <c r="O168" s="12"/>
      <c r="P168" s="65">
        <v>45768</v>
      </c>
      <c r="Q168" s="89">
        <f t="shared" si="5"/>
        <v>1.0003059841762469</v>
      </c>
      <c r="R168" s="101"/>
      <c r="S168" s="66"/>
    </row>
    <row r="169" spans="1:19" ht="28.8" x14ac:dyDescent="0.3">
      <c r="A169" s="96">
        <v>167</v>
      </c>
      <c r="B169" s="189" t="s">
        <v>1044</v>
      </c>
      <c r="C169" s="136">
        <v>45754</v>
      </c>
      <c r="D169" s="109" t="s">
        <v>1994</v>
      </c>
      <c r="E169" s="111" t="s">
        <v>17</v>
      </c>
      <c r="F169" s="125" t="s">
        <v>4</v>
      </c>
      <c r="G169" s="99">
        <v>45754</v>
      </c>
      <c r="H169" s="146">
        <v>10000280901</v>
      </c>
      <c r="I169" s="37" t="s">
        <v>82</v>
      </c>
      <c r="J169" s="21"/>
      <c r="K169" s="18"/>
      <c r="L169" s="19"/>
      <c r="M169" s="23"/>
      <c r="N169" s="11"/>
      <c r="O169" s="12"/>
      <c r="P169" s="65">
        <v>45768</v>
      </c>
      <c r="Q169" s="89">
        <f t="shared" si="5"/>
        <v>1.0003059841762469</v>
      </c>
      <c r="R169" s="101"/>
      <c r="S169" s="66"/>
    </row>
    <row r="170" spans="1:19" ht="28.8" x14ac:dyDescent="0.3">
      <c r="A170" s="96">
        <v>168</v>
      </c>
      <c r="B170" s="189" t="s">
        <v>1044</v>
      </c>
      <c r="C170" s="136">
        <v>45755</v>
      </c>
      <c r="D170" s="213" t="s">
        <v>1995</v>
      </c>
      <c r="E170" s="111" t="s">
        <v>17</v>
      </c>
      <c r="F170" s="145" t="s">
        <v>4</v>
      </c>
      <c r="G170" s="99">
        <v>45755</v>
      </c>
      <c r="H170" s="5"/>
      <c r="I170" s="37" t="s">
        <v>82</v>
      </c>
      <c r="J170" s="21"/>
      <c r="K170" s="18"/>
      <c r="L170" s="19"/>
      <c r="M170" s="23"/>
      <c r="N170" s="11"/>
      <c r="O170" s="12"/>
      <c r="P170" s="65">
        <v>45768</v>
      </c>
      <c r="Q170" s="89">
        <f t="shared" si="5"/>
        <v>1.0002841219538847</v>
      </c>
      <c r="R170" s="101"/>
      <c r="S170" s="66"/>
    </row>
    <row r="171" spans="1:19" ht="28.8" x14ac:dyDescent="0.3">
      <c r="A171" s="96">
        <v>169</v>
      </c>
      <c r="B171" s="189" t="s">
        <v>1044</v>
      </c>
      <c r="C171" s="136">
        <v>45757</v>
      </c>
      <c r="D171" s="110" t="s">
        <v>1996</v>
      </c>
      <c r="E171" s="111" t="s">
        <v>17</v>
      </c>
      <c r="F171" s="80" t="s">
        <v>4</v>
      </c>
      <c r="G171" s="99">
        <v>45757</v>
      </c>
      <c r="H171" s="5">
        <v>10000281864</v>
      </c>
      <c r="I171" s="37" t="s">
        <v>82</v>
      </c>
      <c r="J171" s="21"/>
      <c r="K171" s="18"/>
      <c r="L171" s="19"/>
      <c r="M171" s="23"/>
      <c r="N171" s="11"/>
      <c r="O171" s="12"/>
      <c r="P171" s="65">
        <v>45768</v>
      </c>
      <c r="Q171" s="89">
        <f t="shared" si="5"/>
        <v>1.0002404003758987</v>
      </c>
      <c r="R171" s="101"/>
      <c r="S171" s="66"/>
    </row>
    <row r="172" spans="1:19" ht="43.2" x14ac:dyDescent="0.3">
      <c r="A172" s="96">
        <v>170</v>
      </c>
      <c r="B172" s="189">
        <v>1550</v>
      </c>
      <c r="C172" s="136">
        <v>45761</v>
      </c>
      <c r="D172" s="262" t="s">
        <v>1997</v>
      </c>
      <c r="E172" s="111" t="s">
        <v>17</v>
      </c>
      <c r="F172" s="127" t="s">
        <v>10</v>
      </c>
      <c r="G172" s="99">
        <v>45761</v>
      </c>
      <c r="H172" s="5"/>
      <c r="I172" s="37" t="s">
        <v>82</v>
      </c>
      <c r="J172" s="21"/>
      <c r="K172" s="18"/>
      <c r="L172" s="19"/>
      <c r="M172" s="23"/>
      <c r="N172" s="11"/>
      <c r="O172" s="12"/>
      <c r="P172" s="65">
        <v>45768</v>
      </c>
      <c r="Q172" s="89">
        <f t="shared" si="5"/>
        <v>1.0001529686851249</v>
      </c>
      <c r="R172" s="101"/>
      <c r="S172" s="66"/>
    </row>
    <row r="173" spans="1:19" x14ac:dyDescent="0.3">
      <c r="A173" s="96">
        <v>171</v>
      </c>
      <c r="B173" s="189" t="s">
        <v>1044</v>
      </c>
      <c r="C173" s="136">
        <v>45762</v>
      </c>
      <c r="D173" s="110" t="s">
        <v>1998</v>
      </c>
      <c r="E173" s="111" t="s">
        <v>17</v>
      </c>
      <c r="F173" s="127" t="s">
        <v>4</v>
      </c>
      <c r="G173" s="99">
        <v>45762</v>
      </c>
      <c r="H173" s="5"/>
      <c r="I173" s="37" t="s">
        <v>82</v>
      </c>
      <c r="J173" s="21"/>
      <c r="K173" s="18"/>
      <c r="L173" s="19"/>
      <c r="M173" s="23"/>
      <c r="N173" s="11"/>
      <c r="O173" s="12"/>
      <c r="P173" s="65">
        <v>45768</v>
      </c>
      <c r="Q173" s="89">
        <f t="shared" si="5"/>
        <v>1.000131113150649</v>
      </c>
      <c r="R173" s="101"/>
      <c r="S173" s="66"/>
    </row>
    <row r="174" spans="1:19" ht="43.2" x14ac:dyDescent="0.3">
      <c r="A174" s="96">
        <v>172</v>
      </c>
      <c r="B174" s="189">
        <v>1550</v>
      </c>
      <c r="C174" s="136">
        <v>45757</v>
      </c>
      <c r="D174" s="110" t="s">
        <v>1999</v>
      </c>
      <c r="E174" s="111" t="s">
        <v>25</v>
      </c>
      <c r="F174" s="125" t="s">
        <v>4</v>
      </c>
      <c r="G174" s="99">
        <v>45757</v>
      </c>
      <c r="H174" s="5">
        <v>10000281713</v>
      </c>
      <c r="I174" s="107" t="s">
        <v>135</v>
      </c>
      <c r="J174" s="21"/>
      <c r="K174" s="18"/>
      <c r="L174" s="19"/>
      <c r="M174" s="23"/>
      <c r="N174" s="11"/>
      <c r="O174" s="12"/>
      <c r="P174" s="65">
        <v>45768</v>
      </c>
      <c r="Q174" s="89">
        <f t="shared" si="5"/>
        <v>1.0002404003758987</v>
      </c>
      <c r="R174" s="101"/>
      <c r="S174" s="66"/>
    </row>
    <row r="175" spans="1:19" ht="28.8" x14ac:dyDescent="0.3">
      <c r="A175" s="96">
        <v>173</v>
      </c>
      <c r="B175" s="189">
        <v>1550</v>
      </c>
      <c r="C175" s="136">
        <v>45758</v>
      </c>
      <c r="D175" s="212" t="s">
        <v>2000</v>
      </c>
      <c r="E175" s="111" t="s">
        <v>7</v>
      </c>
      <c r="F175" s="125" t="s">
        <v>4</v>
      </c>
      <c r="G175" s="99">
        <v>45758</v>
      </c>
      <c r="H175" s="5"/>
      <c r="I175" s="100" t="s">
        <v>174</v>
      </c>
      <c r="J175" s="21"/>
      <c r="K175" s="18"/>
      <c r="L175" s="19"/>
      <c r="M175" s="23"/>
      <c r="N175" s="11"/>
      <c r="O175" s="12"/>
      <c r="P175" s="65">
        <v>45768</v>
      </c>
      <c r="Q175" s="89">
        <f t="shared" si="5"/>
        <v>1.0002185410201494</v>
      </c>
      <c r="R175" s="101"/>
      <c r="S175" s="66"/>
    </row>
    <row r="176" spans="1:19" ht="57.6" x14ac:dyDescent="0.3">
      <c r="A176" s="96">
        <v>174</v>
      </c>
      <c r="B176" s="189">
        <v>1550</v>
      </c>
      <c r="C176" s="136">
        <v>45761</v>
      </c>
      <c r="D176" s="351" t="s">
        <v>2001</v>
      </c>
      <c r="E176" s="126" t="s">
        <v>39</v>
      </c>
      <c r="F176" s="127" t="s">
        <v>4</v>
      </c>
      <c r="G176" s="99">
        <v>45761</v>
      </c>
      <c r="H176" s="146"/>
      <c r="I176" s="100" t="s">
        <v>2002</v>
      </c>
      <c r="J176" s="21"/>
      <c r="K176" s="18"/>
      <c r="L176" s="19"/>
      <c r="M176" s="23"/>
      <c r="N176" s="11"/>
      <c r="O176" s="12"/>
      <c r="P176" s="65">
        <v>45768</v>
      </c>
      <c r="Q176" s="89">
        <f t="shared" si="5"/>
        <v>1.0001529686851249</v>
      </c>
      <c r="R176" s="101"/>
      <c r="S176" s="66"/>
    </row>
    <row r="177" spans="1:19" ht="28.8" x14ac:dyDescent="0.3">
      <c r="A177" s="96">
        <v>175</v>
      </c>
      <c r="B177" s="189">
        <v>1550</v>
      </c>
      <c r="C177" s="136">
        <v>45761</v>
      </c>
      <c r="D177" s="342" t="s">
        <v>2003</v>
      </c>
      <c r="E177" s="126" t="s">
        <v>52</v>
      </c>
      <c r="F177" s="127" t="s">
        <v>4</v>
      </c>
      <c r="G177" s="99">
        <v>45761</v>
      </c>
      <c r="H177" s="146"/>
      <c r="I177" s="100" t="s">
        <v>253</v>
      </c>
      <c r="J177" s="21" t="s">
        <v>393</v>
      </c>
      <c r="K177" s="18"/>
      <c r="L177" s="19"/>
      <c r="M177" s="23"/>
      <c r="N177" s="11"/>
      <c r="O177" s="12"/>
      <c r="P177" s="65">
        <v>45768</v>
      </c>
      <c r="Q177" s="89">
        <f t="shared" si="5"/>
        <v>1.0001529686851249</v>
      </c>
      <c r="R177" s="101"/>
      <c r="S177" s="66"/>
    </row>
    <row r="178" spans="1:19" ht="43.2" x14ac:dyDescent="0.3">
      <c r="A178" s="96">
        <v>176</v>
      </c>
      <c r="B178" s="189">
        <v>1550</v>
      </c>
      <c r="C178" s="136">
        <v>45761</v>
      </c>
      <c r="D178" s="262" t="s">
        <v>2004</v>
      </c>
      <c r="E178" s="126" t="s">
        <v>3</v>
      </c>
      <c r="F178" s="127" t="s">
        <v>10</v>
      </c>
      <c r="G178" s="99">
        <v>45761</v>
      </c>
      <c r="H178" s="5"/>
      <c r="I178" s="37" t="s">
        <v>82</v>
      </c>
      <c r="J178" s="21"/>
      <c r="K178" s="18"/>
      <c r="L178" s="19"/>
      <c r="M178" s="23"/>
      <c r="N178" s="11"/>
      <c r="O178" s="12"/>
      <c r="P178" s="65">
        <v>45768</v>
      </c>
      <c r="Q178" s="89">
        <f t="shared" si="5"/>
        <v>1.0001529686851249</v>
      </c>
      <c r="R178" s="101"/>
      <c r="S178" s="160"/>
    </row>
    <row r="179" spans="1:19" ht="43.2" x14ac:dyDescent="0.3">
      <c r="A179" s="96">
        <v>177</v>
      </c>
      <c r="B179" s="189">
        <v>1550</v>
      </c>
      <c r="C179" s="136">
        <v>45761</v>
      </c>
      <c r="D179" s="262" t="s">
        <v>2005</v>
      </c>
      <c r="E179" s="111" t="s">
        <v>3</v>
      </c>
      <c r="F179" s="127" t="s">
        <v>10</v>
      </c>
      <c r="G179" s="99">
        <v>45761</v>
      </c>
      <c r="H179" s="5">
        <v>10000282595</v>
      </c>
      <c r="I179" s="37" t="s">
        <v>82</v>
      </c>
      <c r="J179" s="21"/>
      <c r="K179" s="18"/>
      <c r="L179" s="19"/>
      <c r="M179" s="23"/>
      <c r="N179" s="11"/>
      <c r="O179" s="12"/>
      <c r="P179" s="65">
        <v>45768</v>
      </c>
      <c r="Q179" s="89">
        <f t="shared" si="5"/>
        <v>1.0001529686851249</v>
      </c>
      <c r="R179" s="101"/>
      <c r="S179" s="66"/>
    </row>
    <row r="180" spans="1:19" ht="115.2" x14ac:dyDescent="0.3">
      <c r="A180" s="96">
        <v>178</v>
      </c>
      <c r="B180" s="189">
        <v>1550</v>
      </c>
      <c r="C180" s="136">
        <v>45761</v>
      </c>
      <c r="D180" s="262" t="s">
        <v>2006</v>
      </c>
      <c r="E180" s="111" t="s">
        <v>12</v>
      </c>
      <c r="F180" s="145" t="s">
        <v>10</v>
      </c>
      <c r="G180" s="99">
        <v>45761</v>
      </c>
      <c r="H180" s="5"/>
      <c r="I180" s="102" t="s">
        <v>159</v>
      </c>
      <c r="J180" s="154"/>
      <c r="K180" s="155"/>
      <c r="L180" s="156"/>
      <c r="M180" s="157"/>
      <c r="N180" s="158"/>
      <c r="O180" s="159"/>
      <c r="P180" s="65">
        <v>45768</v>
      </c>
      <c r="Q180" s="89">
        <f t="shared" si="5"/>
        <v>1.0001529686851249</v>
      </c>
      <c r="R180" s="101"/>
      <c r="S180" s="160"/>
    </row>
    <row r="181" spans="1:19" ht="129.6" x14ac:dyDescent="0.3">
      <c r="A181" s="96">
        <v>179</v>
      </c>
      <c r="B181" s="189">
        <v>1550</v>
      </c>
      <c r="C181" s="136">
        <v>45761</v>
      </c>
      <c r="D181" s="262" t="s">
        <v>2007</v>
      </c>
      <c r="E181" s="111" t="s">
        <v>12</v>
      </c>
      <c r="F181" s="145" t="s">
        <v>10</v>
      </c>
      <c r="G181" s="99">
        <v>45761</v>
      </c>
      <c r="H181" s="5"/>
      <c r="I181" s="102" t="s">
        <v>159</v>
      </c>
      <c r="J181" s="154"/>
      <c r="K181" s="155"/>
      <c r="L181" s="156"/>
      <c r="M181" s="157"/>
      <c r="N181" s="158"/>
      <c r="O181" s="159"/>
      <c r="P181" s="65">
        <v>45768</v>
      </c>
      <c r="Q181" s="89">
        <f t="shared" si="5"/>
        <v>1.0001529686851249</v>
      </c>
      <c r="R181" s="101"/>
      <c r="S181" s="160"/>
    </row>
    <row r="182" spans="1:19" ht="28.8" x14ac:dyDescent="0.3">
      <c r="A182" s="96">
        <v>180</v>
      </c>
      <c r="B182" s="186">
        <v>1550</v>
      </c>
      <c r="C182" s="206">
        <v>45762</v>
      </c>
      <c r="D182" s="110" t="s">
        <v>2008</v>
      </c>
      <c r="E182" s="126" t="s">
        <v>1</v>
      </c>
      <c r="F182" s="145" t="s">
        <v>4</v>
      </c>
      <c r="G182" s="99">
        <v>45762</v>
      </c>
      <c r="H182" s="146"/>
      <c r="I182" s="100" t="s">
        <v>99</v>
      </c>
      <c r="J182" s="21" t="s">
        <v>262</v>
      </c>
      <c r="K182" s="18"/>
      <c r="L182" s="19"/>
      <c r="M182" s="23"/>
      <c r="N182" s="11"/>
      <c r="O182" s="12"/>
      <c r="P182" s="65">
        <v>45768</v>
      </c>
      <c r="Q182" s="89">
        <f t="shared" si="5"/>
        <v>1.000131113150649</v>
      </c>
      <c r="R182" s="101"/>
      <c r="S182" s="66"/>
    </row>
    <row r="183" spans="1:19" ht="28.8" x14ac:dyDescent="0.3">
      <c r="A183" s="96">
        <v>181</v>
      </c>
      <c r="B183" s="186">
        <v>1550</v>
      </c>
      <c r="C183" s="206">
        <v>45762</v>
      </c>
      <c r="D183" s="110" t="s">
        <v>2009</v>
      </c>
      <c r="E183" s="126" t="s">
        <v>32</v>
      </c>
      <c r="F183" s="127" t="s">
        <v>4</v>
      </c>
      <c r="G183" s="99">
        <v>45762</v>
      </c>
      <c r="H183" s="146"/>
      <c r="I183" s="100" t="s">
        <v>106</v>
      </c>
      <c r="J183" s="21"/>
      <c r="K183" s="18"/>
      <c r="L183" s="19"/>
      <c r="M183" s="23"/>
      <c r="N183" s="11"/>
      <c r="O183" s="12"/>
      <c r="P183" s="65">
        <v>45768</v>
      </c>
      <c r="Q183" s="89">
        <f t="shared" si="5"/>
        <v>1.000131113150649</v>
      </c>
      <c r="R183" s="101"/>
      <c r="S183" s="66"/>
    </row>
    <row r="184" spans="1:19" ht="28.8" x14ac:dyDescent="0.3">
      <c r="A184" s="96">
        <v>182</v>
      </c>
      <c r="B184" s="186">
        <v>1550</v>
      </c>
      <c r="C184" s="206">
        <v>45762</v>
      </c>
      <c r="D184" s="289" t="s">
        <v>2010</v>
      </c>
      <c r="E184" s="126" t="s">
        <v>23</v>
      </c>
      <c r="F184" s="221" t="s">
        <v>4</v>
      </c>
      <c r="G184" s="183">
        <v>45762</v>
      </c>
      <c r="H184" s="146"/>
      <c r="I184" s="100" t="s">
        <v>135</v>
      </c>
      <c r="J184" s="21"/>
      <c r="K184" s="18"/>
      <c r="L184" s="19"/>
      <c r="M184" s="23"/>
      <c r="N184" s="11"/>
      <c r="O184" s="12"/>
      <c r="P184" s="65">
        <v>45768</v>
      </c>
      <c r="Q184" s="89">
        <f t="shared" si="5"/>
        <v>1.000131113150649</v>
      </c>
      <c r="R184" s="101"/>
      <c r="S184" s="66"/>
    </row>
    <row r="185" spans="1:19" ht="28.8" x14ac:dyDescent="0.3">
      <c r="A185" s="96">
        <v>183</v>
      </c>
      <c r="B185" s="186">
        <v>1550</v>
      </c>
      <c r="C185" s="206">
        <v>45762</v>
      </c>
      <c r="D185" s="109" t="s">
        <v>2011</v>
      </c>
      <c r="E185" s="126" t="s">
        <v>32</v>
      </c>
      <c r="F185" s="221" t="s">
        <v>4</v>
      </c>
      <c r="G185" s="183">
        <v>45762</v>
      </c>
      <c r="H185" s="146"/>
      <c r="I185" s="100" t="s">
        <v>106</v>
      </c>
      <c r="J185" s="21"/>
      <c r="K185" s="18"/>
      <c r="L185" s="19"/>
      <c r="M185" s="23"/>
      <c r="N185" s="11"/>
      <c r="O185" s="12"/>
      <c r="P185" s="65">
        <v>45768</v>
      </c>
      <c r="Q185" s="89">
        <f t="shared" si="5"/>
        <v>1.000131113150649</v>
      </c>
      <c r="R185" s="101"/>
      <c r="S185" s="66"/>
    </row>
    <row r="186" spans="1:19" ht="51" customHeight="1" x14ac:dyDescent="0.3">
      <c r="A186" s="96">
        <v>184</v>
      </c>
      <c r="B186" s="186">
        <v>1550</v>
      </c>
      <c r="C186" s="206">
        <v>45762</v>
      </c>
      <c r="D186" s="98" t="s">
        <v>2012</v>
      </c>
      <c r="E186" s="126" t="s">
        <v>32</v>
      </c>
      <c r="F186" s="221" t="s">
        <v>4</v>
      </c>
      <c r="G186" s="183">
        <v>45762</v>
      </c>
      <c r="H186" s="146"/>
      <c r="I186" s="100" t="s">
        <v>106</v>
      </c>
      <c r="J186" s="21"/>
      <c r="K186" s="18"/>
      <c r="L186" s="19"/>
      <c r="M186" s="23"/>
      <c r="N186" s="11"/>
      <c r="O186" s="12"/>
      <c r="P186" s="85">
        <v>45768</v>
      </c>
      <c r="Q186" s="89">
        <f t="shared" si="5"/>
        <v>1.000131113150649</v>
      </c>
      <c r="R186" s="101"/>
      <c r="S186" s="66"/>
    </row>
    <row r="187" spans="1:19" ht="57.6" x14ac:dyDescent="0.3">
      <c r="A187" s="96">
        <v>185</v>
      </c>
      <c r="B187" s="186">
        <v>1550</v>
      </c>
      <c r="C187" s="206">
        <v>45762</v>
      </c>
      <c r="D187" s="36" t="s">
        <v>2013</v>
      </c>
      <c r="E187" s="126" t="s">
        <v>1314</v>
      </c>
      <c r="F187" s="221" t="s">
        <v>4</v>
      </c>
      <c r="G187" s="183">
        <v>45762</v>
      </c>
      <c r="H187" s="146"/>
      <c r="I187" s="100" t="s">
        <v>99</v>
      </c>
      <c r="J187" s="226"/>
      <c r="K187" s="164"/>
      <c r="L187" s="228"/>
      <c r="M187" s="157"/>
      <c r="N187" s="158"/>
      <c r="O187" s="159"/>
      <c r="P187" s="65">
        <v>45768</v>
      </c>
      <c r="Q187" s="89"/>
      <c r="R187" s="101"/>
      <c r="S187" s="66"/>
    </row>
    <row r="188" spans="1:19" x14ac:dyDescent="0.3">
      <c r="A188" s="96">
        <v>186</v>
      </c>
      <c r="B188" s="189">
        <v>1550</v>
      </c>
      <c r="C188" s="136">
        <v>45768</v>
      </c>
      <c r="D188" s="109" t="s">
        <v>2014</v>
      </c>
      <c r="E188" s="126" t="s">
        <v>23</v>
      </c>
      <c r="F188" s="221" t="s">
        <v>4</v>
      </c>
      <c r="G188" s="183">
        <v>45768</v>
      </c>
      <c r="H188" s="146"/>
      <c r="I188" s="100" t="s">
        <v>135</v>
      </c>
      <c r="J188" s="154"/>
      <c r="K188" s="155"/>
      <c r="L188" s="156"/>
      <c r="M188" s="157"/>
      <c r="N188" s="158"/>
      <c r="O188" s="159"/>
      <c r="P188" s="65">
        <v>45768</v>
      </c>
      <c r="Q188" s="89">
        <f t="shared" ref="Q188:Q219" si="6">P188/G188</f>
        <v>1</v>
      </c>
      <c r="R188" s="101"/>
      <c r="S188" s="160"/>
    </row>
    <row r="189" spans="1:19" ht="72" x14ac:dyDescent="0.3">
      <c r="A189" s="96">
        <v>187</v>
      </c>
      <c r="B189" s="189">
        <v>1550</v>
      </c>
      <c r="C189" s="136">
        <v>45768</v>
      </c>
      <c r="D189" s="704" t="s">
        <v>2015</v>
      </c>
      <c r="E189" s="111" t="s">
        <v>23</v>
      </c>
      <c r="F189" s="221" t="s">
        <v>8</v>
      </c>
      <c r="G189" s="183">
        <v>45768</v>
      </c>
      <c r="H189" s="146"/>
      <c r="I189" s="100" t="s">
        <v>135</v>
      </c>
      <c r="J189" s="154"/>
      <c r="K189" s="155"/>
      <c r="L189" s="156"/>
      <c r="M189" s="157"/>
      <c r="N189" s="158"/>
      <c r="O189" s="159"/>
      <c r="P189" s="85">
        <v>45768</v>
      </c>
      <c r="Q189" s="89">
        <f t="shared" si="6"/>
        <v>1</v>
      </c>
      <c r="R189" s="101" t="s">
        <v>2016</v>
      </c>
      <c r="S189" s="160"/>
    </row>
    <row r="190" spans="1:19" ht="43.2" x14ac:dyDescent="0.3">
      <c r="A190" s="96">
        <v>188</v>
      </c>
      <c r="B190" s="152" t="s">
        <v>1044</v>
      </c>
      <c r="C190" s="695">
        <v>45762</v>
      </c>
      <c r="D190" s="149" t="s">
        <v>2017</v>
      </c>
      <c r="E190" s="93" t="s">
        <v>25</v>
      </c>
      <c r="F190" s="145" t="s">
        <v>4</v>
      </c>
      <c r="G190" s="183">
        <v>45762</v>
      </c>
      <c r="H190" s="5"/>
      <c r="I190" s="100" t="s">
        <v>22</v>
      </c>
      <c r="J190" s="21"/>
      <c r="K190" s="18"/>
      <c r="L190" s="19"/>
      <c r="M190" s="23"/>
      <c r="N190" s="11"/>
      <c r="O190" s="12"/>
      <c r="P190" s="65">
        <v>45769</v>
      </c>
      <c r="Q190" s="89">
        <f t="shared" si="6"/>
        <v>1.0001529653424239</v>
      </c>
      <c r="R190" s="101"/>
      <c r="S190" s="160"/>
    </row>
    <row r="191" spans="1:19" ht="57.6" x14ac:dyDescent="0.3">
      <c r="A191" s="96">
        <v>189</v>
      </c>
      <c r="B191" s="87">
        <v>1550</v>
      </c>
      <c r="C191" s="91">
        <v>45762</v>
      </c>
      <c r="D191" s="149" t="s">
        <v>2018</v>
      </c>
      <c r="E191" s="48" t="s">
        <v>1314</v>
      </c>
      <c r="F191" s="80" t="s">
        <v>6</v>
      </c>
      <c r="G191" s="183">
        <v>45762</v>
      </c>
      <c r="H191" s="5"/>
      <c r="I191" s="100" t="s">
        <v>99</v>
      </c>
      <c r="J191" s="21"/>
      <c r="K191" s="18"/>
      <c r="L191" s="19"/>
      <c r="M191" s="23"/>
      <c r="N191" s="11"/>
      <c r="O191" s="12"/>
      <c r="P191" s="65">
        <v>45769</v>
      </c>
      <c r="Q191" s="89">
        <f t="shared" si="6"/>
        <v>1.0001529653424239</v>
      </c>
      <c r="R191" s="101" t="s">
        <v>1813</v>
      </c>
      <c r="S191" s="66"/>
    </row>
    <row r="192" spans="1:19" ht="57.6" x14ac:dyDescent="0.3">
      <c r="A192" s="96">
        <v>190</v>
      </c>
      <c r="B192" s="152" t="s">
        <v>1044</v>
      </c>
      <c r="C192" s="153">
        <v>45767</v>
      </c>
      <c r="D192" s="361" t="s">
        <v>2019</v>
      </c>
      <c r="E192" s="144" t="s">
        <v>1314</v>
      </c>
      <c r="F192" s="145" t="s">
        <v>4</v>
      </c>
      <c r="G192" s="183">
        <v>45767</v>
      </c>
      <c r="H192" s="146"/>
      <c r="I192" s="107" t="s">
        <v>99</v>
      </c>
      <c r="J192" s="21"/>
      <c r="K192" s="18"/>
      <c r="L192" s="19"/>
      <c r="M192" s="23"/>
      <c r="N192" s="11"/>
      <c r="O192" s="12"/>
      <c r="P192" s="65">
        <v>45769</v>
      </c>
      <c r="Q192" s="89">
        <f t="shared" si="6"/>
        <v>1.0000436996088884</v>
      </c>
      <c r="R192" s="101"/>
      <c r="S192" s="66"/>
    </row>
    <row r="193" spans="1:19" ht="57.6" x14ac:dyDescent="0.3">
      <c r="A193" s="96">
        <v>191</v>
      </c>
      <c r="B193" s="152" t="s">
        <v>1044</v>
      </c>
      <c r="C193" s="265">
        <v>45767</v>
      </c>
      <c r="D193" s="36" t="s">
        <v>2020</v>
      </c>
      <c r="E193" s="144" t="s">
        <v>1314</v>
      </c>
      <c r="F193" s="145" t="s">
        <v>4</v>
      </c>
      <c r="G193" s="183">
        <v>45767</v>
      </c>
      <c r="H193" s="146"/>
      <c r="I193" s="107" t="s">
        <v>99</v>
      </c>
      <c r="J193" s="21"/>
      <c r="K193" s="18"/>
      <c r="L193" s="19"/>
      <c r="M193" s="23"/>
      <c r="N193" s="11"/>
      <c r="O193" s="12"/>
      <c r="P193" s="65">
        <v>45769</v>
      </c>
      <c r="Q193" s="89">
        <f t="shared" si="6"/>
        <v>1.0000436996088884</v>
      </c>
      <c r="R193" s="101"/>
      <c r="S193" s="160"/>
    </row>
    <row r="194" spans="1:19" ht="57.6" x14ac:dyDescent="0.3">
      <c r="A194" s="96">
        <v>192</v>
      </c>
      <c r="B194" s="152" t="s">
        <v>1044</v>
      </c>
      <c r="C194" s="153">
        <v>45767</v>
      </c>
      <c r="D194" s="149" t="s">
        <v>2021</v>
      </c>
      <c r="E194" s="48" t="s">
        <v>1314</v>
      </c>
      <c r="F194" s="145" t="s">
        <v>4</v>
      </c>
      <c r="G194" s="183">
        <v>45767</v>
      </c>
      <c r="H194" s="146"/>
      <c r="I194" s="107" t="s">
        <v>99</v>
      </c>
      <c r="J194" s="21"/>
      <c r="K194" s="18"/>
      <c r="L194" s="19"/>
      <c r="M194" s="23"/>
      <c r="N194" s="11"/>
      <c r="O194" s="12"/>
      <c r="P194" s="85">
        <v>45769</v>
      </c>
      <c r="Q194" s="89">
        <f t="shared" si="6"/>
        <v>1.0000436996088884</v>
      </c>
      <c r="R194" s="101"/>
      <c r="S194" s="66"/>
    </row>
    <row r="195" spans="1:19" ht="57.6" x14ac:dyDescent="0.3">
      <c r="A195" s="96">
        <v>193</v>
      </c>
      <c r="B195" s="152" t="s">
        <v>1044</v>
      </c>
      <c r="C195" s="153">
        <v>45767</v>
      </c>
      <c r="D195" s="149" t="s">
        <v>2022</v>
      </c>
      <c r="E195" s="144" t="s">
        <v>1314</v>
      </c>
      <c r="F195" s="145" t="s">
        <v>4</v>
      </c>
      <c r="G195" s="183">
        <v>45767</v>
      </c>
      <c r="H195" s="146"/>
      <c r="I195" s="107" t="s">
        <v>99</v>
      </c>
      <c r="J195" s="21"/>
      <c r="K195" s="18"/>
      <c r="L195" s="19"/>
      <c r="M195" s="23"/>
      <c r="N195" s="11"/>
      <c r="O195" s="12"/>
      <c r="P195" s="65">
        <v>45769</v>
      </c>
      <c r="Q195" s="89">
        <f t="shared" si="6"/>
        <v>1.0000436996088884</v>
      </c>
      <c r="R195" s="101"/>
      <c r="S195" s="66"/>
    </row>
    <row r="196" spans="1:19" ht="57.6" x14ac:dyDescent="0.3">
      <c r="A196" s="96">
        <v>194</v>
      </c>
      <c r="B196" s="87" t="s">
        <v>301</v>
      </c>
      <c r="C196" s="91">
        <v>45768</v>
      </c>
      <c r="D196" s="149" t="s">
        <v>2023</v>
      </c>
      <c r="E196" s="144" t="s">
        <v>1314</v>
      </c>
      <c r="F196" s="145" t="s">
        <v>8</v>
      </c>
      <c r="G196" s="183">
        <v>45768</v>
      </c>
      <c r="H196" s="422"/>
      <c r="I196" s="107" t="s">
        <v>99</v>
      </c>
      <c r="J196" s="21"/>
      <c r="K196" s="18"/>
      <c r="L196" s="19"/>
      <c r="M196" s="23"/>
      <c r="N196" s="11"/>
      <c r="O196" s="12"/>
      <c r="P196" s="65">
        <v>45769</v>
      </c>
      <c r="Q196" s="89">
        <f t="shared" si="6"/>
        <v>1.0000218493270407</v>
      </c>
      <c r="R196" s="101" t="s">
        <v>94</v>
      </c>
      <c r="S196" s="66"/>
    </row>
    <row r="197" spans="1:19" ht="57.6" x14ac:dyDescent="0.3">
      <c r="A197" s="96">
        <v>195</v>
      </c>
      <c r="B197" s="87" t="s">
        <v>301</v>
      </c>
      <c r="C197" s="91">
        <v>45768</v>
      </c>
      <c r="D197" s="149" t="s">
        <v>2024</v>
      </c>
      <c r="E197" s="144" t="s">
        <v>1314</v>
      </c>
      <c r="F197" s="145" t="s">
        <v>8</v>
      </c>
      <c r="G197" s="183">
        <v>45768</v>
      </c>
      <c r="H197" s="146"/>
      <c r="I197" s="107" t="s">
        <v>99</v>
      </c>
      <c r="J197" s="21"/>
      <c r="K197" s="18"/>
      <c r="L197" s="19"/>
      <c r="M197" s="23"/>
      <c r="N197" s="11"/>
      <c r="O197" s="12"/>
      <c r="P197" s="65">
        <v>45769</v>
      </c>
      <c r="Q197" s="89">
        <f t="shared" si="6"/>
        <v>1.0000218493270407</v>
      </c>
      <c r="R197" s="101" t="s">
        <v>94</v>
      </c>
      <c r="S197" s="160"/>
    </row>
    <row r="198" spans="1:19" ht="57.6" x14ac:dyDescent="0.3">
      <c r="A198" s="96">
        <v>196</v>
      </c>
      <c r="B198" s="152" t="s">
        <v>301</v>
      </c>
      <c r="C198" s="153">
        <v>45768</v>
      </c>
      <c r="D198" s="149" t="s">
        <v>2025</v>
      </c>
      <c r="E198" s="144" t="s">
        <v>1314</v>
      </c>
      <c r="F198" s="145" t="s">
        <v>8</v>
      </c>
      <c r="G198" s="183">
        <v>45768</v>
      </c>
      <c r="H198" s="146"/>
      <c r="I198" s="107" t="s">
        <v>99</v>
      </c>
      <c r="J198" s="154"/>
      <c r="K198" s="155"/>
      <c r="L198" s="156"/>
      <c r="M198" s="157"/>
      <c r="N198" s="158"/>
      <c r="O198" s="159"/>
      <c r="P198" s="65">
        <v>45769</v>
      </c>
      <c r="Q198" s="89">
        <f t="shared" si="6"/>
        <v>1.0000218493270407</v>
      </c>
      <c r="R198" s="101" t="s">
        <v>94</v>
      </c>
      <c r="S198" s="160"/>
    </row>
    <row r="199" spans="1:19" ht="57.6" x14ac:dyDescent="0.3">
      <c r="A199" s="96">
        <v>197</v>
      </c>
      <c r="B199" s="152" t="s">
        <v>301</v>
      </c>
      <c r="C199" s="696">
        <v>45768</v>
      </c>
      <c r="D199" s="188" t="s">
        <v>2026</v>
      </c>
      <c r="E199" s="279" t="s">
        <v>1314</v>
      </c>
      <c r="F199" s="276" t="s">
        <v>8</v>
      </c>
      <c r="G199" s="183">
        <v>45768</v>
      </c>
      <c r="H199" s="146"/>
      <c r="I199" s="107" t="s">
        <v>99</v>
      </c>
      <c r="J199" s="154"/>
      <c r="K199" s="155"/>
      <c r="L199" s="156"/>
      <c r="M199" s="157"/>
      <c r="N199" s="158"/>
      <c r="O199" s="159"/>
      <c r="P199" s="65">
        <v>45769</v>
      </c>
      <c r="Q199" s="89">
        <f t="shared" si="6"/>
        <v>1.0000218493270407</v>
      </c>
      <c r="R199" s="101" t="s">
        <v>94</v>
      </c>
      <c r="S199" s="160"/>
    </row>
    <row r="200" spans="1:19" ht="57.6" x14ac:dyDescent="0.3">
      <c r="A200" s="96">
        <v>198</v>
      </c>
      <c r="B200" s="186" t="s">
        <v>301</v>
      </c>
      <c r="C200" s="124">
        <v>45768</v>
      </c>
      <c r="D200" s="109" t="s">
        <v>2027</v>
      </c>
      <c r="E200" s="126" t="s">
        <v>1314</v>
      </c>
      <c r="F200" s="127" t="s">
        <v>8</v>
      </c>
      <c r="G200" s="99">
        <v>45768</v>
      </c>
      <c r="H200" s="146"/>
      <c r="I200" s="107" t="s">
        <v>99</v>
      </c>
      <c r="J200" s="154"/>
      <c r="K200" s="155"/>
      <c r="L200" s="156"/>
      <c r="M200" s="157"/>
      <c r="N200" s="158"/>
      <c r="O200" s="159"/>
      <c r="P200" s="85">
        <v>45769</v>
      </c>
      <c r="Q200" s="89">
        <f t="shared" si="6"/>
        <v>1.0000218493270407</v>
      </c>
      <c r="R200" s="101" t="s">
        <v>94</v>
      </c>
      <c r="S200" s="160"/>
    </row>
    <row r="201" spans="1:19" ht="57.6" x14ac:dyDescent="0.3">
      <c r="A201" s="96">
        <v>199</v>
      </c>
      <c r="B201" s="186">
        <v>1550</v>
      </c>
      <c r="C201" s="124">
        <v>45768</v>
      </c>
      <c r="D201" s="109" t="s">
        <v>2028</v>
      </c>
      <c r="E201" s="126" t="s">
        <v>1314</v>
      </c>
      <c r="F201" s="127" t="s">
        <v>8</v>
      </c>
      <c r="G201" s="99">
        <v>45768</v>
      </c>
      <c r="H201" s="146"/>
      <c r="I201" s="107" t="s">
        <v>99</v>
      </c>
      <c r="J201" s="154"/>
      <c r="K201" s="155"/>
      <c r="L201" s="156"/>
      <c r="M201" s="157"/>
      <c r="N201" s="158"/>
      <c r="O201" s="159"/>
      <c r="P201" s="85">
        <v>45769</v>
      </c>
      <c r="Q201" s="89">
        <f t="shared" si="6"/>
        <v>1.0000218493270407</v>
      </c>
      <c r="R201" s="101" t="s">
        <v>2016</v>
      </c>
      <c r="S201" s="160"/>
    </row>
    <row r="202" spans="1:19" ht="57.6" x14ac:dyDescent="0.3">
      <c r="A202" s="96">
        <v>200</v>
      </c>
      <c r="B202" s="186">
        <v>1550</v>
      </c>
      <c r="C202" s="124">
        <v>45768</v>
      </c>
      <c r="D202" s="98" t="s">
        <v>2029</v>
      </c>
      <c r="E202" s="126" t="s">
        <v>1314</v>
      </c>
      <c r="F202" s="127" t="s">
        <v>8</v>
      </c>
      <c r="G202" s="99">
        <v>45768</v>
      </c>
      <c r="H202" s="146"/>
      <c r="I202" s="107" t="s">
        <v>99</v>
      </c>
      <c r="J202" s="154"/>
      <c r="K202" s="155"/>
      <c r="L202" s="156"/>
      <c r="M202" s="157"/>
      <c r="N202" s="158"/>
      <c r="O202" s="159"/>
      <c r="P202" s="85">
        <v>45769</v>
      </c>
      <c r="Q202" s="89">
        <f t="shared" si="6"/>
        <v>1.0000218493270407</v>
      </c>
      <c r="R202" s="101" t="s">
        <v>2016</v>
      </c>
      <c r="S202" s="160"/>
    </row>
    <row r="203" spans="1:19" ht="25.5" customHeight="1" x14ac:dyDescent="0.3">
      <c r="A203" s="96">
        <v>201</v>
      </c>
      <c r="B203" s="186">
        <v>1550</v>
      </c>
      <c r="C203" s="124">
        <v>45768</v>
      </c>
      <c r="D203" s="109" t="s">
        <v>2030</v>
      </c>
      <c r="E203" s="126" t="s">
        <v>1314</v>
      </c>
      <c r="F203" s="127" t="s">
        <v>4</v>
      </c>
      <c r="G203" s="99">
        <v>45768</v>
      </c>
      <c r="H203" s="146"/>
      <c r="I203" s="107" t="s">
        <v>99</v>
      </c>
      <c r="J203" s="154"/>
      <c r="K203" s="155"/>
      <c r="L203" s="156"/>
      <c r="M203" s="157"/>
      <c r="N203" s="158"/>
      <c r="O203" s="159"/>
      <c r="P203" s="85">
        <v>45769</v>
      </c>
      <c r="Q203" s="89">
        <f t="shared" si="6"/>
        <v>1.0000218493270407</v>
      </c>
      <c r="R203" s="101"/>
      <c r="S203" s="160"/>
    </row>
    <row r="204" spans="1:19" ht="57.6" x14ac:dyDescent="0.3">
      <c r="A204" s="96">
        <v>202</v>
      </c>
      <c r="B204" s="152">
        <v>1550</v>
      </c>
      <c r="C204" s="694">
        <v>45768</v>
      </c>
      <c r="D204" s="109" t="s">
        <v>2031</v>
      </c>
      <c r="E204" s="162" t="s">
        <v>1314</v>
      </c>
      <c r="F204" s="278" t="s">
        <v>8</v>
      </c>
      <c r="G204" s="183">
        <v>45768</v>
      </c>
      <c r="H204" s="146"/>
      <c r="I204" s="107" t="s">
        <v>99</v>
      </c>
      <c r="J204" s="154"/>
      <c r="K204" s="155"/>
      <c r="L204" s="156"/>
      <c r="M204" s="157"/>
      <c r="N204" s="158"/>
      <c r="O204" s="159"/>
      <c r="P204" s="85">
        <v>45769</v>
      </c>
      <c r="Q204" s="89">
        <f t="shared" si="6"/>
        <v>1.0000218493270407</v>
      </c>
      <c r="R204" s="101" t="s">
        <v>479</v>
      </c>
      <c r="S204" s="160"/>
    </row>
    <row r="205" spans="1:19" ht="57.6" x14ac:dyDescent="0.3">
      <c r="A205" s="96">
        <v>203</v>
      </c>
      <c r="B205" s="152">
        <v>1550</v>
      </c>
      <c r="C205" s="153">
        <v>45768</v>
      </c>
      <c r="D205" s="149" t="s">
        <v>2032</v>
      </c>
      <c r="E205" s="144" t="s">
        <v>1314</v>
      </c>
      <c r="F205" s="145" t="s">
        <v>8</v>
      </c>
      <c r="G205" s="183">
        <v>45768</v>
      </c>
      <c r="H205" s="146"/>
      <c r="I205" s="107" t="s">
        <v>99</v>
      </c>
      <c r="J205" s="154"/>
      <c r="K205" s="155"/>
      <c r="L205" s="156"/>
      <c r="M205" s="157"/>
      <c r="N205" s="158"/>
      <c r="O205" s="159"/>
      <c r="P205" s="85">
        <v>45769</v>
      </c>
      <c r="Q205" s="89">
        <f t="shared" si="6"/>
        <v>1.0000218493270407</v>
      </c>
      <c r="R205" s="101" t="s">
        <v>479</v>
      </c>
      <c r="S205" s="160"/>
    </row>
    <row r="206" spans="1:19" ht="57.6" x14ac:dyDescent="0.3">
      <c r="A206" s="96">
        <v>204</v>
      </c>
      <c r="B206" s="87" t="s">
        <v>301</v>
      </c>
      <c r="C206" s="91">
        <v>45768</v>
      </c>
      <c r="D206" s="149" t="s">
        <v>2033</v>
      </c>
      <c r="E206" s="144" t="s">
        <v>1314</v>
      </c>
      <c r="F206" s="145" t="s">
        <v>8</v>
      </c>
      <c r="G206" s="183">
        <v>45768</v>
      </c>
      <c r="H206" s="146"/>
      <c r="I206" s="107" t="s">
        <v>99</v>
      </c>
      <c r="J206" s="154"/>
      <c r="K206" s="155"/>
      <c r="L206" s="156"/>
      <c r="M206" s="157"/>
      <c r="N206" s="158"/>
      <c r="O206" s="159"/>
      <c r="P206" s="90">
        <v>45769</v>
      </c>
      <c r="Q206" s="89">
        <f t="shared" si="6"/>
        <v>1.0000218493270407</v>
      </c>
      <c r="R206" s="101" t="s">
        <v>94</v>
      </c>
      <c r="S206" s="160"/>
    </row>
    <row r="207" spans="1:19" ht="57.6" x14ac:dyDescent="0.3">
      <c r="A207" s="96">
        <v>205</v>
      </c>
      <c r="B207" s="87">
        <v>1550</v>
      </c>
      <c r="C207" s="91">
        <v>45768</v>
      </c>
      <c r="D207" s="149" t="s">
        <v>2034</v>
      </c>
      <c r="E207" s="162" t="s">
        <v>1314</v>
      </c>
      <c r="F207" s="79" t="s">
        <v>8</v>
      </c>
      <c r="G207" s="183">
        <v>45768</v>
      </c>
      <c r="H207" s="146"/>
      <c r="I207" s="107" t="s">
        <v>99</v>
      </c>
      <c r="J207" s="154"/>
      <c r="K207" s="155"/>
      <c r="L207" s="156"/>
      <c r="M207" s="157"/>
      <c r="N207" s="158"/>
      <c r="O207" s="159"/>
      <c r="P207" s="65">
        <v>45769</v>
      </c>
      <c r="Q207" s="89">
        <f t="shared" si="6"/>
        <v>1.0000218493270407</v>
      </c>
      <c r="R207" s="101" t="s">
        <v>151</v>
      </c>
      <c r="S207" s="160"/>
    </row>
    <row r="208" spans="1:19" ht="57.6" x14ac:dyDescent="0.3">
      <c r="A208" s="96">
        <v>206</v>
      </c>
      <c r="B208" s="87">
        <v>1550</v>
      </c>
      <c r="C208" s="108">
        <v>45768</v>
      </c>
      <c r="D208" s="209" t="s">
        <v>2035</v>
      </c>
      <c r="E208" s="218" t="s">
        <v>1314</v>
      </c>
      <c r="F208" s="221" t="s">
        <v>4</v>
      </c>
      <c r="G208" s="183">
        <v>45768</v>
      </c>
      <c r="H208" s="225"/>
      <c r="I208" s="107" t="s">
        <v>99</v>
      </c>
      <c r="J208" s="190"/>
      <c r="K208" s="190"/>
      <c r="L208" s="713"/>
      <c r="M208" s="714"/>
      <c r="N208" s="714"/>
      <c r="O208" s="715"/>
      <c r="P208" s="85">
        <v>45769</v>
      </c>
      <c r="Q208" s="89">
        <f t="shared" si="6"/>
        <v>1.0000218493270407</v>
      </c>
      <c r="R208" s="101"/>
      <c r="S208" s="66"/>
    </row>
    <row r="209" spans="1:19" ht="57.6" x14ac:dyDescent="0.3">
      <c r="A209" s="96">
        <v>207</v>
      </c>
      <c r="B209" s="86">
        <v>1550</v>
      </c>
      <c r="C209" s="92">
        <v>45768</v>
      </c>
      <c r="D209" s="188" t="s">
        <v>2036</v>
      </c>
      <c r="E209" s="166" t="s">
        <v>1314</v>
      </c>
      <c r="F209" s="172" t="s">
        <v>8</v>
      </c>
      <c r="G209" s="183">
        <v>45768</v>
      </c>
      <c r="H209" s="173"/>
      <c r="I209" s="107" t="s">
        <v>99</v>
      </c>
      <c r="J209" s="27"/>
      <c r="K209" s="28"/>
      <c r="L209" s="51"/>
      <c r="M209" s="29"/>
      <c r="N209" s="30"/>
      <c r="O209" s="54"/>
      <c r="P209" s="83">
        <v>45769</v>
      </c>
      <c r="Q209" s="89">
        <f t="shared" si="6"/>
        <v>1.0000218493270407</v>
      </c>
      <c r="R209" s="101" t="s">
        <v>758</v>
      </c>
      <c r="S209" s="56"/>
    </row>
    <row r="210" spans="1:19" ht="57.6" x14ac:dyDescent="0.3">
      <c r="A210" s="96">
        <v>208</v>
      </c>
      <c r="B210" s="86">
        <v>1550</v>
      </c>
      <c r="C210" s="83">
        <v>45768</v>
      </c>
      <c r="D210" s="109" t="s">
        <v>2037</v>
      </c>
      <c r="E210" s="281" t="s">
        <v>1314</v>
      </c>
      <c r="F210" s="172" t="s">
        <v>8</v>
      </c>
      <c r="G210" s="183">
        <v>45768</v>
      </c>
      <c r="H210" s="173"/>
      <c r="I210" s="107" t="s">
        <v>99</v>
      </c>
      <c r="J210" s="27"/>
      <c r="K210" s="28"/>
      <c r="L210" s="51"/>
      <c r="M210" s="29"/>
      <c r="N210" s="30"/>
      <c r="O210" s="54"/>
      <c r="P210" s="65">
        <v>45769</v>
      </c>
      <c r="Q210" s="89">
        <f t="shared" si="6"/>
        <v>1.0000218493270407</v>
      </c>
      <c r="R210" s="101" t="s">
        <v>758</v>
      </c>
      <c r="S210" s="56"/>
    </row>
    <row r="211" spans="1:19" ht="57.6" x14ac:dyDescent="0.3">
      <c r="A211" s="96">
        <v>209</v>
      </c>
      <c r="B211" s="86">
        <v>1550</v>
      </c>
      <c r="C211" s="83">
        <v>45768</v>
      </c>
      <c r="D211" s="109" t="s">
        <v>2038</v>
      </c>
      <c r="E211" s="281" t="s">
        <v>1314</v>
      </c>
      <c r="F211" s="172" t="s">
        <v>8</v>
      </c>
      <c r="G211" s="183">
        <v>45768</v>
      </c>
      <c r="H211" s="173"/>
      <c r="I211" s="107" t="s">
        <v>99</v>
      </c>
      <c r="J211" s="27"/>
      <c r="K211" s="28"/>
      <c r="L211" s="51"/>
      <c r="M211" s="29"/>
      <c r="N211" s="30"/>
      <c r="O211" s="54"/>
      <c r="P211" s="65">
        <v>45769</v>
      </c>
      <c r="Q211" s="89">
        <f t="shared" si="6"/>
        <v>1.0000218493270407</v>
      </c>
      <c r="R211" s="101" t="s">
        <v>2016</v>
      </c>
      <c r="S211" s="168"/>
    </row>
    <row r="212" spans="1:19" ht="57.6" x14ac:dyDescent="0.3">
      <c r="A212" s="96">
        <v>210</v>
      </c>
      <c r="B212" s="86" t="s">
        <v>1044</v>
      </c>
      <c r="C212" s="83">
        <v>45768</v>
      </c>
      <c r="D212" s="36" t="s">
        <v>2039</v>
      </c>
      <c r="E212" s="281" t="s">
        <v>1314</v>
      </c>
      <c r="F212" s="172" t="s">
        <v>4</v>
      </c>
      <c r="G212" s="183">
        <v>45768</v>
      </c>
      <c r="H212" s="173"/>
      <c r="I212" s="107" t="s">
        <v>99</v>
      </c>
      <c r="J212" s="128"/>
      <c r="K212" s="128"/>
      <c r="L212" s="129"/>
      <c r="M212" s="130"/>
      <c r="N212" s="130"/>
      <c r="O212" s="131"/>
      <c r="P212" s="132">
        <v>45769</v>
      </c>
      <c r="Q212" s="89">
        <f t="shared" si="6"/>
        <v>1.0000218493270407</v>
      </c>
      <c r="R212" s="101"/>
      <c r="S212" s="56"/>
    </row>
    <row r="213" spans="1:19" ht="57.6" x14ac:dyDescent="0.3">
      <c r="A213" s="96">
        <v>211</v>
      </c>
      <c r="B213" s="86" t="s">
        <v>1044</v>
      </c>
      <c r="C213" s="83">
        <v>45768</v>
      </c>
      <c r="D213" s="109" t="s">
        <v>2040</v>
      </c>
      <c r="E213" s="144" t="s">
        <v>1314</v>
      </c>
      <c r="F213" s="172" t="s">
        <v>4</v>
      </c>
      <c r="G213" s="183">
        <v>45768</v>
      </c>
      <c r="H213" s="173"/>
      <c r="I213" s="107" t="s">
        <v>99</v>
      </c>
      <c r="J213" s="128"/>
      <c r="K213" s="128"/>
      <c r="L213" s="129"/>
      <c r="M213" s="130"/>
      <c r="N213" s="130"/>
      <c r="O213" s="131"/>
      <c r="P213" s="132">
        <v>45769</v>
      </c>
      <c r="Q213" s="89">
        <f t="shared" si="6"/>
        <v>1.0000218493270407</v>
      </c>
      <c r="R213" s="101"/>
      <c r="S213" s="56"/>
    </row>
    <row r="214" spans="1:19" ht="100.8" x14ac:dyDescent="0.3">
      <c r="A214" s="96">
        <v>212</v>
      </c>
      <c r="B214" s="86">
        <v>1550</v>
      </c>
      <c r="C214" s="92">
        <v>45768</v>
      </c>
      <c r="D214" s="210" t="s">
        <v>2041</v>
      </c>
      <c r="E214" s="166" t="s">
        <v>1</v>
      </c>
      <c r="F214" s="172" t="s">
        <v>10</v>
      </c>
      <c r="G214" s="183">
        <v>45768</v>
      </c>
      <c r="H214" s="173"/>
      <c r="I214" s="100" t="s">
        <v>174</v>
      </c>
      <c r="J214" s="128"/>
      <c r="K214" s="128"/>
      <c r="L214" s="129"/>
      <c r="M214" s="130"/>
      <c r="N214" s="130"/>
      <c r="O214" s="131"/>
      <c r="P214" s="132">
        <v>45769</v>
      </c>
      <c r="Q214" s="89">
        <f t="shared" si="6"/>
        <v>1.0000218493270407</v>
      </c>
      <c r="R214" s="101" t="s">
        <v>1771</v>
      </c>
      <c r="S214" s="168"/>
    </row>
    <row r="215" spans="1:19" ht="57.6" x14ac:dyDescent="0.3">
      <c r="A215" s="96">
        <v>213</v>
      </c>
      <c r="B215" s="86">
        <v>1550</v>
      </c>
      <c r="C215" s="92">
        <v>45768</v>
      </c>
      <c r="D215" s="210" t="s">
        <v>2042</v>
      </c>
      <c r="E215" s="166" t="s">
        <v>1314</v>
      </c>
      <c r="F215" s="172" t="s">
        <v>10</v>
      </c>
      <c r="G215" s="183">
        <v>45768</v>
      </c>
      <c r="H215" s="173"/>
      <c r="I215" s="107" t="s">
        <v>99</v>
      </c>
      <c r="J215" s="128"/>
      <c r="K215" s="128"/>
      <c r="L215" s="129"/>
      <c r="M215" s="130"/>
      <c r="N215" s="130"/>
      <c r="O215" s="131"/>
      <c r="P215" s="132">
        <v>45769</v>
      </c>
      <c r="Q215" s="89">
        <f t="shared" si="6"/>
        <v>1.0000218493270407</v>
      </c>
      <c r="R215" s="101" t="s">
        <v>216</v>
      </c>
      <c r="S215" s="168"/>
    </row>
    <row r="216" spans="1:19" ht="28.8" x14ac:dyDescent="0.3">
      <c r="A216" s="96">
        <v>214</v>
      </c>
      <c r="B216" s="86" t="s">
        <v>1826</v>
      </c>
      <c r="C216" s="92">
        <v>45769</v>
      </c>
      <c r="D216" s="149" t="s">
        <v>2043</v>
      </c>
      <c r="E216" s="48" t="s">
        <v>1</v>
      </c>
      <c r="F216" s="145" t="s">
        <v>4</v>
      </c>
      <c r="G216" s="183">
        <v>45769</v>
      </c>
      <c r="H216" s="5"/>
      <c r="I216" s="102" t="s">
        <v>99</v>
      </c>
      <c r="J216" s="27" t="s">
        <v>393</v>
      </c>
      <c r="K216" s="28"/>
      <c r="L216" s="51"/>
      <c r="M216" s="29"/>
      <c r="N216" s="30"/>
      <c r="O216" s="54"/>
      <c r="P216" s="83">
        <v>45769</v>
      </c>
      <c r="Q216" s="89">
        <f t="shared" si="6"/>
        <v>1</v>
      </c>
      <c r="R216" s="101"/>
      <c r="S216" s="56"/>
    </row>
    <row r="217" spans="1:19" ht="28.8" x14ac:dyDescent="0.3">
      <c r="A217" s="96">
        <v>215</v>
      </c>
      <c r="B217" s="170">
        <v>1550</v>
      </c>
      <c r="C217" s="171">
        <v>45769</v>
      </c>
      <c r="D217" s="149" t="s">
        <v>2044</v>
      </c>
      <c r="E217" s="47" t="s">
        <v>1</v>
      </c>
      <c r="F217" s="80" t="s">
        <v>8</v>
      </c>
      <c r="G217" s="183">
        <v>45769</v>
      </c>
      <c r="H217" s="5"/>
      <c r="I217" s="102" t="s">
        <v>125</v>
      </c>
      <c r="J217" s="27"/>
      <c r="K217" s="28"/>
      <c r="L217" s="51"/>
      <c r="M217" s="29"/>
      <c r="N217" s="30"/>
      <c r="O217" s="54"/>
      <c r="P217" s="132">
        <v>45769</v>
      </c>
      <c r="Q217" s="89">
        <f t="shared" si="6"/>
        <v>1</v>
      </c>
      <c r="R217" s="101" t="s">
        <v>270</v>
      </c>
      <c r="S217" s="56"/>
    </row>
    <row r="218" spans="1:19" ht="28.8" x14ac:dyDescent="0.3">
      <c r="A218" s="96">
        <v>216</v>
      </c>
      <c r="B218" s="86">
        <v>1550</v>
      </c>
      <c r="C218" s="92">
        <v>45769</v>
      </c>
      <c r="D218" s="149" t="s">
        <v>2045</v>
      </c>
      <c r="E218" s="166" t="s">
        <v>12</v>
      </c>
      <c r="F218" s="172" t="s">
        <v>8</v>
      </c>
      <c r="G218" s="183">
        <v>45769</v>
      </c>
      <c r="H218" s="146"/>
      <c r="I218" s="100" t="s">
        <v>159</v>
      </c>
      <c r="J218" s="27"/>
      <c r="K218" s="28"/>
      <c r="L218" s="51"/>
      <c r="M218" s="29"/>
      <c r="N218" s="30"/>
      <c r="O218" s="54"/>
      <c r="P218" s="132">
        <v>45769</v>
      </c>
      <c r="Q218" s="89">
        <f t="shared" si="6"/>
        <v>1</v>
      </c>
      <c r="R218" s="101" t="s">
        <v>2016</v>
      </c>
      <c r="S218" s="56"/>
    </row>
    <row r="219" spans="1:19" ht="158.4" x14ac:dyDescent="0.3">
      <c r="A219" s="96">
        <v>217</v>
      </c>
      <c r="B219" s="170">
        <v>1550</v>
      </c>
      <c r="C219" s="171">
        <v>45769</v>
      </c>
      <c r="D219" s="210" t="s">
        <v>2046</v>
      </c>
      <c r="E219" s="166" t="s">
        <v>1</v>
      </c>
      <c r="F219" s="172" t="s">
        <v>10</v>
      </c>
      <c r="G219" s="183">
        <v>45769</v>
      </c>
      <c r="H219" s="146"/>
      <c r="I219" s="100" t="s">
        <v>258</v>
      </c>
      <c r="J219" s="128"/>
      <c r="K219" s="128"/>
      <c r="L219" s="129"/>
      <c r="M219" s="130"/>
      <c r="N219" s="130"/>
      <c r="O219" s="131"/>
      <c r="P219" s="83">
        <v>45769</v>
      </c>
      <c r="Q219" s="89">
        <f t="shared" si="6"/>
        <v>1</v>
      </c>
      <c r="R219" s="101" t="s">
        <v>1332</v>
      </c>
      <c r="S219" s="168"/>
    </row>
    <row r="220" spans="1:19" ht="28.8" x14ac:dyDescent="0.3">
      <c r="A220" s="96">
        <v>218</v>
      </c>
      <c r="B220" s="86">
        <v>1550</v>
      </c>
      <c r="C220" s="92">
        <v>45768</v>
      </c>
      <c r="D220" s="188" t="s">
        <v>2047</v>
      </c>
      <c r="E220" s="48" t="s">
        <v>21</v>
      </c>
      <c r="F220" s="145" t="s">
        <v>8</v>
      </c>
      <c r="G220" s="183">
        <v>45768</v>
      </c>
      <c r="H220" s="5"/>
      <c r="I220" s="100" t="s">
        <v>125</v>
      </c>
      <c r="J220" s="27"/>
      <c r="K220" s="28"/>
      <c r="L220" s="51"/>
      <c r="M220" s="29"/>
      <c r="N220" s="30"/>
      <c r="O220" s="54"/>
      <c r="P220" s="83">
        <v>45770</v>
      </c>
      <c r="Q220" s="89">
        <f t="shared" ref="Q220:Q251" si="7">P220/G220</f>
        <v>1.0000436986540815</v>
      </c>
      <c r="R220" s="101" t="s">
        <v>205</v>
      </c>
      <c r="S220" s="56"/>
    </row>
    <row r="221" spans="1:19" ht="28.8" x14ac:dyDescent="0.3">
      <c r="A221" s="96">
        <v>219</v>
      </c>
      <c r="B221" s="170" t="s">
        <v>1044</v>
      </c>
      <c r="C221" s="132">
        <v>45762</v>
      </c>
      <c r="D221" s="188" t="s">
        <v>2048</v>
      </c>
      <c r="E221" s="144" t="s">
        <v>17</v>
      </c>
      <c r="F221" s="145" t="s">
        <v>4</v>
      </c>
      <c r="G221" s="183">
        <v>45762</v>
      </c>
      <c r="H221" s="146"/>
      <c r="I221" s="37" t="s">
        <v>82</v>
      </c>
      <c r="J221" s="27"/>
      <c r="K221" s="50"/>
      <c r="L221" s="51"/>
      <c r="M221" s="29"/>
      <c r="N221" s="30"/>
      <c r="O221" s="54"/>
      <c r="P221" s="132">
        <v>45770</v>
      </c>
      <c r="Q221" s="89">
        <f t="shared" si="7"/>
        <v>1.0001748175341987</v>
      </c>
      <c r="R221" s="101"/>
      <c r="S221" s="57"/>
    </row>
    <row r="222" spans="1:19" x14ac:dyDescent="0.3">
      <c r="A222" s="96">
        <v>220</v>
      </c>
      <c r="B222" s="86" t="s">
        <v>1044</v>
      </c>
      <c r="C222" s="92">
        <v>45769</v>
      </c>
      <c r="D222" s="188" t="s">
        <v>2049</v>
      </c>
      <c r="E222" s="166" t="s">
        <v>17</v>
      </c>
      <c r="F222" s="172" t="s">
        <v>4</v>
      </c>
      <c r="G222" s="183">
        <v>45769</v>
      </c>
      <c r="H222" s="173"/>
      <c r="I222" s="37" t="s">
        <v>82</v>
      </c>
      <c r="J222" s="27"/>
      <c r="K222" s="28"/>
      <c r="L222" s="51"/>
      <c r="M222" s="29"/>
      <c r="N222" s="30"/>
      <c r="O222" s="54"/>
      <c r="P222" s="83">
        <v>45770</v>
      </c>
      <c r="Q222" s="89">
        <f t="shared" si="7"/>
        <v>1.0000218488496582</v>
      </c>
      <c r="R222" s="101"/>
      <c r="S222" s="56"/>
    </row>
    <row r="223" spans="1:19" ht="28.8" x14ac:dyDescent="0.3">
      <c r="A223" s="96">
        <v>221</v>
      </c>
      <c r="B223" s="86">
        <v>1550</v>
      </c>
      <c r="C223" s="92">
        <v>45750</v>
      </c>
      <c r="D223" s="362" t="s">
        <v>2050</v>
      </c>
      <c r="E223" s="48" t="s">
        <v>14</v>
      </c>
      <c r="F223" s="80" t="s">
        <v>10</v>
      </c>
      <c r="G223" s="183">
        <v>45750</v>
      </c>
      <c r="H223" s="5"/>
      <c r="I223" s="100" t="s">
        <v>253</v>
      </c>
      <c r="J223" s="27"/>
      <c r="K223" s="28"/>
      <c r="L223" s="51"/>
      <c r="M223" s="29"/>
      <c r="N223" s="30"/>
      <c r="O223" s="54"/>
      <c r="P223" s="132">
        <v>45770</v>
      </c>
      <c r="Q223" s="89">
        <f t="shared" si="7"/>
        <v>1.0004371584699454</v>
      </c>
      <c r="R223" s="101" t="s">
        <v>1321</v>
      </c>
      <c r="S223" s="168"/>
    </row>
    <row r="224" spans="1:19" ht="28.8" x14ac:dyDescent="0.3">
      <c r="A224" s="96">
        <v>222</v>
      </c>
      <c r="B224" s="86">
        <v>1550</v>
      </c>
      <c r="C224" s="83">
        <v>45750</v>
      </c>
      <c r="D224" s="362" t="s">
        <v>2051</v>
      </c>
      <c r="E224" s="266" t="s">
        <v>14</v>
      </c>
      <c r="F224" s="81" t="s">
        <v>10</v>
      </c>
      <c r="G224" s="183">
        <v>45750</v>
      </c>
      <c r="H224" s="49"/>
      <c r="I224" s="100" t="s">
        <v>253</v>
      </c>
      <c r="J224" s="27"/>
      <c r="K224" s="28"/>
      <c r="L224" s="51"/>
      <c r="M224" s="29"/>
      <c r="N224" s="30"/>
      <c r="O224" s="54"/>
      <c r="P224" s="132">
        <v>45770</v>
      </c>
      <c r="Q224" s="89">
        <f t="shared" si="7"/>
        <v>1.0004371584699454</v>
      </c>
      <c r="R224" s="101" t="s">
        <v>1321</v>
      </c>
      <c r="S224" s="56"/>
    </row>
    <row r="225" spans="1:19" ht="28.8" x14ac:dyDescent="0.3">
      <c r="A225" s="96">
        <v>223</v>
      </c>
      <c r="B225" s="86">
        <v>1550</v>
      </c>
      <c r="C225" s="92">
        <v>45757</v>
      </c>
      <c r="D225" s="362" t="s">
        <v>2052</v>
      </c>
      <c r="E225" s="144" t="s">
        <v>14</v>
      </c>
      <c r="F225" s="80" t="s">
        <v>10</v>
      </c>
      <c r="G225" s="183">
        <v>45757</v>
      </c>
      <c r="H225" s="5"/>
      <c r="I225" s="100" t="s">
        <v>253</v>
      </c>
      <c r="J225" s="27"/>
      <c r="K225" s="28"/>
      <c r="L225" s="51"/>
      <c r="M225" s="29"/>
      <c r="N225" s="30"/>
      <c r="O225" s="54"/>
      <c r="P225" s="83">
        <v>45770</v>
      </c>
      <c r="Q225" s="89">
        <f t="shared" si="7"/>
        <v>1.0002841095351531</v>
      </c>
      <c r="R225" s="101" t="s">
        <v>1321</v>
      </c>
      <c r="S225" s="345"/>
    </row>
    <row r="226" spans="1:19" ht="28.8" x14ac:dyDescent="0.3">
      <c r="A226" s="96">
        <v>224</v>
      </c>
      <c r="B226" s="86">
        <v>1550</v>
      </c>
      <c r="C226" s="92">
        <v>45757</v>
      </c>
      <c r="D226" s="362" t="s">
        <v>2053</v>
      </c>
      <c r="E226" s="47" t="s">
        <v>14</v>
      </c>
      <c r="F226" s="80" t="s">
        <v>10</v>
      </c>
      <c r="G226" s="183">
        <v>45757</v>
      </c>
      <c r="H226" s="5"/>
      <c r="I226" s="100" t="s">
        <v>253</v>
      </c>
      <c r="J226" s="27"/>
      <c r="K226" s="28"/>
      <c r="L226" s="51"/>
      <c r="M226" s="29"/>
      <c r="N226" s="30"/>
      <c r="O226" s="54"/>
      <c r="P226" s="83">
        <v>45770</v>
      </c>
      <c r="Q226" s="89">
        <f t="shared" si="7"/>
        <v>1.0002841095351531</v>
      </c>
      <c r="R226" s="101" t="s">
        <v>1321</v>
      </c>
      <c r="S226" s="168"/>
    </row>
    <row r="227" spans="1:19" ht="43.2" x14ac:dyDescent="0.3">
      <c r="A227" s="96">
        <v>225</v>
      </c>
      <c r="B227" s="86">
        <v>1550</v>
      </c>
      <c r="C227" s="83">
        <v>45758</v>
      </c>
      <c r="D227" s="289" t="s">
        <v>2054</v>
      </c>
      <c r="E227" s="144" t="s">
        <v>23</v>
      </c>
      <c r="F227" s="145" t="s">
        <v>4</v>
      </c>
      <c r="G227" s="183">
        <v>45758</v>
      </c>
      <c r="H227" s="146"/>
      <c r="I227" s="100" t="s">
        <v>135</v>
      </c>
      <c r="J227" s="128"/>
      <c r="K227" s="128"/>
      <c r="L227" s="129"/>
      <c r="M227" s="130"/>
      <c r="N227" s="130"/>
      <c r="O227" s="131"/>
      <c r="P227" s="83">
        <v>45770</v>
      </c>
      <c r="Q227" s="89">
        <f t="shared" si="7"/>
        <v>1.0002622492241793</v>
      </c>
      <c r="R227" s="101"/>
      <c r="S227" s="168"/>
    </row>
    <row r="228" spans="1:19" ht="28.8" x14ac:dyDescent="0.3">
      <c r="A228" s="96">
        <v>226</v>
      </c>
      <c r="B228" s="170">
        <v>1550</v>
      </c>
      <c r="C228" s="584">
        <v>45762</v>
      </c>
      <c r="D228" s="149" t="s">
        <v>2055</v>
      </c>
      <c r="E228" s="166" t="s">
        <v>32</v>
      </c>
      <c r="F228" s="145" t="s">
        <v>4</v>
      </c>
      <c r="G228" s="183">
        <v>45762</v>
      </c>
      <c r="H228" s="146"/>
      <c r="I228" s="100" t="s">
        <v>106</v>
      </c>
      <c r="J228" s="27"/>
      <c r="K228" s="28"/>
      <c r="L228" s="51"/>
      <c r="M228" s="29"/>
      <c r="N228" s="30"/>
      <c r="O228" s="54"/>
      <c r="P228" s="83">
        <v>45770</v>
      </c>
      <c r="Q228" s="89">
        <f t="shared" si="7"/>
        <v>1.0001748175341987</v>
      </c>
      <c r="R228" s="101"/>
      <c r="S228" s="56"/>
    </row>
    <row r="229" spans="1:19" ht="57.6" x14ac:dyDescent="0.3">
      <c r="A229" s="96">
        <v>227</v>
      </c>
      <c r="B229" s="86">
        <v>1550</v>
      </c>
      <c r="C229" s="92">
        <v>45768</v>
      </c>
      <c r="D229" s="149" t="s">
        <v>2056</v>
      </c>
      <c r="E229" s="166" t="s">
        <v>1314</v>
      </c>
      <c r="F229" s="145" t="s">
        <v>8</v>
      </c>
      <c r="G229" s="183">
        <v>45768</v>
      </c>
      <c r="H229" s="146"/>
      <c r="I229" s="100" t="s">
        <v>253</v>
      </c>
      <c r="J229" s="27"/>
      <c r="K229" s="50"/>
      <c r="L229" s="51"/>
      <c r="M229" s="29"/>
      <c r="N229" s="30"/>
      <c r="O229" s="54"/>
      <c r="P229" s="132">
        <v>45770</v>
      </c>
      <c r="Q229" s="89">
        <f t="shared" si="7"/>
        <v>1.0000436986540815</v>
      </c>
      <c r="R229" s="101" t="s">
        <v>2016</v>
      </c>
      <c r="S229" s="56"/>
    </row>
    <row r="230" spans="1:19" ht="57.6" x14ac:dyDescent="0.3">
      <c r="A230" s="96">
        <v>228</v>
      </c>
      <c r="B230" s="86" t="s">
        <v>1044</v>
      </c>
      <c r="C230" s="92">
        <v>45769</v>
      </c>
      <c r="D230" s="209" t="s">
        <v>2057</v>
      </c>
      <c r="E230" s="166" t="s">
        <v>1314</v>
      </c>
      <c r="F230" s="145" t="s">
        <v>4</v>
      </c>
      <c r="G230" s="183">
        <v>45769</v>
      </c>
      <c r="H230" s="173"/>
      <c r="I230" s="100" t="s">
        <v>253</v>
      </c>
      <c r="J230" s="27"/>
      <c r="K230" s="28"/>
      <c r="L230" s="51"/>
      <c r="M230" s="29"/>
      <c r="N230" s="30"/>
      <c r="O230" s="54"/>
      <c r="P230" s="83">
        <v>45770</v>
      </c>
      <c r="Q230" s="89">
        <f t="shared" si="7"/>
        <v>1.0000218488496582</v>
      </c>
      <c r="R230" s="101"/>
      <c r="S230" s="57"/>
    </row>
    <row r="231" spans="1:19" ht="57.6" x14ac:dyDescent="0.3">
      <c r="A231" s="96">
        <v>229</v>
      </c>
      <c r="B231" s="86" t="s">
        <v>1044</v>
      </c>
      <c r="C231" s="92">
        <v>45769</v>
      </c>
      <c r="D231" s="209" t="s">
        <v>2058</v>
      </c>
      <c r="E231" s="166" t="s">
        <v>1314</v>
      </c>
      <c r="F231" s="145" t="s">
        <v>4</v>
      </c>
      <c r="G231" s="183">
        <v>45769</v>
      </c>
      <c r="H231" s="173"/>
      <c r="I231" s="100" t="s">
        <v>253</v>
      </c>
      <c r="J231" s="27"/>
      <c r="K231" s="28"/>
      <c r="L231" s="51"/>
      <c r="M231" s="29"/>
      <c r="N231" s="30"/>
      <c r="O231" s="54"/>
      <c r="P231" s="83">
        <v>45770</v>
      </c>
      <c r="Q231" s="89">
        <f t="shared" si="7"/>
        <v>1.0000218488496582</v>
      </c>
      <c r="R231" s="101"/>
      <c r="S231" s="56"/>
    </row>
    <row r="232" spans="1:19" ht="57.6" x14ac:dyDescent="0.3">
      <c r="A232" s="96">
        <v>230</v>
      </c>
      <c r="B232" s="86" t="s">
        <v>1044</v>
      </c>
      <c r="C232" s="92">
        <v>45769</v>
      </c>
      <c r="D232" s="361" t="s">
        <v>2059</v>
      </c>
      <c r="E232" s="144" t="s">
        <v>1314</v>
      </c>
      <c r="F232" s="145" t="s">
        <v>4</v>
      </c>
      <c r="G232" s="183">
        <v>45769</v>
      </c>
      <c r="H232" s="146"/>
      <c r="I232" s="100" t="s">
        <v>253</v>
      </c>
      <c r="J232" s="27"/>
      <c r="K232" s="28"/>
      <c r="L232" s="51"/>
      <c r="M232" s="29"/>
      <c r="N232" s="30"/>
      <c r="O232" s="54"/>
      <c r="P232" s="83">
        <v>45770</v>
      </c>
      <c r="Q232" s="89">
        <f t="shared" si="7"/>
        <v>1.0000218488496582</v>
      </c>
      <c r="R232" s="101"/>
      <c r="S232" s="56"/>
    </row>
    <row r="233" spans="1:19" ht="57.6" x14ac:dyDescent="0.3">
      <c r="A233" s="96">
        <v>231</v>
      </c>
      <c r="B233" s="86">
        <v>1550</v>
      </c>
      <c r="C233" s="83">
        <v>45769</v>
      </c>
      <c r="D233" s="109" t="s">
        <v>2060</v>
      </c>
      <c r="E233" s="48" t="s">
        <v>1314</v>
      </c>
      <c r="F233" s="145" t="s">
        <v>8</v>
      </c>
      <c r="G233" s="183">
        <v>45769</v>
      </c>
      <c r="H233" s="5"/>
      <c r="I233" s="100" t="s">
        <v>253</v>
      </c>
      <c r="J233" s="128"/>
      <c r="K233" s="128"/>
      <c r="L233" s="129"/>
      <c r="M233" s="130"/>
      <c r="N233" s="130"/>
      <c r="O233" s="131"/>
      <c r="P233" s="83">
        <v>45770</v>
      </c>
      <c r="Q233" s="89">
        <f t="shared" si="7"/>
        <v>1.0000218488496582</v>
      </c>
      <c r="R233" s="101" t="s">
        <v>758</v>
      </c>
      <c r="S233" s="168"/>
    </row>
    <row r="234" spans="1:19" ht="57.6" x14ac:dyDescent="0.3">
      <c r="A234" s="96">
        <v>232</v>
      </c>
      <c r="B234" s="86" t="s">
        <v>1826</v>
      </c>
      <c r="C234" s="83">
        <v>45769</v>
      </c>
      <c r="D234" s="149" t="s">
        <v>2061</v>
      </c>
      <c r="E234" s="48" t="s">
        <v>1314</v>
      </c>
      <c r="F234" s="145" t="s">
        <v>4</v>
      </c>
      <c r="G234" s="183">
        <v>45769</v>
      </c>
      <c r="H234" s="146"/>
      <c r="I234" s="100" t="s">
        <v>253</v>
      </c>
      <c r="J234" s="27"/>
      <c r="K234" s="28"/>
      <c r="L234" s="51"/>
      <c r="M234" s="29"/>
      <c r="N234" s="30"/>
      <c r="O234" s="54"/>
      <c r="P234" s="83">
        <v>45770</v>
      </c>
      <c r="Q234" s="89">
        <f t="shared" si="7"/>
        <v>1.0000218488496582</v>
      </c>
      <c r="R234" s="101"/>
      <c r="S234" s="56"/>
    </row>
    <row r="235" spans="1:19" ht="57.6" x14ac:dyDescent="0.3">
      <c r="A235" s="96">
        <v>233</v>
      </c>
      <c r="B235" s="170">
        <v>1550</v>
      </c>
      <c r="C235" s="171">
        <v>45769</v>
      </c>
      <c r="D235" s="213" t="s">
        <v>2062</v>
      </c>
      <c r="E235" s="48" t="s">
        <v>1314</v>
      </c>
      <c r="F235" s="80" t="s">
        <v>8</v>
      </c>
      <c r="G235" s="183">
        <v>45769</v>
      </c>
      <c r="H235" s="5"/>
      <c r="I235" s="100" t="s">
        <v>253</v>
      </c>
      <c r="J235" s="27"/>
      <c r="K235" s="28"/>
      <c r="L235" s="51"/>
      <c r="M235" s="29"/>
      <c r="N235" s="30"/>
      <c r="O235" s="54"/>
      <c r="P235" s="132">
        <v>45770</v>
      </c>
      <c r="Q235" s="89">
        <f t="shared" si="7"/>
        <v>1.0000218488496582</v>
      </c>
      <c r="R235" s="101" t="s">
        <v>2016</v>
      </c>
      <c r="S235" s="56"/>
    </row>
    <row r="236" spans="1:19" ht="57.6" x14ac:dyDescent="0.3">
      <c r="A236" s="96">
        <v>234</v>
      </c>
      <c r="B236" s="170" t="s">
        <v>1826</v>
      </c>
      <c r="C236" s="171">
        <v>45769</v>
      </c>
      <c r="D236" s="342" t="s">
        <v>2063</v>
      </c>
      <c r="E236" s="48" t="s">
        <v>1314</v>
      </c>
      <c r="F236" s="145" t="s">
        <v>4</v>
      </c>
      <c r="G236" s="183">
        <v>45769</v>
      </c>
      <c r="H236" s="146"/>
      <c r="I236" s="100" t="s">
        <v>253</v>
      </c>
      <c r="J236" s="27"/>
      <c r="K236" s="28"/>
      <c r="L236" s="51"/>
      <c r="M236" s="29"/>
      <c r="N236" s="30"/>
      <c r="O236" s="54"/>
      <c r="P236" s="83">
        <v>45770</v>
      </c>
      <c r="Q236" s="89">
        <f t="shared" si="7"/>
        <v>1.0000218488496582</v>
      </c>
      <c r="R236" s="101"/>
      <c r="S236" s="56"/>
    </row>
    <row r="237" spans="1:19" ht="43.2" x14ac:dyDescent="0.3">
      <c r="A237" s="96">
        <v>235</v>
      </c>
      <c r="B237" s="86">
        <v>1550</v>
      </c>
      <c r="C237" s="92">
        <v>45769</v>
      </c>
      <c r="D237" s="188" t="s">
        <v>2064</v>
      </c>
      <c r="E237" s="144" t="s">
        <v>2065</v>
      </c>
      <c r="F237" s="80" t="s">
        <v>8</v>
      </c>
      <c r="G237" s="183">
        <v>45769</v>
      </c>
      <c r="H237" s="185">
        <v>10000283856</v>
      </c>
      <c r="I237" s="102" t="s">
        <v>135</v>
      </c>
      <c r="J237" s="27"/>
      <c r="K237" s="28"/>
      <c r="L237" s="51"/>
      <c r="M237" s="29"/>
      <c r="N237" s="30"/>
      <c r="O237" s="54"/>
      <c r="P237" s="132">
        <v>45770</v>
      </c>
      <c r="Q237" s="89">
        <f t="shared" si="7"/>
        <v>1.0000218488496582</v>
      </c>
      <c r="R237" s="101" t="s">
        <v>2016</v>
      </c>
      <c r="S237" s="56"/>
    </row>
    <row r="238" spans="1:19" ht="28.8" x14ac:dyDescent="0.3">
      <c r="A238" s="96">
        <v>236</v>
      </c>
      <c r="B238" s="86">
        <v>1550</v>
      </c>
      <c r="C238" s="83">
        <v>45769</v>
      </c>
      <c r="D238" s="109" t="s">
        <v>2066</v>
      </c>
      <c r="E238" s="144" t="s">
        <v>21</v>
      </c>
      <c r="F238" s="145" t="s">
        <v>4</v>
      </c>
      <c r="G238" s="183">
        <v>45769</v>
      </c>
      <c r="H238" s="146"/>
      <c r="I238" s="100" t="s">
        <v>253</v>
      </c>
      <c r="J238" s="233" t="s">
        <v>393</v>
      </c>
      <c r="K238" s="128"/>
      <c r="L238" s="129"/>
      <c r="M238" s="130"/>
      <c r="N238" s="130"/>
      <c r="O238" s="131"/>
      <c r="P238" s="132">
        <v>45770</v>
      </c>
      <c r="Q238" s="89">
        <f t="shared" si="7"/>
        <v>1.0000218488496582</v>
      </c>
      <c r="R238" s="101"/>
      <c r="S238" s="168"/>
    </row>
    <row r="239" spans="1:19" ht="43.2" x14ac:dyDescent="0.3">
      <c r="A239" s="96">
        <v>237</v>
      </c>
      <c r="B239" s="170">
        <v>1550</v>
      </c>
      <c r="C239" s="132">
        <v>45769</v>
      </c>
      <c r="D239" s="109" t="s">
        <v>2067</v>
      </c>
      <c r="E239" s="48" t="s">
        <v>3</v>
      </c>
      <c r="F239" s="80" t="s">
        <v>4</v>
      </c>
      <c r="G239" s="183">
        <v>45769</v>
      </c>
      <c r="H239" s="5"/>
      <c r="I239" s="37" t="s">
        <v>82</v>
      </c>
      <c r="J239" s="128"/>
      <c r="K239" s="128"/>
      <c r="L239" s="129"/>
      <c r="M239" s="130"/>
      <c r="N239" s="130"/>
      <c r="O239" s="131"/>
      <c r="P239" s="83">
        <v>45770</v>
      </c>
      <c r="Q239" s="89">
        <f t="shared" si="7"/>
        <v>1.0000218488496582</v>
      </c>
      <c r="R239" s="101"/>
      <c r="S239" s="168"/>
    </row>
    <row r="240" spans="1:19" ht="43.2" x14ac:dyDescent="0.3">
      <c r="A240" s="96">
        <v>238</v>
      </c>
      <c r="B240" s="170" t="s">
        <v>1044</v>
      </c>
      <c r="C240" s="132">
        <v>45769</v>
      </c>
      <c r="D240" s="109" t="s">
        <v>2068</v>
      </c>
      <c r="E240" s="48" t="s">
        <v>12</v>
      </c>
      <c r="F240" s="80" t="s">
        <v>4</v>
      </c>
      <c r="G240" s="183">
        <v>45769</v>
      </c>
      <c r="H240" s="5"/>
      <c r="I240" s="102" t="s">
        <v>159</v>
      </c>
      <c r="J240" s="128"/>
      <c r="K240" s="128"/>
      <c r="L240" s="129"/>
      <c r="M240" s="130"/>
      <c r="N240" s="130"/>
      <c r="O240" s="131"/>
      <c r="P240" s="83">
        <v>45770</v>
      </c>
      <c r="Q240" s="89">
        <f t="shared" si="7"/>
        <v>1.0000218488496582</v>
      </c>
      <c r="R240" s="101"/>
      <c r="S240" s="168"/>
    </row>
    <row r="241" spans="1:19" ht="57.6" x14ac:dyDescent="0.3">
      <c r="A241" s="96">
        <v>239</v>
      </c>
      <c r="B241" s="170" t="s">
        <v>301</v>
      </c>
      <c r="C241" s="132">
        <v>45769</v>
      </c>
      <c r="D241" s="109" t="s">
        <v>2069</v>
      </c>
      <c r="E241" s="48" t="s">
        <v>1326</v>
      </c>
      <c r="F241" s="80" t="s">
        <v>4</v>
      </c>
      <c r="G241" s="183">
        <v>45769</v>
      </c>
      <c r="H241" s="5"/>
      <c r="I241" s="100" t="s">
        <v>253</v>
      </c>
      <c r="J241" s="128"/>
      <c r="K241" s="128"/>
      <c r="L241" s="129"/>
      <c r="M241" s="130"/>
      <c r="N241" s="130"/>
      <c r="O241" s="131"/>
      <c r="P241" s="83">
        <v>45770</v>
      </c>
      <c r="Q241" s="89">
        <f t="shared" si="7"/>
        <v>1.0000218488496582</v>
      </c>
      <c r="R241" s="101"/>
      <c r="S241" s="168"/>
    </row>
    <row r="242" spans="1:19" ht="57.6" x14ac:dyDescent="0.3">
      <c r="A242" s="96">
        <v>240</v>
      </c>
      <c r="B242" s="170">
        <v>1550</v>
      </c>
      <c r="C242" s="171">
        <v>45769</v>
      </c>
      <c r="D242" s="210" t="s">
        <v>2070</v>
      </c>
      <c r="E242" s="166" t="s">
        <v>1314</v>
      </c>
      <c r="F242" s="145" t="s">
        <v>10</v>
      </c>
      <c r="G242" s="183">
        <v>45769</v>
      </c>
      <c r="H242" s="173"/>
      <c r="I242" s="100" t="s">
        <v>253</v>
      </c>
      <c r="J242" s="128"/>
      <c r="K242" s="128"/>
      <c r="L242" s="129"/>
      <c r="M242" s="130"/>
      <c r="N242" s="130"/>
      <c r="O242" s="131"/>
      <c r="P242" s="83">
        <v>45770</v>
      </c>
      <c r="Q242" s="89">
        <f t="shared" si="7"/>
        <v>1.0000218488496582</v>
      </c>
      <c r="R242" s="101" t="s">
        <v>216</v>
      </c>
      <c r="S242" s="168"/>
    </row>
    <row r="243" spans="1:19" ht="57.6" x14ac:dyDescent="0.3">
      <c r="A243" s="96">
        <v>241</v>
      </c>
      <c r="B243" s="170">
        <v>1550</v>
      </c>
      <c r="C243" s="171">
        <v>45769</v>
      </c>
      <c r="D243" s="210" t="s">
        <v>2071</v>
      </c>
      <c r="E243" s="166" t="s">
        <v>1314</v>
      </c>
      <c r="F243" s="145" t="s">
        <v>10</v>
      </c>
      <c r="G243" s="183">
        <v>45769</v>
      </c>
      <c r="H243" s="146"/>
      <c r="I243" s="100" t="s">
        <v>253</v>
      </c>
      <c r="J243" s="128"/>
      <c r="K243" s="128"/>
      <c r="L243" s="129"/>
      <c r="M243" s="130"/>
      <c r="N243" s="130"/>
      <c r="O243" s="131"/>
      <c r="P243" s="83">
        <v>45770</v>
      </c>
      <c r="Q243" s="89">
        <f t="shared" si="7"/>
        <v>1.0000218488496582</v>
      </c>
      <c r="R243" s="101" t="s">
        <v>216</v>
      </c>
      <c r="S243" s="168"/>
    </row>
    <row r="244" spans="1:19" ht="57.6" x14ac:dyDescent="0.3">
      <c r="A244" s="96">
        <v>242</v>
      </c>
      <c r="B244" s="170">
        <v>1550</v>
      </c>
      <c r="C244" s="171">
        <v>45769</v>
      </c>
      <c r="D244" s="210" t="s">
        <v>2072</v>
      </c>
      <c r="E244" s="144" t="s">
        <v>1314</v>
      </c>
      <c r="F244" s="145" t="s">
        <v>10</v>
      </c>
      <c r="G244" s="183">
        <v>45769</v>
      </c>
      <c r="H244" s="146"/>
      <c r="I244" s="100" t="s">
        <v>253</v>
      </c>
      <c r="J244" s="27"/>
      <c r="K244" s="28"/>
      <c r="L244" s="51"/>
      <c r="M244" s="29"/>
      <c r="N244" s="30"/>
      <c r="O244" s="54"/>
      <c r="P244" s="83">
        <v>45770</v>
      </c>
      <c r="Q244" s="89">
        <f t="shared" si="7"/>
        <v>1.0000218488496582</v>
      </c>
      <c r="R244" s="101" t="s">
        <v>216</v>
      </c>
      <c r="S244" s="721" t="s">
        <v>2073</v>
      </c>
    </row>
    <row r="245" spans="1:19" ht="57.6" x14ac:dyDescent="0.3">
      <c r="A245" s="96">
        <v>243</v>
      </c>
      <c r="B245" s="170">
        <v>1550</v>
      </c>
      <c r="C245" s="171">
        <v>45769</v>
      </c>
      <c r="D245" s="210" t="s">
        <v>2074</v>
      </c>
      <c r="E245" s="162" t="s">
        <v>1314</v>
      </c>
      <c r="F245" s="145" t="s">
        <v>10</v>
      </c>
      <c r="G245" s="183">
        <v>45769</v>
      </c>
      <c r="H245" s="146"/>
      <c r="I245" s="100" t="s">
        <v>253</v>
      </c>
      <c r="J245" s="27"/>
      <c r="K245" s="28"/>
      <c r="L245" s="51"/>
      <c r="M245" s="29"/>
      <c r="N245" s="30"/>
      <c r="O245" s="54"/>
      <c r="P245" s="83">
        <v>45770</v>
      </c>
      <c r="Q245" s="89">
        <f t="shared" si="7"/>
        <v>1.0000218488496582</v>
      </c>
      <c r="R245" s="101" t="s">
        <v>214</v>
      </c>
      <c r="S245" s="56"/>
    </row>
    <row r="246" spans="1:19" ht="28.8" x14ac:dyDescent="0.3">
      <c r="A246" s="96">
        <v>244</v>
      </c>
      <c r="B246" s="86">
        <v>1550</v>
      </c>
      <c r="C246" s="171">
        <v>45770</v>
      </c>
      <c r="D246" s="188" t="s">
        <v>2075</v>
      </c>
      <c r="E246" s="166" t="s">
        <v>1</v>
      </c>
      <c r="F246" s="172" t="s">
        <v>8</v>
      </c>
      <c r="G246" s="183">
        <v>45770</v>
      </c>
      <c r="H246" s="173"/>
      <c r="I246" s="100" t="s">
        <v>125</v>
      </c>
      <c r="J246" s="27"/>
      <c r="K246" s="28"/>
      <c r="L246" s="51"/>
      <c r="M246" s="29"/>
      <c r="N246" s="30"/>
      <c r="O246" s="54"/>
      <c r="P246" s="132">
        <v>45770</v>
      </c>
      <c r="Q246" s="89">
        <f t="shared" si="7"/>
        <v>1</v>
      </c>
      <c r="R246" s="101" t="s">
        <v>528</v>
      </c>
      <c r="S246" s="56"/>
    </row>
    <row r="247" spans="1:19" ht="28.8" x14ac:dyDescent="0.3">
      <c r="A247" s="96">
        <v>245</v>
      </c>
      <c r="B247" s="86">
        <v>1550</v>
      </c>
      <c r="C247" s="132">
        <v>45770</v>
      </c>
      <c r="D247" s="109" t="s">
        <v>2076</v>
      </c>
      <c r="E247" s="281" t="s">
        <v>1</v>
      </c>
      <c r="F247" s="145" t="s">
        <v>4</v>
      </c>
      <c r="G247" s="183">
        <v>45770</v>
      </c>
      <c r="H247" s="146"/>
      <c r="I247" s="100" t="s">
        <v>125</v>
      </c>
      <c r="J247" s="128"/>
      <c r="K247" s="128"/>
      <c r="L247" s="129"/>
      <c r="M247" s="130"/>
      <c r="N247" s="130"/>
      <c r="O247" s="131"/>
      <c r="P247" s="132">
        <v>45770</v>
      </c>
      <c r="Q247" s="89">
        <f t="shared" si="7"/>
        <v>1</v>
      </c>
      <c r="R247" s="101"/>
      <c r="S247" s="168"/>
    </row>
    <row r="248" spans="1:19" ht="43.2" x14ac:dyDescent="0.3">
      <c r="A248" s="96">
        <v>246</v>
      </c>
      <c r="B248" s="86">
        <v>1550</v>
      </c>
      <c r="C248" s="92">
        <v>45770</v>
      </c>
      <c r="D248" s="149" t="s">
        <v>2077</v>
      </c>
      <c r="E248" s="166" t="s">
        <v>49</v>
      </c>
      <c r="F248" s="172" t="s">
        <v>4</v>
      </c>
      <c r="G248" s="183">
        <v>45770</v>
      </c>
      <c r="H248" s="49"/>
      <c r="I248" s="100" t="s">
        <v>266</v>
      </c>
      <c r="J248" s="27"/>
      <c r="K248" s="28"/>
      <c r="L248" s="51"/>
      <c r="M248" s="29"/>
      <c r="N248" s="30"/>
      <c r="O248" s="54"/>
      <c r="P248" s="83">
        <v>45770</v>
      </c>
      <c r="Q248" s="89">
        <f t="shared" si="7"/>
        <v>1</v>
      </c>
      <c r="R248" s="101"/>
      <c r="S248" s="57"/>
    </row>
    <row r="249" spans="1:19" ht="28.8" x14ac:dyDescent="0.3">
      <c r="A249" s="96">
        <v>247</v>
      </c>
      <c r="B249" s="170">
        <v>1550</v>
      </c>
      <c r="C249" s="171">
        <v>45770</v>
      </c>
      <c r="D249" s="149" t="s">
        <v>2078</v>
      </c>
      <c r="E249" s="166" t="s">
        <v>1</v>
      </c>
      <c r="F249" s="172" t="s">
        <v>8</v>
      </c>
      <c r="G249" s="183">
        <v>45770</v>
      </c>
      <c r="H249" s="173"/>
      <c r="I249" s="100" t="s">
        <v>125</v>
      </c>
      <c r="J249" s="128"/>
      <c r="K249" s="128"/>
      <c r="L249" s="129"/>
      <c r="M249" s="130"/>
      <c r="N249" s="130"/>
      <c r="O249" s="131"/>
      <c r="P249" s="132">
        <v>45770</v>
      </c>
      <c r="Q249" s="89">
        <f t="shared" si="7"/>
        <v>1</v>
      </c>
      <c r="R249" s="101" t="s">
        <v>205</v>
      </c>
      <c r="S249" s="168"/>
    </row>
    <row r="250" spans="1:19" ht="28.8" x14ac:dyDescent="0.3">
      <c r="A250" s="96">
        <v>248</v>
      </c>
      <c r="B250" s="170">
        <v>1550</v>
      </c>
      <c r="C250" s="171">
        <v>45770</v>
      </c>
      <c r="D250" s="149" t="s">
        <v>2079</v>
      </c>
      <c r="E250" s="48" t="s">
        <v>12</v>
      </c>
      <c r="F250" s="145" t="s">
        <v>4</v>
      </c>
      <c r="G250" s="183">
        <v>45770</v>
      </c>
      <c r="H250" s="146"/>
      <c r="I250" s="100" t="s">
        <v>1882</v>
      </c>
      <c r="J250" s="128"/>
      <c r="K250" s="128"/>
      <c r="L250" s="129"/>
      <c r="M250" s="130"/>
      <c r="N250" s="130"/>
      <c r="O250" s="131"/>
      <c r="P250" s="132">
        <v>45770</v>
      </c>
      <c r="Q250" s="89">
        <f t="shared" si="7"/>
        <v>1</v>
      </c>
      <c r="R250" s="101"/>
      <c r="S250" s="168"/>
    </row>
    <row r="251" spans="1:19" ht="57.6" x14ac:dyDescent="0.3">
      <c r="A251" s="96">
        <v>249</v>
      </c>
      <c r="B251" s="170">
        <v>1550</v>
      </c>
      <c r="C251" s="171">
        <v>45770</v>
      </c>
      <c r="D251" s="210" t="s">
        <v>2080</v>
      </c>
      <c r="E251" s="166" t="s">
        <v>1314</v>
      </c>
      <c r="F251" s="145" t="s">
        <v>10</v>
      </c>
      <c r="G251" s="183">
        <v>45770</v>
      </c>
      <c r="H251" s="173"/>
      <c r="I251" s="100" t="s">
        <v>253</v>
      </c>
      <c r="J251" s="27"/>
      <c r="K251" s="28"/>
      <c r="L251" s="51"/>
      <c r="M251" s="29"/>
      <c r="N251" s="30"/>
      <c r="O251" s="54"/>
      <c r="P251" s="83">
        <v>45770</v>
      </c>
      <c r="Q251" s="89">
        <f t="shared" si="7"/>
        <v>1</v>
      </c>
      <c r="R251" s="101" t="s">
        <v>216</v>
      </c>
      <c r="S251" s="56"/>
    </row>
    <row r="252" spans="1:19" ht="57.6" x14ac:dyDescent="0.3">
      <c r="A252" s="96">
        <v>250</v>
      </c>
      <c r="B252" s="170">
        <v>1550</v>
      </c>
      <c r="C252" s="171">
        <v>45770</v>
      </c>
      <c r="D252" s="698" t="s">
        <v>2081</v>
      </c>
      <c r="E252" s="166" t="s">
        <v>1314</v>
      </c>
      <c r="F252" s="145" t="s">
        <v>10</v>
      </c>
      <c r="G252" s="183">
        <v>45770</v>
      </c>
      <c r="H252" s="173"/>
      <c r="I252" s="100" t="s">
        <v>253</v>
      </c>
      <c r="J252" s="27"/>
      <c r="K252" s="28"/>
      <c r="L252" s="51"/>
      <c r="M252" s="29"/>
      <c r="N252" s="30"/>
      <c r="O252" s="54"/>
      <c r="P252" s="83">
        <v>45770</v>
      </c>
      <c r="Q252" s="89">
        <f t="shared" ref="Q252:Q283" si="8">P252/G252</f>
        <v>1</v>
      </c>
      <c r="R252" s="101" t="s">
        <v>214</v>
      </c>
      <c r="S252" s="56"/>
    </row>
    <row r="253" spans="1:19" ht="57.6" x14ac:dyDescent="0.3">
      <c r="A253" s="96">
        <v>251</v>
      </c>
      <c r="B253" s="170">
        <v>1550</v>
      </c>
      <c r="C253" s="171">
        <v>45770</v>
      </c>
      <c r="D253" s="698" t="s">
        <v>2082</v>
      </c>
      <c r="E253" s="144" t="s">
        <v>1314</v>
      </c>
      <c r="F253" s="145" t="s">
        <v>10</v>
      </c>
      <c r="G253" s="183">
        <v>45770</v>
      </c>
      <c r="H253" s="146"/>
      <c r="I253" s="100" t="s">
        <v>253</v>
      </c>
      <c r="J253" s="27"/>
      <c r="K253" s="28"/>
      <c r="L253" s="51"/>
      <c r="M253" s="29"/>
      <c r="N253" s="30"/>
      <c r="O253" s="54"/>
      <c r="P253" s="83">
        <v>45770</v>
      </c>
      <c r="Q253" s="89">
        <f t="shared" si="8"/>
        <v>1</v>
      </c>
      <c r="R253" s="101" t="s">
        <v>216</v>
      </c>
      <c r="S253" s="56"/>
    </row>
    <row r="254" spans="1:19" ht="57.6" x14ac:dyDescent="0.3">
      <c r="A254" s="96">
        <v>252</v>
      </c>
      <c r="B254" s="170">
        <v>1550</v>
      </c>
      <c r="C254" s="171">
        <v>45770</v>
      </c>
      <c r="D254" s="210" t="s">
        <v>2083</v>
      </c>
      <c r="E254" s="144" t="s">
        <v>1314</v>
      </c>
      <c r="F254" s="145" t="s">
        <v>10</v>
      </c>
      <c r="G254" s="183">
        <v>45770</v>
      </c>
      <c r="H254" s="146"/>
      <c r="I254" s="100" t="s">
        <v>253</v>
      </c>
      <c r="J254" s="27"/>
      <c r="K254" s="28"/>
      <c r="L254" s="51"/>
      <c r="M254" s="29"/>
      <c r="N254" s="30"/>
      <c r="O254" s="54"/>
      <c r="P254" s="83">
        <v>45770</v>
      </c>
      <c r="Q254" s="89">
        <f t="shared" si="8"/>
        <v>1</v>
      </c>
      <c r="R254" s="101" t="s">
        <v>214</v>
      </c>
      <c r="S254" s="56"/>
    </row>
    <row r="255" spans="1:19" ht="57.6" x14ac:dyDescent="0.3">
      <c r="A255" s="96">
        <v>253</v>
      </c>
      <c r="B255" s="170">
        <v>1550</v>
      </c>
      <c r="C255" s="171">
        <v>45770</v>
      </c>
      <c r="D255" s="210" t="s">
        <v>2084</v>
      </c>
      <c r="E255" s="144" t="s">
        <v>1314</v>
      </c>
      <c r="F255" s="145" t="s">
        <v>10</v>
      </c>
      <c r="G255" s="183">
        <v>45770</v>
      </c>
      <c r="H255" s="146"/>
      <c r="I255" s="100" t="s">
        <v>253</v>
      </c>
      <c r="J255" s="27"/>
      <c r="K255" s="28"/>
      <c r="L255" s="51"/>
      <c r="M255" s="29"/>
      <c r="N255" s="30"/>
      <c r="O255" s="54"/>
      <c r="P255" s="83">
        <v>45770</v>
      </c>
      <c r="Q255" s="89">
        <f t="shared" si="8"/>
        <v>1</v>
      </c>
      <c r="R255" s="101" t="s">
        <v>1769</v>
      </c>
      <c r="S255" s="56"/>
    </row>
    <row r="256" spans="1:19" ht="28.8" x14ac:dyDescent="0.3">
      <c r="A256" s="96">
        <v>254</v>
      </c>
      <c r="B256" s="86" t="s">
        <v>1044</v>
      </c>
      <c r="C256" s="92">
        <v>45761</v>
      </c>
      <c r="D256" s="149" t="s">
        <v>2085</v>
      </c>
      <c r="E256" s="166" t="s">
        <v>1</v>
      </c>
      <c r="F256" s="145" t="s">
        <v>4</v>
      </c>
      <c r="G256" s="183">
        <v>45761</v>
      </c>
      <c r="H256" s="173"/>
      <c r="I256" s="100" t="s">
        <v>125</v>
      </c>
      <c r="J256" s="27"/>
      <c r="K256" s="28"/>
      <c r="L256" s="51"/>
      <c r="M256" s="29"/>
      <c r="N256" s="30"/>
      <c r="O256" s="54"/>
      <c r="P256" s="83">
        <v>45771</v>
      </c>
      <c r="Q256" s="89">
        <f t="shared" si="8"/>
        <v>1.0002185266930355</v>
      </c>
      <c r="R256" s="101"/>
      <c r="S256" s="56"/>
    </row>
    <row r="257" spans="1:19" ht="28.8" x14ac:dyDescent="0.3">
      <c r="A257" s="96">
        <v>255</v>
      </c>
      <c r="B257" s="170">
        <v>1550</v>
      </c>
      <c r="C257" s="584">
        <v>45762</v>
      </c>
      <c r="D257" s="209" t="s">
        <v>2086</v>
      </c>
      <c r="E257" s="144" t="s">
        <v>32</v>
      </c>
      <c r="F257" s="145" t="s">
        <v>4</v>
      </c>
      <c r="G257" s="183">
        <v>45762</v>
      </c>
      <c r="H257" s="146"/>
      <c r="I257" s="100" t="s">
        <v>106</v>
      </c>
      <c r="J257" s="27"/>
      <c r="K257" s="28"/>
      <c r="L257" s="51"/>
      <c r="M257" s="29"/>
      <c r="N257" s="30"/>
      <c r="O257" s="54"/>
      <c r="P257" s="83">
        <v>45771</v>
      </c>
      <c r="Q257" s="89">
        <f t="shared" si="8"/>
        <v>1.0001966697259734</v>
      </c>
      <c r="R257" s="101"/>
      <c r="S257" s="56"/>
    </row>
    <row r="258" spans="1:19" ht="57.6" x14ac:dyDescent="0.3">
      <c r="A258" s="96">
        <v>256</v>
      </c>
      <c r="B258" s="170">
        <v>1550</v>
      </c>
      <c r="C258" s="171">
        <v>45762</v>
      </c>
      <c r="D258" s="149" t="s">
        <v>2087</v>
      </c>
      <c r="E258" s="166" t="s">
        <v>12</v>
      </c>
      <c r="F258" s="145" t="s">
        <v>6</v>
      </c>
      <c r="G258" s="183">
        <v>45762</v>
      </c>
      <c r="H258" s="173"/>
      <c r="I258" s="100" t="s">
        <v>159</v>
      </c>
      <c r="J258" s="128"/>
      <c r="K258" s="128"/>
      <c r="L258" s="129"/>
      <c r="M258" s="130"/>
      <c r="N258" s="130"/>
      <c r="O258" s="131"/>
      <c r="P258" s="132">
        <v>45771</v>
      </c>
      <c r="Q258" s="89">
        <f t="shared" si="8"/>
        <v>1.0001966697259734</v>
      </c>
      <c r="R258" s="101" t="s">
        <v>1816</v>
      </c>
      <c r="S258" s="168"/>
    </row>
    <row r="259" spans="1:19" ht="57.6" x14ac:dyDescent="0.3">
      <c r="A259" s="96">
        <v>257</v>
      </c>
      <c r="B259" s="86">
        <v>1550</v>
      </c>
      <c r="C259" s="92">
        <v>45769</v>
      </c>
      <c r="D259" s="213" t="s">
        <v>2088</v>
      </c>
      <c r="E259" s="144" t="s">
        <v>1314</v>
      </c>
      <c r="F259" s="145" t="s">
        <v>8</v>
      </c>
      <c r="G259" s="183">
        <v>45769</v>
      </c>
      <c r="H259" s="146"/>
      <c r="I259" s="100" t="s">
        <v>253</v>
      </c>
      <c r="J259" s="27"/>
      <c r="K259" s="28"/>
      <c r="L259" s="51"/>
      <c r="M259" s="29"/>
      <c r="N259" s="30"/>
      <c r="O259" s="54"/>
      <c r="P259" s="132">
        <v>45771</v>
      </c>
      <c r="Q259" s="89">
        <f t="shared" si="8"/>
        <v>1.0000436976993161</v>
      </c>
      <c r="R259" s="101" t="s">
        <v>151</v>
      </c>
      <c r="S259" s="56"/>
    </row>
    <row r="260" spans="1:19" ht="57.6" x14ac:dyDescent="0.3">
      <c r="A260" s="96">
        <v>258</v>
      </c>
      <c r="B260" s="170" t="s">
        <v>1044</v>
      </c>
      <c r="C260" s="171">
        <v>45769</v>
      </c>
      <c r="D260" s="342" t="s">
        <v>2089</v>
      </c>
      <c r="E260" s="144" t="s">
        <v>1314</v>
      </c>
      <c r="F260" s="145" t="s">
        <v>4</v>
      </c>
      <c r="G260" s="183">
        <v>45769</v>
      </c>
      <c r="H260" s="146"/>
      <c r="I260" s="100" t="s">
        <v>253</v>
      </c>
      <c r="J260" s="27"/>
      <c r="K260" s="28"/>
      <c r="L260" s="51"/>
      <c r="M260" s="29"/>
      <c r="N260" s="30"/>
      <c r="O260" s="54"/>
      <c r="P260" s="83">
        <v>45771</v>
      </c>
      <c r="Q260" s="89">
        <f t="shared" si="8"/>
        <v>1.0000436976993161</v>
      </c>
      <c r="R260" s="101"/>
      <c r="S260" s="168"/>
    </row>
    <row r="261" spans="1:19" ht="28.8" x14ac:dyDescent="0.3">
      <c r="A261" s="96">
        <v>259</v>
      </c>
      <c r="B261" s="170">
        <v>1550</v>
      </c>
      <c r="C261" s="171">
        <v>45769</v>
      </c>
      <c r="D261" s="110" t="s">
        <v>2090</v>
      </c>
      <c r="E261" s="48" t="s">
        <v>1</v>
      </c>
      <c r="F261" s="80" t="s">
        <v>4</v>
      </c>
      <c r="G261" s="183">
        <v>45769</v>
      </c>
      <c r="H261" s="5"/>
      <c r="I261" s="102" t="s">
        <v>174</v>
      </c>
      <c r="J261" s="128"/>
      <c r="K261" s="128"/>
      <c r="L261" s="129"/>
      <c r="M261" s="130"/>
      <c r="N261" s="130"/>
      <c r="O261" s="131"/>
      <c r="P261" s="83">
        <v>45771</v>
      </c>
      <c r="Q261" s="89">
        <f t="shared" si="8"/>
        <v>1.0000436976993161</v>
      </c>
      <c r="R261" s="101"/>
      <c r="S261" s="168"/>
    </row>
    <row r="262" spans="1:19" ht="57.6" x14ac:dyDescent="0.3">
      <c r="A262" s="96">
        <v>260</v>
      </c>
      <c r="B262" s="170">
        <v>1550</v>
      </c>
      <c r="C262" s="171">
        <v>45770</v>
      </c>
      <c r="D262" s="342" t="s">
        <v>2091</v>
      </c>
      <c r="E262" s="144" t="s">
        <v>1314</v>
      </c>
      <c r="F262" s="80" t="s">
        <v>4</v>
      </c>
      <c r="G262" s="183">
        <v>45770</v>
      </c>
      <c r="H262" s="146"/>
      <c r="I262" s="100" t="s">
        <v>253</v>
      </c>
      <c r="J262" s="128"/>
      <c r="K262" s="128"/>
      <c r="L262" s="129"/>
      <c r="M262" s="130"/>
      <c r="N262" s="130"/>
      <c r="O262" s="131"/>
      <c r="P262" s="83">
        <v>45771</v>
      </c>
      <c r="Q262" s="89">
        <f t="shared" si="8"/>
        <v>1.0000218483722962</v>
      </c>
      <c r="R262" s="101"/>
      <c r="S262" s="168"/>
    </row>
    <row r="263" spans="1:19" ht="57.6" x14ac:dyDescent="0.3">
      <c r="A263" s="96">
        <v>261</v>
      </c>
      <c r="B263" s="170">
        <v>1550</v>
      </c>
      <c r="C263" s="171">
        <v>45770</v>
      </c>
      <c r="D263" s="342" t="s">
        <v>2092</v>
      </c>
      <c r="E263" s="144" t="s">
        <v>1314</v>
      </c>
      <c r="F263" s="145" t="s">
        <v>4</v>
      </c>
      <c r="G263" s="183">
        <v>45770</v>
      </c>
      <c r="H263" s="146"/>
      <c r="I263" s="100" t="s">
        <v>253</v>
      </c>
      <c r="J263" s="128"/>
      <c r="K263" s="128"/>
      <c r="L263" s="129"/>
      <c r="M263" s="130"/>
      <c r="N263" s="130"/>
      <c r="O263" s="131"/>
      <c r="P263" s="132">
        <v>45771</v>
      </c>
      <c r="Q263" s="89">
        <f t="shared" si="8"/>
        <v>1.0000218483722962</v>
      </c>
      <c r="R263" s="101"/>
      <c r="S263" s="168"/>
    </row>
    <row r="264" spans="1:19" ht="57.6" x14ac:dyDescent="0.3">
      <c r="A264" s="96">
        <v>262</v>
      </c>
      <c r="B264" s="170">
        <v>1550</v>
      </c>
      <c r="C264" s="171">
        <v>45770</v>
      </c>
      <c r="D264" s="110" t="s">
        <v>2093</v>
      </c>
      <c r="E264" s="144" t="s">
        <v>1314</v>
      </c>
      <c r="F264" s="145" t="s">
        <v>4</v>
      </c>
      <c r="G264" s="183">
        <v>45770</v>
      </c>
      <c r="H264" s="146"/>
      <c r="I264" s="100" t="s">
        <v>253</v>
      </c>
      <c r="J264" s="128"/>
      <c r="K264" s="128"/>
      <c r="L264" s="129"/>
      <c r="M264" s="130"/>
      <c r="N264" s="130"/>
      <c r="O264" s="131"/>
      <c r="P264" s="132">
        <v>45771</v>
      </c>
      <c r="Q264" s="89">
        <f t="shared" si="8"/>
        <v>1.0000218483722962</v>
      </c>
      <c r="R264" s="101"/>
      <c r="S264" s="168"/>
    </row>
    <row r="265" spans="1:19" ht="57.6" x14ac:dyDescent="0.3">
      <c r="A265" s="96">
        <v>263</v>
      </c>
      <c r="B265" s="170">
        <v>1550</v>
      </c>
      <c r="C265" s="171">
        <v>45770</v>
      </c>
      <c r="D265" s="708" t="s">
        <v>2094</v>
      </c>
      <c r="E265" s="144" t="s">
        <v>1314</v>
      </c>
      <c r="F265" s="145" t="s">
        <v>4</v>
      </c>
      <c r="G265" s="183">
        <v>45770</v>
      </c>
      <c r="H265" s="146"/>
      <c r="I265" s="100" t="s">
        <v>253</v>
      </c>
      <c r="J265" s="128"/>
      <c r="K265" s="128"/>
      <c r="L265" s="129"/>
      <c r="M265" s="130"/>
      <c r="N265" s="130"/>
      <c r="O265" s="131"/>
      <c r="P265" s="132">
        <v>45771</v>
      </c>
      <c r="Q265" s="89">
        <f t="shared" si="8"/>
        <v>1.0000218483722962</v>
      </c>
      <c r="R265" s="101"/>
      <c r="S265" s="168"/>
    </row>
    <row r="266" spans="1:19" ht="57.6" x14ac:dyDescent="0.3">
      <c r="A266" s="96">
        <v>264</v>
      </c>
      <c r="B266" s="170">
        <v>1550</v>
      </c>
      <c r="C266" s="132">
        <v>45770</v>
      </c>
      <c r="D266" s="36" t="s">
        <v>2095</v>
      </c>
      <c r="E266" s="281" t="s">
        <v>1314</v>
      </c>
      <c r="F266" s="172" t="s">
        <v>4</v>
      </c>
      <c r="G266" s="183">
        <v>45770</v>
      </c>
      <c r="H266" s="173"/>
      <c r="I266" s="100" t="s">
        <v>253</v>
      </c>
      <c r="J266" s="128"/>
      <c r="K266" s="128"/>
      <c r="L266" s="129"/>
      <c r="M266" s="130"/>
      <c r="N266" s="130"/>
      <c r="O266" s="131"/>
      <c r="P266" s="132">
        <v>45771</v>
      </c>
      <c r="Q266" s="89">
        <f t="shared" si="8"/>
        <v>1.0000218483722962</v>
      </c>
      <c r="R266" s="101"/>
      <c r="S266" s="168"/>
    </row>
    <row r="267" spans="1:19" ht="57.6" x14ac:dyDescent="0.3">
      <c r="A267" s="96">
        <v>265</v>
      </c>
      <c r="B267" s="170">
        <v>1550</v>
      </c>
      <c r="C267" s="171">
        <v>45770</v>
      </c>
      <c r="D267" s="209" t="s">
        <v>2096</v>
      </c>
      <c r="E267" s="166" t="s">
        <v>1314</v>
      </c>
      <c r="F267" s="172" t="s">
        <v>4</v>
      </c>
      <c r="G267" s="183">
        <v>45770</v>
      </c>
      <c r="H267" s="173"/>
      <c r="I267" s="100" t="s">
        <v>253</v>
      </c>
      <c r="J267" s="128"/>
      <c r="K267" s="128"/>
      <c r="L267" s="129"/>
      <c r="M267" s="130"/>
      <c r="N267" s="130"/>
      <c r="O267" s="131"/>
      <c r="P267" s="132">
        <v>45771</v>
      </c>
      <c r="Q267" s="89">
        <f t="shared" si="8"/>
        <v>1.0000218483722962</v>
      </c>
      <c r="R267" s="101"/>
      <c r="S267" s="56"/>
    </row>
    <row r="268" spans="1:19" ht="57.6" x14ac:dyDescent="0.3">
      <c r="A268" s="96">
        <v>266</v>
      </c>
      <c r="B268" s="170">
        <v>1550</v>
      </c>
      <c r="C268" s="171">
        <v>45770</v>
      </c>
      <c r="D268" s="209" t="s">
        <v>2097</v>
      </c>
      <c r="E268" s="166" t="s">
        <v>1314</v>
      </c>
      <c r="F268" s="172" t="s">
        <v>4</v>
      </c>
      <c r="G268" s="183">
        <v>45770</v>
      </c>
      <c r="H268" s="173"/>
      <c r="I268" s="100" t="s">
        <v>253</v>
      </c>
      <c r="J268" s="128"/>
      <c r="K268" s="128"/>
      <c r="L268" s="129"/>
      <c r="M268" s="130"/>
      <c r="N268" s="130"/>
      <c r="O268" s="131"/>
      <c r="P268" s="132">
        <v>45771</v>
      </c>
      <c r="Q268" s="89">
        <f t="shared" si="8"/>
        <v>1.0000218483722962</v>
      </c>
      <c r="R268" s="101"/>
      <c r="S268" s="56"/>
    </row>
    <row r="269" spans="1:19" ht="57.6" x14ac:dyDescent="0.3">
      <c r="A269" s="96">
        <v>267</v>
      </c>
      <c r="B269" s="170">
        <v>1550</v>
      </c>
      <c r="C269" s="171">
        <v>45770</v>
      </c>
      <c r="D269" t="s">
        <v>2098</v>
      </c>
      <c r="E269" s="144" t="s">
        <v>1314</v>
      </c>
      <c r="F269" s="172" t="s">
        <v>4</v>
      </c>
      <c r="G269" s="183">
        <v>45770</v>
      </c>
      <c r="H269" s="146"/>
      <c r="I269" s="100" t="s">
        <v>253</v>
      </c>
      <c r="J269" s="128"/>
      <c r="K269" s="128"/>
      <c r="L269" s="129"/>
      <c r="M269" s="130"/>
      <c r="N269" s="130"/>
      <c r="O269" s="131"/>
      <c r="P269" s="132">
        <v>45771</v>
      </c>
      <c r="Q269" s="89">
        <f t="shared" si="8"/>
        <v>1.0000218483722962</v>
      </c>
      <c r="R269" s="101"/>
      <c r="S269" s="56"/>
    </row>
    <row r="270" spans="1:19" ht="57.6" x14ac:dyDescent="0.3">
      <c r="A270" s="96">
        <v>268</v>
      </c>
      <c r="B270" s="170" t="s">
        <v>1044</v>
      </c>
      <c r="C270" s="171">
        <v>45770</v>
      </c>
      <c r="D270" s="209" t="s">
        <v>2099</v>
      </c>
      <c r="E270" s="48" t="s">
        <v>1314</v>
      </c>
      <c r="F270" s="145" t="s">
        <v>4</v>
      </c>
      <c r="G270" s="183">
        <v>45770</v>
      </c>
      <c r="H270" s="146"/>
      <c r="I270" s="100" t="s">
        <v>253</v>
      </c>
      <c r="J270" s="128"/>
      <c r="K270" s="128"/>
      <c r="L270" s="129"/>
      <c r="M270" s="130"/>
      <c r="N270" s="130"/>
      <c r="O270" s="131"/>
      <c r="P270" s="132">
        <v>45771</v>
      </c>
      <c r="Q270" s="89">
        <f t="shared" si="8"/>
        <v>1.0000218483722962</v>
      </c>
      <c r="R270" s="101"/>
      <c r="S270" s="168"/>
    </row>
    <row r="271" spans="1:19" ht="57.6" x14ac:dyDescent="0.3">
      <c r="A271" s="96">
        <v>269</v>
      </c>
      <c r="B271" s="170">
        <v>1550</v>
      </c>
      <c r="C271" s="171">
        <v>45770</v>
      </c>
      <c r="D271" s="361" t="s">
        <v>2100</v>
      </c>
      <c r="E271" s="48" t="s">
        <v>1314</v>
      </c>
      <c r="F271" s="172" t="s">
        <v>4</v>
      </c>
      <c r="G271" s="183">
        <v>45770</v>
      </c>
      <c r="H271" s="146"/>
      <c r="I271" s="100" t="s">
        <v>253</v>
      </c>
      <c r="J271" s="128"/>
      <c r="K271" s="128"/>
      <c r="L271" s="129"/>
      <c r="M271" s="130"/>
      <c r="N271" s="130"/>
      <c r="O271" s="131"/>
      <c r="P271" s="132">
        <v>45771</v>
      </c>
      <c r="Q271" s="89">
        <f t="shared" si="8"/>
        <v>1.0000218483722962</v>
      </c>
      <c r="R271" s="101"/>
      <c r="S271" s="168"/>
    </row>
    <row r="272" spans="1:19" ht="57.6" x14ac:dyDescent="0.3">
      <c r="A272" s="96">
        <v>270</v>
      </c>
      <c r="B272" s="170">
        <v>1550</v>
      </c>
      <c r="C272" s="132">
        <v>45770</v>
      </c>
      <c r="D272" s="36" t="s">
        <v>2101</v>
      </c>
      <c r="E272" s="48" t="s">
        <v>1314</v>
      </c>
      <c r="F272" s="172" t="s">
        <v>4</v>
      </c>
      <c r="G272" s="183">
        <v>45770</v>
      </c>
      <c r="H272" s="146"/>
      <c r="I272" s="100" t="s">
        <v>253</v>
      </c>
      <c r="J272" s="128"/>
      <c r="K272" s="128"/>
      <c r="L272" s="129"/>
      <c r="M272" s="130"/>
      <c r="N272" s="130"/>
      <c r="O272" s="131"/>
      <c r="P272" s="132">
        <v>45771</v>
      </c>
      <c r="Q272" s="89">
        <f t="shared" si="8"/>
        <v>1.0000218483722962</v>
      </c>
      <c r="R272" s="101"/>
      <c r="S272" s="168"/>
    </row>
    <row r="273" spans="1:19" ht="57.6" x14ac:dyDescent="0.3">
      <c r="A273" s="96">
        <v>271</v>
      </c>
      <c r="B273" s="170">
        <v>1550</v>
      </c>
      <c r="C273" s="132">
        <v>45770</v>
      </c>
      <c r="D273" s="36" t="s">
        <v>2102</v>
      </c>
      <c r="E273" s="48" t="s">
        <v>1314</v>
      </c>
      <c r="F273" s="172" t="s">
        <v>4</v>
      </c>
      <c r="G273" s="183">
        <v>45770</v>
      </c>
      <c r="H273" s="146"/>
      <c r="I273" s="100" t="s">
        <v>253</v>
      </c>
      <c r="J273" s="128"/>
      <c r="K273" s="128"/>
      <c r="L273" s="129"/>
      <c r="M273" s="130"/>
      <c r="N273" s="130"/>
      <c r="O273" s="131"/>
      <c r="P273" s="132">
        <v>45771</v>
      </c>
      <c r="Q273" s="89">
        <f t="shared" si="8"/>
        <v>1.0000218483722962</v>
      </c>
      <c r="R273" s="101"/>
      <c r="S273" s="56"/>
    </row>
    <row r="274" spans="1:19" ht="43.2" x14ac:dyDescent="0.3">
      <c r="A274" s="96">
        <v>272</v>
      </c>
      <c r="B274" s="86">
        <v>1550</v>
      </c>
      <c r="C274" s="83">
        <v>45771</v>
      </c>
      <c r="D274" s="109" t="s">
        <v>2103</v>
      </c>
      <c r="E274" s="144" t="s">
        <v>14</v>
      </c>
      <c r="F274" s="172" t="s">
        <v>8</v>
      </c>
      <c r="G274" s="183">
        <v>45771</v>
      </c>
      <c r="H274" s="146"/>
      <c r="I274" s="100" t="s">
        <v>253</v>
      </c>
      <c r="J274" s="27"/>
      <c r="K274" s="28"/>
      <c r="L274" s="51"/>
      <c r="M274" s="29"/>
      <c r="N274" s="30"/>
      <c r="O274" s="54"/>
      <c r="P274" s="83">
        <v>45771</v>
      </c>
      <c r="Q274" s="89">
        <f t="shared" si="8"/>
        <v>1</v>
      </c>
      <c r="R274" s="101" t="s">
        <v>528</v>
      </c>
      <c r="S274" s="56"/>
    </row>
    <row r="275" spans="1:19" x14ac:dyDescent="0.3">
      <c r="A275" s="96">
        <v>273</v>
      </c>
      <c r="B275" s="86">
        <v>1550</v>
      </c>
      <c r="C275" s="83">
        <v>45771</v>
      </c>
      <c r="D275" s="109" t="s">
        <v>2104</v>
      </c>
      <c r="E275" s="48" t="s">
        <v>3</v>
      </c>
      <c r="F275" s="172" t="s">
        <v>4</v>
      </c>
      <c r="G275" s="183">
        <v>45771</v>
      </c>
      <c r="H275" s="5"/>
      <c r="I275" s="37" t="s">
        <v>82</v>
      </c>
      <c r="J275" s="27"/>
      <c r="K275" s="28"/>
      <c r="L275" s="51"/>
      <c r="M275" s="29"/>
      <c r="N275" s="30"/>
      <c r="O275" s="54"/>
      <c r="P275" s="83">
        <v>45771</v>
      </c>
      <c r="Q275" s="89">
        <f t="shared" si="8"/>
        <v>1</v>
      </c>
      <c r="R275" s="101"/>
      <c r="S275" s="56"/>
    </row>
    <row r="276" spans="1:19" ht="43.2" x14ac:dyDescent="0.3">
      <c r="A276" s="96">
        <v>274</v>
      </c>
      <c r="B276" s="86">
        <v>1550</v>
      </c>
      <c r="C276" s="83">
        <v>45771</v>
      </c>
      <c r="D276" s="109" t="s">
        <v>2105</v>
      </c>
      <c r="E276" s="48" t="s">
        <v>23</v>
      </c>
      <c r="F276" s="172" t="s">
        <v>8</v>
      </c>
      <c r="G276" s="183">
        <v>45771</v>
      </c>
      <c r="H276" s="5"/>
      <c r="I276" s="100" t="s">
        <v>135</v>
      </c>
      <c r="J276" s="27"/>
      <c r="K276" s="28"/>
      <c r="L276" s="51"/>
      <c r="M276" s="29"/>
      <c r="N276" s="30"/>
      <c r="O276" s="54"/>
      <c r="P276" s="83">
        <v>45771</v>
      </c>
      <c r="Q276" s="89">
        <f t="shared" si="8"/>
        <v>1</v>
      </c>
      <c r="R276" s="101" t="s">
        <v>758</v>
      </c>
      <c r="S276" s="56"/>
    </row>
    <row r="277" spans="1:19" ht="57.6" x14ac:dyDescent="0.3">
      <c r="A277" s="96">
        <v>275</v>
      </c>
      <c r="B277" s="170">
        <v>1550</v>
      </c>
      <c r="C277" s="171">
        <v>45771</v>
      </c>
      <c r="D277" s="149" t="s">
        <v>2106</v>
      </c>
      <c r="E277" s="144" t="s">
        <v>1314</v>
      </c>
      <c r="F277" s="145" t="s">
        <v>8</v>
      </c>
      <c r="G277" s="183">
        <v>45771</v>
      </c>
      <c r="H277" s="146"/>
      <c r="I277" s="100" t="s">
        <v>253</v>
      </c>
      <c r="J277" s="128"/>
      <c r="K277" s="128"/>
      <c r="L277" s="129"/>
      <c r="M277" s="130"/>
      <c r="N277" s="130"/>
      <c r="O277" s="131"/>
      <c r="P277" s="132">
        <v>45771</v>
      </c>
      <c r="Q277" s="89">
        <f t="shared" si="8"/>
        <v>1</v>
      </c>
      <c r="R277" s="101" t="s">
        <v>758</v>
      </c>
      <c r="S277" s="168"/>
    </row>
    <row r="278" spans="1:19" ht="28.8" x14ac:dyDescent="0.3">
      <c r="A278" s="96">
        <v>276</v>
      </c>
      <c r="B278" s="170">
        <v>1550</v>
      </c>
      <c r="C278" s="171">
        <v>45771</v>
      </c>
      <c r="D278" s="149" t="s">
        <v>2107</v>
      </c>
      <c r="E278" s="111" t="s">
        <v>21</v>
      </c>
      <c r="F278" s="145" t="s">
        <v>8</v>
      </c>
      <c r="G278" s="183">
        <v>45771</v>
      </c>
      <c r="H278" s="173"/>
      <c r="I278" s="102" t="s">
        <v>135</v>
      </c>
      <c r="J278" s="233" t="s">
        <v>262</v>
      </c>
      <c r="K278" s="128"/>
      <c r="L278" s="232" t="s">
        <v>135</v>
      </c>
      <c r="M278" s="130"/>
      <c r="N278" s="130"/>
      <c r="O278" s="131"/>
      <c r="P278" s="132">
        <v>45771</v>
      </c>
      <c r="Q278" s="89">
        <f t="shared" si="8"/>
        <v>1</v>
      </c>
      <c r="R278" s="101" t="s">
        <v>1916</v>
      </c>
      <c r="S278" s="343"/>
    </row>
    <row r="279" spans="1:19" ht="28.8" x14ac:dyDescent="0.3">
      <c r="A279" s="96">
        <v>277</v>
      </c>
      <c r="B279" s="86">
        <v>1550</v>
      </c>
      <c r="C279" s="92">
        <v>45771</v>
      </c>
      <c r="D279" s="149" t="s">
        <v>2108</v>
      </c>
      <c r="E279" s="48" t="s">
        <v>1</v>
      </c>
      <c r="F279" s="80" t="s">
        <v>8</v>
      </c>
      <c r="G279" s="183">
        <v>45771</v>
      </c>
      <c r="H279" s="5"/>
      <c r="I279" s="100" t="s">
        <v>125</v>
      </c>
      <c r="J279" s="27"/>
      <c r="K279" s="28"/>
      <c r="L279" s="51"/>
      <c r="M279" s="29"/>
      <c r="N279" s="30"/>
      <c r="O279" s="54"/>
      <c r="P279" s="83">
        <v>45771</v>
      </c>
      <c r="Q279" s="89">
        <f t="shared" si="8"/>
        <v>1</v>
      </c>
      <c r="R279" s="101" t="s">
        <v>528</v>
      </c>
      <c r="S279" s="342"/>
    </row>
    <row r="280" spans="1:19" ht="57.6" x14ac:dyDescent="0.3">
      <c r="A280" s="96">
        <v>278</v>
      </c>
      <c r="B280" s="176">
        <v>1550</v>
      </c>
      <c r="C280" s="177">
        <v>45771</v>
      </c>
      <c r="D280" s="210" t="s">
        <v>2109</v>
      </c>
      <c r="E280" s="126" t="s">
        <v>1314</v>
      </c>
      <c r="F280" s="145" t="s">
        <v>10</v>
      </c>
      <c r="G280" s="183">
        <v>45771</v>
      </c>
      <c r="H280" s="191"/>
      <c r="I280" s="100" t="s">
        <v>253</v>
      </c>
      <c r="J280" s="27"/>
      <c r="K280" s="28"/>
      <c r="L280" s="51"/>
      <c r="M280" s="29"/>
      <c r="N280" s="30"/>
      <c r="O280" s="54"/>
      <c r="P280" s="132">
        <v>45771</v>
      </c>
      <c r="Q280" s="89">
        <f t="shared" si="8"/>
        <v>1</v>
      </c>
      <c r="R280" s="101" t="s">
        <v>216</v>
      </c>
      <c r="S280" s="168"/>
    </row>
    <row r="281" spans="1:19" ht="57.6" x14ac:dyDescent="0.3">
      <c r="A281" s="96">
        <v>279</v>
      </c>
      <c r="B281" s="176">
        <v>1550</v>
      </c>
      <c r="C281" s="177">
        <v>45771</v>
      </c>
      <c r="D281" s="210" t="s">
        <v>2110</v>
      </c>
      <c r="E281" s="166" t="s">
        <v>1314</v>
      </c>
      <c r="F281" s="145" t="s">
        <v>10</v>
      </c>
      <c r="G281" s="183">
        <v>45771</v>
      </c>
      <c r="H281" s="173"/>
      <c r="I281" s="100" t="s">
        <v>253</v>
      </c>
      <c r="J281" s="27"/>
      <c r="K281" s="28"/>
      <c r="L281" s="51"/>
      <c r="M281" s="29"/>
      <c r="N281" s="30"/>
      <c r="O281" s="54"/>
      <c r="P281" s="132">
        <v>45771</v>
      </c>
      <c r="Q281" s="89">
        <f t="shared" si="8"/>
        <v>1</v>
      </c>
      <c r="R281" s="101" t="s">
        <v>2111</v>
      </c>
      <c r="S281" s="56"/>
    </row>
    <row r="282" spans="1:19" ht="57.6" x14ac:dyDescent="0.3">
      <c r="A282" s="96">
        <v>280</v>
      </c>
      <c r="B282" s="176">
        <v>1550</v>
      </c>
      <c r="C282" s="177">
        <v>45771</v>
      </c>
      <c r="D282" s="362" t="s">
        <v>2112</v>
      </c>
      <c r="E282" s="166" t="s">
        <v>1314</v>
      </c>
      <c r="F282" s="145" t="s">
        <v>10</v>
      </c>
      <c r="G282" s="183">
        <v>45771</v>
      </c>
      <c r="H282" s="173"/>
      <c r="I282" s="100" t="s">
        <v>253</v>
      </c>
      <c r="J282" s="27"/>
      <c r="K282" s="28"/>
      <c r="L282" s="51"/>
      <c r="M282" s="29"/>
      <c r="N282" s="30"/>
      <c r="O282" s="54"/>
      <c r="P282" s="132">
        <v>45771</v>
      </c>
      <c r="Q282" s="89">
        <f t="shared" si="8"/>
        <v>1</v>
      </c>
      <c r="R282" s="101" t="s">
        <v>216</v>
      </c>
      <c r="S282" s="56"/>
    </row>
    <row r="283" spans="1:19" ht="57.6" x14ac:dyDescent="0.3">
      <c r="A283" s="96">
        <v>281</v>
      </c>
      <c r="B283" s="176">
        <v>1550</v>
      </c>
      <c r="C283" s="286">
        <v>45771</v>
      </c>
      <c r="D283" s="60" t="s">
        <v>2113</v>
      </c>
      <c r="E283" s="281" t="s">
        <v>1314</v>
      </c>
      <c r="F283" s="172" t="s">
        <v>10</v>
      </c>
      <c r="G283" s="183">
        <v>45771</v>
      </c>
      <c r="H283" s="146"/>
      <c r="I283" s="100" t="s">
        <v>253</v>
      </c>
      <c r="J283" s="27"/>
      <c r="K283" s="28"/>
      <c r="L283" s="51"/>
      <c r="M283" s="29"/>
      <c r="N283" s="30"/>
      <c r="O283" s="54"/>
      <c r="P283" s="132">
        <v>45771</v>
      </c>
      <c r="Q283" s="89">
        <f t="shared" si="8"/>
        <v>1</v>
      </c>
      <c r="R283" s="101" t="s">
        <v>2111</v>
      </c>
      <c r="S283" s="56"/>
    </row>
    <row r="284" spans="1:19" ht="57.6" x14ac:dyDescent="0.3">
      <c r="A284" s="96">
        <v>282</v>
      </c>
      <c r="B284" s="176">
        <v>1550</v>
      </c>
      <c r="C284" s="286">
        <v>45771</v>
      </c>
      <c r="D284" s="60" t="s">
        <v>2114</v>
      </c>
      <c r="E284" s="281" t="s">
        <v>1314</v>
      </c>
      <c r="F284" s="172" t="s">
        <v>10</v>
      </c>
      <c r="G284" s="183">
        <v>45771</v>
      </c>
      <c r="H284" s="146"/>
      <c r="I284" s="100" t="s">
        <v>253</v>
      </c>
      <c r="J284" s="27"/>
      <c r="K284" s="28"/>
      <c r="L284" s="51"/>
      <c r="M284" s="29"/>
      <c r="N284" s="30"/>
      <c r="O284" s="54"/>
      <c r="P284" s="132">
        <v>45771</v>
      </c>
      <c r="Q284" s="89">
        <f t="shared" ref="Q284:Q305" si="9">P284/G284</f>
        <v>1</v>
      </c>
      <c r="R284" s="101" t="s">
        <v>214</v>
      </c>
      <c r="S284" s="147"/>
    </row>
    <row r="285" spans="1:19" ht="57.6" x14ac:dyDescent="0.3">
      <c r="A285" s="96">
        <v>283</v>
      </c>
      <c r="B285" s="176">
        <v>1550</v>
      </c>
      <c r="C285" s="286">
        <v>45771</v>
      </c>
      <c r="D285" s="60" t="s">
        <v>2115</v>
      </c>
      <c r="E285" s="281" t="s">
        <v>1314</v>
      </c>
      <c r="F285" s="172" t="s">
        <v>10</v>
      </c>
      <c r="G285" s="183">
        <v>45771</v>
      </c>
      <c r="H285" s="146"/>
      <c r="I285" s="100" t="s">
        <v>253</v>
      </c>
      <c r="J285" s="27"/>
      <c r="K285" s="28"/>
      <c r="L285" s="51"/>
      <c r="M285" s="29"/>
      <c r="N285" s="30"/>
      <c r="O285" s="54"/>
      <c r="P285" s="132">
        <v>45771</v>
      </c>
      <c r="Q285" s="89">
        <f t="shared" si="9"/>
        <v>1</v>
      </c>
      <c r="R285" s="101" t="s">
        <v>2111</v>
      </c>
      <c r="S285" s="56"/>
    </row>
    <row r="286" spans="1:19" ht="129.6" x14ac:dyDescent="0.3">
      <c r="A286" s="96">
        <v>284</v>
      </c>
      <c r="B286" s="176">
        <v>1550</v>
      </c>
      <c r="C286" s="286">
        <v>45771</v>
      </c>
      <c r="D286" s="60" t="s">
        <v>2116</v>
      </c>
      <c r="E286" s="266" t="s">
        <v>1</v>
      </c>
      <c r="F286" s="172" t="s">
        <v>10</v>
      </c>
      <c r="G286" s="183">
        <v>45771</v>
      </c>
      <c r="H286" s="5"/>
      <c r="I286" s="102" t="s">
        <v>125</v>
      </c>
      <c r="J286" s="27"/>
      <c r="K286" s="28"/>
      <c r="L286" s="51"/>
      <c r="M286" s="29"/>
      <c r="N286" s="30"/>
      <c r="O286" s="54"/>
      <c r="P286" s="132">
        <v>45771</v>
      </c>
      <c r="Q286" s="89">
        <f t="shared" si="9"/>
        <v>1</v>
      </c>
      <c r="R286" s="101" t="s">
        <v>214</v>
      </c>
      <c r="S286" s="56"/>
    </row>
    <row r="287" spans="1:19" ht="28.8" x14ac:dyDescent="0.3">
      <c r="A287" s="96">
        <v>285</v>
      </c>
      <c r="B287" s="176" t="s">
        <v>1044</v>
      </c>
      <c r="C287" s="286">
        <v>45754</v>
      </c>
      <c r="D287" s="149" t="s">
        <v>2117</v>
      </c>
      <c r="E287" s="126" t="s">
        <v>12</v>
      </c>
      <c r="F287" s="127" t="s">
        <v>4</v>
      </c>
      <c r="G287" s="183">
        <v>45754</v>
      </c>
      <c r="H287" s="134">
        <v>10000280769</v>
      </c>
      <c r="I287" s="100" t="s">
        <v>159</v>
      </c>
      <c r="J287" s="128"/>
      <c r="K287" s="128"/>
      <c r="L287" s="129"/>
      <c r="M287" s="130"/>
      <c r="N287" s="130"/>
      <c r="O287" s="131"/>
      <c r="P287" s="716">
        <v>45772</v>
      </c>
      <c r="Q287" s="89">
        <f t="shared" si="9"/>
        <v>1.0003934082266031</v>
      </c>
      <c r="R287" s="101" t="s">
        <v>2118</v>
      </c>
      <c r="S287" s="168"/>
    </row>
    <row r="288" spans="1:19" ht="28.8" x14ac:dyDescent="0.3">
      <c r="A288" s="96">
        <v>286</v>
      </c>
      <c r="B288" s="204">
        <v>1550</v>
      </c>
      <c r="C288" s="205">
        <v>45755</v>
      </c>
      <c r="D288" s="149" t="s">
        <v>2119</v>
      </c>
      <c r="E288" s="48" t="s">
        <v>12</v>
      </c>
      <c r="F288" s="145" t="s">
        <v>4</v>
      </c>
      <c r="G288" s="183">
        <v>45755</v>
      </c>
      <c r="H288" s="5"/>
      <c r="I288" s="100" t="s">
        <v>159</v>
      </c>
      <c r="J288" s="27"/>
      <c r="K288" s="28"/>
      <c r="L288" s="51"/>
      <c r="M288" s="29"/>
      <c r="N288" s="30"/>
      <c r="O288" s="54"/>
      <c r="P288" s="83">
        <v>45772</v>
      </c>
      <c r="Q288" s="89">
        <f t="shared" si="9"/>
        <v>1.0003715440935417</v>
      </c>
      <c r="R288" s="101"/>
      <c r="S288" s="56"/>
    </row>
    <row r="289" spans="1:19" ht="43.2" x14ac:dyDescent="0.3">
      <c r="A289" s="96">
        <v>287</v>
      </c>
      <c r="B289" s="204">
        <v>1550</v>
      </c>
      <c r="C289" s="205">
        <v>45758</v>
      </c>
      <c r="D289" s="261" t="s">
        <v>2120</v>
      </c>
      <c r="E289" s="48" t="s">
        <v>48</v>
      </c>
      <c r="F289" s="145" t="s">
        <v>10</v>
      </c>
      <c r="G289" s="183">
        <v>45758</v>
      </c>
      <c r="H289" s="5"/>
      <c r="I289" s="100" t="s">
        <v>253</v>
      </c>
      <c r="J289" s="27"/>
      <c r="K289" s="28"/>
      <c r="L289" s="51"/>
      <c r="M289" s="29"/>
      <c r="N289" s="30"/>
      <c r="O289" s="54"/>
      <c r="P289" s="83">
        <v>45772</v>
      </c>
      <c r="Q289" s="89">
        <f t="shared" si="9"/>
        <v>1.0003059574282094</v>
      </c>
      <c r="R289" s="101" t="s">
        <v>1321</v>
      </c>
      <c r="S289" s="56" t="s">
        <v>2121</v>
      </c>
    </row>
    <row r="290" spans="1:19" ht="28.8" x14ac:dyDescent="0.3">
      <c r="A290" s="96">
        <v>288</v>
      </c>
      <c r="B290" s="204">
        <v>1550</v>
      </c>
      <c r="C290" s="205">
        <v>45772</v>
      </c>
      <c r="D290" s="110" t="s">
        <v>2122</v>
      </c>
      <c r="E290" s="48" t="s">
        <v>7</v>
      </c>
      <c r="F290" s="145" t="s">
        <v>4</v>
      </c>
      <c r="G290" s="183">
        <v>45772</v>
      </c>
      <c r="H290" s="5"/>
      <c r="I290" s="100" t="s">
        <v>361</v>
      </c>
      <c r="J290" s="27"/>
      <c r="K290" s="28"/>
      <c r="L290" s="51"/>
      <c r="M290" s="29"/>
      <c r="N290" s="30"/>
      <c r="O290" s="54"/>
      <c r="P290" s="83">
        <v>45772</v>
      </c>
      <c r="Q290" s="89">
        <f t="shared" si="9"/>
        <v>1</v>
      </c>
      <c r="R290" s="101"/>
      <c r="S290" s="56"/>
    </row>
    <row r="291" spans="1:19" ht="28.8" x14ac:dyDescent="0.3">
      <c r="A291" s="96">
        <v>289</v>
      </c>
      <c r="B291" s="176">
        <v>1550</v>
      </c>
      <c r="C291" s="177">
        <v>45770</v>
      </c>
      <c r="D291" s="110" t="s">
        <v>2123</v>
      </c>
      <c r="E291" s="48" t="s">
        <v>12</v>
      </c>
      <c r="F291" s="80" t="s">
        <v>4</v>
      </c>
      <c r="G291" s="183">
        <v>45770</v>
      </c>
      <c r="H291" s="5"/>
      <c r="I291" s="100" t="s">
        <v>1882</v>
      </c>
      <c r="J291" s="27"/>
      <c r="K291" s="28"/>
      <c r="L291" s="51"/>
      <c r="M291" s="29"/>
      <c r="N291" s="30"/>
      <c r="O291" s="54"/>
      <c r="P291" s="132">
        <v>45772</v>
      </c>
      <c r="Q291" s="89">
        <f t="shared" si="9"/>
        <v>1.0000436967445925</v>
      </c>
      <c r="R291" s="101"/>
      <c r="S291" s="56"/>
    </row>
    <row r="292" spans="1:19" ht="57.6" x14ac:dyDescent="0.3">
      <c r="A292" s="96">
        <v>290</v>
      </c>
      <c r="B292" s="204">
        <v>1550</v>
      </c>
      <c r="C292" s="205">
        <v>45771</v>
      </c>
      <c r="D292" s="342" t="s">
        <v>2124</v>
      </c>
      <c r="E292" s="48" t="s">
        <v>1314</v>
      </c>
      <c r="F292" s="145" t="s">
        <v>4</v>
      </c>
      <c r="G292" s="183">
        <v>45771</v>
      </c>
      <c r="H292" s="5"/>
      <c r="I292" s="100" t="s">
        <v>253</v>
      </c>
      <c r="J292" s="27"/>
      <c r="K292" s="28"/>
      <c r="L292" s="51"/>
      <c r="M292" s="29"/>
      <c r="N292" s="30"/>
      <c r="O292" s="54"/>
      <c r="P292" s="83">
        <v>45772</v>
      </c>
      <c r="Q292" s="89">
        <f t="shared" si="9"/>
        <v>1.0000218478949554</v>
      </c>
      <c r="R292" s="101"/>
      <c r="S292" s="56"/>
    </row>
    <row r="293" spans="1:19" ht="28.8" x14ac:dyDescent="0.3">
      <c r="A293" s="96">
        <v>291</v>
      </c>
      <c r="B293" s="204" t="s">
        <v>1044</v>
      </c>
      <c r="C293" s="205">
        <v>45771</v>
      </c>
      <c r="D293" s="110" t="s">
        <v>2125</v>
      </c>
      <c r="E293" s="48" t="s">
        <v>1</v>
      </c>
      <c r="F293" s="145" t="s">
        <v>4</v>
      </c>
      <c r="G293" s="183">
        <v>45771</v>
      </c>
      <c r="H293" s="5"/>
      <c r="I293" s="100" t="s">
        <v>125</v>
      </c>
      <c r="J293" s="27"/>
      <c r="K293" s="28"/>
      <c r="L293" s="51"/>
      <c r="M293" s="29"/>
      <c r="N293" s="30"/>
      <c r="O293" s="54"/>
      <c r="P293" s="83">
        <v>45772</v>
      </c>
      <c r="Q293" s="89">
        <f t="shared" si="9"/>
        <v>1.0000218478949554</v>
      </c>
      <c r="R293" s="101"/>
      <c r="S293" s="56"/>
    </row>
    <row r="294" spans="1:19" ht="57.6" x14ac:dyDescent="0.3">
      <c r="A294" s="96">
        <v>292</v>
      </c>
      <c r="B294" s="86">
        <v>1550</v>
      </c>
      <c r="C294" s="92">
        <v>45771</v>
      </c>
      <c r="D294" t="s">
        <v>2126</v>
      </c>
      <c r="E294" s="48" t="s">
        <v>1314</v>
      </c>
      <c r="F294" s="145" t="s">
        <v>4</v>
      </c>
      <c r="G294" s="183">
        <v>45771</v>
      </c>
      <c r="H294" s="5"/>
      <c r="I294" s="100" t="s">
        <v>253</v>
      </c>
      <c r="J294" s="128"/>
      <c r="K294" s="128"/>
      <c r="L294" s="129"/>
      <c r="M294" s="130"/>
      <c r="N294" s="130"/>
      <c r="O294" s="131"/>
      <c r="P294" s="83">
        <v>45772</v>
      </c>
      <c r="Q294" s="89">
        <f t="shared" si="9"/>
        <v>1.0000218478949554</v>
      </c>
      <c r="R294" s="101"/>
      <c r="S294" s="168"/>
    </row>
    <row r="295" spans="1:19" ht="57.6" x14ac:dyDescent="0.3">
      <c r="A295" s="96">
        <v>293</v>
      </c>
      <c r="B295" s="86">
        <v>1550</v>
      </c>
      <c r="C295" s="92">
        <v>45771</v>
      </c>
      <c r="D295" s="209" t="s">
        <v>2127</v>
      </c>
      <c r="E295" s="48" t="s">
        <v>1314</v>
      </c>
      <c r="F295" s="145" t="s">
        <v>4</v>
      </c>
      <c r="G295" s="183">
        <v>45771</v>
      </c>
      <c r="H295" s="5"/>
      <c r="I295" s="100" t="s">
        <v>253</v>
      </c>
      <c r="J295" s="128"/>
      <c r="K295" s="128"/>
      <c r="L295" s="129"/>
      <c r="M295" s="130"/>
      <c r="N295" s="130"/>
      <c r="O295" s="131"/>
      <c r="P295" s="83">
        <v>45772</v>
      </c>
      <c r="Q295" s="89">
        <f t="shared" si="9"/>
        <v>1.0000218478949554</v>
      </c>
      <c r="R295" s="101"/>
      <c r="S295" s="56"/>
    </row>
    <row r="296" spans="1:19" ht="57.6" x14ac:dyDescent="0.3">
      <c r="A296" s="96">
        <v>294</v>
      </c>
      <c r="B296" s="86">
        <v>1550</v>
      </c>
      <c r="C296" s="92">
        <v>45771</v>
      </c>
      <c r="D296" s="209" t="s">
        <v>2128</v>
      </c>
      <c r="E296" s="48" t="s">
        <v>1314</v>
      </c>
      <c r="F296" s="145" t="s">
        <v>4</v>
      </c>
      <c r="G296" s="183">
        <v>45771</v>
      </c>
      <c r="H296" s="5"/>
      <c r="I296" s="100" t="s">
        <v>253</v>
      </c>
      <c r="J296" s="128"/>
      <c r="K296" s="128"/>
      <c r="L296" s="129"/>
      <c r="M296" s="130"/>
      <c r="N296" s="130"/>
      <c r="O296" s="131"/>
      <c r="P296" s="83">
        <v>45772</v>
      </c>
      <c r="Q296" s="89">
        <f t="shared" si="9"/>
        <v>1.0000218478949554</v>
      </c>
      <c r="R296" s="101"/>
      <c r="S296" s="56"/>
    </row>
    <row r="297" spans="1:19" ht="57.6" x14ac:dyDescent="0.3">
      <c r="A297" s="96">
        <v>295</v>
      </c>
      <c r="B297" s="170" t="s">
        <v>1826</v>
      </c>
      <c r="C297" s="171">
        <v>45771</v>
      </c>
      <c r="D297" s="209" t="s">
        <v>2129</v>
      </c>
      <c r="E297" s="48" t="s">
        <v>1314</v>
      </c>
      <c r="F297" s="145" t="s">
        <v>4</v>
      </c>
      <c r="G297" s="183">
        <v>45771</v>
      </c>
      <c r="H297" s="5"/>
      <c r="I297" s="100" t="s">
        <v>253</v>
      </c>
      <c r="J297" s="128"/>
      <c r="K297" s="128"/>
      <c r="L297" s="129"/>
      <c r="M297" s="130"/>
      <c r="N297" s="130"/>
      <c r="O297" s="131"/>
      <c r="P297" s="83">
        <v>45772</v>
      </c>
      <c r="Q297" s="89">
        <f t="shared" si="9"/>
        <v>1.0000218478949554</v>
      </c>
      <c r="R297" s="101"/>
      <c r="S297" s="168"/>
    </row>
    <row r="298" spans="1:19" ht="57.6" x14ac:dyDescent="0.3">
      <c r="A298" s="96">
        <v>296</v>
      </c>
      <c r="B298" s="170">
        <v>1550</v>
      </c>
      <c r="C298" s="171">
        <v>45771</v>
      </c>
      <c r="D298" s="96" t="s">
        <v>2130</v>
      </c>
      <c r="E298" s="48" t="s">
        <v>1314</v>
      </c>
      <c r="F298" s="145" t="s">
        <v>4</v>
      </c>
      <c r="G298" s="183">
        <v>45771</v>
      </c>
      <c r="H298" s="5"/>
      <c r="I298" s="100" t="s">
        <v>253</v>
      </c>
      <c r="J298" s="128"/>
      <c r="K298" s="128"/>
      <c r="L298" s="129"/>
      <c r="M298" s="130"/>
      <c r="N298" s="130"/>
      <c r="O298" s="131"/>
      <c r="P298" s="83">
        <v>45772</v>
      </c>
      <c r="Q298" s="89">
        <f t="shared" si="9"/>
        <v>1.0000218478949554</v>
      </c>
      <c r="R298" s="101"/>
      <c r="S298" s="168"/>
    </row>
    <row r="299" spans="1:19" ht="57.6" x14ac:dyDescent="0.3">
      <c r="A299" s="96">
        <v>297</v>
      </c>
      <c r="B299" s="170">
        <v>1550</v>
      </c>
      <c r="C299" s="171">
        <v>45771</v>
      </c>
      <c r="D299" s="209" t="s">
        <v>2131</v>
      </c>
      <c r="E299" s="48" t="s">
        <v>1314</v>
      </c>
      <c r="F299" s="145" t="s">
        <v>4</v>
      </c>
      <c r="G299" s="183">
        <v>45771</v>
      </c>
      <c r="H299" s="5"/>
      <c r="I299" s="100" t="s">
        <v>253</v>
      </c>
      <c r="J299" s="128"/>
      <c r="K299" s="128"/>
      <c r="L299" s="129"/>
      <c r="M299" s="130"/>
      <c r="N299" s="130"/>
      <c r="O299" s="131"/>
      <c r="P299" s="83">
        <v>45772</v>
      </c>
      <c r="Q299" s="89">
        <f t="shared" si="9"/>
        <v>1.0000218478949554</v>
      </c>
      <c r="R299" s="101"/>
      <c r="S299" s="168"/>
    </row>
    <row r="300" spans="1:19" ht="57.6" x14ac:dyDescent="0.3">
      <c r="A300" s="96">
        <v>298</v>
      </c>
      <c r="B300" s="170">
        <v>1550</v>
      </c>
      <c r="C300" s="171">
        <v>45771</v>
      </c>
      <c r="D300" s="209" t="s">
        <v>2132</v>
      </c>
      <c r="E300" s="48" t="s">
        <v>1314</v>
      </c>
      <c r="F300" s="145" t="s">
        <v>4</v>
      </c>
      <c r="G300" s="183">
        <v>45771</v>
      </c>
      <c r="H300" s="5"/>
      <c r="I300" s="100" t="s">
        <v>253</v>
      </c>
      <c r="J300" s="128"/>
      <c r="K300" s="128"/>
      <c r="L300" s="129"/>
      <c r="M300" s="130"/>
      <c r="N300" s="130"/>
      <c r="O300" s="131"/>
      <c r="P300" s="83">
        <v>45772</v>
      </c>
      <c r="Q300" s="89">
        <f t="shared" si="9"/>
        <v>1.0000218478949554</v>
      </c>
      <c r="R300" s="101"/>
      <c r="S300" s="168"/>
    </row>
    <row r="301" spans="1:19" ht="57.6" x14ac:dyDescent="0.3">
      <c r="A301" s="96">
        <v>299</v>
      </c>
      <c r="B301" s="170">
        <v>1550</v>
      </c>
      <c r="C301" s="171">
        <v>45771</v>
      </c>
      <c r="D301" s="698" t="s">
        <v>2133</v>
      </c>
      <c r="E301" s="126" t="s">
        <v>1314</v>
      </c>
      <c r="F301" s="145" t="s">
        <v>10</v>
      </c>
      <c r="G301" s="183">
        <v>45771</v>
      </c>
      <c r="H301" s="146"/>
      <c r="I301" s="100" t="s">
        <v>253</v>
      </c>
      <c r="J301" s="27"/>
      <c r="K301" s="28"/>
      <c r="L301" s="51"/>
      <c r="M301" s="29"/>
      <c r="N301" s="30"/>
      <c r="O301" s="54"/>
      <c r="P301" s="132">
        <v>45772</v>
      </c>
      <c r="Q301" s="89">
        <f t="shared" si="9"/>
        <v>1.0000218478949554</v>
      </c>
      <c r="R301" s="101" t="s">
        <v>214</v>
      </c>
      <c r="S301" s="56"/>
    </row>
    <row r="302" spans="1:19" ht="57.6" x14ac:dyDescent="0.3">
      <c r="A302" s="96">
        <v>300</v>
      </c>
      <c r="B302" s="170">
        <v>1550</v>
      </c>
      <c r="C302" s="171">
        <v>45771</v>
      </c>
      <c r="D302" s="698" t="s">
        <v>2134</v>
      </c>
      <c r="E302" s="126" t="s">
        <v>1314</v>
      </c>
      <c r="F302" s="145" t="s">
        <v>10</v>
      </c>
      <c r="G302" s="183">
        <v>45771</v>
      </c>
      <c r="H302" s="146"/>
      <c r="I302" s="100" t="s">
        <v>253</v>
      </c>
      <c r="J302" s="27"/>
      <c r="K302" s="28"/>
      <c r="L302" s="51"/>
      <c r="M302" s="29"/>
      <c r="N302" s="30"/>
      <c r="O302" s="54"/>
      <c r="P302" s="132">
        <v>45772</v>
      </c>
      <c r="Q302" s="89">
        <f t="shared" si="9"/>
        <v>1.0000218478949554</v>
      </c>
      <c r="R302" s="101" t="s">
        <v>214</v>
      </c>
      <c r="S302" s="56"/>
    </row>
    <row r="303" spans="1:19" ht="28.8" x14ac:dyDescent="0.3">
      <c r="A303" s="96">
        <v>301</v>
      </c>
      <c r="B303" s="170">
        <v>1550</v>
      </c>
      <c r="C303" s="171">
        <v>45771</v>
      </c>
      <c r="D303" s="210" t="s">
        <v>2135</v>
      </c>
      <c r="E303" s="111" t="s">
        <v>23</v>
      </c>
      <c r="F303" s="145" t="s">
        <v>10</v>
      </c>
      <c r="G303" s="183">
        <v>45771</v>
      </c>
      <c r="H303" s="137"/>
      <c r="I303" s="100" t="s">
        <v>135</v>
      </c>
      <c r="J303" s="27"/>
      <c r="K303" s="28"/>
      <c r="L303" s="51"/>
      <c r="M303" s="29"/>
      <c r="N303" s="30"/>
      <c r="O303" s="54"/>
      <c r="P303" s="132">
        <v>45772</v>
      </c>
      <c r="Q303" s="89">
        <f t="shared" si="9"/>
        <v>1.0000218478949554</v>
      </c>
      <c r="R303" s="101" t="s">
        <v>1806</v>
      </c>
      <c r="S303" s="56"/>
    </row>
    <row r="304" spans="1:19" ht="57.6" x14ac:dyDescent="0.3">
      <c r="A304" s="96">
        <v>302</v>
      </c>
      <c r="B304" s="135">
        <v>1550</v>
      </c>
      <c r="C304" s="136">
        <v>45772</v>
      </c>
      <c r="D304" s="209" t="s">
        <v>2136</v>
      </c>
      <c r="E304" s="111" t="s">
        <v>1314</v>
      </c>
      <c r="F304" s="125" t="s">
        <v>4</v>
      </c>
      <c r="G304" s="183">
        <v>45772</v>
      </c>
      <c r="H304" s="137"/>
      <c r="I304" s="100" t="s">
        <v>253</v>
      </c>
      <c r="J304" s="27"/>
      <c r="K304" s="28"/>
      <c r="L304" s="51"/>
      <c r="M304" s="29"/>
      <c r="N304" s="30"/>
      <c r="O304" s="54"/>
      <c r="P304" s="132">
        <v>45772</v>
      </c>
      <c r="Q304" s="89">
        <f t="shared" si="9"/>
        <v>1</v>
      </c>
      <c r="R304" s="101"/>
      <c r="S304" s="56"/>
    </row>
    <row r="305" spans="1:19" ht="57.6" x14ac:dyDescent="0.3">
      <c r="A305" s="96">
        <v>303</v>
      </c>
      <c r="B305" s="135">
        <v>1550</v>
      </c>
      <c r="C305" s="136">
        <v>45772</v>
      </c>
      <c r="D305" s="149" t="s">
        <v>2137</v>
      </c>
      <c r="E305" s="47" t="s">
        <v>1314</v>
      </c>
      <c r="F305" s="125" t="s">
        <v>4</v>
      </c>
      <c r="G305" s="183">
        <v>45772</v>
      </c>
      <c r="H305" s="137"/>
      <c r="I305" s="100" t="s">
        <v>253</v>
      </c>
      <c r="J305" s="27"/>
      <c r="K305" s="28"/>
      <c r="L305" s="51"/>
      <c r="M305" s="29"/>
      <c r="N305" s="30"/>
      <c r="O305" s="54"/>
      <c r="P305" s="716">
        <v>45772</v>
      </c>
      <c r="Q305" s="89">
        <f t="shared" si="9"/>
        <v>1</v>
      </c>
      <c r="R305" s="101"/>
      <c r="S305" s="56"/>
    </row>
    <row r="306" spans="1:19" ht="57.6" x14ac:dyDescent="0.3">
      <c r="A306" s="96">
        <v>304</v>
      </c>
      <c r="B306" s="135">
        <v>1550</v>
      </c>
      <c r="C306" s="136">
        <v>45772</v>
      </c>
      <c r="D306" s="209" t="s">
        <v>2138</v>
      </c>
      <c r="E306" s="111" t="s">
        <v>1314</v>
      </c>
      <c r="F306" s="125" t="s">
        <v>4</v>
      </c>
      <c r="G306" s="183">
        <v>45772</v>
      </c>
      <c r="H306" s="137"/>
      <c r="I306" s="100" t="s">
        <v>253</v>
      </c>
      <c r="J306" s="27"/>
      <c r="K306" s="28"/>
      <c r="L306" s="51"/>
      <c r="M306" s="29"/>
      <c r="N306" s="30"/>
      <c r="O306" s="54"/>
      <c r="P306" s="132">
        <v>45772</v>
      </c>
      <c r="Q306" s="717">
        <v>45772</v>
      </c>
      <c r="R306" s="101"/>
      <c r="S306" s="56"/>
    </row>
    <row r="307" spans="1:19" ht="57.6" x14ac:dyDescent="0.3">
      <c r="A307" s="96">
        <v>305</v>
      </c>
      <c r="B307" s="135">
        <v>1550</v>
      </c>
      <c r="C307" s="136">
        <v>45772</v>
      </c>
      <c r="D307" t="s">
        <v>2139</v>
      </c>
      <c r="E307" s="47" t="s">
        <v>1314</v>
      </c>
      <c r="F307" s="80" t="s">
        <v>4</v>
      </c>
      <c r="G307" s="183">
        <v>45772</v>
      </c>
      <c r="H307" s="5"/>
      <c r="I307" s="100" t="s">
        <v>253</v>
      </c>
      <c r="J307" s="27"/>
      <c r="K307" s="28"/>
      <c r="L307" s="51"/>
      <c r="M307" s="29"/>
      <c r="N307" s="30"/>
      <c r="O307" s="54"/>
      <c r="P307" s="716">
        <v>45772</v>
      </c>
      <c r="Q307" s="89">
        <f t="shared" ref="Q307:Q338" si="10">P307/G307</f>
        <v>1</v>
      </c>
      <c r="R307" s="101"/>
      <c r="S307" s="56"/>
    </row>
    <row r="308" spans="1:19" ht="57.6" x14ac:dyDescent="0.3">
      <c r="A308" s="96">
        <v>306</v>
      </c>
      <c r="B308" s="135">
        <v>1550</v>
      </c>
      <c r="C308" s="136">
        <v>45772</v>
      </c>
      <c r="D308" s="209" t="s">
        <v>2140</v>
      </c>
      <c r="E308" s="47" t="s">
        <v>1314</v>
      </c>
      <c r="F308" s="81" t="s">
        <v>4</v>
      </c>
      <c r="G308" s="183">
        <v>45772</v>
      </c>
      <c r="H308" s="49"/>
      <c r="I308" s="100" t="s">
        <v>253</v>
      </c>
      <c r="J308" s="27"/>
      <c r="K308" s="28"/>
      <c r="L308" s="51"/>
      <c r="M308" s="29"/>
      <c r="N308" s="30"/>
      <c r="O308" s="54"/>
      <c r="P308" s="716">
        <v>45772</v>
      </c>
      <c r="Q308" s="89">
        <f t="shared" si="10"/>
        <v>1</v>
      </c>
      <c r="R308" s="101"/>
      <c r="S308" s="56"/>
    </row>
    <row r="309" spans="1:19" ht="28.8" x14ac:dyDescent="0.3">
      <c r="A309" s="96">
        <v>307</v>
      </c>
      <c r="B309" s="135">
        <v>1550</v>
      </c>
      <c r="C309" s="136">
        <v>45772</v>
      </c>
      <c r="D309" s="149" t="s">
        <v>2141</v>
      </c>
      <c r="E309" s="166" t="s">
        <v>1</v>
      </c>
      <c r="F309" s="172" t="s">
        <v>4</v>
      </c>
      <c r="G309" s="183">
        <v>45772</v>
      </c>
      <c r="H309" s="173"/>
      <c r="I309" s="100" t="s">
        <v>125</v>
      </c>
      <c r="J309" s="27"/>
      <c r="K309" s="28"/>
      <c r="L309" s="51"/>
      <c r="M309" s="29"/>
      <c r="N309" s="30"/>
      <c r="O309" s="54"/>
      <c r="P309" s="83">
        <v>45772</v>
      </c>
      <c r="Q309" s="89">
        <f t="shared" si="10"/>
        <v>1</v>
      </c>
      <c r="R309" s="101"/>
      <c r="S309" s="56"/>
    </row>
    <row r="310" spans="1:19" ht="187.2" x14ac:dyDescent="0.3">
      <c r="A310" s="96">
        <v>308</v>
      </c>
      <c r="B310" s="135">
        <v>1550</v>
      </c>
      <c r="C310" s="205">
        <v>45772</v>
      </c>
      <c r="D310" s="362" t="s">
        <v>2142</v>
      </c>
      <c r="E310" s="47" t="s">
        <v>1</v>
      </c>
      <c r="F310" s="172" t="s">
        <v>10</v>
      </c>
      <c r="G310" s="183">
        <v>45772</v>
      </c>
      <c r="H310" s="49"/>
      <c r="I310" s="100" t="s">
        <v>125</v>
      </c>
      <c r="J310" s="128"/>
      <c r="K310" s="128"/>
      <c r="L310" s="129"/>
      <c r="M310" s="130"/>
      <c r="N310" s="130"/>
      <c r="O310" s="131"/>
      <c r="P310" s="83">
        <v>45772</v>
      </c>
      <c r="Q310" s="89">
        <f t="shared" si="10"/>
        <v>1</v>
      </c>
      <c r="R310" s="101" t="s">
        <v>2111</v>
      </c>
      <c r="S310" s="168"/>
    </row>
    <row r="311" spans="1:19" ht="43.2" x14ac:dyDescent="0.3">
      <c r="A311" s="96">
        <v>309</v>
      </c>
      <c r="B311" s="693">
        <v>1550</v>
      </c>
      <c r="C311" s="136">
        <v>45758</v>
      </c>
      <c r="D311" s="109" t="s">
        <v>2143</v>
      </c>
      <c r="E311" s="144" t="s">
        <v>23</v>
      </c>
      <c r="F311" s="145" t="s">
        <v>6</v>
      </c>
      <c r="G311" s="183">
        <v>45758</v>
      </c>
      <c r="H311" s="146"/>
      <c r="I311" s="100" t="s">
        <v>135</v>
      </c>
      <c r="J311" s="128"/>
      <c r="K311" s="128"/>
      <c r="L311" s="129"/>
      <c r="M311" s="130"/>
      <c r="N311" s="130"/>
      <c r="O311" s="131"/>
      <c r="P311" s="716">
        <v>45774</v>
      </c>
      <c r="Q311" s="89">
        <f t="shared" si="10"/>
        <v>1.0003496656322393</v>
      </c>
      <c r="R311" s="101" t="s">
        <v>2144</v>
      </c>
      <c r="S311" s="201"/>
    </row>
    <row r="312" spans="1:19" ht="43.2" x14ac:dyDescent="0.3">
      <c r="A312" s="96">
        <v>310</v>
      </c>
      <c r="B312" s="693">
        <v>1550</v>
      </c>
      <c r="C312" s="136">
        <v>45762</v>
      </c>
      <c r="D312" s="291" t="s">
        <v>2145</v>
      </c>
      <c r="E312" s="179" t="s">
        <v>1</v>
      </c>
      <c r="F312" s="80" t="s">
        <v>6</v>
      </c>
      <c r="G312" s="183">
        <v>45762</v>
      </c>
      <c r="H312" s="5"/>
      <c r="I312" s="100" t="s">
        <v>258</v>
      </c>
      <c r="J312" s="27"/>
      <c r="K312" s="28"/>
      <c r="L312" s="51"/>
      <c r="M312" s="29"/>
      <c r="N312" s="30"/>
      <c r="O312" s="54"/>
      <c r="P312" s="716">
        <v>45774</v>
      </c>
      <c r="Q312" s="89">
        <f t="shared" si="10"/>
        <v>1.0002622263012981</v>
      </c>
      <c r="R312" s="101" t="s">
        <v>1312</v>
      </c>
      <c r="S312" s="56"/>
    </row>
    <row r="313" spans="1:19" ht="28.8" x14ac:dyDescent="0.3">
      <c r="A313" s="96">
        <v>311</v>
      </c>
      <c r="B313" s="287">
        <v>1550</v>
      </c>
      <c r="C313" s="252">
        <v>45770</v>
      </c>
      <c r="D313" s="109" t="s">
        <v>2146</v>
      </c>
      <c r="E313" s="179" t="s">
        <v>3</v>
      </c>
      <c r="F313" s="80" t="s">
        <v>8</v>
      </c>
      <c r="G313" s="183">
        <v>45770</v>
      </c>
      <c r="H313" s="5">
        <v>10000284397</v>
      </c>
      <c r="I313" s="37" t="s">
        <v>82</v>
      </c>
      <c r="J313" s="27"/>
      <c r="K313" s="28"/>
      <c r="L313" s="51"/>
      <c r="M313" s="29"/>
      <c r="N313" s="30"/>
      <c r="O313" s="54"/>
      <c r="P313" s="132">
        <v>45775</v>
      </c>
      <c r="Q313" s="89">
        <f t="shared" si="10"/>
        <v>1.0001092418614814</v>
      </c>
      <c r="R313" s="101" t="s">
        <v>151</v>
      </c>
      <c r="S313" s="56" t="s">
        <v>2147</v>
      </c>
    </row>
    <row r="314" spans="1:19" ht="28.8" x14ac:dyDescent="0.3">
      <c r="A314" s="96">
        <v>312</v>
      </c>
      <c r="B314" s="123">
        <v>1550</v>
      </c>
      <c r="C314" s="124">
        <v>45770</v>
      </c>
      <c r="D314" s="149" t="s">
        <v>2148</v>
      </c>
      <c r="E314" s="166" t="s">
        <v>12</v>
      </c>
      <c r="F314" s="172" t="s">
        <v>4</v>
      </c>
      <c r="G314" s="183">
        <v>45770</v>
      </c>
      <c r="H314" s="173"/>
      <c r="I314" s="100" t="s">
        <v>1882</v>
      </c>
      <c r="J314" s="128"/>
      <c r="K314" s="128"/>
      <c r="L314" s="129"/>
      <c r="M314" s="130"/>
      <c r="N314" s="130"/>
      <c r="O314" s="131"/>
      <c r="P314" s="132">
        <v>45775</v>
      </c>
      <c r="Q314" s="89">
        <f t="shared" si="10"/>
        <v>1.0001092418614814</v>
      </c>
      <c r="R314" s="101"/>
      <c r="S314" s="168"/>
    </row>
    <row r="315" spans="1:19" ht="57.6" x14ac:dyDescent="0.3">
      <c r="A315" s="96">
        <v>313</v>
      </c>
      <c r="B315" s="135">
        <v>1550</v>
      </c>
      <c r="C315" s="136">
        <v>45772</v>
      </c>
      <c r="D315" s="343" t="s">
        <v>2149</v>
      </c>
      <c r="E315" s="48" t="s">
        <v>1314</v>
      </c>
      <c r="F315" s="80" t="s">
        <v>4</v>
      </c>
      <c r="G315" s="183">
        <v>45772</v>
      </c>
      <c r="H315" s="5"/>
      <c r="I315" s="100" t="s">
        <v>253</v>
      </c>
      <c r="J315" s="27"/>
      <c r="K315" s="28"/>
      <c r="L315" s="51"/>
      <c r="M315" s="29"/>
      <c r="N315" s="30"/>
      <c r="O315" s="54"/>
      <c r="P315" s="132">
        <v>45775</v>
      </c>
      <c r="Q315" s="89">
        <f t="shared" si="10"/>
        <v>1.0000655422529057</v>
      </c>
      <c r="R315" s="101"/>
      <c r="S315" s="56"/>
    </row>
    <row r="316" spans="1:19" ht="57.6" x14ac:dyDescent="0.3">
      <c r="A316" s="96">
        <v>314</v>
      </c>
      <c r="B316" s="135">
        <v>1550</v>
      </c>
      <c r="C316" s="136">
        <v>45772</v>
      </c>
      <c r="D316" s="342" t="s">
        <v>2150</v>
      </c>
      <c r="E316" s="48" t="s">
        <v>1314</v>
      </c>
      <c r="F316" s="80" t="s">
        <v>4</v>
      </c>
      <c r="G316" s="183">
        <v>45772</v>
      </c>
      <c r="H316" s="5"/>
      <c r="I316" s="100" t="s">
        <v>253</v>
      </c>
      <c r="J316" s="27"/>
      <c r="K316" s="28"/>
      <c r="L316" s="51"/>
      <c r="M316" s="29"/>
      <c r="N316" s="30"/>
      <c r="O316" s="54"/>
      <c r="P316" s="132">
        <v>45775</v>
      </c>
      <c r="Q316" s="89">
        <f t="shared" si="10"/>
        <v>1.0000655422529057</v>
      </c>
      <c r="R316" s="101"/>
      <c r="S316" s="56"/>
    </row>
    <row r="317" spans="1:19" ht="57.6" x14ac:dyDescent="0.3">
      <c r="A317" s="96">
        <v>315</v>
      </c>
      <c r="B317" s="135">
        <v>1550</v>
      </c>
      <c r="C317" s="136">
        <v>45772</v>
      </c>
      <c r="D317" s="342" t="s">
        <v>2151</v>
      </c>
      <c r="E317" s="48" t="s">
        <v>1314</v>
      </c>
      <c r="F317" s="80" t="s">
        <v>4</v>
      </c>
      <c r="G317" s="183">
        <v>45772</v>
      </c>
      <c r="H317" s="5"/>
      <c r="I317" s="100" t="s">
        <v>253</v>
      </c>
      <c r="J317" s="27"/>
      <c r="K317" s="28"/>
      <c r="L317" s="51"/>
      <c r="M317" s="29"/>
      <c r="N317" s="30"/>
      <c r="O317" s="54"/>
      <c r="P317" s="132">
        <v>45775</v>
      </c>
      <c r="Q317" s="89">
        <f t="shared" si="10"/>
        <v>1.0000655422529057</v>
      </c>
      <c r="R317" s="101"/>
      <c r="S317" s="56"/>
    </row>
    <row r="318" spans="1:19" ht="57.6" x14ac:dyDescent="0.3">
      <c r="A318" s="96">
        <v>316</v>
      </c>
      <c r="B318" s="135">
        <v>1550</v>
      </c>
      <c r="C318" s="136">
        <v>45772</v>
      </c>
      <c r="D318" s="342" t="s">
        <v>2152</v>
      </c>
      <c r="E318" s="48" t="s">
        <v>1314</v>
      </c>
      <c r="F318" s="80" t="s">
        <v>4</v>
      </c>
      <c r="G318" s="183">
        <v>45772</v>
      </c>
      <c r="H318" s="5"/>
      <c r="I318" s="100" t="s">
        <v>253</v>
      </c>
      <c r="J318" s="27"/>
      <c r="K318" s="28"/>
      <c r="L318" s="51"/>
      <c r="M318" s="29"/>
      <c r="N318" s="30"/>
      <c r="O318" s="54"/>
      <c r="P318" s="132">
        <v>45775</v>
      </c>
      <c r="Q318" s="89">
        <f t="shared" si="10"/>
        <v>1.0000655422529057</v>
      </c>
      <c r="R318" s="101"/>
      <c r="S318" s="56"/>
    </row>
    <row r="319" spans="1:19" ht="28.8" x14ac:dyDescent="0.3">
      <c r="A319" s="96">
        <v>317</v>
      </c>
      <c r="B319" s="135">
        <v>1550</v>
      </c>
      <c r="C319" s="136">
        <v>45772</v>
      </c>
      <c r="D319" s="110" t="s">
        <v>2153</v>
      </c>
      <c r="E319" s="144" t="s">
        <v>1</v>
      </c>
      <c r="F319" s="145" t="s">
        <v>4</v>
      </c>
      <c r="G319" s="183">
        <v>45772</v>
      </c>
      <c r="H319" s="146"/>
      <c r="I319" s="100" t="s">
        <v>125</v>
      </c>
      <c r="J319" s="27"/>
      <c r="K319" s="28"/>
      <c r="L319" s="51"/>
      <c r="M319" s="29"/>
      <c r="N319" s="30"/>
      <c r="O319" s="54"/>
      <c r="P319" s="83">
        <v>45775</v>
      </c>
      <c r="Q319" s="89">
        <f t="shared" si="10"/>
        <v>1.0000655422529057</v>
      </c>
      <c r="R319" s="101"/>
      <c r="S319" s="56"/>
    </row>
    <row r="320" spans="1:19" ht="57.6" x14ac:dyDescent="0.3">
      <c r="A320" s="96">
        <v>318</v>
      </c>
      <c r="B320" s="135">
        <v>1550</v>
      </c>
      <c r="C320" s="136">
        <v>45772</v>
      </c>
      <c r="D320" s="342" t="s">
        <v>2154</v>
      </c>
      <c r="E320" s="48" t="s">
        <v>1314</v>
      </c>
      <c r="F320" s="80" t="s">
        <v>4</v>
      </c>
      <c r="G320" s="183">
        <v>45772</v>
      </c>
      <c r="H320" s="5"/>
      <c r="I320" s="100" t="s">
        <v>253</v>
      </c>
      <c r="J320" s="27"/>
      <c r="K320" s="28"/>
      <c r="L320" s="51"/>
      <c r="M320" s="29"/>
      <c r="N320" s="30"/>
      <c r="O320" s="54"/>
      <c r="P320" s="132">
        <v>45775</v>
      </c>
      <c r="Q320" s="89">
        <f t="shared" si="10"/>
        <v>1.0000655422529057</v>
      </c>
      <c r="R320" s="101"/>
      <c r="S320" s="56"/>
    </row>
    <row r="321" spans="1:19" ht="28.8" x14ac:dyDescent="0.3">
      <c r="A321" s="96">
        <v>319</v>
      </c>
      <c r="B321" s="135" t="s">
        <v>1044</v>
      </c>
      <c r="C321" s="136">
        <v>45771</v>
      </c>
      <c r="D321" s="110" t="s">
        <v>2155</v>
      </c>
      <c r="E321" s="48" t="s">
        <v>17</v>
      </c>
      <c r="F321" s="145" t="s">
        <v>4</v>
      </c>
      <c r="G321" s="183">
        <v>45771</v>
      </c>
      <c r="H321" s="5">
        <v>10000285345</v>
      </c>
      <c r="I321" s="37" t="s">
        <v>82</v>
      </c>
      <c r="J321" s="27"/>
      <c r="K321" s="28"/>
      <c r="L321" s="51"/>
      <c r="M321" s="29"/>
      <c r="N321" s="30"/>
      <c r="O321" s="54"/>
      <c r="P321" s="83">
        <v>45775</v>
      </c>
      <c r="Q321" s="89">
        <f t="shared" si="10"/>
        <v>1.0000873915798212</v>
      </c>
      <c r="R321" s="101"/>
      <c r="S321" s="56" t="s">
        <v>1756</v>
      </c>
    </row>
    <row r="322" spans="1:19" ht="28.8" x14ac:dyDescent="0.3">
      <c r="A322" s="96">
        <v>320</v>
      </c>
      <c r="B322" s="135" t="s">
        <v>1044</v>
      </c>
      <c r="C322" s="136">
        <v>45771</v>
      </c>
      <c r="D322" s="110" t="s">
        <v>2156</v>
      </c>
      <c r="E322" s="48" t="s">
        <v>17</v>
      </c>
      <c r="F322" s="145" t="s">
        <v>4</v>
      </c>
      <c r="G322" s="183">
        <v>45771</v>
      </c>
      <c r="H322" s="5"/>
      <c r="I322" s="37" t="s">
        <v>82</v>
      </c>
      <c r="J322" s="27"/>
      <c r="K322" s="28"/>
      <c r="L322" s="51"/>
      <c r="M322" s="29"/>
      <c r="N322" s="30"/>
      <c r="O322" s="54"/>
      <c r="P322" s="83">
        <v>45775</v>
      </c>
      <c r="Q322" s="89">
        <f t="shared" si="10"/>
        <v>1.0000873915798212</v>
      </c>
      <c r="R322" s="101"/>
      <c r="S322" s="56"/>
    </row>
    <row r="323" spans="1:19" ht="43.2" x14ac:dyDescent="0.3">
      <c r="A323" s="96">
        <v>321</v>
      </c>
      <c r="B323" s="135" t="s">
        <v>1044</v>
      </c>
      <c r="C323" s="136">
        <v>45772</v>
      </c>
      <c r="D323" s="360" t="s">
        <v>2157</v>
      </c>
      <c r="E323" s="48" t="s">
        <v>23</v>
      </c>
      <c r="F323" s="80" t="s">
        <v>4</v>
      </c>
      <c r="G323" s="183">
        <v>45772</v>
      </c>
      <c r="H323" s="5"/>
      <c r="I323" s="100" t="s">
        <v>135</v>
      </c>
      <c r="J323" s="27"/>
      <c r="K323" s="28"/>
      <c r="L323" s="51"/>
      <c r="M323" s="29"/>
      <c r="N323" s="30"/>
      <c r="O323" s="54"/>
      <c r="P323" s="83">
        <v>45775</v>
      </c>
      <c r="Q323" s="89">
        <f t="shared" si="10"/>
        <v>1.0000655422529057</v>
      </c>
      <c r="R323" s="101"/>
      <c r="S323" s="56"/>
    </row>
    <row r="324" spans="1:19" ht="43.2" x14ac:dyDescent="0.3">
      <c r="A324" s="96">
        <v>322</v>
      </c>
      <c r="B324" s="135">
        <v>1550</v>
      </c>
      <c r="C324" s="136">
        <v>45772</v>
      </c>
      <c r="D324" s="262" t="s">
        <v>2158</v>
      </c>
      <c r="E324" s="48" t="s">
        <v>3</v>
      </c>
      <c r="F324" s="145" t="s">
        <v>10</v>
      </c>
      <c r="G324" s="183">
        <v>45772</v>
      </c>
      <c r="H324" s="5"/>
      <c r="I324" s="37" t="s">
        <v>82</v>
      </c>
      <c r="J324" s="27"/>
      <c r="K324" s="28"/>
      <c r="L324" s="51"/>
      <c r="M324" s="29"/>
      <c r="N324" s="30"/>
      <c r="O324" s="54"/>
      <c r="P324" s="83">
        <v>45775</v>
      </c>
      <c r="Q324" s="89">
        <f t="shared" si="10"/>
        <v>1.0000655422529057</v>
      </c>
      <c r="R324" s="101" t="s">
        <v>216</v>
      </c>
      <c r="S324" s="56"/>
    </row>
    <row r="325" spans="1:19" ht="57.6" x14ac:dyDescent="0.3">
      <c r="A325" s="96">
        <v>323</v>
      </c>
      <c r="B325" s="135">
        <v>1550</v>
      </c>
      <c r="C325" s="136">
        <v>45772</v>
      </c>
      <c r="D325" s="284" t="s">
        <v>2159</v>
      </c>
      <c r="E325" s="111" t="s">
        <v>1314</v>
      </c>
      <c r="F325" s="145" t="s">
        <v>10</v>
      </c>
      <c r="G325" s="183">
        <v>45772</v>
      </c>
      <c r="H325" s="137"/>
      <c r="I325" s="100" t="s">
        <v>253</v>
      </c>
      <c r="J325" s="27"/>
      <c r="K325" s="28"/>
      <c r="L325" s="51"/>
      <c r="M325" s="29"/>
      <c r="N325" s="30"/>
      <c r="O325" s="54"/>
      <c r="P325" s="83">
        <v>45775</v>
      </c>
      <c r="Q325" s="89">
        <f t="shared" si="10"/>
        <v>1.0000655422529057</v>
      </c>
      <c r="R325" s="101" t="s">
        <v>1769</v>
      </c>
      <c r="S325" s="56"/>
    </row>
    <row r="326" spans="1:19" ht="57.6" x14ac:dyDescent="0.3">
      <c r="A326" s="96">
        <v>324</v>
      </c>
      <c r="B326" s="135">
        <v>1550</v>
      </c>
      <c r="C326" s="251">
        <v>45772</v>
      </c>
      <c r="D326" s="60" t="s">
        <v>2160</v>
      </c>
      <c r="E326" s="48" t="s">
        <v>1314</v>
      </c>
      <c r="F326" s="145" t="s">
        <v>10</v>
      </c>
      <c r="G326" s="183">
        <v>45772</v>
      </c>
      <c r="H326" s="5"/>
      <c r="I326" s="100" t="s">
        <v>253</v>
      </c>
      <c r="J326" s="128"/>
      <c r="K326" s="128"/>
      <c r="L326" s="129"/>
      <c r="M326" s="130"/>
      <c r="N326" s="130"/>
      <c r="O326" s="131"/>
      <c r="P326" s="83">
        <v>45775</v>
      </c>
      <c r="Q326" s="89">
        <f t="shared" si="10"/>
        <v>1.0000655422529057</v>
      </c>
      <c r="R326" s="101" t="s">
        <v>214</v>
      </c>
      <c r="S326" s="56"/>
    </row>
    <row r="327" spans="1:19" ht="28.8" x14ac:dyDescent="0.3">
      <c r="A327" s="96">
        <v>325</v>
      </c>
      <c r="B327" s="135">
        <v>1550</v>
      </c>
      <c r="C327" s="251">
        <v>45772</v>
      </c>
      <c r="D327" s="362" t="s">
        <v>2161</v>
      </c>
      <c r="E327" s="144" t="s">
        <v>23</v>
      </c>
      <c r="F327" s="145" t="s">
        <v>10</v>
      </c>
      <c r="G327" s="183">
        <v>45772</v>
      </c>
      <c r="H327" s="146"/>
      <c r="I327" s="100" t="s">
        <v>135</v>
      </c>
      <c r="J327" s="27"/>
      <c r="K327" s="28"/>
      <c r="L327" s="51"/>
      <c r="M327" s="29"/>
      <c r="N327" s="30"/>
      <c r="O327" s="54"/>
      <c r="P327" s="90">
        <v>45775</v>
      </c>
      <c r="Q327" s="89">
        <f t="shared" si="10"/>
        <v>1.0000655422529057</v>
      </c>
      <c r="R327" s="101" t="s">
        <v>214</v>
      </c>
      <c r="S327" s="56"/>
    </row>
    <row r="328" spans="1:19" ht="28.8" x14ac:dyDescent="0.3">
      <c r="A328" s="96">
        <v>326</v>
      </c>
      <c r="B328" s="135" t="s">
        <v>1044</v>
      </c>
      <c r="C328" s="251">
        <v>45775</v>
      </c>
      <c r="D328" s="291" t="s">
        <v>2162</v>
      </c>
      <c r="E328" s="48" t="s">
        <v>1</v>
      </c>
      <c r="F328" s="80" t="s">
        <v>4</v>
      </c>
      <c r="G328" s="183">
        <v>45775</v>
      </c>
      <c r="H328" s="5"/>
      <c r="I328" s="100" t="s">
        <v>125</v>
      </c>
      <c r="J328" s="27"/>
      <c r="K328" s="28"/>
      <c r="L328" s="51"/>
      <c r="M328" s="29"/>
      <c r="N328" s="30"/>
      <c r="O328" s="54"/>
      <c r="P328" s="83">
        <v>45775</v>
      </c>
      <c r="Q328" s="718">
        <f t="shared" si="10"/>
        <v>1</v>
      </c>
      <c r="R328" s="101"/>
      <c r="S328" s="56"/>
    </row>
    <row r="329" spans="1:19" ht="28.8" x14ac:dyDescent="0.3">
      <c r="A329" s="96">
        <v>327</v>
      </c>
      <c r="B329" s="135">
        <v>1550</v>
      </c>
      <c r="C329" s="251">
        <v>45775</v>
      </c>
      <c r="D329" s="291" t="s">
        <v>2163</v>
      </c>
      <c r="E329" s="48" t="s">
        <v>7</v>
      </c>
      <c r="F329" s="80" t="s">
        <v>4</v>
      </c>
      <c r="G329" s="183">
        <v>45775</v>
      </c>
      <c r="H329" s="5"/>
      <c r="I329" s="100" t="s">
        <v>125</v>
      </c>
      <c r="J329" s="27"/>
      <c r="K329" s="28"/>
      <c r="L329" s="51"/>
      <c r="M329" s="29"/>
      <c r="N329" s="30"/>
      <c r="O329" s="54"/>
      <c r="P329" s="90">
        <v>45775</v>
      </c>
      <c r="Q329" s="89">
        <f t="shared" si="10"/>
        <v>1</v>
      </c>
      <c r="R329" s="101"/>
      <c r="S329" s="56"/>
    </row>
    <row r="330" spans="1:19" ht="28.8" x14ac:dyDescent="0.3">
      <c r="A330" s="96">
        <v>328</v>
      </c>
      <c r="B330" s="123">
        <v>1550</v>
      </c>
      <c r="C330" s="252">
        <v>45771</v>
      </c>
      <c r="D330" s="109" t="s">
        <v>2164</v>
      </c>
      <c r="E330" s="48" t="s">
        <v>1</v>
      </c>
      <c r="F330" s="80" t="s">
        <v>8</v>
      </c>
      <c r="G330" s="183">
        <v>45771</v>
      </c>
      <c r="H330" s="5"/>
      <c r="I330" s="100" t="s">
        <v>253</v>
      </c>
      <c r="J330" s="128"/>
      <c r="K330" s="128"/>
      <c r="L330" s="129"/>
      <c r="M330" s="130"/>
      <c r="N330" s="130"/>
      <c r="O330" s="131"/>
      <c r="P330" s="90">
        <v>45776</v>
      </c>
      <c r="Q330" s="89">
        <f t="shared" si="10"/>
        <v>1.0001092394747766</v>
      </c>
      <c r="R330" s="101" t="s">
        <v>205</v>
      </c>
      <c r="S330" s="168"/>
    </row>
    <row r="331" spans="1:19" ht="28.8" x14ac:dyDescent="0.3">
      <c r="A331" s="96">
        <v>329</v>
      </c>
      <c r="B331" s="123">
        <v>1550</v>
      </c>
      <c r="C331" s="252">
        <v>45771</v>
      </c>
      <c r="D331" s="188" t="s">
        <v>2165</v>
      </c>
      <c r="E331" s="48" t="s">
        <v>1</v>
      </c>
      <c r="F331" s="80" t="s">
        <v>8</v>
      </c>
      <c r="G331" s="183">
        <v>45771</v>
      </c>
      <c r="H331" s="5"/>
      <c r="I331" s="100" t="s">
        <v>125</v>
      </c>
      <c r="J331" s="128"/>
      <c r="K331" s="128"/>
      <c r="L331" s="129"/>
      <c r="M331" s="130"/>
      <c r="N331" s="130"/>
      <c r="O331" s="131"/>
      <c r="P331" s="83">
        <v>45776</v>
      </c>
      <c r="Q331" s="89">
        <f t="shared" si="10"/>
        <v>1.0001092394747766</v>
      </c>
      <c r="R331" s="101" t="s">
        <v>151</v>
      </c>
      <c r="S331" s="168"/>
    </row>
    <row r="332" spans="1:19" ht="28.8" x14ac:dyDescent="0.3">
      <c r="A332" s="96">
        <v>330</v>
      </c>
      <c r="B332" s="135" t="s">
        <v>1044</v>
      </c>
      <c r="C332" s="251">
        <v>45774</v>
      </c>
      <c r="D332" s="109" t="s">
        <v>2166</v>
      </c>
      <c r="E332" s="144" t="s">
        <v>1</v>
      </c>
      <c r="F332" s="145" t="s">
        <v>4</v>
      </c>
      <c r="G332" s="183">
        <v>45774</v>
      </c>
      <c r="H332" s="146"/>
      <c r="I332" s="100" t="s">
        <v>125</v>
      </c>
      <c r="J332" s="27"/>
      <c r="K332" s="28"/>
      <c r="L332" s="51"/>
      <c r="M332" s="29"/>
      <c r="N332" s="30"/>
      <c r="O332" s="54"/>
      <c r="P332" s="132">
        <v>45776</v>
      </c>
      <c r="Q332" s="89">
        <f t="shared" si="10"/>
        <v>1.0000436929261152</v>
      </c>
      <c r="R332" s="101"/>
      <c r="S332" s="56"/>
    </row>
    <row r="333" spans="1:19" ht="28.8" x14ac:dyDescent="0.3">
      <c r="A333" s="96">
        <v>331</v>
      </c>
      <c r="B333" s="123">
        <v>1550</v>
      </c>
      <c r="C333" s="252">
        <v>45769</v>
      </c>
      <c r="D333" s="98" t="s">
        <v>2167</v>
      </c>
      <c r="E333" s="48" t="s">
        <v>32</v>
      </c>
      <c r="F333" s="80" t="s">
        <v>4</v>
      </c>
      <c r="G333" s="183">
        <v>45769</v>
      </c>
      <c r="H333" s="5"/>
      <c r="I333" s="102" t="s">
        <v>106</v>
      </c>
      <c r="J333" s="128"/>
      <c r="K333" s="128"/>
      <c r="L333" s="129"/>
      <c r="M333" s="130"/>
      <c r="N333" s="130"/>
      <c r="O333" s="131"/>
      <c r="P333" s="83">
        <v>45776</v>
      </c>
      <c r="Q333" s="89">
        <f t="shared" si="10"/>
        <v>1.0001529419476065</v>
      </c>
      <c r="R333" s="101"/>
      <c r="S333" s="168"/>
    </row>
    <row r="334" spans="1:19" ht="57.6" x14ac:dyDescent="0.3">
      <c r="A334" s="96">
        <v>332</v>
      </c>
      <c r="B334" s="123">
        <v>1550</v>
      </c>
      <c r="C334" s="252">
        <v>45771</v>
      </c>
      <c r="D334" s="188" t="s">
        <v>2168</v>
      </c>
      <c r="E334" s="111" t="s">
        <v>39</v>
      </c>
      <c r="F334" s="80" t="s">
        <v>4</v>
      </c>
      <c r="G334" s="183">
        <v>45771</v>
      </c>
      <c r="H334" s="137">
        <v>10000284570</v>
      </c>
      <c r="I334" s="107" t="s">
        <v>135</v>
      </c>
      <c r="J334" s="128"/>
      <c r="K334" s="128"/>
      <c r="L334" s="129"/>
      <c r="M334" s="130"/>
      <c r="N334" s="130"/>
      <c r="O334" s="131"/>
      <c r="P334" s="83">
        <v>45776</v>
      </c>
      <c r="Q334" s="89">
        <f t="shared" si="10"/>
        <v>1.0001092394747766</v>
      </c>
      <c r="R334" s="101"/>
      <c r="S334" s="168"/>
    </row>
    <row r="335" spans="1:19" x14ac:dyDescent="0.3">
      <c r="A335" s="96">
        <v>333</v>
      </c>
      <c r="B335" s="135">
        <v>1550</v>
      </c>
      <c r="C335" s="251">
        <v>45775</v>
      </c>
      <c r="D335" s="292" t="s">
        <v>2169</v>
      </c>
      <c r="E335" s="48" t="s">
        <v>3</v>
      </c>
      <c r="F335" s="80" t="s">
        <v>4</v>
      </c>
      <c r="G335" s="183">
        <v>45775</v>
      </c>
      <c r="H335" s="5"/>
      <c r="I335" s="100" t="s">
        <v>129</v>
      </c>
      <c r="J335" s="27"/>
      <c r="K335" s="28"/>
      <c r="L335" s="51"/>
      <c r="M335" s="29"/>
      <c r="N335" s="30"/>
      <c r="O335" s="54"/>
      <c r="P335" s="83">
        <v>45776</v>
      </c>
      <c r="Q335" s="89">
        <f t="shared" si="10"/>
        <v>1.0000218459858001</v>
      </c>
      <c r="R335" s="101"/>
      <c r="S335" s="56"/>
    </row>
    <row r="336" spans="1:19" ht="57.6" x14ac:dyDescent="0.3">
      <c r="A336" s="96">
        <v>334</v>
      </c>
      <c r="B336" s="135">
        <v>1550</v>
      </c>
      <c r="C336" s="251">
        <v>45775</v>
      </c>
      <c r="D336" s="109" t="s">
        <v>2170</v>
      </c>
      <c r="E336" s="144" t="s">
        <v>1314</v>
      </c>
      <c r="F336" s="145" t="s">
        <v>8</v>
      </c>
      <c r="G336" s="183">
        <v>45775</v>
      </c>
      <c r="H336" s="146"/>
      <c r="I336" s="100" t="s">
        <v>253</v>
      </c>
      <c r="J336" s="27"/>
      <c r="K336" s="28"/>
      <c r="L336" s="51"/>
      <c r="M336" s="29"/>
      <c r="N336" s="30"/>
      <c r="O336" s="54"/>
      <c r="P336" s="83">
        <v>45776</v>
      </c>
      <c r="Q336" s="89">
        <f t="shared" si="10"/>
        <v>1.0000218459858001</v>
      </c>
      <c r="R336" s="101" t="s">
        <v>1916</v>
      </c>
      <c r="S336" s="56"/>
    </row>
    <row r="337" spans="1:19" ht="57.6" x14ac:dyDescent="0.3">
      <c r="A337" s="96">
        <v>335</v>
      </c>
      <c r="B337" s="135">
        <v>1550</v>
      </c>
      <c r="C337" s="251">
        <v>45775</v>
      </c>
      <c r="D337" s="109" t="s">
        <v>2171</v>
      </c>
      <c r="E337" s="48" t="s">
        <v>1314</v>
      </c>
      <c r="F337" s="145" t="s">
        <v>8</v>
      </c>
      <c r="G337" s="183">
        <v>45775</v>
      </c>
      <c r="H337" s="105"/>
      <c r="I337" s="100" t="s">
        <v>253</v>
      </c>
      <c r="J337" s="27"/>
      <c r="K337" s="28"/>
      <c r="L337" s="51"/>
      <c r="M337" s="29"/>
      <c r="N337" s="30"/>
      <c r="O337" s="54"/>
      <c r="P337" s="83">
        <v>45776</v>
      </c>
      <c r="Q337" s="89">
        <f t="shared" si="10"/>
        <v>1.0000218459858001</v>
      </c>
      <c r="R337" s="101" t="s">
        <v>151</v>
      </c>
      <c r="S337" s="56"/>
    </row>
    <row r="338" spans="1:19" ht="57.6" x14ac:dyDescent="0.3">
      <c r="A338" s="96">
        <v>336</v>
      </c>
      <c r="B338" s="135">
        <v>1550</v>
      </c>
      <c r="C338" s="251">
        <v>45775</v>
      </c>
      <c r="D338" s="109" t="s">
        <v>2172</v>
      </c>
      <c r="E338" s="48" t="s">
        <v>1314</v>
      </c>
      <c r="F338" s="145" t="s">
        <v>8</v>
      </c>
      <c r="G338" s="183">
        <v>45775</v>
      </c>
      <c r="H338" s="5"/>
      <c r="I338" s="100" t="s">
        <v>253</v>
      </c>
      <c r="J338" s="27"/>
      <c r="K338" s="28"/>
      <c r="L338" s="51"/>
      <c r="M338" s="29"/>
      <c r="N338" s="30"/>
      <c r="O338" s="54"/>
      <c r="P338" s="83">
        <v>45776</v>
      </c>
      <c r="Q338" s="89">
        <f t="shared" si="10"/>
        <v>1.0000218459858001</v>
      </c>
      <c r="R338" s="101" t="s">
        <v>151</v>
      </c>
      <c r="S338" s="56"/>
    </row>
    <row r="339" spans="1:19" ht="57.6" x14ac:dyDescent="0.3">
      <c r="A339" s="96">
        <v>337</v>
      </c>
      <c r="B339" s="135">
        <v>1550</v>
      </c>
      <c r="C339" s="251">
        <v>45775</v>
      </c>
      <c r="D339" s="705" t="s">
        <v>2173</v>
      </c>
      <c r="E339" s="48" t="s">
        <v>1314</v>
      </c>
      <c r="F339" s="145" t="s">
        <v>10</v>
      </c>
      <c r="G339" s="183">
        <v>45775</v>
      </c>
      <c r="H339" s="5"/>
      <c r="I339" s="100" t="s">
        <v>253</v>
      </c>
      <c r="J339" s="27"/>
      <c r="K339" s="28"/>
      <c r="L339" s="51"/>
      <c r="M339" s="29"/>
      <c r="N339" s="30"/>
      <c r="O339" s="54"/>
      <c r="P339" s="83">
        <v>45776</v>
      </c>
      <c r="Q339" s="89">
        <f t="shared" ref="Q339:Q370" si="11">P339/G339</f>
        <v>1.0000218459858001</v>
      </c>
      <c r="R339" s="101" t="s">
        <v>1319</v>
      </c>
      <c r="S339" s="56"/>
    </row>
    <row r="340" spans="1:19" ht="57.6" x14ac:dyDescent="0.3">
      <c r="A340" s="96">
        <v>338</v>
      </c>
      <c r="B340" s="135">
        <v>1550</v>
      </c>
      <c r="C340" s="251">
        <v>45775</v>
      </c>
      <c r="D340" s="254" t="s">
        <v>2174</v>
      </c>
      <c r="E340" s="179" t="s">
        <v>1314</v>
      </c>
      <c r="F340" s="127" t="s">
        <v>10</v>
      </c>
      <c r="G340" s="183">
        <v>45775</v>
      </c>
      <c r="H340" s="137"/>
      <c r="I340" s="100" t="s">
        <v>253</v>
      </c>
      <c r="J340" s="27"/>
      <c r="K340" s="28"/>
      <c r="L340" s="51"/>
      <c r="M340" s="29"/>
      <c r="N340" s="30"/>
      <c r="O340" s="54"/>
      <c r="P340" s="83">
        <v>45776</v>
      </c>
      <c r="Q340" s="89">
        <f t="shared" si="11"/>
        <v>1.0000218459858001</v>
      </c>
      <c r="R340" s="101" t="s">
        <v>1319</v>
      </c>
      <c r="S340" s="56"/>
    </row>
    <row r="341" spans="1:19" ht="57.6" x14ac:dyDescent="0.3">
      <c r="A341" s="96">
        <v>339</v>
      </c>
      <c r="B341" s="135">
        <v>1550</v>
      </c>
      <c r="C341" s="251">
        <v>45775</v>
      </c>
      <c r="D341" s="263" t="s">
        <v>2175</v>
      </c>
      <c r="E341" s="111" t="s">
        <v>1314</v>
      </c>
      <c r="F341" s="145" t="s">
        <v>10</v>
      </c>
      <c r="G341" s="183">
        <v>45775</v>
      </c>
      <c r="H341" s="137"/>
      <c r="I341" s="100" t="s">
        <v>253</v>
      </c>
      <c r="J341" s="27"/>
      <c r="K341" s="28"/>
      <c r="L341" s="51"/>
      <c r="M341" s="29"/>
      <c r="N341" s="30"/>
      <c r="O341" s="54"/>
      <c r="P341" s="83">
        <v>45776</v>
      </c>
      <c r="Q341" s="89">
        <f t="shared" si="11"/>
        <v>1.0000218459858001</v>
      </c>
      <c r="R341" s="101" t="s">
        <v>1319</v>
      </c>
      <c r="S341" s="56"/>
    </row>
    <row r="342" spans="1:19" ht="57.6" x14ac:dyDescent="0.3">
      <c r="A342" s="96">
        <v>340</v>
      </c>
      <c r="B342" s="135">
        <v>1550</v>
      </c>
      <c r="C342" s="251">
        <v>45775</v>
      </c>
      <c r="D342" s="264" t="s">
        <v>2176</v>
      </c>
      <c r="E342" s="111" t="s">
        <v>1314</v>
      </c>
      <c r="F342" s="145" t="s">
        <v>10</v>
      </c>
      <c r="G342" s="183">
        <v>45775</v>
      </c>
      <c r="H342" s="137"/>
      <c r="I342" s="100" t="s">
        <v>253</v>
      </c>
      <c r="J342" s="27"/>
      <c r="K342" s="28"/>
      <c r="L342" s="51"/>
      <c r="M342" s="29"/>
      <c r="N342" s="30"/>
      <c r="O342" s="54"/>
      <c r="P342" s="83">
        <v>45776</v>
      </c>
      <c r="Q342" s="89">
        <f t="shared" si="11"/>
        <v>1.0000218459858001</v>
      </c>
      <c r="R342" s="101" t="s">
        <v>1319</v>
      </c>
      <c r="S342" s="56"/>
    </row>
    <row r="343" spans="1:19" ht="57.6" x14ac:dyDescent="0.3">
      <c r="A343" s="96">
        <v>341</v>
      </c>
      <c r="B343" s="135">
        <v>1550</v>
      </c>
      <c r="C343" s="251">
        <v>45775</v>
      </c>
      <c r="D343" s="264" t="s">
        <v>2177</v>
      </c>
      <c r="E343" s="48" t="s">
        <v>1314</v>
      </c>
      <c r="F343" s="145" t="s">
        <v>10</v>
      </c>
      <c r="G343" s="183">
        <v>45775</v>
      </c>
      <c r="H343" s="137"/>
      <c r="I343" s="100" t="s">
        <v>253</v>
      </c>
      <c r="J343" s="27"/>
      <c r="K343" s="28"/>
      <c r="L343" s="51"/>
      <c r="M343" s="29"/>
      <c r="N343" s="30"/>
      <c r="O343" s="54"/>
      <c r="P343" s="83">
        <v>45776</v>
      </c>
      <c r="Q343" s="89">
        <f t="shared" si="11"/>
        <v>1.0000218459858001</v>
      </c>
      <c r="R343" s="101" t="s">
        <v>323</v>
      </c>
      <c r="S343" s="56"/>
    </row>
    <row r="344" spans="1:19" ht="57.6" x14ac:dyDescent="0.3">
      <c r="A344" s="96">
        <v>342</v>
      </c>
      <c r="B344" s="135">
        <v>1550</v>
      </c>
      <c r="C344" s="251">
        <v>45775</v>
      </c>
      <c r="D344" s="264" t="s">
        <v>2178</v>
      </c>
      <c r="E344" s="48" t="s">
        <v>1314</v>
      </c>
      <c r="F344" s="145" t="s">
        <v>10</v>
      </c>
      <c r="G344" s="183">
        <v>45775</v>
      </c>
      <c r="H344" s="5"/>
      <c r="I344" s="100" t="s">
        <v>253</v>
      </c>
      <c r="J344" s="27"/>
      <c r="K344" s="28"/>
      <c r="L344" s="51"/>
      <c r="M344" s="29"/>
      <c r="N344" s="30"/>
      <c r="O344" s="54"/>
      <c r="P344" s="83">
        <v>45776</v>
      </c>
      <c r="Q344" s="89">
        <f t="shared" si="11"/>
        <v>1.0000218459858001</v>
      </c>
      <c r="R344" s="101" t="s">
        <v>214</v>
      </c>
      <c r="S344" s="168"/>
    </row>
    <row r="345" spans="1:19" ht="57.6" x14ac:dyDescent="0.3">
      <c r="A345" s="96">
        <v>343</v>
      </c>
      <c r="B345" s="135">
        <v>1550</v>
      </c>
      <c r="C345" s="251">
        <v>45775</v>
      </c>
      <c r="D345" s="264" t="s">
        <v>2179</v>
      </c>
      <c r="E345" s="111" t="s">
        <v>1314</v>
      </c>
      <c r="F345" s="145" t="s">
        <v>10</v>
      </c>
      <c r="G345" s="183">
        <v>45775</v>
      </c>
      <c r="H345" s="137"/>
      <c r="I345" s="100" t="s">
        <v>253</v>
      </c>
      <c r="J345" s="27"/>
      <c r="K345" s="28"/>
      <c r="L345" s="51"/>
      <c r="M345" s="29"/>
      <c r="N345" s="30"/>
      <c r="O345" s="54"/>
      <c r="P345" s="83">
        <v>45776</v>
      </c>
      <c r="Q345" s="89">
        <f t="shared" si="11"/>
        <v>1.0000218459858001</v>
      </c>
      <c r="R345" s="101" t="s">
        <v>216</v>
      </c>
      <c r="S345" s="101"/>
    </row>
    <row r="346" spans="1:19" ht="57.6" x14ac:dyDescent="0.3">
      <c r="A346" s="96">
        <v>344</v>
      </c>
      <c r="B346" s="135">
        <v>1550</v>
      </c>
      <c r="C346" s="251">
        <v>45775</v>
      </c>
      <c r="D346" s="264" t="s">
        <v>2180</v>
      </c>
      <c r="E346" s="48" t="s">
        <v>1314</v>
      </c>
      <c r="F346" s="145" t="s">
        <v>10</v>
      </c>
      <c r="G346" s="183">
        <v>45775</v>
      </c>
      <c r="H346" s="137"/>
      <c r="I346" s="100" t="s">
        <v>253</v>
      </c>
      <c r="J346" s="27"/>
      <c r="K346" s="28"/>
      <c r="L346" s="51"/>
      <c r="M346" s="29"/>
      <c r="N346" s="30"/>
      <c r="O346" s="54"/>
      <c r="P346" s="83">
        <v>45776</v>
      </c>
      <c r="Q346" s="89">
        <f t="shared" si="11"/>
        <v>1.0000218459858001</v>
      </c>
      <c r="R346" s="101" t="s">
        <v>216</v>
      </c>
      <c r="S346" s="168"/>
    </row>
    <row r="347" spans="1:19" ht="57.6" x14ac:dyDescent="0.3">
      <c r="A347" s="96">
        <v>345</v>
      </c>
      <c r="B347" s="135">
        <v>1550</v>
      </c>
      <c r="C347" s="251">
        <v>45775</v>
      </c>
      <c r="D347" s="264" t="s">
        <v>2181</v>
      </c>
      <c r="E347" s="48" t="s">
        <v>1314</v>
      </c>
      <c r="F347" s="145" t="s">
        <v>10</v>
      </c>
      <c r="G347" s="183">
        <v>45775</v>
      </c>
      <c r="H347" s="5"/>
      <c r="I347" s="100" t="s">
        <v>253</v>
      </c>
      <c r="J347" s="27"/>
      <c r="K347" s="28"/>
      <c r="L347" s="51"/>
      <c r="M347" s="29"/>
      <c r="N347" s="30"/>
      <c r="O347" s="54"/>
      <c r="P347" s="83">
        <v>45776</v>
      </c>
      <c r="Q347" s="89">
        <f t="shared" si="11"/>
        <v>1.0000218459858001</v>
      </c>
      <c r="R347" s="101" t="s">
        <v>216</v>
      </c>
      <c r="S347" s="56"/>
    </row>
    <row r="348" spans="1:19" ht="57.6" x14ac:dyDescent="0.3">
      <c r="A348" s="96">
        <v>346</v>
      </c>
      <c r="B348" s="135">
        <v>1550</v>
      </c>
      <c r="C348" s="251">
        <v>45775</v>
      </c>
      <c r="D348" s="264" t="s">
        <v>2182</v>
      </c>
      <c r="E348" s="48" t="s">
        <v>1314</v>
      </c>
      <c r="F348" s="145" t="s">
        <v>10</v>
      </c>
      <c r="G348" s="183">
        <v>45775</v>
      </c>
      <c r="H348" s="5"/>
      <c r="I348" s="100" t="s">
        <v>253</v>
      </c>
      <c r="J348" s="27"/>
      <c r="K348" s="28"/>
      <c r="L348" s="51"/>
      <c r="M348" s="29"/>
      <c r="N348" s="30"/>
      <c r="O348" s="54"/>
      <c r="P348" s="83">
        <v>45776</v>
      </c>
      <c r="Q348" s="89">
        <f t="shared" si="11"/>
        <v>1.0000218459858001</v>
      </c>
      <c r="R348" s="101" t="s">
        <v>2111</v>
      </c>
      <c r="S348" s="56"/>
    </row>
    <row r="349" spans="1:19" ht="86.4" x14ac:dyDescent="0.3">
      <c r="A349" s="96">
        <v>347</v>
      </c>
      <c r="B349" s="135">
        <v>1550</v>
      </c>
      <c r="C349" s="251">
        <v>45775</v>
      </c>
      <c r="D349" s="264" t="s">
        <v>2183</v>
      </c>
      <c r="E349" s="48" t="s">
        <v>3</v>
      </c>
      <c r="F349" s="145" t="s">
        <v>10</v>
      </c>
      <c r="G349" s="183">
        <v>45775</v>
      </c>
      <c r="H349" s="5"/>
      <c r="I349" s="37" t="s">
        <v>82</v>
      </c>
      <c r="J349" s="27"/>
      <c r="K349" s="28"/>
      <c r="L349" s="51"/>
      <c r="M349" s="29"/>
      <c r="N349" s="30"/>
      <c r="O349" s="54"/>
      <c r="P349" s="83">
        <v>45776</v>
      </c>
      <c r="Q349" s="89">
        <f t="shared" si="11"/>
        <v>1.0000218459858001</v>
      </c>
      <c r="R349" s="101" t="s">
        <v>85</v>
      </c>
      <c r="S349" s="56"/>
    </row>
    <row r="350" spans="1:19" ht="172.8" x14ac:dyDescent="0.3">
      <c r="A350" s="96">
        <v>348</v>
      </c>
      <c r="B350" s="135">
        <v>1550</v>
      </c>
      <c r="C350" s="251">
        <v>45775</v>
      </c>
      <c r="D350" s="700" t="s">
        <v>2184</v>
      </c>
      <c r="E350" s="48" t="s">
        <v>1</v>
      </c>
      <c r="F350" s="145" t="s">
        <v>10</v>
      </c>
      <c r="G350" s="183">
        <v>45775</v>
      </c>
      <c r="H350" s="5"/>
      <c r="I350" s="100" t="s">
        <v>361</v>
      </c>
      <c r="J350" s="27"/>
      <c r="K350" s="28"/>
      <c r="L350" s="51"/>
      <c r="M350" s="29"/>
      <c r="N350" s="30"/>
      <c r="O350" s="54"/>
      <c r="P350" s="83">
        <v>45776</v>
      </c>
      <c r="Q350" s="89">
        <f t="shared" si="11"/>
        <v>1.0000218459858001</v>
      </c>
      <c r="R350" s="101" t="s">
        <v>2185</v>
      </c>
      <c r="S350" s="56"/>
    </row>
    <row r="351" spans="1:19" ht="86.4" x14ac:dyDescent="0.3">
      <c r="A351" s="96">
        <v>349</v>
      </c>
      <c r="B351" s="135">
        <v>1550</v>
      </c>
      <c r="C351" s="251">
        <v>45775</v>
      </c>
      <c r="D351" s="254" t="s">
        <v>2186</v>
      </c>
      <c r="E351" s="48" t="s">
        <v>3</v>
      </c>
      <c r="F351" s="145" t="s">
        <v>10</v>
      </c>
      <c r="G351" s="183">
        <v>45775</v>
      </c>
      <c r="H351" s="5"/>
      <c r="I351" s="37" t="s">
        <v>82</v>
      </c>
      <c r="J351" s="27"/>
      <c r="K351" s="28"/>
      <c r="L351" s="51"/>
      <c r="M351" s="29"/>
      <c r="N351" s="30"/>
      <c r="O351" s="54"/>
      <c r="P351" s="83">
        <v>45776</v>
      </c>
      <c r="Q351" s="89">
        <f t="shared" si="11"/>
        <v>1.0000218459858001</v>
      </c>
      <c r="R351" s="101" t="s">
        <v>1769</v>
      </c>
      <c r="S351" s="56"/>
    </row>
    <row r="352" spans="1:19" ht="57.6" x14ac:dyDescent="0.3">
      <c r="A352" s="96">
        <v>350</v>
      </c>
      <c r="B352" s="204">
        <v>1550</v>
      </c>
      <c r="C352" s="442">
        <v>45775</v>
      </c>
      <c r="D352" s="294" t="s">
        <v>2187</v>
      </c>
      <c r="E352" s="280" t="s">
        <v>1314</v>
      </c>
      <c r="F352" s="363" t="s">
        <v>8</v>
      </c>
      <c r="G352" s="418">
        <v>45775</v>
      </c>
      <c r="H352" s="711"/>
      <c r="I352" s="100" t="s">
        <v>253</v>
      </c>
      <c r="J352" s="443"/>
      <c r="K352" s="444"/>
      <c r="L352" s="445"/>
      <c r="M352" s="446"/>
      <c r="N352" s="447"/>
      <c r="O352" s="448"/>
      <c r="P352" s="409">
        <v>45776</v>
      </c>
      <c r="Q352" s="181">
        <f t="shared" si="11"/>
        <v>1.0000218459858001</v>
      </c>
      <c r="R352" s="182" t="s">
        <v>151</v>
      </c>
      <c r="S352" s="720"/>
    </row>
    <row r="353" spans="1:19" ht="57.6" x14ac:dyDescent="0.3">
      <c r="A353" s="96">
        <v>351</v>
      </c>
      <c r="B353" s="135">
        <v>1550</v>
      </c>
      <c r="C353" s="136">
        <v>45775</v>
      </c>
      <c r="D353" s="175" t="s">
        <v>2188</v>
      </c>
      <c r="E353" s="111" t="s">
        <v>1314</v>
      </c>
      <c r="F353" s="125" t="s">
        <v>8</v>
      </c>
      <c r="G353" s="138">
        <v>45775</v>
      </c>
      <c r="H353" s="137"/>
      <c r="I353" s="100" t="s">
        <v>253</v>
      </c>
      <c r="J353" s="431"/>
      <c r="K353" s="432"/>
      <c r="L353" s="432"/>
      <c r="M353" s="433"/>
      <c r="N353" s="434"/>
      <c r="O353" s="434"/>
      <c r="P353" s="136">
        <v>45776</v>
      </c>
      <c r="Q353" s="135">
        <f t="shared" si="11"/>
        <v>1.0000218459858001</v>
      </c>
      <c r="R353" s="111" t="s">
        <v>479</v>
      </c>
      <c r="S353" s="36"/>
    </row>
    <row r="354" spans="1:19" ht="43.2" x14ac:dyDescent="0.3">
      <c r="A354" s="96">
        <v>352</v>
      </c>
      <c r="B354" s="450">
        <v>1550</v>
      </c>
      <c r="C354" s="451">
        <v>45776</v>
      </c>
      <c r="D354" s="40" t="s">
        <v>2189</v>
      </c>
      <c r="E354" s="93" t="s">
        <v>49</v>
      </c>
      <c r="F354" s="79" t="s">
        <v>4</v>
      </c>
      <c r="G354" s="183">
        <v>45776</v>
      </c>
      <c r="H354" s="4"/>
      <c r="I354" s="113" t="s">
        <v>266</v>
      </c>
      <c r="J354" s="27"/>
      <c r="K354" s="28"/>
      <c r="L354" s="51"/>
      <c r="M354" s="29"/>
      <c r="N354" s="30"/>
      <c r="O354" s="54"/>
      <c r="P354" s="83">
        <v>45776</v>
      </c>
      <c r="Q354" s="89">
        <f t="shared" si="11"/>
        <v>1</v>
      </c>
      <c r="R354" s="101"/>
      <c r="S354" s="56"/>
    </row>
    <row r="355" spans="1:19" ht="158.4" x14ac:dyDescent="0.3">
      <c r="A355" s="96">
        <v>353</v>
      </c>
      <c r="B355" s="135">
        <v>1550</v>
      </c>
      <c r="C355" s="136">
        <v>45755</v>
      </c>
      <c r="D355" s="698" t="s">
        <v>2190</v>
      </c>
      <c r="E355" s="48" t="s">
        <v>12</v>
      </c>
      <c r="F355" s="80" t="s">
        <v>10</v>
      </c>
      <c r="G355" s="183">
        <v>45755</v>
      </c>
      <c r="H355" s="5"/>
      <c r="I355" s="100" t="s">
        <v>159</v>
      </c>
      <c r="J355" s="128"/>
      <c r="K355" s="128"/>
      <c r="L355" s="129"/>
      <c r="M355" s="130"/>
      <c r="N355" s="130"/>
      <c r="O355" s="131"/>
      <c r="P355" s="83">
        <v>45777</v>
      </c>
      <c r="Q355" s="89">
        <f t="shared" si="11"/>
        <v>1.0004808217681127</v>
      </c>
      <c r="R355" s="101" t="s">
        <v>1310</v>
      </c>
      <c r="S355" s="201"/>
    </row>
    <row r="356" spans="1:19" ht="28.8" x14ac:dyDescent="0.3">
      <c r="A356" s="96">
        <v>354</v>
      </c>
      <c r="B356" s="123" t="s">
        <v>1044</v>
      </c>
      <c r="C356" s="124">
        <v>45767</v>
      </c>
      <c r="D356" s="149" t="s">
        <v>2191</v>
      </c>
      <c r="E356" s="126" t="s">
        <v>1</v>
      </c>
      <c r="F356" s="127" t="s">
        <v>4</v>
      </c>
      <c r="G356" s="183">
        <v>45767</v>
      </c>
      <c r="H356" s="134"/>
      <c r="I356" s="100" t="s">
        <v>258</v>
      </c>
      <c r="J356" s="27"/>
      <c r="K356" s="50"/>
      <c r="L356" s="51"/>
      <c r="M356" s="29"/>
      <c r="N356" s="52"/>
      <c r="O356" s="54"/>
      <c r="P356" s="83">
        <v>45777</v>
      </c>
      <c r="Q356" s="89">
        <f t="shared" si="11"/>
        <v>1.0002184980444424</v>
      </c>
      <c r="R356" s="101"/>
      <c r="S356" s="56"/>
    </row>
    <row r="357" spans="1:19" ht="28.8" x14ac:dyDescent="0.3">
      <c r="A357" s="96">
        <v>355</v>
      </c>
      <c r="B357" s="135" t="s">
        <v>1826</v>
      </c>
      <c r="C357" s="136">
        <v>45776</v>
      </c>
      <c r="D357" s="352" t="s">
        <v>2192</v>
      </c>
      <c r="E357" s="111" t="s">
        <v>1</v>
      </c>
      <c r="F357" s="125" t="s">
        <v>4</v>
      </c>
      <c r="G357" s="183">
        <v>45776</v>
      </c>
      <c r="H357" s="137"/>
      <c r="I357" s="102" t="s">
        <v>174</v>
      </c>
      <c r="J357" s="27"/>
      <c r="K357" s="28"/>
      <c r="L357" s="51"/>
      <c r="M357" s="29"/>
      <c r="N357" s="30"/>
      <c r="O357" s="54"/>
      <c r="P357" s="83">
        <v>45777</v>
      </c>
      <c r="Q357" s="89">
        <f t="shared" si="11"/>
        <v>1.0000218455085634</v>
      </c>
      <c r="R357" s="101"/>
      <c r="S357" s="56"/>
    </row>
    <row r="358" spans="1:19" ht="57.6" x14ac:dyDescent="0.3">
      <c r="A358" s="96">
        <v>356</v>
      </c>
      <c r="B358" s="135">
        <v>1550</v>
      </c>
      <c r="C358" s="251">
        <v>45776</v>
      </c>
      <c r="D358" s="288" t="s">
        <v>2193</v>
      </c>
      <c r="E358" s="179" t="s">
        <v>1314</v>
      </c>
      <c r="F358" s="125" t="s">
        <v>4</v>
      </c>
      <c r="G358" s="183">
        <v>45776</v>
      </c>
      <c r="H358" s="137"/>
      <c r="I358" s="100" t="s">
        <v>253</v>
      </c>
      <c r="J358" s="27"/>
      <c r="K358" s="28"/>
      <c r="L358" s="51"/>
      <c r="M358" s="29"/>
      <c r="N358" s="30"/>
      <c r="O358" s="54"/>
      <c r="P358" s="83">
        <v>45777</v>
      </c>
      <c r="Q358" s="89">
        <f t="shared" si="11"/>
        <v>1.0000218455085634</v>
      </c>
      <c r="R358" s="101"/>
      <c r="S358" s="56"/>
    </row>
    <row r="359" spans="1:19" ht="57.6" x14ac:dyDescent="0.3">
      <c r="A359" s="96">
        <v>357</v>
      </c>
      <c r="B359" s="135">
        <v>1550</v>
      </c>
      <c r="C359" s="251">
        <v>45776</v>
      </c>
      <c r="D359" s="36" t="s">
        <v>2194</v>
      </c>
      <c r="E359" s="48" t="s">
        <v>1314</v>
      </c>
      <c r="F359" s="80" t="s">
        <v>4</v>
      </c>
      <c r="G359" s="183">
        <v>45776</v>
      </c>
      <c r="H359" s="5"/>
      <c r="I359" s="100" t="s">
        <v>253</v>
      </c>
      <c r="J359" s="27"/>
      <c r="K359" s="28"/>
      <c r="L359" s="51"/>
      <c r="M359" s="29"/>
      <c r="N359" s="30"/>
      <c r="O359" s="54"/>
      <c r="P359" s="83">
        <v>45777</v>
      </c>
      <c r="Q359" s="89">
        <f t="shared" si="11"/>
        <v>1.0000218455085634</v>
      </c>
      <c r="R359" s="101"/>
      <c r="S359" s="56"/>
    </row>
    <row r="360" spans="1:19" ht="86.4" x14ac:dyDescent="0.3">
      <c r="A360" s="96">
        <v>358</v>
      </c>
      <c r="B360" s="123">
        <v>1550</v>
      </c>
      <c r="C360" s="252">
        <v>45769</v>
      </c>
      <c r="D360" s="60" t="s">
        <v>2195</v>
      </c>
      <c r="E360" s="267" t="s">
        <v>19</v>
      </c>
      <c r="F360" s="145" t="s">
        <v>10</v>
      </c>
      <c r="G360" s="183">
        <v>45769</v>
      </c>
      <c r="H360" s="146"/>
      <c r="I360" s="100" t="s">
        <v>159</v>
      </c>
      <c r="J360" s="27"/>
      <c r="K360" s="28"/>
      <c r="L360" s="51"/>
      <c r="M360" s="29"/>
      <c r="N360" s="30"/>
      <c r="O360" s="54"/>
      <c r="P360" s="83">
        <v>45777</v>
      </c>
      <c r="Q360" s="89">
        <f t="shared" si="11"/>
        <v>1.0001747907972645</v>
      </c>
      <c r="R360" s="101" t="s">
        <v>214</v>
      </c>
      <c r="S360" s="56"/>
    </row>
    <row r="361" spans="1:19" ht="57.6" x14ac:dyDescent="0.3">
      <c r="A361" s="96">
        <v>359</v>
      </c>
      <c r="B361" s="135">
        <v>1550</v>
      </c>
      <c r="C361" s="251">
        <v>45775</v>
      </c>
      <c r="D361" s="36" t="s">
        <v>2196</v>
      </c>
      <c r="E361" s="267" t="s">
        <v>1314</v>
      </c>
      <c r="F361" s="145" t="s">
        <v>4</v>
      </c>
      <c r="G361" s="183">
        <v>45775</v>
      </c>
      <c r="H361" s="146"/>
      <c r="I361" s="100" t="s">
        <v>253</v>
      </c>
      <c r="J361" s="27"/>
      <c r="K361" s="28"/>
      <c r="L361" s="51"/>
      <c r="M361" s="29"/>
      <c r="N361" s="30"/>
      <c r="O361" s="54"/>
      <c r="P361" s="132">
        <v>45777</v>
      </c>
      <c r="Q361" s="89">
        <f t="shared" si="11"/>
        <v>1.0000436919716003</v>
      </c>
      <c r="R361" s="101"/>
      <c r="S361" s="56"/>
    </row>
    <row r="362" spans="1:19" ht="57.6" x14ac:dyDescent="0.3">
      <c r="A362" s="96">
        <v>360</v>
      </c>
      <c r="B362" s="135">
        <v>1550</v>
      </c>
      <c r="C362" s="251">
        <v>45775</v>
      </c>
      <c r="D362" s="36" t="s">
        <v>2197</v>
      </c>
      <c r="E362" s="267" t="s">
        <v>1314</v>
      </c>
      <c r="F362" s="145" t="s">
        <v>4</v>
      </c>
      <c r="G362" s="183">
        <v>45775</v>
      </c>
      <c r="H362" s="146"/>
      <c r="I362" s="100" t="s">
        <v>253</v>
      </c>
      <c r="J362" s="27"/>
      <c r="K362" s="28"/>
      <c r="L362" s="51"/>
      <c r="M362" s="29"/>
      <c r="N362" s="30"/>
      <c r="O362" s="54"/>
      <c r="P362" s="132">
        <v>45777</v>
      </c>
      <c r="Q362" s="89">
        <f t="shared" si="11"/>
        <v>1.0000436919716003</v>
      </c>
      <c r="R362" s="101"/>
      <c r="S362" s="56"/>
    </row>
    <row r="363" spans="1:19" ht="57.6" x14ac:dyDescent="0.3">
      <c r="A363" s="96">
        <v>361</v>
      </c>
      <c r="B363" s="135">
        <v>1550</v>
      </c>
      <c r="C363" s="251">
        <v>45775</v>
      </c>
      <c r="D363" s="36" t="s">
        <v>2198</v>
      </c>
      <c r="E363" s="144" t="s">
        <v>1314</v>
      </c>
      <c r="F363" s="145" t="s">
        <v>4</v>
      </c>
      <c r="G363" s="183">
        <v>45775</v>
      </c>
      <c r="H363" s="146"/>
      <c r="I363" s="100" t="s">
        <v>253</v>
      </c>
      <c r="J363" s="27"/>
      <c r="K363" s="28"/>
      <c r="L363" s="51"/>
      <c r="M363" s="29"/>
      <c r="N363" s="30"/>
      <c r="O363" s="54"/>
      <c r="P363" s="132">
        <v>45777</v>
      </c>
      <c r="Q363" s="89">
        <f t="shared" si="11"/>
        <v>1.0000436919716003</v>
      </c>
      <c r="R363" s="101"/>
      <c r="S363" s="56"/>
    </row>
    <row r="364" spans="1:19" ht="57.6" x14ac:dyDescent="0.3">
      <c r="A364" s="96">
        <v>362</v>
      </c>
      <c r="B364" s="135" t="s">
        <v>1044</v>
      </c>
      <c r="C364" s="136">
        <v>45775</v>
      </c>
      <c r="D364" s="209" t="s">
        <v>2199</v>
      </c>
      <c r="E364" s="144" t="s">
        <v>1314</v>
      </c>
      <c r="F364" s="145" t="s">
        <v>4</v>
      </c>
      <c r="G364" s="183">
        <v>45775</v>
      </c>
      <c r="H364" s="146"/>
      <c r="I364" s="100" t="s">
        <v>253</v>
      </c>
      <c r="J364" s="27"/>
      <c r="K364" s="28"/>
      <c r="L364" s="51"/>
      <c r="M364" s="29"/>
      <c r="N364" s="30"/>
      <c r="O364" s="54"/>
      <c r="P364" s="132">
        <v>45777</v>
      </c>
      <c r="Q364" s="89">
        <f t="shared" si="11"/>
        <v>1.0000436919716003</v>
      </c>
      <c r="R364" s="101"/>
      <c r="S364" s="56"/>
    </row>
    <row r="365" spans="1:19" ht="57.6" x14ac:dyDescent="0.3">
      <c r="A365" s="96">
        <v>363</v>
      </c>
      <c r="B365" s="135">
        <v>1550</v>
      </c>
      <c r="C365" s="136">
        <v>45775</v>
      </c>
      <c r="D365" s="209" t="s">
        <v>2200</v>
      </c>
      <c r="E365" s="126" t="s">
        <v>1314</v>
      </c>
      <c r="F365" s="145" t="s">
        <v>4</v>
      </c>
      <c r="G365" s="183">
        <v>45775</v>
      </c>
      <c r="H365" s="134"/>
      <c r="I365" s="100" t="s">
        <v>253</v>
      </c>
      <c r="J365" s="27"/>
      <c r="K365" s="28"/>
      <c r="L365" s="51"/>
      <c r="M365" s="29"/>
      <c r="N365" s="30"/>
      <c r="O365" s="54"/>
      <c r="P365" s="132">
        <v>45777</v>
      </c>
      <c r="Q365" s="89">
        <f t="shared" si="11"/>
        <v>1.0000436919716003</v>
      </c>
      <c r="R365" s="101"/>
      <c r="S365" s="56"/>
    </row>
    <row r="366" spans="1:19" ht="57.6" x14ac:dyDescent="0.3">
      <c r="A366" s="96">
        <v>364</v>
      </c>
      <c r="B366" s="135" t="s">
        <v>1826</v>
      </c>
      <c r="C366" s="136">
        <v>45775</v>
      </c>
      <c r="D366" s="209" t="s">
        <v>2201</v>
      </c>
      <c r="E366" s="111" t="s">
        <v>1314</v>
      </c>
      <c r="F366" s="145" t="s">
        <v>4</v>
      </c>
      <c r="G366" s="183">
        <v>45775</v>
      </c>
      <c r="H366" s="134"/>
      <c r="I366" s="100" t="s">
        <v>253</v>
      </c>
      <c r="J366" s="27"/>
      <c r="K366" s="28"/>
      <c r="L366" s="51"/>
      <c r="M366" s="29"/>
      <c r="N366" s="30"/>
      <c r="O366" s="54"/>
      <c r="P366" s="132">
        <v>45777</v>
      </c>
      <c r="Q366" s="89">
        <f t="shared" si="11"/>
        <v>1.0000436919716003</v>
      </c>
      <c r="R366" s="101"/>
      <c r="S366" s="56"/>
    </row>
    <row r="367" spans="1:19" ht="57.6" x14ac:dyDescent="0.3">
      <c r="A367" s="96">
        <v>365</v>
      </c>
      <c r="B367" s="135">
        <v>1550</v>
      </c>
      <c r="C367" s="136">
        <v>45775</v>
      </c>
      <c r="D367" s="343" t="s">
        <v>2200</v>
      </c>
      <c r="E367" s="48" t="s">
        <v>1314</v>
      </c>
      <c r="F367" s="145" t="s">
        <v>4</v>
      </c>
      <c r="G367" s="183">
        <v>45775</v>
      </c>
      <c r="H367" s="134"/>
      <c r="I367" s="100" t="s">
        <v>253</v>
      </c>
      <c r="J367" s="27"/>
      <c r="K367" s="28"/>
      <c r="L367" s="51"/>
      <c r="M367" s="29"/>
      <c r="N367" s="30"/>
      <c r="O367" s="54"/>
      <c r="P367" s="132">
        <v>45777</v>
      </c>
      <c r="Q367" s="89">
        <f t="shared" si="11"/>
        <v>1.0000436919716003</v>
      </c>
      <c r="R367" s="101"/>
      <c r="S367" s="56"/>
    </row>
    <row r="368" spans="1:19" ht="57.6" x14ac:dyDescent="0.3">
      <c r="A368" s="96">
        <v>366</v>
      </c>
      <c r="B368" s="135">
        <v>1550</v>
      </c>
      <c r="C368" s="136">
        <v>45775</v>
      </c>
      <c r="D368" s="342" t="s">
        <v>2202</v>
      </c>
      <c r="E368" s="48" t="s">
        <v>1314</v>
      </c>
      <c r="F368" s="145" t="s">
        <v>4</v>
      </c>
      <c r="G368" s="183">
        <v>45775</v>
      </c>
      <c r="H368" s="134"/>
      <c r="I368" s="100" t="s">
        <v>253</v>
      </c>
      <c r="J368" s="27"/>
      <c r="K368" s="28"/>
      <c r="L368" s="51"/>
      <c r="M368" s="29"/>
      <c r="N368" s="30"/>
      <c r="O368" s="54"/>
      <c r="P368" s="132">
        <v>45777</v>
      </c>
      <c r="Q368" s="89">
        <f t="shared" si="11"/>
        <v>1.0000436919716003</v>
      </c>
      <c r="R368" s="101"/>
      <c r="S368" s="56"/>
    </row>
    <row r="369" spans="1:19" ht="57.6" x14ac:dyDescent="0.3">
      <c r="A369" s="96">
        <v>367</v>
      </c>
      <c r="B369" s="135">
        <v>1550</v>
      </c>
      <c r="C369" s="136">
        <v>45776</v>
      </c>
      <c r="D369" s="351" t="s">
        <v>2203</v>
      </c>
      <c r="E369" s="48" t="s">
        <v>1314</v>
      </c>
      <c r="F369" s="80" t="s">
        <v>4</v>
      </c>
      <c r="G369" s="183">
        <v>45776</v>
      </c>
      <c r="H369" s="137"/>
      <c r="I369" s="100" t="s">
        <v>253</v>
      </c>
      <c r="J369" s="27"/>
      <c r="K369" s="28"/>
      <c r="L369" s="51"/>
      <c r="M369" s="29"/>
      <c r="N369" s="30"/>
      <c r="O369" s="54"/>
      <c r="P369" s="83">
        <v>45777</v>
      </c>
      <c r="Q369" s="89">
        <f t="shared" si="11"/>
        <v>1.0000218455085634</v>
      </c>
      <c r="R369" s="101"/>
      <c r="S369" s="56"/>
    </row>
    <row r="370" spans="1:19" ht="57.6" x14ac:dyDescent="0.3">
      <c r="A370" s="96">
        <v>368</v>
      </c>
      <c r="B370" s="135">
        <v>1550</v>
      </c>
      <c r="C370" s="136">
        <v>45776</v>
      </c>
      <c r="D370" s="264" t="s">
        <v>2204</v>
      </c>
      <c r="E370" s="48" t="s">
        <v>1314</v>
      </c>
      <c r="F370" s="80" t="s">
        <v>10</v>
      </c>
      <c r="G370" s="183">
        <v>45776</v>
      </c>
      <c r="H370" s="137"/>
      <c r="I370" s="100" t="s">
        <v>253</v>
      </c>
      <c r="J370" s="27"/>
      <c r="K370" s="28"/>
      <c r="L370" s="51"/>
      <c r="M370" s="29"/>
      <c r="N370" s="30"/>
      <c r="O370" s="54"/>
      <c r="P370" s="83">
        <v>45777</v>
      </c>
      <c r="Q370" s="89">
        <f t="shared" si="11"/>
        <v>1.0000218455085634</v>
      </c>
      <c r="R370" s="101" t="s">
        <v>1332</v>
      </c>
      <c r="S370" s="56"/>
    </row>
    <row r="371" spans="1:19" ht="43.2" x14ac:dyDescent="0.3">
      <c r="A371" s="96">
        <v>369</v>
      </c>
      <c r="B371" s="135">
        <v>1550</v>
      </c>
      <c r="C371" s="136">
        <v>45777</v>
      </c>
      <c r="D371" s="212" t="s">
        <v>2205</v>
      </c>
      <c r="E371" s="48" t="s">
        <v>23</v>
      </c>
      <c r="F371" s="80" t="s">
        <v>8</v>
      </c>
      <c r="G371" s="183">
        <v>45777</v>
      </c>
      <c r="H371" s="140">
        <v>10000286017</v>
      </c>
      <c r="I371" s="100" t="s">
        <v>135</v>
      </c>
      <c r="J371" s="128"/>
      <c r="K371" s="128"/>
      <c r="L371" s="129"/>
      <c r="M371" s="130"/>
      <c r="N371" s="130"/>
      <c r="O371" s="131"/>
      <c r="P371" s="83">
        <v>45777</v>
      </c>
      <c r="Q371" s="89">
        <f t="shared" ref="Q371:Q402" si="12">P371/G371</f>
        <v>1</v>
      </c>
      <c r="R371" s="101" t="s">
        <v>758</v>
      </c>
      <c r="S371" s="168"/>
    </row>
    <row r="372" spans="1:19" ht="43.2" x14ac:dyDescent="0.3">
      <c r="A372" s="96">
        <v>370</v>
      </c>
      <c r="B372" s="135">
        <v>1550</v>
      </c>
      <c r="C372" s="136">
        <v>45777</v>
      </c>
      <c r="D372" s="212" t="s">
        <v>2206</v>
      </c>
      <c r="E372" s="48" t="s">
        <v>23</v>
      </c>
      <c r="F372" s="80" t="s">
        <v>8</v>
      </c>
      <c r="G372" s="183">
        <v>45777</v>
      </c>
      <c r="H372" s="137"/>
      <c r="I372" s="100" t="s">
        <v>135</v>
      </c>
      <c r="J372" s="128"/>
      <c r="K372" s="128"/>
      <c r="L372" s="129"/>
      <c r="M372" s="130"/>
      <c r="N372" s="130"/>
      <c r="O372" s="131"/>
      <c r="P372" s="83">
        <v>45777</v>
      </c>
      <c r="Q372" s="89">
        <f t="shared" si="12"/>
        <v>1</v>
      </c>
      <c r="R372" s="101" t="s">
        <v>1916</v>
      </c>
      <c r="S372" s="168"/>
    </row>
    <row r="373" spans="1:19" ht="28.8" x14ac:dyDescent="0.3">
      <c r="A373" s="96">
        <v>371</v>
      </c>
      <c r="B373" s="135" t="s">
        <v>301</v>
      </c>
      <c r="C373" s="136">
        <v>45777</v>
      </c>
      <c r="D373" s="212" t="s">
        <v>2207</v>
      </c>
      <c r="E373" s="48" t="s">
        <v>3</v>
      </c>
      <c r="F373" s="80" t="s">
        <v>8</v>
      </c>
      <c r="G373" s="183">
        <v>45777</v>
      </c>
      <c r="H373" s="137"/>
      <c r="I373" s="37" t="s">
        <v>82</v>
      </c>
      <c r="J373" s="128"/>
      <c r="K373" s="128"/>
      <c r="L373" s="129"/>
      <c r="M373" s="130"/>
      <c r="N373" s="130"/>
      <c r="O373" s="131"/>
      <c r="P373" s="83">
        <v>45777</v>
      </c>
      <c r="Q373" s="89">
        <f t="shared" si="12"/>
        <v>1</v>
      </c>
      <c r="R373" s="101" t="s">
        <v>94</v>
      </c>
      <c r="S373" s="168"/>
    </row>
    <row r="374" spans="1:19" ht="72" x14ac:dyDescent="0.3">
      <c r="A374" s="96">
        <v>372</v>
      </c>
      <c r="B374" s="135">
        <v>1550</v>
      </c>
      <c r="C374" s="136">
        <v>45777</v>
      </c>
      <c r="D374" s="264" t="s">
        <v>2208</v>
      </c>
      <c r="E374" s="144" t="s">
        <v>1326</v>
      </c>
      <c r="F374" s="80" t="s">
        <v>10</v>
      </c>
      <c r="G374" s="183">
        <v>45777</v>
      </c>
      <c r="H374" s="137"/>
      <c r="I374" s="102" t="s">
        <v>1327</v>
      </c>
      <c r="J374" s="27"/>
      <c r="K374" s="28"/>
      <c r="L374" s="51"/>
      <c r="M374" s="29"/>
      <c r="N374" s="30"/>
      <c r="O374" s="54"/>
      <c r="P374" s="83">
        <v>45777</v>
      </c>
      <c r="Q374" s="89">
        <f t="shared" si="12"/>
        <v>1</v>
      </c>
      <c r="R374" s="101" t="s">
        <v>2209</v>
      </c>
      <c r="S374" s="147"/>
    </row>
    <row r="375" spans="1:19" ht="72" x14ac:dyDescent="0.3">
      <c r="A375" s="96">
        <v>373</v>
      </c>
      <c r="B375" s="123">
        <v>1550</v>
      </c>
      <c r="C375" s="124">
        <v>45771</v>
      </c>
      <c r="D375" s="262" t="s">
        <v>2210</v>
      </c>
      <c r="E375" s="144" t="s">
        <v>25</v>
      </c>
      <c r="F375" s="145" t="s">
        <v>10</v>
      </c>
      <c r="G375" s="183">
        <v>45771</v>
      </c>
      <c r="H375" s="134">
        <v>10000284664</v>
      </c>
      <c r="I375" s="100" t="s">
        <v>135</v>
      </c>
      <c r="J375" s="27"/>
      <c r="K375" s="28"/>
      <c r="L375" s="51"/>
      <c r="M375" s="29"/>
      <c r="N375" s="30"/>
      <c r="O375" s="54"/>
      <c r="P375" s="132">
        <v>45782</v>
      </c>
      <c r="Q375" s="89">
        <f t="shared" si="12"/>
        <v>1.0002403268445086</v>
      </c>
      <c r="R375" s="101" t="s">
        <v>2185</v>
      </c>
      <c r="S375" s="56"/>
    </row>
    <row r="376" spans="1:19" ht="172.8" x14ac:dyDescent="0.3">
      <c r="A376" s="96">
        <v>374</v>
      </c>
      <c r="B376" s="135">
        <v>1550</v>
      </c>
      <c r="C376" s="136">
        <v>45772</v>
      </c>
      <c r="D376" s="262" t="s">
        <v>2211</v>
      </c>
      <c r="E376" s="111" t="s">
        <v>12</v>
      </c>
      <c r="F376" s="145" t="s">
        <v>10</v>
      </c>
      <c r="G376" s="183">
        <v>45772</v>
      </c>
      <c r="H376" s="137"/>
      <c r="I376" s="125" t="s">
        <v>159</v>
      </c>
      <c r="J376" s="27"/>
      <c r="K376" s="28"/>
      <c r="L376" s="51"/>
      <c r="M376" s="29"/>
      <c r="N376" s="30"/>
      <c r="O376" s="54"/>
      <c r="P376" s="83">
        <v>45782</v>
      </c>
      <c r="Q376" s="89">
        <f t="shared" si="12"/>
        <v>1.0002184741763525</v>
      </c>
      <c r="R376" s="101" t="s">
        <v>2111</v>
      </c>
      <c r="S376" s="56"/>
    </row>
    <row r="377" spans="1:19" ht="172.8" x14ac:dyDescent="0.3">
      <c r="A377" s="96">
        <v>375</v>
      </c>
      <c r="B377" s="135">
        <v>1550</v>
      </c>
      <c r="C377" s="136">
        <v>45775</v>
      </c>
      <c r="D377" s="264" t="s">
        <v>2212</v>
      </c>
      <c r="E377" s="144" t="s">
        <v>12</v>
      </c>
      <c r="F377" s="145" t="s">
        <v>10</v>
      </c>
      <c r="G377" s="183">
        <v>45775</v>
      </c>
      <c r="H377" s="134"/>
      <c r="I377" s="100" t="s">
        <v>159</v>
      </c>
      <c r="J377" s="27"/>
      <c r="K377" s="28"/>
      <c r="L377" s="51"/>
      <c r="M377" s="29"/>
      <c r="N377" s="30"/>
      <c r="O377" s="54"/>
      <c r="P377" s="83">
        <v>45782</v>
      </c>
      <c r="Q377" s="89">
        <f t="shared" si="12"/>
        <v>1.0001529219006007</v>
      </c>
      <c r="R377" s="101" t="s">
        <v>2213</v>
      </c>
      <c r="S377" s="56"/>
    </row>
    <row r="378" spans="1:19" x14ac:dyDescent="0.3">
      <c r="A378" s="96">
        <v>376</v>
      </c>
      <c r="B378" s="135" t="s">
        <v>1826</v>
      </c>
      <c r="C378" s="136">
        <v>45776</v>
      </c>
      <c r="D378" s="212" t="s">
        <v>2214</v>
      </c>
      <c r="E378" s="111" t="s">
        <v>3</v>
      </c>
      <c r="F378" s="80" t="s">
        <v>4</v>
      </c>
      <c r="G378" s="183">
        <v>45776</v>
      </c>
      <c r="H378" s="134"/>
      <c r="I378" s="37" t="s">
        <v>82</v>
      </c>
      <c r="J378" s="27"/>
      <c r="K378" s="28"/>
      <c r="L378" s="51"/>
      <c r="M378" s="29"/>
      <c r="N378" s="30"/>
      <c r="O378" s="54"/>
      <c r="P378" s="83">
        <v>45782</v>
      </c>
      <c r="Q378" s="89">
        <f t="shared" si="12"/>
        <v>1.0001310730513806</v>
      </c>
      <c r="R378" s="101"/>
      <c r="S378" s="56"/>
    </row>
    <row r="379" spans="1:19" ht="57.6" x14ac:dyDescent="0.3">
      <c r="A379" s="96">
        <v>377</v>
      </c>
      <c r="B379" s="135">
        <v>1550</v>
      </c>
      <c r="C379" s="136">
        <v>45776</v>
      </c>
      <c r="D379" s="212" t="s">
        <v>2215</v>
      </c>
      <c r="E379" s="111" t="s">
        <v>1314</v>
      </c>
      <c r="F379" s="80" t="s">
        <v>4</v>
      </c>
      <c r="G379" s="183">
        <v>45776</v>
      </c>
      <c r="H379" s="137"/>
      <c r="I379" s="100" t="s">
        <v>253</v>
      </c>
      <c r="J379" s="27"/>
      <c r="K379" s="28"/>
      <c r="L379" s="51"/>
      <c r="M379" s="29"/>
      <c r="N379" s="30"/>
      <c r="O379" s="54"/>
      <c r="P379" s="83">
        <v>45782</v>
      </c>
      <c r="Q379" s="89">
        <f t="shared" si="12"/>
        <v>1.0001310730513806</v>
      </c>
      <c r="R379" s="101"/>
      <c r="S379" s="56"/>
    </row>
    <row r="380" spans="1:19" ht="158.4" x14ac:dyDescent="0.3">
      <c r="A380" s="96">
        <v>378</v>
      </c>
      <c r="B380" s="135">
        <v>1550</v>
      </c>
      <c r="C380" s="136">
        <v>45776</v>
      </c>
      <c r="D380" s="264" t="s">
        <v>2216</v>
      </c>
      <c r="E380" s="111" t="s">
        <v>12</v>
      </c>
      <c r="F380" s="80" t="s">
        <v>10</v>
      </c>
      <c r="G380" s="183">
        <v>45776</v>
      </c>
      <c r="H380" s="137"/>
      <c r="I380" s="100" t="s">
        <v>159</v>
      </c>
      <c r="J380" s="27"/>
      <c r="K380" s="28"/>
      <c r="L380" s="51"/>
      <c r="M380" s="29"/>
      <c r="N380" s="30"/>
      <c r="O380" s="54"/>
      <c r="P380" s="83">
        <v>45782</v>
      </c>
      <c r="Q380" s="89">
        <f t="shared" si="12"/>
        <v>1.0001310730513806</v>
      </c>
      <c r="R380" s="101" t="s">
        <v>2111</v>
      </c>
      <c r="S380" s="56"/>
    </row>
    <row r="381" spans="1:19" ht="57.6" x14ac:dyDescent="0.3">
      <c r="A381" s="96">
        <v>379</v>
      </c>
      <c r="B381" s="135">
        <v>1550</v>
      </c>
      <c r="C381" s="136">
        <v>45776</v>
      </c>
      <c r="D381" s="342" t="s">
        <v>2217</v>
      </c>
      <c r="E381" s="111" t="s">
        <v>1314</v>
      </c>
      <c r="F381" s="80" t="s">
        <v>4</v>
      </c>
      <c r="G381" s="183">
        <v>45776</v>
      </c>
      <c r="H381" s="137"/>
      <c r="I381" s="100" t="s">
        <v>253</v>
      </c>
      <c r="J381" s="27"/>
      <c r="K381" s="28"/>
      <c r="L381" s="51"/>
      <c r="M381" s="29"/>
      <c r="N381" s="30"/>
      <c r="O381" s="54"/>
      <c r="P381" s="83">
        <v>45782</v>
      </c>
      <c r="Q381" s="89">
        <f t="shared" si="12"/>
        <v>1.0001310730513806</v>
      </c>
      <c r="R381" s="101"/>
      <c r="S381" s="168"/>
    </row>
    <row r="382" spans="1:19" ht="57.6" x14ac:dyDescent="0.3">
      <c r="A382" s="96">
        <v>380</v>
      </c>
      <c r="B382" s="135">
        <v>1550</v>
      </c>
      <c r="C382" s="136">
        <v>45777</v>
      </c>
      <c r="D382" s="175" t="s">
        <v>2218</v>
      </c>
      <c r="E382" s="111" t="s">
        <v>39</v>
      </c>
      <c r="F382" s="125" t="s">
        <v>4</v>
      </c>
      <c r="G382" s="183">
        <v>45777</v>
      </c>
      <c r="H382" s="137"/>
      <c r="I382" s="125" t="s">
        <v>22</v>
      </c>
      <c r="J382" s="128"/>
      <c r="K382" s="128"/>
      <c r="L382" s="129"/>
      <c r="M382" s="130"/>
      <c r="N382" s="130"/>
      <c r="O382" s="131"/>
      <c r="P382" s="83">
        <v>45782</v>
      </c>
      <c r="Q382" s="89">
        <f t="shared" si="12"/>
        <v>1.0001092251567381</v>
      </c>
      <c r="R382" s="101"/>
      <c r="S382" s="168"/>
    </row>
    <row r="383" spans="1:19" ht="57.6" x14ac:dyDescent="0.3">
      <c r="A383" s="96">
        <v>381</v>
      </c>
      <c r="B383" s="135">
        <v>1550</v>
      </c>
      <c r="C383" s="136">
        <v>45777</v>
      </c>
      <c r="D383" s="175" t="s">
        <v>2219</v>
      </c>
      <c r="E383" s="111" t="s">
        <v>1314</v>
      </c>
      <c r="F383" s="125" t="s">
        <v>8</v>
      </c>
      <c r="G383" s="183">
        <v>45777</v>
      </c>
      <c r="H383" s="137"/>
      <c r="I383" s="100" t="s">
        <v>253</v>
      </c>
      <c r="J383" s="128"/>
      <c r="K383" s="128"/>
      <c r="L383" s="129"/>
      <c r="M383" s="130"/>
      <c r="N383" s="130"/>
      <c r="O383" s="131"/>
      <c r="P383" s="83">
        <v>45782</v>
      </c>
      <c r="Q383" s="89">
        <f t="shared" si="12"/>
        <v>1.0001092251567381</v>
      </c>
      <c r="R383" s="101" t="s">
        <v>528</v>
      </c>
      <c r="S383" s="168"/>
    </row>
    <row r="384" spans="1:19" ht="57.6" x14ac:dyDescent="0.3">
      <c r="A384" s="96">
        <v>382</v>
      </c>
      <c r="B384" s="135">
        <v>1550</v>
      </c>
      <c r="C384" s="136">
        <v>45777</v>
      </c>
      <c r="D384" s="161" t="s">
        <v>2220</v>
      </c>
      <c r="E384" s="111" t="s">
        <v>1314</v>
      </c>
      <c r="F384" s="125" t="s">
        <v>8</v>
      </c>
      <c r="G384" s="183">
        <v>45777</v>
      </c>
      <c r="H384" s="137"/>
      <c r="I384" s="100" t="s">
        <v>253</v>
      </c>
      <c r="J384" s="128"/>
      <c r="K384" s="128"/>
      <c r="L384" s="129"/>
      <c r="M384" s="130"/>
      <c r="N384" s="130"/>
      <c r="O384" s="131"/>
      <c r="P384" s="83">
        <v>45782</v>
      </c>
      <c r="Q384" s="89">
        <f t="shared" si="12"/>
        <v>1.0001092251567381</v>
      </c>
      <c r="R384" s="101" t="s">
        <v>1916</v>
      </c>
      <c r="S384" s="168"/>
    </row>
    <row r="385" spans="1:19" ht="57.6" x14ac:dyDescent="0.3">
      <c r="A385" s="96">
        <v>383</v>
      </c>
      <c r="B385" s="135">
        <v>1550</v>
      </c>
      <c r="C385" s="136">
        <v>45777</v>
      </c>
      <c r="D385" s="175" t="s">
        <v>2221</v>
      </c>
      <c r="E385" s="111" t="s">
        <v>1314</v>
      </c>
      <c r="F385" s="125" t="s">
        <v>8</v>
      </c>
      <c r="G385" s="183">
        <v>45777</v>
      </c>
      <c r="H385" s="137"/>
      <c r="I385" s="100" t="s">
        <v>253</v>
      </c>
      <c r="J385" s="128"/>
      <c r="K385" s="128"/>
      <c r="L385" s="129"/>
      <c r="M385" s="130"/>
      <c r="N385" s="130"/>
      <c r="O385" s="131"/>
      <c r="P385" s="83">
        <v>45782</v>
      </c>
      <c r="Q385" s="89">
        <f t="shared" si="12"/>
        <v>1.0001092251567381</v>
      </c>
      <c r="R385" s="101" t="s">
        <v>1916</v>
      </c>
      <c r="S385" s="168"/>
    </row>
    <row r="386" spans="1:19" ht="57.6" x14ac:dyDescent="0.3">
      <c r="A386" s="96">
        <v>384</v>
      </c>
      <c r="B386" s="135">
        <v>1550</v>
      </c>
      <c r="C386" s="136">
        <v>45777</v>
      </c>
      <c r="D386" s="175" t="s">
        <v>2222</v>
      </c>
      <c r="E386" s="111" t="s">
        <v>1314</v>
      </c>
      <c r="F386" s="125" t="s">
        <v>8</v>
      </c>
      <c r="G386" s="183">
        <v>45777</v>
      </c>
      <c r="H386" s="134"/>
      <c r="I386" s="100" t="s">
        <v>253</v>
      </c>
      <c r="J386" s="128"/>
      <c r="K386" s="128"/>
      <c r="L386" s="129"/>
      <c r="M386" s="130"/>
      <c r="N386" s="130"/>
      <c r="O386" s="131"/>
      <c r="P386" s="83">
        <v>45782</v>
      </c>
      <c r="Q386" s="89">
        <f t="shared" si="12"/>
        <v>1.0001092251567381</v>
      </c>
      <c r="R386" s="101" t="s">
        <v>758</v>
      </c>
      <c r="S386" s="168"/>
    </row>
    <row r="387" spans="1:19" ht="57.6" x14ac:dyDescent="0.3">
      <c r="A387" s="96">
        <v>385</v>
      </c>
      <c r="B387" s="135">
        <v>1550</v>
      </c>
      <c r="C387" s="136">
        <v>45777</v>
      </c>
      <c r="D387" s="294" t="s">
        <v>2223</v>
      </c>
      <c r="E387" s="111" t="s">
        <v>1314</v>
      </c>
      <c r="F387" s="125" t="s">
        <v>8</v>
      </c>
      <c r="G387" s="183">
        <v>45777</v>
      </c>
      <c r="H387" s="137"/>
      <c r="I387" s="100" t="s">
        <v>253</v>
      </c>
      <c r="J387" s="128"/>
      <c r="K387" s="128"/>
      <c r="L387" s="129"/>
      <c r="M387" s="130"/>
      <c r="N387" s="130"/>
      <c r="O387" s="131"/>
      <c r="P387" s="83">
        <v>45782</v>
      </c>
      <c r="Q387" s="89">
        <f t="shared" si="12"/>
        <v>1.0001092251567381</v>
      </c>
      <c r="R387" s="101" t="s">
        <v>1916</v>
      </c>
      <c r="S387" s="168"/>
    </row>
    <row r="388" spans="1:19" ht="57.6" x14ac:dyDescent="0.3">
      <c r="A388" s="96">
        <v>386</v>
      </c>
      <c r="B388" s="135">
        <v>1550</v>
      </c>
      <c r="C388" s="251">
        <v>45777</v>
      </c>
      <c r="D388" s="175" t="s">
        <v>2224</v>
      </c>
      <c r="E388" s="179" t="s">
        <v>1314</v>
      </c>
      <c r="F388" s="125" t="s">
        <v>8</v>
      </c>
      <c r="G388" s="183">
        <v>45777</v>
      </c>
      <c r="H388" s="137"/>
      <c r="I388" s="100" t="s">
        <v>253</v>
      </c>
      <c r="J388" s="128"/>
      <c r="K388" s="128"/>
      <c r="L388" s="129"/>
      <c r="M388" s="130"/>
      <c r="N388" s="130"/>
      <c r="O388" s="131"/>
      <c r="P388" s="83">
        <v>45782</v>
      </c>
      <c r="Q388" s="89">
        <f t="shared" si="12"/>
        <v>1.0001092251567381</v>
      </c>
      <c r="R388" s="101" t="s">
        <v>1916</v>
      </c>
      <c r="S388" s="168"/>
    </row>
    <row r="389" spans="1:19" ht="57.6" x14ac:dyDescent="0.3">
      <c r="A389" s="96">
        <v>387</v>
      </c>
      <c r="B389" s="135">
        <v>1550</v>
      </c>
      <c r="C389" s="136">
        <v>45777</v>
      </c>
      <c r="D389" s="293" t="s">
        <v>2225</v>
      </c>
      <c r="E389" s="111" t="s">
        <v>1314</v>
      </c>
      <c r="F389" s="125" t="s">
        <v>8</v>
      </c>
      <c r="G389" s="183">
        <v>45777</v>
      </c>
      <c r="H389" s="137"/>
      <c r="I389" s="100" t="s">
        <v>253</v>
      </c>
      <c r="J389" s="128"/>
      <c r="K389" s="128"/>
      <c r="L389" s="129"/>
      <c r="M389" s="130"/>
      <c r="N389" s="130"/>
      <c r="O389" s="202"/>
      <c r="P389" s="83">
        <v>45782</v>
      </c>
      <c r="Q389" s="89">
        <f t="shared" si="12"/>
        <v>1.0001092251567381</v>
      </c>
      <c r="R389" s="101" t="s">
        <v>758</v>
      </c>
      <c r="S389" s="168"/>
    </row>
    <row r="390" spans="1:19" ht="57.6" x14ac:dyDescent="0.3">
      <c r="A390" s="96">
        <v>388</v>
      </c>
      <c r="B390" s="135">
        <v>1550</v>
      </c>
      <c r="C390" s="136">
        <v>45777</v>
      </c>
      <c r="D390" s="175" t="s">
        <v>2226</v>
      </c>
      <c r="E390" s="111" t="s">
        <v>1314</v>
      </c>
      <c r="F390" s="125" t="s">
        <v>8</v>
      </c>
      <c r="G390" s="183">
        <v>45777</v>
      </c>
      <c r="H390" s="134"/>
      <c r="I390" s="100" t="s">
        <v>253</v>
      </c>
      <c r="J390" s="128"/>
      <c r="K390" s="128"/>
      <c r="L390" s="129"/>
      <c r="M390" s="130"/>
      <c r="N390" s="130"/>
      <c r="O390" s="131"/>
      <c r="P390" s="83">
        <v>45782</v>
      </c>
      <c r="Q390" s="89">
        <f t="shared" si="12"/>
        <v>1.0001092251567381</v>
      </c>
      <c r="R390" s="101" t="s">
        <v>758</v>
      </c>
      <c r="S390" s="168"/>
    </row>
    <row r="391" spans="1:19" ht="57.6" x14ac:dyDescent="0.3">
      <c r="A391" s="96">
        <v>389</v>
      </c>
      <c r="B391" s="135">
        <v>1550</v>
      </c>
      <c r="C391" s="136">
        <v>45777</v>
      </c>
      <c r="D391" s="36" t="s">
        <v>2227</v>
      </c>
      <c r="E391" s="111" t="s">
        <v>1314</v>
      </c>
      <c r="F391" s="125" t="s">
        <v>4</v>
      </c>
      <c r="G391" s="183">
        <v>45777</v>
      </c>
      <c r="H391" s="140"/>
      <c r="I391" s="100" t="s">
        <v>253</v>
      </c>
      <c r="J391" s="27"/>
      <c r="K391" s="28"/>
      <c r="L391" s="51"/>
      <c r="M391" s="29"/>
      <c r="N391" s="30"/>
      <c r="O391" s="54"/>
      <c r="P391" s="83">
        <v>45782</v>
      </c>
      <c r="Q391" s="89">
        <f t="shared" si="12"/>
        <v>1.0001092251567381</v>
      </c>
      <c r="R391" s="101"/>
      <c r="S391" s="343"/>
    </row>
    <row r="392" spans="1:19" ht="57.6" x14ac:dyDescent="0.3">
      <c r="A392" s="96">
        <v>390</v>
      </c>
      <c r="B392" s="135">
        <v>1550</v>
      </c>
      <c r="C392" s="136">
        <v>45777</v>
      </c>
      <c r="D392" s="288" t="s">
        <v>2228</v>
      </c>
      <c r="E392" s="111" t="s">
        <v>1314</v>
      </c>
      <c r="F392" s="125" t="s">
        <v>4</v>
      </c>
      <c r="G392" s="183">
        <v>45777</v>
      </c>
      <c r="H392" s="140"/>
      <c r="I392" s="100" t="s">
        <v>253</v>
      </c>
      <c r="J392" s="27"/>
      <c r="K392" s="28"/>
      <c r="L392" s="51"/>
      <c r="M392" s="29"/>
      <c r="N392" s="30"/>
      <c r="O392" s="54"/>
      <c r="P392" s="83">
        <v>45782</v>
      </c>
      <c r="Q392" s="89">
        <f t="shared" si="12"/>
        <v>1.0001092251567381</v>
      </c>
      <c r="R392" s="101"/>
      <c r="S392" s="722"/>
    </row>
    <row r="393" spans="1:19" ht="57.6" x14ac:dyDescent="0.3">
      <c r="A393" s="96">
        <v>391</v>
      </c>
      <c r="B393" s="135">
        <v>1550</v>
      </c>
      <c r="C393" s="251">
        <v>45777</v>
      </c>
      <c r="D393" s="254" t="s">
        <v>2229</v>
      </c>
      <c r="E393" s="179" t="s">
        <v>1314</v>
      </c>
      <c r="F393" s="125" t="s">
        <v>10</v>
      </c>
      <c r="G393" s="183">
        <v>45777</v>
      </c>
      <c r="H393" s="137"/>
      <c r="I393" s="100" t="s">
        <v>253</v>
      </c>
      <c r="J393" s="27"/>
      <c r="K393" s="28"/>
      <c r="L393" s="51"/>
      <c r="M393" s="29"/>
      <c r="N393" s="30"/>
      <c r="O393" s="54"/>
      <c r="P393" s="83">
        <v>45782</v>
      </c>
      <c r="Q393" s="89">
        <f t="shared" si="12"/>
        <v>1.0001092251567381</v>
      </c>
      <c r="R393" s="101" t="s">
        <v>1835</v>
      </c>
      <c r="S393" s="56"/>
    </row>
    <row r="394" spans="1:19" ht="57.6" x14ac:dyDescent="0.3">
      <c r="A394" s="96">
        <v>392</v>
      </c>
      <c r="B394" s="135">
        <v>1550</v>
      </c>
      <c r="C394" s="251">
        <v>45777</v>
      </c>
      <c r="D394" s="254" t="s">
        <v>2230</v>
      </c>
      <c r="E394" s="179" t="s">
        <v>1314</v>
      </c>
      <c r="F394" s="125" t="s">
        <v>10</v>
      </c>
      <c r="G394" s="183">
        <v>45777</v>
      </c>
      <c r="H394" s="137"/>
      <c r="I394" s="100" t="s">
        <v>253</v>
      </c>
      <c r="J394" s="27"/>
      <c r="K394" s="28"/>
      <c r="L394" s="51"/>
      <c r="M394" s="29"/>
      <c r="N394" s="30"/>
      <c r="O394" s="54"/>
      <c r="P394" s="83">
        <v>45782</v>
      </c>
      <c r="Q394" s="89">
        <f t="shared" si="12"/>
        <v>1.0001092251567381</v>
      </c>
      <c r="R394" s="101" t="s">
        <v>216</v>
      </c>
      <c r="S394" s="56"/>
    </row>
    <row r="395" spans="1:19" ht="57.6" x14ac:dyDescent="0.3">
      <c r="A395" s="96">
        <v>393</v>
      </c>
      <c r="B395" s="135">
        <v>1550</v>
      </c>
      <c r="C395" s="136">
        <v>45777</v>
      </c>
      <c r="D395" s="697" t="s">
        <v>2231</v>
      </c>
      <c r="E395" s="111" t="s">
        <v>1314</v>
      </c>
      <c r="F395" s="125" t="s">
        <v>10</v>
      </c>
      <c r="G395" s="183">
        <v>45777</v>
      </c>
      <c r="H395" s="137"/>
      <c r="I395" s="100" t="s">
        <v>253</v>
      </c>
      <c r="J395" s="27"/>
      <c r="K395" s="258"/>
      <c r="L395" s="259"/>
      <c r="M395" s="29"/>
      <c r="N395" s="30"/>
      <c r="O395" s="54"/>
      <c r="P395" s="83">
        <v>45782</v>
      </c>
      <c r="Q395" s="89">
        <f t="shared" si="12"/>
        <v>1.0001092251567381</v>
      </c>
      <c r="R395" s="101" t="s">
        <v>216</v>
      </c>
      <c r="S395" s="257"/>
    </row>
    <row r="396" spans="1:19" ht="43.2" x14ac:dyDescent="0.3">
      <c r="A396" s="96">
        <v>394</v>
      </c>
      <c r="B396" s="123">
        <v>1550</v>
      </c>
      <c r="C396" s="124">
        <v>45770</v>
      </c>
      <c r="D396" s="110" t="s">
        <v>2232</v>
      </c>
      <c r="E396" s="126" t="s">
        <v>26</v>
      </c>
      <c r="F396" s="127" t="s">
        <v>4</v>
      </c>
      <c r="G396" s="183">
        <v>45770</v>
      </c>
      <c r="H396" s="134"/>
      <c r="I396" s="125" t="s">
        <v>174</v>
      </c>
      <c r="J396" s="128"/>
      <c r="K396" s="128"/>
      <c r="L396" s="129"/>
      <c r="M396" s="130"/>
      <c r="N396" s="130"/>
      <c r="O396" s="131"/>
      <c r="P396" s="132">
        <v>45782</v>
      </c>
      <c r="Q396" s="89">
        <f t="shared" si="12"/>
        <v>1.0002621804675551</v>
      </c>
      <c r="R396" s="101"/>
      <c r="S396" s="168"/>
    </row>
    <row r="397" spans="1:19" ht="57.6" x14ac:dyDescent="0.3">
      <c r="A397" s="96">
        <v>395</v>
      </c>
      <c r="B397" s="135">
        <v>1550</v>
      </c>
      <c r="C397" s="136">
        <v>45777</v>
      </c>
      <c r="D397" s="264" t="s">
        <v>2233</v>
      </c>
      <c r="E397" s="111" t="s">
        <v>1314</v>
      </c>
      <c r="F397" s="125" t="s">
        <v>10</v>
      </c>
      <c r="G397" s="183">
        <v>45777</v>
      </c>
      <c r="H397" s="137"/>
      <c r="I397" s="100" t="s">
        <v>253</v>
      </c>
      <c r="J397" s="128"/>
      <c r="K397" s="128"/>
      <c r="L397" s="129"/>
      <c r="M397" s="130"/>
      <c r="N397" s="130"/>
      <c r="O397" s="131"/>
      <c r="P397" s="83">
        <v>45782</v>
      </c>
      <c r="Q397" s="89">
        <f t="shared" si="12"/>
        <v>1.0001092251567381</v>
      </c>
      <c r="R397" s="101" t="s">
        <v>216</v>
      </c>
      <c r="S397" s="168"/>
    </row>
    <row r="398" spans="1:19" ht="187.2" x14ac:dyDescent="0.3">
      <c r="A398" s="96">
        <v>396</v>
      </c>
      <c r="B398" s="135">
        <v>1550</v>
      </c>
      <c r="C398" s="136">
        <v>45777</v>
      </c>
      <c r="D398" s="264" t="s">
        <v>2234</v>
      </c>
      <c r="E398" s="111" t="s">
        <v>7</v>
      </c>
      <c r="F398" s="125" t="s">
        <v>10</v>
      </c>
      <c r="G398" s="183">
        <v>45777</v>
      </c>
      <c r="H398" s="137"/>
      <c r="I398" s="127" t="s">
        <v>129</v>
      </c>
      <c r="J398" s="128"/>
      <c r="K398" s="128"/>
      <c r="L398" s="129"/>
      <c r="M398" s="130"/>
      <c r="N398" s="130"/>
      <c r="O398" s="131"/>
      <c r="P398" s="83">
        <v>45782</v>
      </c>
      <c r="Q398" s="89">
        <f t="shared" si="12"/>
        <v>1.0001092251567381</v>
      </c>
      <c r="R398" s="101" t="s">
        <v>1769</v>
      </c>
      <c r="S398" s="721" t="s">
        <v>2073</v>
      </c>
    </row>
    <row r="399" spans="1:19" ht="172.8" x14ac:dyDescent="0.3">
      <c r="A399" s="96">
        <v>397</v>
      </c>
      <c r="B399" s="135">
        <v>1550</v>
      </c>
      <c r="C399" s="136">
        <v>45777</v>
      </c>
      <c r="D399" s="290" t="s">
        <v>2235</v>
      </c>
      <c r="E399" s="111" t="s">
        <v>1</v>
      </c>
      <c r="F399" s="125" t="s">
        <v>10</v>
      </c>
      <c r="G399" s="183">
        <v>45777</v>
      </c>
      <c r="H399" s="137"/>
      <c r="I399" s="125" t="s">
        <v>125</v>
      </c>
      <c r="J399" s="128"/>
      <c r="K399" s="128"/>
      <c r="L399" s="129"/>
      <c r="M399" s="130"/>
      <c r="N399" s="130"/>
      <c r="O399" s="131"/>
      <c r="P399" s="83">
        <v>45782</v>
      </c>
      <c r="Q399" s="89">
        <f t="shared" si="12"/>
        <v>1.0001092251567381</v>
      </c>
      <c r="R399" s="101" t="s">
        <v>216</v>
      </c>
      <c r="S399" s="56"/>
    </row>
    <row r="400" spans="1:19" ht="57.6" x14ac:dyDescent="0.3">
      <c r="A400" s="96">
        <v>398</v>
      </c>
      <c r="B400" s="123">
        <v>1550</v>
      </c>
      <c r="C400" s="252">
        <v>45777</v>
      </c>
      <c r="D400" s="36" t="s">
        <v>2236</v>
      </c>
      <c r="E400" s="179" t="s">
        <v>1314</v>
      </c>
      <c r="F400" s="125" t="s">
        <v>4</v>
      </c>
      <c r="G400" s="183">
        <v>45777</v>
      </c>
      <c r="H400" s="137"/>
      <c r="I400" s="100" t="s">
        <v>253</v>
      </c>
      <c r="J400" s="27"/>
      <c r="K400" s="28"/>
      <c r="L400" s="51"/>
      <c r="M400" s="29"/>
      <c r="N400" s="30"/>
      <c r="O400" s="54"/>
      <c r="P400" s="132">
        <v>45782</v>
      </c>
      <c r="Q400" s="89">
        <f t="shared" si="12"/>
        <v>1.0001092251567381</v>
      </c>
      <c r="R400" s="101"/>
      <c r="S400" s="56"/>
    </row>
    <row r="401" spans="1:19" x14ac:dyDescent="0.3">
      <c r="A401" s="96">
        <v>399</v>
      </c>
      <c r="B401" s="135" t="s">
        <v>1044</v>
      </c>
      <c r="C401" s="251">
        <v>45775</v>
      </c>
      <c r="D401" s="109" t="s">
        <v>2237</v>
      </c>
      <c r="E401" s="267" t="s">
        <v>17</v>
      </c>
      <c r="F401" s="127" t="s">
        <v>4</v>
      </c>
      <c r="G401" s="183">
        <v>45775</v>
      </c>
      <c r="H401" s="134"/>
      <c r="I401" s="37" t="s">
        <v>82</v>
      </c>
      <c r="J401" s="27"/>
      <c r="K401" s="28"/>
      <c r="L401" s="51"/>
      <c r="M401" s="29"/>
      <c r="N401" s="30"/>
      <c r="O401" s="54"/>
      <c r="P401" s="83">
        <v>45782</v>
      </c>
      <c r="Q401" s="89">
        <f t="shared" si="12"/>
        <v>1.0001529219006007</v>
      </c>
      <c r="R401" s="101"/>
      <c r="S401" s="56"/>
    </row>
    <row r="402" spans="1:19" ht="57.6" x14ac:dyDescent="0.3">
      <c r="A402" s="96">
        <v>400</v>
      </c>
      <c r="B402" s="135">
        <v>1550</v>
      </c>
      <c r="C402" s="136">
        <v>45776</v>
      </c>
      <c r="D402" s="707" t="s">
        <v>2238</v>
      </c>
      <c r="E402" s="111" t="s">
        <v>17</v>
      </c>
      <c r="F402" s="125" t="s">
        <v>10</v>
      </c>
      <c r="G402" s="183">
        <v>45776</v>
      </c>
      <c r="H402" s="137"/>
      <c r="I402" s="37" t="s">
        <v>82</v>
      </c>
      <c r="J402" s="27"/>
      <c r="K402" s="50"/>
      <c r="L402" s="51"/>
      <c r="M402" s="29"/>
      <c r="N402" s="30"/>
      <c r="O402" s="54"/>
      <c r="P402" s="83">
        <v>45782</v>
      </c>
      <c r="Q402" s="89">
        <f t="shared" si="12"/>
        <v>1.0001310730513806</v>
      </c>
      <c r="R402" s="101" t="s">
        <v>2111</v>
      </c>
      <c r="S402" s="56"/>
    </row>
    <row r="403" spans="1:19" ht="28.8" x14ac:dyDescent="0.3">
      <c r="A403" s="96">
        <v>401</v>
      </c>
      <c r="B403" s="135">
        <v>1550</v>
      </c>
      <c r="C403" s="136">
        <v>45777</v>
      </c>
      <c r="D403" s="175" t="s">
        <v>2239</v>
      </c>
      <c r="E403" s="111" t="s">
        <v>15</v>
      </c>
      <c r="F403" s="125" t="s">
        <v>4</v>
      </c>
      <c r="G403" s="183">
        <v>45777</v>
      </c>
      <c r="H403" s="137"/>
      <c r="I403" s="100" t="s">
        <v>253</v>
      </c>
      <c r="J403" s="233" t="s">
        <v>262</v>
      </c>
      <c r="K403" s="128"/>
      <c r="L403" s="129"/>
      <c r="M403" s="130"/>
      <c r="N403" s="130"/>
      <c r="O403" s="131"/>
      <c r="P403" s="83">
        <v>45782</v>
      </c>
      <c r="Q403" s="89">
        <f t="shared" ref="Q403:Q428" si="13">P403/G403</f>
        <v>1.0001092251567381</v>
      </c>
      <c r="R403" s="101"/>
      <c r="S403" s="168"/>
    </row>
    <row r="404" spans="1:19" ht="28.8" x14ac:dyDescent="0.3">
      <c r="A404" s="96">
        <v>402</v>
      </c>
      <c r="B404" s="135" t="s">
        <v>1044</v>
      </c>
      <c r="C404" s="136">
        <v>45777</v>
      </c>
      <c r="D404" s="175" t="s">
        <v>2240</v>
      </c>
      <c r="E404" s="126" t="s">
        <v>17</v>
      </c>
      <c r="F404" s="125" t="s">
        <v>4</v>
      </c>
      <c r="G404" s="183">
        <v>45777</v>
      </c>
      <c r="H404" s="134"/>
      <c r="I404" s="37" t="s">
        <v>82</v>
      </c>
      <c r="J404" s="27"/>
      <c r="K404" s="28"/>
      <c r="L404" s="51"/>
      <c r="M404" s="29"/>
      <c r="N404" s="30"/>
      <c r="O404" s="54"/>
      <c r="P404" s="83">
        <v>45782</v>
      </c>
      <c r="Q404" s="89">
        <f t="shared" si="13"/>
        <v>1.0001092251567381</v>
      </c>
      <c r="R404" s="101"/>
      <c r="S404" s="56"/>
    </row>
    <row r="405" spans="1:19" ht="86.4" x14ac:dyDescent="0.3">
      <c r="A405" s="96">
        <v>403</v>
      </c>
      <c r="B405" s="135">
        <v>1550</v>
      </c>
      <c r="C405" s="136">
        <v>45772</v>
      </c>
      <c r="D405" s="60" t="s">
        <v>2241</v>
      </c>
      <c r="E405" s="126" t="s">
        <v>3</v>
      </c>
      <c r="F405" s="127" t="s">
        <v>10</v>
      </c>
      <c r="G405" s="183">
        <v>45772</v>
      </c>
      <c r="H405" s="134"/>
      <c r="I405" s="37" t="s">
        <v>82</v>
      </c>
      <c r="J405" s="27"/>
      <c r="K405" s="28"/>
      <c r="L405" s="51"/>
      <c r="M405" s="29"/>
      <c r="N405" s="30"/>
      <c r="O405" s="54"/>
      <c r="P405" s="83">
        <v>45783</v>
      </c>
      <c r="Q405" s="89">
        <f t="shared" si="13"/>
        <v>1.0002403215939877</v>
      </c>
      <c r="R405" s="101" t="s">
        <v>1769</v>
      </c>
      <c r="S405" s="56"/>
    </row>
    <row r="406" spans="1:19" ht="57.6" x14ac:dyDescent="0.3">
      <c r="A406" s="96">
        <v>404</v>
      </c>
      <c r="B406" s="135">
        <v>1550</v>
      </c>
      <c r="C406" s="136">
        <v>45777</v>
      </c>
      <c r="D406" s="36" t="s">
        <v>2242</v>
      </c>
      <c r="E406" s="111" t="s">
        <v>1314</v>
      </c>
      <c r="F406" s="125" t="s">
        <v>4</v>
      </c>
      <c r="G406" s="183">
        <v>45777</v>
      </c>
      <c r="H406" s="137"/>
      <c r="I406" s="100" t="s">
        <v>253</v>
      </c>
      <c r="J406" s="27"/>
      <c r="K406" s="28"/>
      <c r="L406" s="51"/>
      <c r="M406" s="29"/>
      <c r="N406" s="30"/>
      <c r="O406" s="54"/>
      <c r="P406" s="83">
        <v>45783</v>
      </c>
      <c r="Q406" s="89">
        <f t="shared" si="13"/>
        <v>1.0001310701880857</v>
      </c>
      <c r="R406" s="101"/>
      <c r="S406" s="168"/>
    </row>
    <row r="407" spans="1:19" x14ac:dyDescent="0.3">
      <c r="A407" s="96">
        <v>405</v>
      </c>
      <c r="B407" s="135" t="s">
        <v>1044</v>
      </c>
      <c r="C407" s="136">
        <v>45776</v>
      </c>
      <c r="D407" s="175" t="s">
        <v>2243</v>
      </c>
      <c r="E407" s="111" t="s">
        <v>3</v>
      </c>
      <c r="F407" s="125" t="s">
        <v>4</v>
      </c>
      <c r="G407" s="183">
        <v>45776</v>
      </c>
      <c r="H407" s="140"/>
      <c r="I407" s="37" t="s">
        <v>82</v>
      </c>
      <c r="J407" s="27"/>
      <c r="K407" s="28"/>
      <c r="L407" s="51"/>
      <c r="M407" s="29"/>
      <c r="N407" s="30"/>
      <c r="O407" s="54"/>
      <c r="P407" s="83">
        <v>45784</v>
      </c>
      <c r="Q407" s="89">
        <f t="shared" si="13"/>
        <v>1.0001747640685075</v>
      </c>
      <c r="R407" s="101"/>
      <c r="S407" s="56"/>
    </row>
    <row r="408" spans="1:19" ht="28.8" x14ac:dyDescent="0.3">
      <c r="A408" s="96">
        <v>406</v>
      </c>
      <c r="B408" s="135" t="s">
        <v>301</v>
      </c>
      <c r="C408" s="136">
        <v>45777</v>
      </c>
      <c r="D408" s="175" t="s">
        <v>2244</v>
      </c>
      <c r="E408" s="111" t="s">
        <v>3</v>
      </c>
      <c r="F408" s="125" t="s">
        <v>8</v>
      </c>
      <c r="G408" s="183">
        <v>45777</v>
      </c>
      <c r="H408" s="137"/>
      <c r="I408" s="37" t="s">
        <v>82</v>
      </c>
      <c r="J408" s="128"/>
      <c r="K408" s="128"/>
      <c r="L408" s="129"/>
      <c r="M408" s="130"/>
      <c r="N408" s="130"/>
      <c r="O408" s="131"/>
      <c r="P408" s="83">
        <v>45784</v>
      </c>
      <c r="Q408" s="89">
        <f t="shared" si="13"/>
        <v>1.0001529152194333</v>
      </c>
      <c r="R408" s="101" t="s">
        <v>94</v>
      </c>
      <c r="S408" s="168"/>
    </row>
    <row r="409" spans="1:19" ht="72" x14ac:dyDescent="0.3">
      <c r="A409" s="96">
        <v>407</v>
      </c>
      <c r="B409" s="135" t="s">
        <v>1044</v>
      </c>
      <c r="C409" s="136">
        <v>45769</v>
      </c>
      <c r="D409" s="109" t="s">
        <v>2245</v>
      </c>
      <c r="E409" s="126" t="s">
        <v>17</v>
      </c>
      <c r="F409" s="127" t="s">
        <v>4</v>
      </c>
      <c r="G409" s="183">
        <v>45769</v>
      </c>
      <c r="H409" s="134"/>
      <c r="I409" s="37" t="s">
        <v>82</v>
      </c>
      <c r="J409" s="27"/>
      <c r="K409" s="28"/>
      <c r="L409" s="51"/>
      <c r="M409" s="29"/>
      <c r="N409" s="30"/>
      <c r="O409" s="54"/>
      <c r="P409" s="132">
        <v>45784</v>
      </c>
      <c r="Q409" s="89">
        <f t="shared" si="13"/>
        <v>1.000327732744871</v>
      </c>
      <c r="R409" s="101"/>
      <c r="S409" s="56"/>
    </row>
    <row r="410" spans="1:19" ht="28.8" x14ac:dyDescent="0.3">
      <c r="A410" s="96">
        <v>408</v>
      </c>
      <c r="B410" s="123" t="s">
        <v>1044</v>
      </c>
      <c r="C410" s="124">
        <v>45770</v>
      </c>
      <c r="D410" s="109" t="s">
        <v>2246</v>
      </c>
      <c r="E410" s="126" t="s">
        <v>17</v>
      </c>
      <c r="F410" s="127" t="s">
        <v>4</v>
      </c>
      <c r="G410" s="183">
        <v>45770</v>
      </c>
      <c r="H410" s="134">
        <v>10000284236</v>
      </c>
      <c r="I410" s="37" t="s">
        <v>82</v>
      </c>
      <c r="J410" s="27"/>
      <c r="K410" s="50"/>
      <c r="L410" s="51"/>
      <c r="M410" s="29"/>
      <c r="N410" s="30"/>
      <c r="O410" s="54"/>
      <c r="P410" s="83">
        <v>45784</v>
      </c>
      <c r="Q410" s="89">
        <f t="shared" si="13"/>
        <v>1.0003058772121476</v>
      </c>
      <c r="R410" s="101"/>
      <c r="S410" s="56"/>
    </row>
    <row r="411" spans="1:19" x14ac:dyDescent="0.3">
      <c r="A411" s="96">
        <v>409</v>
      </c>
      <c r="B411" s="135" t="s">
        <v>1044</v>
      </c>
      <c r="C411" s="136">
        <v>45776</v>
      </c>
      <c r="D411" s="175" t="s">
        <v>2247</v>
      </c>
      <c r="E411" s="111" t="s">
        <v>17</v>
      </c>
      <c r="F411" s="125" t="s">
        <v>4</v>
      </c>
      <c r="G411" s="183">
        <v>45776</v>
      </c>
      <c r="H411" s="139">
        <v>10000286514</v>
      </c>
      <c r="I411" s="37" t="s">
        <v>82</v>
      </c>
      <c r="J411" s="27"/>
      <c r="K411" s="28"/>
      <c r="L411" s="51"/>
      <c r="M411" s="29"/>
      <c r="N411" s="30"/>
      <c r="O411" s="54"/>
      <c r="P411" s="83">
        <v>45784</v>
      </c>
      <c r="Q411" s="89">
        <f t="shared" si="13"/>
        <v>1.0001747640685075</v>
      </c>
      <c r="R411" s="101"/>
      <c r="S411" s="56"/>
    </row>
    <row r="412" spans="1:19" ht="86.4" x14ac:dyDescent="0.3">
      <c r="A412" s="96">
        <v>410</v>
      </c>
      <c r="B412" s="135">
        <v>1550</v>
      </c>
      <c r="C412" s="136">
        <v>45776</v>
      </c>
      <c r="D412" s="254" t="s">
        <v>2248</v>
      </c>
      <c r="E412" s="111" t="s">
        <v>17</v>
      </c>
      <c r="F412" s="125" t="s">
        <v>10</v>
      </c>
      <c r="G412" s="183">
        <v>45776</v>
      </c>
      <c r="H412" s="137">
        <v>10000286510</v>
      </c>
      <c r="I412" s="37" t="s">
        <v>82</v>
      </c>
      <c r="J412" s="27"/>
      <c r="K412" s="28"/>
      <c r="L412" s="51"/>
      <c r="M412" s="29"/>
      <c r="N412" s="30"/>
      <c r="O412" s="54"/>
      <c r="P412" s="83">
        <v>45784</v>
      </c>
      <c r="Q412" s="89">
        <f t="shared" si="13"/>
        <v>1.0001747640685075</v>
      </c>
      <c r="R412" s="101" t="s">
        <v>214</v>
      </c>
      <c r="S412" s="56"/>
    </row>
    <row r="413" spans="1:19" ht="72" x14ac:dyDescent="0.3">
      <c r="A413" s="96">
        <v>411</v>
      </c>
      <c r="B413" s="135">
        <v>1550</v>
      </c>
      <c r="C413" s="136">
        <v>45758</v>
      </c>
      <c r="D413" s="60" t="s">
        <v>2249</v>
      </c>
      <c r="E413" s="111" t="s">
        <v>14</v>
      </c>
      <c r="F413" s="127" t="s">
        <v>10</v>
      </c>
      <c r="G413" s="183">
        <v>45758</v>
      </c>
      <c r="H413" s="137"/>
      <c r="I413" s="100" t="s">
        <v>253</v>
      </c>
      <c r="J413" s="27"/>
      <c r="K413" s="28"/>
      <c r="L413" s="51"/>
      <c r="M413" s="29"/>
      <c r="N413" s="30"/>
      <c r="O413" s="54"/>
      <c r="P413" s="83">
        <v>45785</v>
      </c>
      <c r="Q413" s="89">
        <f t="shared" si="13"/>
        <v>1.0005900607544036</v>
      </c>
      <c r="R413" s="101" t="s">
        <v>2209</v>
      </c>
      <c r="S413" s="56"/>
    </row>
    <row r="414" spans="1:19" ht="187.2" x14ac:dyDescent="0.3">
      <c r="A414" s="96">
        <v>412</v>
      </c>
      <c r="B414" s="123">
        <v>1550</v>
      </c>
      <c r="C414" s="206">
        <v>45762</v>
      </c>
      <c r="D414" s="109" t="s">
        <v>2250</v>
      </c>
      <c r="E414" s="126" t="s">
        <v>21</v>
      </c>
      <c r="F414" s="127" t="s">
        <v>6</v>
      </c>
      <c r="G414" s="183">
        <v>45762</v>
      </c>
      <c r="H414" s="134"/>
      <c r="I414" s="125" t="s">
        <v>99</v>
      </c>
      <c r="J414" s="128"/>
      <c r="K414" s="128"/>
      <c r="L414" s="129"/>
      <c r="M414" s="130"/>
      <c r="N414" s="130"/>
      <c r="O414" s="131"/>
      <c r="P414" s="83">
        <v>45785</v>
      </c>
      <c r="Q414" s="89">
        <f t="shared" si="13"/>
        <v>1.0005026004108213</v>
      </c>
      <c r="R414" s="101" t="s">
        <v>1927</v>
      </c>
      <c r="S414" s="168"/>
    </row>
    <row r="415" spans="1:19" ht="43.2" x14ac:dyDescent="0.3">
      <c r="A415" s="96">
        <v>413</v>
      </c>
      <c r="B415" s="123">
        <v>1550</v>
      </c>
      <c r="C415" s="124">
        <v>45771</v>
      </c>
      <c r="D415" s="109" t="s">
        <v>2251</v>
      </c>
      <c r="E415" s="126" t="s">
        <v>1</v>
      </c>
      <c r="F415" s="127" t="s">
        <v>8</v>
      </c>
      <c r="G415" s="183">
        <v>45771</v>
      </c>
      <c r="H415" s="134"/>
      <c r="I415" s="100" t="s">
        <v>253</v>
      </c>
      <c r="J415" s="233" t="s">
        <v>262</v>
      </c>
      <c r="K415" s="128"/>
      <c r="L415" s="519" t="s">
        <v>1882</v>
      </c>
      <c r="M415" s="130"/>
      <c r="N415" s="130"/>
      <c r="O415" s="131"/>
      <c r="P415" s="132">
        <v>45785</v>
      </c>
      <c r="Q415" s="89">
        <f t="shared" si="13"/>
        <v>1.0003058705293746</v>
      </c>
      <c r="R415" s="101" t="s">
        <v>1912</v>
      </c>
      <c r="S415" s="168"/>
    </row>
    <row r="416" spans="1:19" ht="72" x14ac:dyDescent="0.3">
      <c r="A416" s="96">
        <v>414</v>
      </c>
      <c r="B416" s="135">
        <v>1550</v>
      </c>
      <c r="C416" s="136">
        <v>45772</v>
      </c>
      <c r="D416" s="109" t="s">
        <v>2252</v>
      </c>
      <c r="E416" s="111" t="s">
        <v>3</v>
      </c>
      <c r="F416" s="125" t="s">
        <v>4</v>
      </c>
      <c r="G416" s="183">
        <v>45772</v>
      </c>
      <c r="H416" s="137"/>
      <c r="I416" s="37" t="s">
        <v>82</v>
      </c>
      <c r="J416" s="27"/>
      <c r="K416" s="28"/>
      <c r="L416" s="51"/>
      <c r="M416" s="29"/>
      <c r="N416" s="30"/>
      <c r="O416" s="54"/>
      <c r="P416" s="83">
        <v>45785</v>
      </c>
      <c r="Q416" s="89">
        <f t="shared" si="13"/>
        <v>1.0002840164292581</v>
      </c>
      <c r="R416" s="101"/>
      <c r="S416" s="56"/>
    </row>
    <row r="417" spans="1:19" ht="28.8" x14ac:dyDescent="0.3">
      <c r="A417" s="96">
        <v>415</v>
      </c>
      <c r="B417" s="135">
        <v>1550</v>
      </c>
      <c r="C417" s="136">
        <v>45776</v>
      </c>
      <c r="D417" s="161" t="s">
        <v>2253</v>
      </c>
      <c r="E417" s="111" t="s">
        <v>3</v>
      </c>
      <c r="F417" s="125" t="s">
        <v>4</v>
      </c>
      <c r="G417" s="183">
        <v>45776</v>
      </c>
      <c r="H417" s="140">
        <v>10000285616</v>
      </c>
      <c r="I417" s="37" t="s">
        <v>82</v>
      </c>
      <c r="J417" s="27"/>
      <c r="K417" s="28"/>
      <c r="L417" s="51"/>
      <c r="M417" s="29"/>
      <c r="N417" s="30"/>
      <c r="O417" s="54"/>
      <c r="P417" s="83">
        <v>45785</v>
      </c>
      <c r="Q417" s="89">
        <f t="shared" si="13"/>
        <v>1.0001966095770709</v>
      </c>
      <c r="R417" s="101"/>
      <c r="S417" s="56"/>
    </row>
    <row r="418" spans="1:19" ht="28.8" x14ac:dyDescent="0.3">
      <c r="A418" s="96">
        <v>416</v>
      </c>
      <c r="B418" s="135">
        <v>1550</v>
      </c>
      <c r="C418" s="136">
        <v>45777</v>
      </c>
      <c r="D418" s="161" t="s">
        <v>2254</v>
      </c>
      <c r="E418" s="111" t="s">
        <v>32</v>
      </c>
      <c r="F418" s="125" t="s">
        <v>4</v>
      </c>
      <c r="G418" s="183">
        <v>45777</v>
      </c>
      <c r="H418" s="137"/>
      <c r="I418" s="125" t="s">
        <v>106</v>
      </c>
      <c r="J418" s="128"/>
      <c r="K418" s="128"/>
      <c r="L418" s="129"/>
      <c r="M418" s="130"/>
      <c r="N418" s="130"/>
      <c r="O418" s="131"/>
      <c r="P418" s="83">
        <v>45785</v>
      </c>
      <c r="Q418" s="89">
        <f t="shared" si="13"/>
        <v>1.0001747602507809</v>
      </c>
      <c r="R418" s="101"/>
      <c r="S418" s="168"/>
    </row>
    <row r="419" spans="1:19" ht="43.2" x14ac:dyDescent="0.3">
      <c r="A419" s="96">
        <v>417</v>
      </c>
      <c r="B419" s="123" t="s">
        <v>1044</v>
      </c>
      <c r="C419" s="124">
        <v>45770</v>
      </c>
      <c r="D419" s="109" t="s">
        <v>2255</v>
      </c>
      <c r="E419" s="126" t="s">
        <v>17</v>
      </c>
      <c r="F419" s="127" t="s">
        <v>4</v>
      </c>
      <c r="G419" s="183">
        <v>45770</v>
      </c>
      <c r="H419" s="134"/>
      <c r="I419" s="37" t="s">
        <v>82</v>
      </c>
      <c r="J419" s="128"/>
      <c r="K419" s="128"/>
      <c r="L419" s="129"/>
      <c r="M419" s="130"/>
      <c r="N419" s="130"/>
      <c r="O419" s="131"/>
      <c r="P419" s="132">
        <v>45785</v>
      </c>
      <c r="Q419" s="89">
        <f t="shared" si="13"/>
        <v>1.000327725584444</v>
      </c>
      <c r="R419" s="101"/>
      <c r="S419" s="168"/>
    </row>
    <row r="420" spans="1:19" ht="43.2" x14ac:dyDescent="0.3">
      <c r="A420" s="96">
        <v>418</v>
      </c>
      <c r="B420" s="135" t="s">
        <v>1044</v>
      </c>
      <c r="C420" s="136">
        <v>45772</v>
      </c>
      <c r="D420" s="110" t="s">
        <v>2256</v>
      </c>
      <c r="E420" s="126" t="s">
        <v>48</v>
      </c>
      <c r="F420" s="127" t="s">
        <v>4</v>
      </c>
      <c r="G420" s="183">
        <v>45772</v>
      </c>
      <c r="H420" s="134"/>
      <c r="I420" s="100" t="s">
        <v>253</v>
      </c>
      <c r="J420" s="27"/>
      <c r="K420" s="28"/>
      <c r="L420" s="51"/>
      <c r="M420" s="29"/>
      <c r="N420" s="30"/>
      <c r="O420" s="54"/>
      <c r="P420" s="132">
        <v>45785</v>
      </c>
      <c r="Q420" s="89">
        <f t="shared" si="13"/>
        <v>1.0002840164292581</v>
      </c>
      <c r="R420" s="101" t="s">
        <v>1800</v>
      </c>
      <c r="S420" s="56" t="s">
        <v>2257</v>
      </c>
    </row>
    <row r="421" spans="1:19" ht="57.6" x14ac:dyDescent="0.3">
      <c r="A421" s="96">
        <v>419</v>
      </c>
      <c r="B421" s="135">
        <v>1550</v>
      </c>
      <c r="C421" s="136">
        <v>45772</v>
      </c>
      <c r="D421" s="262" t="s">
        <v>2258</v>
      </c>
      <c r="E421" s="111" t="s">
        <v>14</v>
      </c>
      <c r="F421" s="127" t="s">
        <v>10</v>
      </c>
      <c r="G421" s="183">
        <v>45772</v>
      </c>
      <c r="H421" s="137"/>
      <c r="I421" s="100" t="s">
        <v>253</v>
      </c>
      <c r="J421" s="27"/>
      <c r="K421" s="28"/>
      <c r="L421" s="51"/>
      <c r="M421" s="29"/>
      <c r="N421" s="30"/>
      <c r="O421" s="54"/>
      <c r="P421" s="83">
        <v>45789</v>
      </c>
      <c r="Q421" s="89">
        <f t="shared" si="13"/>
        <v>1.000371406099799</v>
      </c>
      <c r="R421" s="101" t="s">
        <v>2213</v>
      </c>
      <c r="S421" s="56"/>
    </row>
    <row r="422" spans="1:19" ht="28.8" x14ac:dyDescent="0.3">
      <c r="A422" s="96">
        <v>420</v>
      </c>
      <c r="B422" s="135">
        <v>1550</v>
      </c>
      <c r="C422" s="404">
        <v>45777</v>
      </c>
      <c r="D422" s="403" t="s">
        <v>2259</v>
      </c>
      <c r="E422" s="111" t="s">
        <v>23</v>
      </c>
      <c r="F422" s="125" t="s">
        <v>10</v>
      </c>
      <c r="G422" s="183">
        <v>45777</v>
      </c>
      <c r="H422" s="137"/>
      <c r="I422" s="125" t="s">
        <v>135</v>
      </c>
      <c r="J422" s="27"/>
      <c r="K422" s="28"/>
      <c r="L422" s="51"/>
      <c r="M422" s="29"/>
      <c r="N422" s="30"/>
      <c r="O422" s="54"/>
      <c r="P422" s="83">
        <v>45789</v>
      </c>
      <c r="Q422" s="89">
        <f t="shared" si="13"/>
        <v>1.0002621403761713</v>
      </c>
      <c r="R422" s="101" t="s">
        <v>214</v>
      </c>
      <c r="S422" s="56"/>
    </row>
    <row r="423" spans="1:19" ht="100.8" x14ac:dyDescent="0.3">
      <c r="A423" s="96">
        <v>421</v>
      </c>
      <c r="B423" s="135">
        <v>1550</v>
      </c>
      <c r="C423" s="136">
        <v>45758</v>
      </c>
      <c r="D423" s="262" t="s">
        <v>2260</v>
      </c>
      <c r="E423" s="111" t="s">
        <v>35</v>
      </c>
      <c r="F423" s="127" t="s">
        <v>10</v>
      </c>
      <c r="G423" s="183">
        <v>45758</v>
      </c>
      <c r="H423" s="134"/>
      <c r="I423" s="125" t="s">
        <v>159</v>
      </c>
      <c r="J423" s="128"/>
      <c r="K423" s="128"/>
      <c r="L423" s="129"/>
      <c r="M423" s="130"/>
      <c r="N423" s="130"/>
      <c r="O423" s="131"/>
      <c r="P423" s="83">
        <v>45797</v>
      </c>
      <c r="Q423" s="89">
        <f t="shared" si="13"/>
        <v>1.0008523099785829</v>
      </c>
      <c r="R423" s="101" t="s">
        <v>1821</v>
      </c>
      <c r="S423" s="57" t="s">
        <v>2261</v>
      </c>
    </row>
    <row r="424" spans="1:19" ht="86.4" x14ac:dyDescent="0.3">
      <c r="A424" s="96">
        <v>422</v>
      </c>
      <c r="B424" s="135">
        <v>1550</v>
      </c>
      <c r="C424" s="404">
        <v>45775</v>
      </c>
      <c r="D424" s="403" t="s">
        <v>2262</v>
      </c>
      <c r="E424" s="405" t="s">
        <v>39</v>
      </c>
      <c r="F424" s="127" t="s">
        <v>10</v>
      </c>
      <c r="G424" s="183">
        <v>45775</v>
      </c>
      <c r="H424" s="137">
        <v>10000285466</v>
      </c>
      <c r="I424" s="125" t="s">
        <v>135</v>
      </c>
      <c r="J424" s="27"/>
      <c r="K424" s="28"/>
      <c r="L424" s="51"/>
      <c r="M424" s="29"/>
      <c r="N424" s="30"/>
      <c r="O424" s="54"/>
      <c r="P424" s="83">
        <v>45797</v>
      </c>
      <c r="Q424" s="89">
        <f t="shared" si="13"/>
        <v>1.0004806116876024</v>
      </c>
      <c r="R424" s="101" t="s">
        <v>1780</v>
      </c>
      <c r="S424" s="56"/>
    </row>
    <row r="425" spans="1:19" x14ac:dyDescent="0.3">
      <c r="A425" s="96">
        <v>423</v>
      </c>
      <c r="B425" s="135" t="s">
        <v>1044</v>
      </c>
      <c r="C425" s="136">
        <v>45776</v>
      </c>
      <c r="D425" s="212" t="s">
        <v>2263</v>
      </c>
      <c r="E425" s="111" t="s">
        <v>17</v>
      </c>
      <c r="F425" s="125" t="s">
        <v>4</v>
      </c>
      <c r="G425" s="183">
        <v>45776</v>
      </c>
      <c r="H425" s="139"/>
      <c r="I425" s="37" t="s">
        <v>82</v>
      </c>
      <c r="J425" s="27"/>
      <c r="K425" s="28"/>
      <c r="L425" s="51"/>
      <c r="M425" s="29"/>
      <c r="N425" s="30"/>
      <c r="O425" s="54"/>
      <c r="P425" s="83">
        <v>45803</v>
      </c>
      <c r="Q425" s="89">
        <f t="shared" si="13"/>
        <v>1.0005898287312129</v>
      </c>
      <c r="R425" s="101"/>
      <c r="S425" s="56"/>
    </row>
    <row r="426" spans="1:19" ht="72" x14ac:dyDescent="0.3">
      <c r="A426" s="96">
        <v>424</v>
      </c>
      <c r="B426" s="406">
        <v>1550</v>
      </c>
      <c r="C426" s="404">
        <v>45772</v>
      </c>
      <c r="D426" s="407" t="s">
        <v>2264</v>
      </c>
      <c r="E426" s="709" t="s">
        <v>15</v>
      </c>
      <c r="F426" s="709" t="s">
        <v>10</v>
      </c>
      <c r="G426" s="408">
        <v>45772</v>
      </c>
      <c r="H426" s="134"/>
      <c r="I426" s="125" t="s">
        <v>99</v>
      </c>
      <c r="J426" s="27"/>
      <c r="K426" s="28"/>
      <c r="L426" s="51"/>
      <c r="M426" s="29"/>
      <c r="N426" s="30"/>
      <c r="O426" s="54"/>
      <c r="P426" s="83">
        <v>45807</v>
      </c>
      <c r="Q426" s="89">
        <f t="shared" si="13"/>
        <v>1.0007646596172333</v>
      </c>
      <c r="R426" s="101" t="s">
        <v>214</v>
      </c>
      <c r="S426" s="56"/>
    </row>
    <row r="427" spans="1:19" ht="28.8" x14ac:dyDescent="0.3">
      <c r="A427" s="96">
        <v>425</v>
      </c>
      <c r="B427" s="135" t="s">
        <v>1044</v>
      </c>
      <c r="C427" s="124">
        <v>45770</v>
      </c>
      <c r="D427" s="472" t="s">
        <v>2265</v>
      </c>
      <c r="E427" s="111" t="s">
        <v>17</v>
      </c>
      <c r="F427" s="127" t="s">
        <v>4</v>
      </c>
      <c r="G427" s="183">
        <v>45770</v>
      </c>
      <c r="H427" s="134">
        <v>10000284229</v>
      </c>
      <c r="I427" s="37" t="s">
        <v>82</v>
      </c>
      <c r="J427" s="27"/>
      <c r="K427" s="28"/>
      <c r="L427" s="51"/>
      <c r="M427" s="29"/>
      <c r="N427" s="30"/>
      <c r="O427" s="54"/>
      <c r="P427" s="132">
        <v>45867</v>
      </c>
      <c r="Q427" s="89">
        <f t="shared" si="13"/>
        <v>1.0021192921127375</v>
      </c>
      <c r="R427" s="101"/>
      <c r="S427" s="719" t="s">
        <v>2266</v>
      </c>
    </row>
    <row r="428" spans="1:19" ht="43.2" x14ac:dyDescent="0.3">
      <c r="A428" s="96">
        <v>426</v>
      </c>
      <c r="B428" s="135" t="s">
        <v>1044</v>
      </c>
      <c r="C428" s="251">
        <v>45776</v>
      </c>
      <c r="D428" s="175" t="s">
        <v>2267</v>
      </c>
      <c r="E428" s="179" t="s">
        <v>17</v>
      </c>
      <c r="F428" s="125" t="s">
        <v>4</v>
      </c>
      <c r="G428" s="183">
        <v>45776</v>
      </c>
      <c r="H428" s="139">
        <v>10000286530</v>
      </c>
      <c r="I428" s="37" t="s">
        <v>82</v>
      </c>
      <c r="J428" s="27"/>
      <c r="K428" s="28"/>
      <c r="L428" s="51"/>
      <c r="M428" s="29"/>
      <c r="N428" s="30"/>
      <c r="O428" s="54"/>
      <c r="P428" s="83">
        <v>45868</v>
      </c>
      <c r="Q428" s="89">
        <f t="shared" si="13"/>
        <v>1.0020097867878364</v>
      </c>
      <c r="R428" s="101"/>
      <c r="S428" s="719" t="s">
        <v>2266</v>
      </c>
    </row>
  </sheetData>
  <autoFilter ref="B2:S428" xr:uid="{26EE0377-1EE5-437F-8E35-391948F425B0}">
    <sortState xmlns:xlrd2="http://schemas.microsoft.com/office/spreadsheetml/2017/richdata2" ref="B3:S428">
      <sortCondition ref="P2:P428"/>
    </sortState>
  </autoFilter>
  <mergeCells count="1">
    <mergeCell ref="F1:O1"/>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D4F7F8DC-F6EF-4EDB-94F8-ABF49C673214}">
          <x14:formula1>
            <xm:f>'Conceptos de Tipificación'!$E$4:$E$7</xm:f>
          </x14:formula1>
          <xm:sqref>F3:F428</xm:sqref>
        </x14:dataValidation>
        <x14:dataValidation type="list" allowBlank="1" showInputMessage="1" showErrorMessage="1" xr:uid="{4CF91698-BA9A-476C-9A30-8D02BB344B6F}">
          <x14:formula1>
            <xm:f>'Conceptos de Tipificación'!$A$3:$A$53</xm:f>
          </x14:formula1>
          <xm:sqref>E3:E428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2579F-E546-49A0-A18C-C8A992920723}">
  <sheetPr>
    <tabColor rgb="FF92D050"/>
  </sheetPr>
  <dimension ref="A1:T883"/>
  <sheetViews>
    <sheetView topLeftCell="E1" workbookViewId="0">
      <selection activeCell="A707" sqref="A707:XFD707"/>
    </sheetView>
  </sheetViews>
  <sheetFormatPr baseColWidth="10" defaultColWidth="9.109375" defaultRowHeight="14.4" x14ac:dyDescent="0.3"/>
  <cols>
    <col min="1" max="1" width="4.109375" bestFit="1" customWidth="1"/>
    <col min="2" max="4" width="12.6640625" customWidth="1"/>
    <col min="5" max="5" width="27" customWidth="1"/>
    <col min="6" max="6" width="13.6640625" customWidth="1"/>
    <col min="7" max="19" width="14.5546875" customWidth="1"/>
    <col min="20" max="20" width="30.88671875" customWidth="1"/>
  </cols>
  <sheetData>
    <row r="1" spans="1:20" ht="15" customHeight="1" x14ac:dyDescent="0.3">
      <c r="B1" s="857" t="s">
        <v>2268</v>
      </c>
      <c r="C1" s="857"/>
      <c r="D1" s="857"/>
      <c r="E1" s="857"/>
      <c r="F1" s="857"/>
      <c r="G1" s="857"/>
      <c r="H1" s="857"/>
      <c r="I1" s="857"/>
      <c r="J1" s="857"/>
      <c r="K1" s="857"/>
      <c r="L1" s="857"/>
      <c r="M1" s="857"/>
      <c r="N1" s="857"/>
      <c r="O1" s="857"/>
      <c r="P1" s="857"/>
      <c r="Q1" s="857"/>
      <c r="R1" s="857"/>
      <c r="S1" s="857"/>
      <c r="T1" s="857"/>
    </row>
    <row r="2" spans="1:20" ht="15" customHeight="1" thickBot="1" x14ac:dyDescent="0.35">
      <c r="B2" s="319"/>
      <c r="C2" s="319"/>
      <c r="D2" s="319"/>
      <c r="E2" s="319"/>
      <c r="F2" s="319"/>
      <c r="G2" s="319"/>
      <c r="H2" s="319"/>
      <c r="I2" s="319"/>
      <c r="J2" s="319"/>
      <c r="K2" s="319"/>
      <c r="L2" s="319"/>
      <c r="M2" s="319"/>
      <c r="N2" s="319"/>
      <c r="O2" s="319"/>
      <c r="P2" s="319"/>
      <c r="Q2" s="319"/>
      <c r="R2" s="319"/>
      <c r="S2" s="319"/>
      <c r="T2" s="319"/>
    </row>
    <row r="3" spans="1:20" ht="43.8" thickBot="1" x14ac:dyDescent="0.35">
      <c r="B3" s="320" t="s">
        <v>66</v>
      </c>
      <c r="C3" s="321" t="s">
        <v>67</v>
      </c>
      <c r="D3" s="322" t="s">
        <v>2269</v>
      </c>
      <c r="E3" s="389" t="s">
        <v>68</v>
      </c>
      <c r="F3" s="370" t="s">
        <v>69</v>
      </c>
      <c r="G3" s="324" t="s">
        <v>70</v>
      </c>
      <c r="H3" s="325" t="s">
        <v>71</v>
      </c>
      <c r="I3" s="326" t="s">
        <v>72</v>
      </c>
      <c r="J3" s="327" t="s">
        <v>73</v>
      </c>
      <c r="K3" s="328" t="s">
        <v>74</v>
      </c>
      <c r="L3" s="325" t="s">
        <v>71</v>
      </c>
      <c r="M3" s="327" t="s">
        <v>73</v>
      </c>
      <c r="N3" s="328" t="s">
        <v>75</v>
      </c>
      <c r="O3" s="325" t="s">
        <v>71</v>
      </c>
      <c r="P3" s="327" t="s">
        <v>73</v>
      </c>
      <c r="Q3" s="329" t="s">
        <v>76</v>
      </c>
      <c r="R3" s="323" t="s">
        <v>77</v>
      </c>
      <c r="S3" s="323" t="s">
        <v>78</v>
      </c>
      <c r="T3" s="330" t="s">
        <v>79</v>
      </c>
    </row>
    <row r="4" spans="1:20" ht="43.2" x14ac:dyDescent="0.3">
      <c r="A4" s="96">
        <v>1</v>
      </c>
      <c r="B4" s="295">
        <v>1550</v>
      </c>
      <c r="C4" s="296">
        <v>45782</v>
      </c>
      <c r="D4" s="331">
        <v>88719103</v>
      </c>
      <c r="E4" s="390" t="s">
        <v>2270</v>
      </c>
      <c r="F4" s="383" t="s">
        <v>7</v>
      </c>
      <c r="G4" s="372" t="s">
        <v>8</v>
      </c>
      <c r="H4" s="297">
        <v>45782</v>
      </c>
      <c r="I4" s="332"/>
      <c r="J4" s="333" t="s">
        <v>2271</v>
      </c>
      <c r="K4" s="334"/>
      <c r="L4" s="335"/>
      <c r="M4" s="336"/>
      <c r="N4" s="334"/>
      <c r="O4" s="335"/>
      <c r="P4" s="336"/>
      <c r="Q4" s="229">
        <v>45782</v>
      </c>
      <c r="R4" s="89">
        <f t="shared" ref="R4:R67" si="0">Q4/H4</f>
        <v>1</v>
      </c>
      <c r="S4" s="200" t="s">
        <v>1916</v>
      </c>
      <c r="T4" s="230"/>
    </row>
    <row r="5" spans="1:20" ht="57.6" x14ac:dyDescent="0.3">
      <c r="A5" s="96">
        <f t="shared" ref="A5:A36" si="1">A4+1</f>
        <v>2</v>
      </c>
      <c r="B5" s="295" t="s">
        <v>1044</v>
      </c>
      <c r="C5" s="296">
        <v>45779</v>
      </c>
      <c r="D5" s="331"/>
      <c r="E5" s="391" t="s">
        <v>2272</v>
      </c>
      <c r="F5" s="200" t="s">
        <v>1314</v>
      </c>
      <c r="G5" s="373" t="s">
        <v>4</v>
      </c>
      <c r="H5" s="297">
        <v>45779</v>
      </c>
      <c r="I5" s="298"/>
      <c r="J5" s="127" t="s">
        <v>99</v>
      </c>
      <c r="K5" s="300"/>
      <c r="L5" s="301"/>
      <c r="M5" s="302"/>
      <c r="N5" s="300"/>
      <c r="O5" s="301"/>
      <c r="P5" s="302"/>
      <c r="Q5" s="229">
        <v>45783</v>
      </c>
      <c r="R5" s="89">
        <f t="shared" si="0"/>
        <v>1.0000873763079141</v>
      </c>
      <c r="S5" s="200"/>
      <c r="T5" s="303"/>
    </row>
    <row r="6" spans="1:20" ht="57.6" x14ac:dyDescent="0.3">
      <c r="A6" s="96">
        <f t="shared" si="1"/>
        <v>3</v>
      </c>
      <c r="B6" s="295" t="s">
        <v>1044</v>
      </c>
      <c r="C6" s="296">
        <v>45779</v>
      </c>
      <c r="D6" s="331"/>
      <c r="E6" s="391" t="s">
        <v>2273</v>
      </c>
      <c r="F6" s="200" t="s">
        <v>1314</v>
      </c>
      <c r="G6" s="373" t="s">
        <v>4</v>
      </c>
      <c r="H6" s="297">
        <v>45779</v>
      </c>
      <c r="I6" s="298"/>
      <c r="J6" s="127" t="s">
        <v>99</v>
      </c>
      <c r="K6" s="300"/>
      <c r="L6" s="301"/>
      <c r="M6" s="302"/>
      <c r="N6" s="300"/>
      <c r="O6" s="301"/>
      <c r="P6" s="302"/>
      <c r="Q6" s="229">
        <v>45783</v>
      </c>
      <c r="R6" s="89">
        <f t="shared" si="0"/>
        <v>1.0000873763079141</v>
      </c>
      <c r="S6" s="200"/>
      <c r="T6" s="303"/>
    </row>
    <row r="7" spans="1:20" ht="28.8" x14ac:dyDescent="0.3">
      <c r="A7" s="96">
        <f t="shared" si="1"/>
        <v>4</v>
      </c>
      <c r="B7" s="304" t="s">
        <v>1044</v>
      </c>
      <c r="C7" s="296">
        <v>45779</v>
      </c>
      <c r="D7" s="367">
        <v>109503961</v>
      </c>
      <c r="E7" s="308" t="s">
        <v>2274</v>
      </c>
      <c r="F7" s="383" t="s">
        <v>17</v>
      </c>
      <c r="G7" s="373" t="s">
        <v>4</v>
      </c>
      <c r="H7" s="297">
        <v>45779</v>
      </c>
      <c r="I7" s="306">
        <v>10000286541</v>
      </c>
      <c r="J7" s="100" t="s">
        <v>82</v>
      </c>
      <c r="K7" s="300"/>
      <c r="L7" s="301"/>
      <c r="M7" s="302"/>
      <c r="N7" s="300"/>
      <c r="O7" s="301"/>
      <c r="P7" s="302"/>
      <c r="Q7" s="307">
        <v>45784</v>
      </c>
      <c r="R7" s="89">
        <f t="shared" si="0"/>
        <v>1.0001092203848927</v>
      </c>
      <c r="S7" s="200"/>
      <c r="T7" s="303"/>
    </row>
    <row r="8" spans="1:20" ht="57.6" x14ac:dyDescent="0.3">
      <c r="A8" s="96">
        <f t="shared" si="1"/>
        <v>5</v>
      </c>
      <c r="B8" s="304" t="s">
        <v>1044</v>
      </c>
      <c r="C8" s="296">
        <v>45779</v>
      </c>
      <c r="D8" s="368"/>
      <c r="E8" s="391" t="s">
        <v>2275</v>
      </c>
      <c r="F8" s="200" t="s">
        <v>1314</v>
      </c>
      <c r="G8" s="373" t="s">
        <v>4</v>
      </c>
      <c r="H8" s="297">
        <v>45779</v>
      </c>
      <c r="I8" s="298"/>
      <c r="J8" s="727" t="s">
        <v>99</v>
      </c>
      <c r="K8" s="300"/>
      <c r="L8" s="301"/>
      <c r="M8" s="302"/>
      <c r="N8" s="300"/>
      <c r="O8" s="301"/>
      <c r="P8" s="302"/>
      <c r="Q8" s="229">
        <v>45783</v>
      </c>
      <c r="R8" s="89">
        <f t="shared" si="0"/>
        <v>1.0000873763079141</v>
      </c>
      <c r="S8" s="200"/>
      <c r="T8" s="309"/>
    </row>
    <row r="9" spans="1:20" ht="57.6" x14ac:dyDescent="0.3">
      <c r="A9" s="96">
        <f t="shared" si="1"/>
        <v>6</v>
      </c>
      <c r="B9" s="304" t="s">
        <v>1044</v>
      </c>
      <c r="C9" s="296">
        <v>45779</v>
      </c>
      <c r="D9" s="368"/>
      <c r="E9" s="391" t="s">
        <v>2276</v>
      </c>
      <c r="F9" s="200" t="s">
        <v>1314</v>
      </c>
      <c r="G9" s="373" t="s">
        <v>4</v>
      </c>
      <c r="H9" s="297">
        <v>45779</v>
      </c>
      <c r="I9" s="298"/>
      <c r="J9" s="727" t="s">
        <v>99</v>
      </c>
      <c r="K9" s="300"/>
      <c r="L9" s="301"/>
      <c r="M9" s="302"/>
      <c r="N9" s="300"/>
      <c r="O9" s="301"/>
      <c r="P9" s="302"/>
      <c r="Q9" s="229">
        <v>45783</v>
      </c>
      <c r="R9" s="89">
        <f t="shared" si="0"/>
        <v>1.0000873763079141</v>
      </c>
      <c r="S9" s="200"/>
      <c r="T9" s="303"/>
    </row>
    <row r="10" spans="1:20" ht="57.6" x14ac:dyDescent="0.3">
      <c r="A10" s="96">
        <f t="shared" si="1"/>
        <v>7</v>
      </c>
      <c r="B10" s="304" t="s">
        <v>1044</v>
      </c>
      <c r="C10" s="296">
        <v>45779</v>
      </c>
      <c r="D10" s="368"/>
      <c r="E10" s="391" t="s">
        <v>2277</v>
      </c>
      <c r="F10" s="200" t="s">
        <v>1314</v>
      </c>
      <c r="G10" s="373" t="s">
        <v>4</v>
      </c>
      <c r="H10" s="297">
        <v>45779</v>
      </c>
      <c r="I10" s="298"/>
      <c r="J10" s="727" t="s">
        <v>99</v>
      </c>
      <c r="K10" s="300"/>
      <c r="L10" s="301"/>
      <c r="M10" s="302"/>
      <c r="N10" s="300"/>
      <c r="O10" s="301"/>
      <c r="P10" s="302"/>
      <c r="Q10" s="229">
        <v>45783</v>
      </c>
      <c r="R10" s="89">
        <f t="shared" si="0"/>
        <v>1.0000873763079141</v>
      </c>
      <c r="S10" s="200"/>
      <c r="T10" s="313"/>
    </row>
    <row r="11" spans="1:20" ht="57.6" x14ac:dyDescent="0.3">
      <c r="A11" s="96">
        <f t="shared" si="1"/>
        <v>8</v>
      </c>
      <c r="B11" s="304" t="s">
        <v>1044</v>
      </c>
      <c r="C11" s="296">
        <v>45779</v>
      </c>
      <c r="D11" s="368"/>
      <c r="E11" s="308" t="s">
        <v>2278</v>
      </c>
      <c r="F11" s="200" t="s">
        <v>1314</v>
      </c>
      <c r="G11" s="373" t="s">
        <v>4</v>
      </c>
      <c r="H11" s="297">
        <v>45779</v>
      </c>
      <c r="I11" s="298"/>
      <c r="J11" s="727" t="s">
        <v>99</v>
      </c>
      <c r="K11" s="300"/>
      <c r="L11" s="301"/>
      <c r="M11" s="302"/>
      <c r="N11" s="300"/>
      <c r="O11" s="301"/>
      <c r="P11" s="302"/>
      <c r="Q11" s="229">
        <v>45783</v>
      </c>
      <c r="R11" s="89">
        <f t="shared" si="0"/>
        <v>1.0000873763079141</v>
      </c>
      <c r="S11" s="200"/>
      <c r="T11" s="313"/>
    </row>
    <row r="12" spans="1:20" ht="57.6" x14ac:dyDescent="0.3">
      <c r="A12" s="96">
        <f t="shared" si="1"/>
        <v>9</v>
      </c>
      <c r="B12" s="304" t="s">
        <v>1044</v>
      </c>
      <c r="C12" s="296">
        <v>45779</v>
      </c>
      <c r="D12" s="368"/>
      <c r="E12" s="391" t="s">
        <v>2279</v>
      </c>
      <c r="F12" s="200" t="s">
        <v>1314</v>
      </c>
      <c r="G12" s="373" t="s">
        <v>4</v>
      </c>
      <c r="H12" s="297">
        <v>45779</v>
      </c>
      <c r="I12" s="298"/>
      <c r="J12" s="727" t="s">
        <v>99</v>
      </c>
      <c r="K12" s="300"/>
      <c r="L12" s="301"/>
      <c r="M12" s="302"/>
      <c r="N12" s="300"/>
      <c r="O12" s="301"/>
      <c r="P12" s="302"/>
      <c r="Q12" s="229">
        <v>45783</v>
      </c>
      <c r="R12" s="89">
        <f t="shared" si="0"/>
        <v>1.0000873763079141</v>
      </c>
      <c r="S12" s="200"/>
      <c r="T12" s="303"/>
    </row>
    <row r="13" spans="1:20" ht="57.6" x14ac:dyDescent="0.3">
      <c r="A13" s="96">
        <f t="shared" si="1"/>
        <v>10</v>
      </c>
      <c r="B13" s="304" t="s">
        <v>1044</v>
      </c>
      <c r="C13" s="296">
        <v>45779</v>
      </c>
      <c r="D13" s="368"/>
      <c r="E13" s="391" t="s">
        <v>2280</v>
      </c>
      <c r="F13" s="200" t="s">
        <v>1314</v>
      </c>
      <c r="G13" s="373" t="s">
        <v>4</v>
      </c>
      <c r="H13" s="297">
        <v>45779</v>
      </c>
      <c r="I13" s="298"/>
      <c r="J13" s="727" t="s">
        <v>99</v>
      </c>
      <c r="K13" s="300"/>
      <c r="L13" s="301"/>
      <c r="M13" s="302"/>
      <c r="N13" s="300"/>
      <c r="O13" s="301"/>
      <c r="P13" s="302"/>
      <c r="Q13" s="229">
        <v>45783</v>
      </c>
      <c r="R13" s="89">
        <f t="shared" si="0"/>
        <v>1.0000873763079141</v>
      </c>
      <c r="S13" s="200"/>
      <c r="T13" s="303"/>
    </row>
    <row r="14" spans="1:20" ht="57.6" x14ac:dyDescent="0.3">
      <c r="A14" s="96">
        <f t="shared" si="1"/>
        <v>11</v>
      </c>
      <c r="B14" s="304" t="s">
        <v>1044</v>
      </c>
      <c r="C14" s="296">
        <v>45779</v>
      </c>
      <c r="D14" s="368"/>
      <c r="E14" s="391" t="s">
        <v>2281</v>
      </c>
      <c r="F14" s="200" t="s">
        <v>1314</v>
      </c>
      <c r="G14" s="373" t="s">
        <v>4</v>
      </c>
      <c r="H14" s="297">
        <v>45779</v>
      </c>
      <c r="I14" s="298"/>
      <c r="J14" s="727" t="s">
        <v>99</v>
      </c>
      <c r="K14" s="300"/>
      <c r="L14" s="301"/>
      <c r="M14" s="302"/>
      <c r="N14" s="300"/>
      <c r="O14" s="301"/>
      <c r="P14" s="302"/>
      <c r="Q14" s="229">
        <v>45783</v>
      </c>
      <c r="R14" s="89">
        <f t="shared" si="0"/>
        <v>1.0000873763079141</v>
      </c>
      <c r="S14" s="200"/>
      <c r="T14" s="313"/>
    </row>
    <row r="15" spans="1:20" ht="57.6" x14ac:dyDescent="0.3">
      <c r="A15" s="96">
        <f t="shared" si="1"/>
        <v>12</v>
      </c>
      <c r="B15" s="304" t="s">
        <v>1044</v>
      </c>
      <c r="C15" s="296">
        <v>45779</v>
      </c>
      <c r="D15" s="368"/>
      <c r="E15" s="391" t="s">
        <v>2282</v>
      </c>
      <c r="F15" s="200" t="s">
        <v>1314</v>
      </c>
      <c r="G15" s="373" t="s">
        <v>4</v>
      </c>
      <c r="H15" s="297">
        <v>45779</v>
      </c>
      <c r="I15" s="298"/>
      <c r="J15" s="727" t="s">
        <v>99</v>
      </c>
      <c r="K15" s="300"/>
      <c r="L15" s="301"/>
      <c r="M15" s="302"/>
      <c r="N15" s="300"/>
      <c r="O15" s="301"/>
      <c r="P15" s="302"/>
      <c r="Q15" s="229">
        <v>45783</v>
      </c>
      <c r="R15" s="89">
        <f t="shared" si="0"/>
        <v>1.0000873763079141</v>
      </c>
      <c r="S15" s="200"/>
      <c r="T15" s="313"/>
    </row>
    <row r="16" spans="1:20" ht="57.6" x14ac:dyDescent="0.3">
      <c r="A16" s="96">
        <f t="shared" si="1"/>
        <v>13</v>
      </c>
      <c r="B16" s="304" t="s">
        <v>1044</v>
      </c>
      <c r="C16" s="296">
        <v>45779</v>
      </c>
      <c r="D16" s="368"/>
      <c r="E16" s="308" t="s">
        <v>2283</v>
      </c>
      <c r="F16" s="200" t="s">
        <v>1314</v>
      </c>
      <c r="G16" s="373" t="s">
        <v>4</v>
      </c>
      <c r="H16" s="297">
        <v>45779</v>
      </c>
      <c r="I16" s="298"/>
      <c r="J16" s="727" t="s">
        <v>99</v>
      </c>
      <c r="K16" s="300"/>
      <c r="L16" s="301"/>
      <c r="M16" s="302"/>
      <c r="N16" s="300"/>
      <c r="O16" s="301"/>
      <c r="P16" s="302"/>
      <c r="Q16" s="229">
        <v>45783</v>
      </c>
      <c r="R16" s="89">
        <f t="shared" si="0"/>
        <v>1.0000873763079141</v>
      </c>
      <c r="S16" s="200"/>
      <c r="T16" s="315"/>
    </row>
    <row r="17" spans="1:20" ht="57.6" x14ac:dyDescent="0.3">
      <c r="A17" s="96">
        <f t="shared" si="1"/>
        <v>14</v>
      </c>
      <c r="B17" s="304" t="s">
        <v>1044</v>
      </c>
      <c r="C17" s="296">
        <v>45779</v>
      </c>
      <c r="D17" s="368"/>
      <c r="E17" s="391" t="s">
        <v>2284</v>
      </c>
      <c r="F17" s="200" t="s">
        <v>1314</v>
      </c>
      <c r="G17" s="373" t="s">
        <v>4</v>
      </c>
      <c r="H17" s="297">
        <v>45779</v>
      </c>
      <c r="I17" s="298"/>
      <c r="J17" s="727" t="s">
        <v>99</v>
      </c>
      <c r="K17" s="300"/>
      <c r="L17" s="301"/>
      <c r="M17" s="302"/>
      <c r="N17" s="300"/>
      <c r="O17" s="301"/>
      <c r="P17" s="302"/>
      <c r="Q17" s="229">
        <v>45783</v>
      </c>
      <c r="R17" s="89">
        <f t="shared" si="0"/>
        <v>1.0000873763079141</v>
      </c>
      <c r="S17" s="200"/>
      <c r="T17" s="303"/>
    </row>
    <row r="18" spans="1:20" ht="57.6" x14ac:dyDescent="0.3">
      <c r="A18" s="96">
        <f t="shared" si="1"/>
        <v>15</v>
      </c>
      <c r="B18" s="304" t="s">
        <v>1044</v>
      </c>
      <c r="C18" s="296">
        <v>45779</v>
      </c>
      <c r="D18" s="368"/>
      <c r="E18" s="391" t="s">
        <v>2285</v>
      </c>
      <c r="F18" s="200" t="s">
        <v>1314</v>
      </c>
      <c r="G18" s="373" t="s">
        <v>4</v>
      </c>
      <c r="H18" s="297">
        <v>45779</v>
      </c>
      <c r="I18" s="298"/>
      <c r="J18" s="727" t="s">
        <v>99</v>
      </c>
      <c r="K18" s="300"/>
      <c r="L18" s="301"/>
      <c r="M18" s="302"/>
      <c r="N18" s="300"/>
      <c r="O18" s="301"/>
      <c r="P18" s="302"/>
      <c r="Q18" s="229">
        <v>45783</v>
      </c>
      <c r="R18" s="89">
        <f t="shared" si="0"/>
        <v>1.0000873763079141</v>
      </c>
      <c r="S18" s="200"/>
      <c r="T18" s="303"/>
    </row>
    <row r="19" spans="1:20" ht="57.6" x14ac:dyDescent="0.3">
      <c r="A19" s="96">
        <f t="shared" si="1"/>
        <v>16</v>
      </c>
      <c r="B19" s="304" t="s">
        <v>1044</v>
      </c>
      <c r="C19" s="296">
        <v>45779</v>
      </c>
      <c r="D19" s="368"/>
      <c r="E19" s="308" t="s">
        <v>2286</v>
      </c>
      <c r="F19" s="200" t="s">
        <v>1314</v>
      </c>
      <c r="G19" s="373" t="s">
        <v>4</v>
      </c>
      <c r="H19" s="297">
        <v>45779</v>
      </c>
      <c r="I19" s="298"/>
      <c r="J19" s="727" t="s">
        <v>99</v>
      </c>
      <c r="K19" s="300"/>
      <c r="L19" s="301"/>
      <c r="M19" s="302"/>
      <c r="N19" s="300"/>
      <c r="O19" s="301"/>
      <c r="P19" s="302"/>
      <c r="Q19" s="229">
        <v>45783</v>
      </c>
      <c r="R19" s="89">
        <f t="shared" si="0"/>
        <v>1.0000873763079141</v>
      </c>
      <c r="S19" s="200"/>
      <c r="T19" s="303"/>
    </row>
    <row r="20" spans="1:20" ht="57.6" x14ac:dyDescent="0.3">
      <c r="A20" s="96">
        <f t="shared" si="1"/>
        <v>17</v>
      </c>
      <c r="B20" s="304" t="s">
        <v>1044</v>
      </c>
      <c r="C20" s="296">
        <v>45779</v>
      </c>
      <c r="D20" s="368"/>
      <c r="E20" s="308" t="s">
        <v>2287</v>
      </c>
      <c r="F20" s="200" t="s">
        <v>1314</v>
      </c>
      <c r="G20" s="373" t="s">
        <v>4</v>
      </c>
      <c r="H20" s="297">
        <v>45779</v>
      </c>
      <c r="I20" s="298"/>
      <c r="J20" s="727" t="s">
        <v>99</v>
      </c>
      <c r="K20" s="300"/>
      <c r="L20" s="301"/>
      <c r="M20" s="302"/>
      <c r="N20" s="300"/>
      <c r="O20" s="301"/>
      <c r="P20" s="302"/>
      <c r="Q20" s="229">
        <v>45783</v>
      </c>
      <c r="R20" s="89">
        <f t="shared" si="0"/>
        <v>1.0000873763079141</v>
      </c>
      <c r="S20" s="200"/>
      <c r="T20" s="303"/>
    </row>
    <row r="21" spans="1:20" ht="57.6" x14ac:dyDescent="0.3">
      <c r="A21" s="96">
        <f t="shared" si="1"/>
        <v>18</v>
      </c>
      <c r="B21" s="304" t="s">
        <v>1044</v>
      </c>
      <c r="C21" s="296">
        <v>45779</v>
      </c>
      <c r="D21" s="368"/>
      <c r="E21" s="308" t="s">
        <v>2288</v>
      </c>
      <c r="F21" s="200" t="s">
        <v>1314</v>
      </c>
      <c r="G21" s="373" t="s">
        <v>4</v>
      </c>
      <c r="H21" s="297">
        <v>45779</v>
      </c>
      <c r="I21" s="298"/>
      <c r="J21" s="727" t="s">
        <v>99</v>
      </c>
      <c r="K21" s="300"/>
      <c r="L21" s="301"/>
      <c r="M21" s="302"/>
      <c r="N21" s="300"/>
      <c r="O21" s="301"/>
      <c r="P21" s="302"/>
      <c r="Q21" s="229">
        <v>45783</v>
      </c>
      <c r="R21" s="89">
        <f t="shared" si="0"/>
        <v>1.0000873763079141</v>
      </c>
      <c r="S21" s="200"/>
      <c r="T21" s="316"/>
    </row>
    <row r="22" spans="1:20" ht="57.6" x14ac:dyDescent="0.3">
      <c r="A22" s="96">
        <f t="shared" si="1"/>
        <v>19</v>
      </c>
      <c r="B22" s="304" t="s">
        <v>1044</v>
      </c>
      <c r="C22" s="296">
        <v>45779</v>
      </c>
      <c r="D22" s="379"/>
      <c r="E22" s="391" t="s">
        <v>2289</v>
      </c>
      <c r="F22" s="200" t="s">
        <v>1314</v>
      </c>
      <c r="G22" s="373" t="s">
        <v>4</v>
      </c>
      <c r="H22" s="297">
        <v>45779</v>
      </c>
      <c r="I22" s="298"/>
      <c r="J22" s="727" t="s">
        <v>99</v>
      </c>
      <c r="K22" s="300"/>
      <c r="L22" s="301"/>
      <c r="M22" s="302"/>
      <c r="N22" s="300"/>
      <c r="O22" s="301"/>
      <c r="P22" s="302"/>
      <c r="Q22" s="229">
        <v>45783</v>
      </c>
      <c r="R22" s="89">
        <f t="shared" si="0"/>
        <v>1.0000873763079141</v>
      </c>
      <c r="S22" s="200"/>
      <c r="T22" s="313"/>
    </row>
    <row r="23" spans="1:20" ht="57.6" x14ac:dyDescent="0.3">
      <c r="A23" s="96">
        <f t="shared" si="1"/>
        <v>20</v>
      </c>
      <c r="B23" s="304" t="s">
        <v>1826</v>
      </c>
      <c r="C23" s="296">
        <v>45782</v>
      </c>
      <c r="D23" s="380">
        <v>31817564</v>
      </c>
      <c r="E23" s="308" t="s">
        <v>2290</v>
      </c>
      <c r="F23" s="200" t="s">
        <v>39</v>
      </c>
      <c r="G23" s="373" t="s">
        <v>4</v>
      </c>
      <c r="H23" s="297">
        <v>45782</v>
      </c>
      <c r="I23" s="298"/>
      <c r="J23" s="127" t="s">
        <v>22</v>
      </c>
      <c r="K23" s="300"/>
      <c r="L23" s="301"/>
      <c r="M23" s="302"/>
      <c r="N23" s="300"/>
      <c r="O23" s="301"/>
      <c r="P23" s="302"/>
      <c r="Q23" s="229">
        <v>45792</v>
      </c>
      <c r="R23" s="89">
        <f t="shared" si="0"/>
        <v>1.0002184264558123</v>
      </c>
      <c r="S23" s="200"/>
      <c r="T23" s="303"/>
    </row>
    <row r="24" spans="1:20" ht="72" x14ac:dyDescent="0.3">
      <c r="A24" s="96">
        <f t="shared" si="1"/>
        <v>21</v>
      </c>
      <c r="B24" s="304" t="s">
        <v>80</v>
      </c>
      <c r="C24" s="296">
        <v>45782</v>
      </c>
      <c r="D24" s="331"/>
      <c r="E24" s="308" t="s">
        <v>2291</v>
      </c>
      <c r="F24" s="384" t="s">
        <v>1314</v>
      </c>
      <c r="G24" s="374" t="s">
        <v>8</v>
      </c>
      <c r="H24" s="297">
        <v>45782</v>
      </c>
      <c r="I24" s="317"/>
      <c r="J24" s="727" t="s">
        <v>99</v>
      </c>
      <c r="K24" s="300"/>
      <c r="L24" s="301"/>
      <c r="M24" s="302"/>
      <c r="N24" s="300"/>
      <c r="O24" s="301"/>
      <c r="P24" s="302"/>
      <c r="Q24" s="307">
        <v>45783</v>
      </c>
      <c r="R24" s="89">
        <f t="shared" si="0"/>
        <v>1.0000218426455811</v>
      </c>
      <c r="S24" s="200" t="s">
        <v>94</v>
      </c>
      <c r="T24" s="303"/>
    </row>
    <row r="25" spans="1:20" ht="57.6" x14ac:dyDescent="0.3">
      <c r="A25" s="96">
        <f t="shared" si="1"/>
        <v>22</v>
      </c>
      <c r="B25" s="304" t="s">
        <v>1044</v>
      </c>
      <c r="C25" s="305">
        <v>45782</v>
      </c>
      <c r="D25" s="331"/>
      <c r="E25" s="391" t="s">
        <v>2292</v>
      </c>
      <c r="F25" s="384" t="s">
        <v>1314</v>
      </c>
      <c r="G25" s="374" t="s">
        <v>4</v>
      </c>
      <c r="H25" s="297">
        <v>45782</v>
      </c>
      <c r="I25" s="317"/>
      <c r="J25" s="727" t="s">
        <v>99</v>
      </c>
      <c r="K25" s="314"/>
      <c r="L25" s="311"/>
      <c r="M25" s="312"/>
      <c r="N25" s="310"/>
      <c r="O25" s="311"/>
      <c r="P25" s="312"/>
      <c r="Q25" s="307">
        <v>45783</v>
      </c>
      <c r="R25" s="89">
        <f t="shared" si="0"/>
        <v>1.0000218426455811</v>
      </c>
      <c r="S25" s="200"/>
      <c r="T25" s="313"/>
    </row>
    <row r="26" spans="1:20" ht="57.6" x14ac:dyDescent="0.3">
      <c r="A26" s="96">
        <f t="shared" si="1"/>
        <v>23</v>
      </c>
      <c r="B26" s="485" t="s">
        <v>1044</v>
      </c>
      <c r="C26" s="486">
        <v>45782</v>
      </c>
      <c r="D26" s="367"/>
      <c r="E26" s="487" t="s">
        <v>2293</v>
      </c>
      <c r="F26" s="384" t="s">
        <v>1314</v>
      </c>
      <c r="G26" s="374" t="s">
        <v>4</v>
      </c>
      <c r="H26" s="297">
        <v>45782</v>
      </c>
      <c r="I26" s="317"/>
      <c r="J26" s="727" t="s">
        <v>99</v>
      </c>
      <c r="K26" s="314"/>
      <c r="L26" s="311"/>
      <c r="M26" s="312"/>
      <c r="N26" s="310"/>
      <c r="O26" s="311"/>
      <c r="P26" s="312"/>
      <c r="Q26" s="307">
        <v>45783</v>
      </c>
      <c r="R26" s="89">
        <f t="shared" si="0"/>
        <v>1.0000218426455811</v>
      </c>
      <c r="S26" s="200"/>
      <c r="T26" s="313"/>
    </row>
    <row r="27" spans="1:20" ht="28.8" x14ac:dyDescent="0.3">
      <c r="A27" s="96">
        <f t="shared" si="1"/>
        <v>24</v>
      </c>
      <c r="B27" s="411" t="s">
        <v>1044</v>
      </c>
      <c r="C27" s="484">
        <v>45782</v>
      </c>
      <c r="D27" s="478">
        <v>12694460</v>
      </c>
      <c r="E27" s="109" t="s">
        <v>2294</v>
      </c>
      <c r="F27" s="385" t="s">
        <v>17</v>
      </c>
      <c r="G27" s="375" t="s">
        <v>4</v>
      </c>
      <c r="H27" s="297">
        <v>45782</v>
      </c>
      <c r="I27" s="306">
        <v>10000286544</v>
      </c>
      <c r="J27" s="100" t="s">
        <v>82</v>
      </c>
      <c r="K27" s="300"/>
      <c r="L27" s="301"/>
      <c r="M27" s="302"/>
      <c r="N27" s="300"/>
      <c r="O27" s="301"/>
      <c r="P27" s="302"/>
      <c r="Q27" s="307">
        <v>45868</v>
      </c>
      <c r="R27" s="89">
        <f t="shared" si="0"/>
        <v>1.0018784675199861</v>
      </c>
      <c r="S27" s="200"/>
      <c r="T27" s="303"/>
    </row>
    <row r="28" spans="1:20" ht="57.6" x14ac:dyDescent="0.3">
      <c r="A28" s="96">
        <f t="shared" si="1"/>
        <v>25</v>
      </c>
      <c r="B28" s="295" t="s">
        <v>1044</v>
      </c>
      <c r="C28" s="296">
        <v>45782</v>
      </c>
      <c r="D28" s="331"/>
      <c r="E28" s="488" t="s">
        <v>2295</v>
      </c>
      <c r="F28" s="384" t="s">
        <v>1314</v>
      </c>
      <c r="G28" s="374" t="s">
        <v>4</v>
      </c>
      <c r="H28" s="297">
        <v>45782</v>
      </c>
      <c r="I28" s="317"/>
      <c r="J28" s="727" t="s">
        <v>99</v>
      </c>
      <c r="K28" s="314"/>
      <c r="L28" s="311"/>
      <c r="M28" s="312"/>
      <c r="N28" s="310"/>
      <c r="O28" s="311"/>
      <c r="P28" s="312"/>
      <c r="Q28" s="307">
        <v>45783</v>
      </c>
      <c r="R28" s="89">
        <f t="shared" si="0"/>
        <v>1.0000218426455811</v>
      </c>
      <c r="S28" s="200"/>
      <c r="T28" s="303"/>
    </row>
    <row r="29" spans="1:20" ht="57.6" x14ac:dyDescent="0.3">
      <c r="A29" s="96">
        <f t="shared" si="1"/>
        <v>26</v>
      </c>
      <c r="B29" s="304" t="s">
        <v>1044</v>
      </c>
      <c r="C29" s="305">
        <v>45782</v>
      </c>
      <c r="D29" s="331"/>
      <c r="E29" s="391" t="s">
        <v>2296</v>
      </c>
      <c r="F29" s="384" t="s">
        <v>1314</v>
      </c>
      <c r="G29" s="374" t="s">
        <v>4</v>
      </c>
      <c r="H29" s="297">
        <v>45782</v>
      </c>
      <c r="I29" s="317"/>
      <c r="J29" s="727" t="s">
        <v>99</v>
      </c>
      <c r="K29" s="314"/>
      <c r="L29" s="311"/>
      <c r="M29" s="312"/>
      <c r="N29" s="310"/>
      <c r="O29" s="311"/>
      <c r="P29" s="312"/>
      <c r="Q29" s="307">
        <v>45783</v>
      </c>
      <c r="R29" s="89">
        <f t="shared" si="0"/>
        <v>1.0000218426455811</v>
      </c>
      <c r="S29" s="200"/>
      <c r="T29" s="303"/>
    </row>
    <row r="30" spans="1:20" ht="57.6" x14ac:dyDescent="0.3">
      <c r="A30" s="96">
        <f t="shared" si="1"/>
        <v>27</v>
      </c>
      <c r="B30" s="304" t="s">
        <v>1044</v>
      </c>
      <c r="C30" s="305">
        <v>45782</v>
      </c>
      <c r="D30" s="331"/>
      <c r="E30" s="391" t="s">
        <v>2297</v>
      </c>
      <c r="F30" s="384" t="s">
        <v>1314</v>
      </c>
      <c r="G30" s="374" t="s">
        <v>4</v>
      </c>
      <c r="H30" s="297">
        <v>45782</v>
      </c>
      <c r="I30" s="317"/>
      <c r="J30" s="727" t="s">
        <v>99</v>
      </c>
      <c r="K30" s="314"/>
      <c r="L30" s="311"/>
      <c r="M30" s="312"/>
      <c r="N30" s="310"/>
      <c r="O30" s="311"/>
      <c r="P30" s="312"/>
      <c r="Q30" s="307">
        <v>45783</v>
      </c>
      <c r="R30" s="89">
        <f t="shared" si="0"/>
        <v>1.0000218426455811</v>
      </c>
      <c r="S30" s="200"/>
      <c r="T30" s="313"/>
    </row>
    <row r="31" spans="1:20" ht="72" x14ac:dyDescent="0.3">
      <c r="A31" s="96">
        <f t="shared" si="1"/>
        <v>28</v>
      </c>
      <c r="B31" s="304">
        <v>1550</v>
      </c>
      <c r="C31" s="305">
        <v>45782</v>
      </c>
      <c r="D31" s="331"/>
      <c r="E31" s="308" t="s">
        <v>2298</v>
      </c>
      <c r="F31" s="384" t="s">
        <v>1314</v>
      </c>
      <c r="G31" s="373" t="s">
        <v>8</v>
      </c>
      <c r="H31" s="297">
        <v>45782</v>
      </c>
      <c r="I31" s="306"/>
      <c r="J31" s="727" t="s">
        <v>99</v>
      </c>
      <c r="K31" s="300"/>
      <c r="L31" s="301"/>
      <c r="M31" s="302"/>
      <c r="N31" s="300"/>
      <c r="O31" s="301"/>
      <c r="P31" s="302"/>
      <c r="Q31" s="307">
        <v>45783</v>
      </c>
      <c r="R31" s="89">
        <f t="shared" si="0"/>
        <v>1.0000218426455811</v>
      </c>
      <c r="S31" s="200" t="s">
        <v>138</v>
      </c>
      <c r="T31" s="303"/>
    </row>
    <row r="32" spans="1:20" ht="57.6" x14ac:dyDescent="0.3">
      <c r="A32" s="96">
        <f t="shared" si="1"/>
        <v>29</v>
      </c>
      <c r="B32" s="304">
        <v>1550</v>
      </c>
      <c r="C32" s="305">
        <v>45782</v>
      </c>
      <c r="D32" s="331"/>
      <c r="E32" s="308" t="s">
        <v>2299</v>
      </c>
      <c r="F32" s="384" t="s">
        <v>12</v>
      </c>
      <c r="G32" s="373" t="s">
        <v>4</v>
      </c>
      <c r="H32" s="297">
        <v>45782</v>
      </c>
      <c r="I32" s="306"/>
      <c r="J32" s="729" t="s">
        <v>159</v>
      </c>
      <c r="K32" s="300"/>
      <c r="L32" s="301"/>
      <c r="M32" s="302"/>
      <c r="N32" s="300"/>
      <c r="O32" s="301"/>
      <c r="P32" s="302"/>
      <c r="Q32" s="307">
        <v>45785</v>
      </c>
      <c r="R32" s="89">
        <f t="shared" si="0"/>
        <v>1.0000655279367436</v>
      </c>
      <c r="S32" s="200"/>
      <c r="T32" s="303"/>
    </row>
    <row r="33" spans="1:20" ht="28.8" x14ac:dyDescent="0.3">
      <c r="A33" s="96">
        <f t="shared" si="1"/>
        <v>30</v>
      </c>
      <c r="B33" s="304">
        <v>1550</v>
      </c>
      <c r="C33" s="305">
        <v>45782</v>
      </c>
      <c r="D33" s="331">
        <v>5238668</v>
      </c>
      <c r="E33" s="308" t="s">
        <v>2300</v>
      </c>
      <c r="F33" s="384" t="s">
        <v>32</v>
      </c>
      <c r="G33" s="373" t="s">
        <v>4</v>
      </c>
      <c r="H33" s="297">
        <v>45782</v>
      </c>
      <c r="I33" s="306"/>
      <c r="J33" s="299" t="s">
        <v>106</v>
      </c>
      <c r="K33" s="310"/>
      <c r="L33" s="311"/>
      <c r="M33" s="312"/>
      <c r="N33" s="310"/>
      <c r="O33" s="311"/>
      <c r="P33" s="312"/>
      <c r="Q33" s="307">
        <v>45782</v>
      </c>
      <c r="R33" s="89">
        <f t="shared" si="0"/>
        <v>1</v>
      </c>
      <c r="S33" s="200"/>
      <c r="T33" s="313"/>
    </row>
    <row r="34" spans="1:20" ht="28.8" x14ac:dyDescent="0.3">
      <c r="A34" s="96">
        <f t="shared" si="1"/>
        <v>31</v>
      </c>
      <c r="B34" s="304" t="s">
        <v>1826</v>
      </c>
      <c r="C34" s="305">
        <v>45782</v>
      </c>
      <c r="D34" s="331">
        <v>79992358</v>
      </c>
      <c r="E34" s="308" t="s">
        <v>2301</v>
      </c>
      <c r="F34" s="385" t="s">
        <v>17</v>
      </c>
      <c r="G34" s="373" t="s">
        <v>4</v>
      </c>
      <c r="H34" s="297">
        <v>45782</v>
      </c>
      <c r="I34" s="306">
        <v>10000286547</v>
      </c>
      <c r="J34" s="100" t="s">
        <v>82</v>
      </c>
      <c r="K34" s="300"/>
      <c r="L34" s="301"/>
      <c r="M34" s="302"/>
      <c r="N34" s="300"/>
      <c r="O34" s="301"/>
      <c r="P34" s="302"/>
      <c r="Q34" s="307">
        <v>45784</v>
      </c>
      <c r="R34" s="89">
        <f t="shared" si="0"/>
        <v>1.0000436852911625</v>
      </c>
      <c r="S34" s="200"/>
      <c r="T34" s="313"/>
    </row>
    <row r="35" spans="1:20" ht="43.2" x14ac:dyDescent="0.3">
      <c r="A35" s="96">
        <f t="shared" si="1"/>
        <v>32</v>
      </c>
      <c r="B35" s="304">
        <v>1550</v>
      </c>
      <c r="C35" s="305">
        <v>45782</v>
      </c>
      <c r="D35" s="331">
        <v>95446044</v>
      </c>
      <c r="E35" s="308" t="s">
        <v>2302</v>
      </c>
      <c r="F35" s="384" t="s">
        <v>32</v>
      </c>
      <c r="G35" s="373" t="s">
        <v>4</v>
      </c>
      <c r="H35" s="297">
        <v>45782</v>
      </c>
      <c r="I35" s="306"/>
      <c r="J35" s="299" t="s">
        <v>106</v>
      </c>
      <c r="K35" s="310"/>
      <c r="L35" s="311"/>
      <c r="M35" s="312"/>
      <c r="N35" s="310"/>
      <c r="O35" s="311"/>
      <c r="P35" s="312"/>
      <c r="Q35" s="307">
        <v>45782</v>
      </c>
      <c r="R35" s="89">
        <f t="shared" si="0"/>
        <v>1</v>
      </c>
      <c r="S35" s="200"/>
      <c r="T35" s="313"/>
    </row>
    <row r="36" spans="1:20" ht="43.2" x14ac:dyDescent="0.3">
      <c r="A36" s="96">
        <f t="shared" si="1"/>
        <v>33</v>
      </c>
      <c r="B36" s="304">
        <v>1550</v>
      </c>
      <c r="C36" s="305">
        <v>45782</v>
      </c>
      <c r="D36" s="331">
        <v>23220775</v>
      </c>
      <c r="E36" s="308" t="s">
        <v>2303</v>
      </c>
      <c r="F36" s="384" t="s">
        <v>32</v>
      </c>
      <c r="G36" s="373" t="s">
        <v>4</v>
      </c>
      <c r="H36" s="297">
        <v>45782</v>
      </c>
      <c r="I36" s="306"/>
      <c r="J36" s="299" t="s">
        <v>106</v>
      </c>
      <c r="K36" s="310"/>
      <c r="L36" s="311"/>
      <c r="M36" s="312"/>
      <c r="N36" s="310"/>
      <c r="O36" s="311"/>
      <c r="P36" s="312"/>
      <c r="Q36" s="307">
        <v>45782</v>
      </c>
      <c r="R36" s="89">
        <f t="shared" si="0"/>
        <v>1</v>
      </c>
      <c r="S36" s="200"/>
      <c r="T36" s="313"/>
    </row>
    <row r="37" spans="1:20" ht="57.6" x14ac:dyDescent="0.3">
      <c r="A37" s="96">
        <f t="shared" ref="A37:A68" si="2">A36+1</f>
        <v>34</v>
      </c>
      <c r="B37" s="304">
        <v>1550</v>
      </c>
      <c r="C37" s="305">
        <v>45782</v>
      </c>
      <c r="D37" s="331"/>
      <c r="E37" s="391" t="s">
        <v>2304</v>
      </c>
      <c r="F37" s="384" t="s">
        <v>1314</v>
      </c>
      <c r="G37" s="374" t="s">
        <v>4</v>
      </c>
      <c r="H37" s="297">
        <v>45782</v>
      </c>
      <c r="I37" s="317"/>
      <c r="J37" s="727" t="s">
        <v>99</v>
      </c>
      <c r="K37" s="314"/>
      <c r="L37" s="311"/>
      <c r="M37" s="312"/>
      <c r="N37" s="310"/>
      <c r="O37" s="311"/>
      <c r="P37" s="312"/>
      <c r="Q37" s="307">
        <v>45783</v>
      </c>
      <c r="R37" s="89">
        <f t="shared" si="0"/>
        <v>1.0000218426455811</v>
      </c>
      <c r="S37" s="200"/>
      <c r="T37" s="313"/>
    </row>
    <row r="38" spans="1:20" ht="28.8" x14ac:dyDescent="0.3">
      <c r="A38" s="96">
        <f t="shared" si="2"/>
        <v>35</v>
      </c>
      <c r="B38" s="304" t="s">
        <v>1826</v>
      </c>
      <c r="C38" s="305">
        <v>45782</v>
      </c>
      <c r="D38" s="331">
        <v>27024199</v>
      </c>
      <c r="E38" s="308" t="s">
        <v>2305</v>
      </c>
      <c r="F38" s="200" t="s">
        <v>1</v>
      </c>
      <c r="G38" s="375" t="s">
        <v>4</v>
      </c>
      <c r="H38" s="297">
        <v>45782</v>
      </c>
      <c r="I38" s="306"/>
      <c r="J38" s="299" t="s">
        <v>2306</v>
      </c>
      <c r="K38" s="300"/>
      <c r="L38" s="301"/>
      <c r="M38" s="302"/>
      <c r="N38" s="300"/>
      <c r="O38" s="301"/>
      <c r="P38" s="302"/>
      <c r="Q38" s="307">
        <v>45782</v>
      </c>
      <c r="R38" s="89">
        <f t="shared" si="0"/>
        <v>1</v>
      </c>
      <c r="S38" s="200"/>
      <c r="T38" s="313"/>
    </row>
    <row r="39" spans="1:20" ht="28.8" x14ac:dyDescent="0.35">
      <c r="A39" s="96">
        <f t="shared" si="2"/>
        <v>36</v>
      </c>
      <c r="B39" s="304">
        <v>1550</v>
      </c>
      <c r="C39" s="305">
        <v>45782</v>
      </c>
      <c r="D39" s="331">
        <v>57417660</v>
      </c>
      <c r="E39" s="392" t="s">
        <v>2307</v>
      </c>
      <c r="F39" s="200" t="s">
        <v>32</v>
      </c>
      <c r="G39" s="375" t="s">
        <v>4</v>
      </c>
      <c r="H39" s="297">
        <v>45782</v>
      </c>
      <c r="I39" s="306"/>
      <c r="J39" s="318" t="s">
        <v>106</v>
      </c>
      <c r="K39" s="310"/>
      <c r="L39" s="311"/>
      <c r="M39" s="312"/>
      <c r="N39" s="310"/>
      <c r="O39" s="311"/>
      <c r="P39" s="312"/>
      <c r="Q39" s="307">
        <v>45782</v>
      </c>
      <c r="R39" s="89">
        <f t="shared" si="0"/>
        <v>1</v>
      </c>
      <c r="S39" s="200"/>
      <c r="T39" s="313"/>
    </row>
    <row r="40" spans="1:20" ht="57.6" x14ac:dyDescent="0.3">
      <c r="A40" s="96">
        <f t="shared" si="2"/>
        <v>37</v>
      </c>
      <c r="B40" s="304">
        <v>1550</v>
      </c>
      <c r="C40" s="305">
        <v>45782</v>
      </c>
      <c r="D40" s="331"/>
      <c r="E40" s="391" t="s">
        <v>2308</v>
      </c>
      <c r="F40" s="384" t="s">
        <v>1314</v>
      </c>
      <c r="G40" s="374" t="s">
        <v>4</v>
      </c>
      <c r="H40" s="297">
        <v>45782</v>
      </c>
      <c r="I40" s="317"/>
      <c r="J40" s="727" t="s">
        <v>99</v>
      </c>
      <c r="K40" s="314"/>
      <c r="L40" s="311"/>
      <c r="M40" s="312"/>
      <c r="N40" s="310"/>
      <c r="O40" s="311"/>
      <c r="P40" s="312"/>
      <c r="Q40" s="307">
        <v>45783</v>
      </c>
      <c r="R40" s="89">
        <f t="shared" si="0"/>
        <v>1.0000218426455811</v>
      </c>
      <c r="S40" s="101"/>
      <c r="T40" s="66"/>
    </row>
    <row r="41" spans="1:20" ht="28.8" x14ac:dyDescent="0.3">
      <c r="A41" s="96">
        <f t="shared" si="2"/>
        <v>38</v>
      </c>
      <c r="B41" s="87">
        <v>1550</v>
      </c>
      <c r="C41" s="103">
        <v>45782</v>
      </c>
      <c r="D41" s="331">
        <v>71895221</v>
      </c>
      <c r="E41" s="393" t="s">
        <v>2309</v>
      </c>
      <c r="F41" s="344" t="s">
        <v>1</v>
      </c>
      <c r="G41" s="221" t="s">
        <v>4</v>
      </c>
      <c r="H41" s="183">
        <v>45782</v>
      </c>
      <c r="I41" s="5"/>
      <c r="J41" s="100" t="s">
        <v>2310</v>
      </c>
      <c r="K41" s="21"/>
      <c r="L41" s="18"/>
      <c r="M41" s="19"/>
      <c r="N41" s="23"/>
      <c r="O41" s="11"/>
      <c r="P41" s="12"/>
      <c r="Q41" s="65">
        <v>45782</v>
      </c>
      <c r="R41" s="89">
        <f t="shared" si="0"/>
        <v>1</v>
      </c>
      <c r="S41" s="101"/>
      <c r="T41" s="66"/>
    </row>
    <row r="42" spans="1:20" ht="28.8" x14ac:dyDescent="0.3">
      <c r="A42" s="96">
        <f t="shared" si="2"/>
        <v>39</v>
      </c>
      <c r="B42" s="87">
        <v>1550</v>
      </c>
      <c r="C42" s="103">
        <v>45782</v>
      </c>
      <c r="D42" s="331">
        <v>97248592</v>
      </c>
      <c r="E42" s="393" t="s">
        <v>2300</v>
      </c>
      <c r="F42" s="200" t="s">
        <v>32</v>
      </c>
      <c r="G42" s="375" t="s">
        <v>4</v>
      </c>
      <c r="H42" s="297">
        <v>45782</v>
      </c>
      <c r="I42" s="306"/>
      <c r="J42" s="318" t="s">
        <v>106</v>
      </c>
      <c r="K42" s="310"/>
      <c r="L42" s="311"/>
      <c r="M42" s="312"/>
      <c r="N42" s="310"/>
      <c r="O42" s="311"/>
      <c r="P42" s="312"/>
      <c r="Q42" s="307">
        <v>45782</v>
      </c>
      <c r="R42" s="89">
        <f t="shared" si="0"/>
        <v>1</v>
      </c>
      <c r="S42" s="101"/>
      <c r="T42" s="66"/>
    </row>
    <row r="43" spans="1:20" ht="57.6" x14ac:dyDescent="0.3">
      <c r="A43" s="96">
        <f t="shared" si="2"/>
        <v>40</v>
      </c>
      <c r="B43" s="304">
        <v>1550</v>
      </c>
      <c r="C43" s="305">
        <v>45782</v>
      </c>
      <c r="D43" s="331"/>
      <c r="E43" s="391" t="s">
        <v>2311</v>
      </c>
      <c r="F43" s="384" t="s">
        <v>1314</v>
      </c>
      <c r="G43" s="374" t="s">
        <v>4</v>
      </c>
      <c r="H43" s="297">
        <v>45782</v>
      </c>
      <c r="I43" s="317"/>
      <c r="J43" s="727" t="s">
        <v>99</v>
      </c>
      <c r="K43" s="314"/>
      <c r="L43" s="311"/>
      <c r="M43" s="312"/>
      <c r="N43" s="310"/>
      <c r="O43" s="311"/>
      <c r="P43" s="312"/>
      <c r="Q43" s="307">
        <v>45783</v>
      </c>
      <c r="R43" s="89">
        <f t="shared" si="0"/>
        <v>1.0000218426455811</v>
      </c>
      <c r="S43" s="101"/>
      <c r="T43" s="66"/>
    </row>
    <row r="44" spans="1:20" ht="57.6" x14ac:dyDescent="0.3">
      <c r="A44" s="96">
        <f t="shared" si="2"/>
        <v>41</v>
      </c>
      <c r="B44" s="304">
        <v>1550</v>
      </c>
      <c r="C44" s="305">
        <v>45782</v>
      </c>
      <c r="D44" s="331"/>
      <c r="E44" s="391" t="s">
        <v>2312</v>
      </c>
      <c r="F44" s="384" t="s">
        <v>1314</v>
      </c>
      <c r="G44" s="374" t="s">
        <v>4</v>
      </c>
      <c r="H44" s="297">
        <v>45782</v>
      </c>
      <c r="I44" s="317"/>
      <c r="J44" s="727" t="s">
        <v>99</v>
      </c>
      <c r="K44" s="314"/>
      <c r="L44" s="311"/>
      <c r="M44" s="312"/>
      <c r="N44" s="310"/>
      <c r="O44" s="311"/>
      <c r="P44" s="312"/>
      <c r="Q44" s="307">
        <v>45783</v>
      </c>
      <c r="R44" s="89">
        <f t="shared" si="0"/>
        <v>1.0000218426455811</v>
      </c>
      <c r="S44" s="101"/>
      <c r="T44" s="66"/>
    </row>
    <row r="45" spans="1:20" ht="57.6" x14ac:dyDescent="0.3">
      <c r="A45" s="96">
        <f t="shared" si="2"/>
        <v>42</v>
      </c>
      <c r="B45" s="304">
        <v>1550</v>
      </c>
      <c r="C45" s="305">
        <v>45782</v>
      </c>
      <c r="D45" s="331"/>
      <c r="E45" s="391" t="s">
        <v>2313</v>
      </c>
      <c r="F45" s="384" t="s">
        <v>1314</v>
      </c>
      <c r="G45" s="374" t="s">
        <v>4</v>
      </c>
      <c r="H45" s="297">
        <v>45782</v>
      </c>
      <c r="I45" s="317"/>
      <c r="J45" s="727" t="s">
        <v>99</v>
      </c>
      <c r="K45" s="314"/>
      <c r="L45" s="311"/>
      <c r="M45" s="312"/>
      <c r="N45" s="310"/>
      <c r="O45" s="311"/>
      <c r="P45" s="312"/>
      <c r="Q45" s="307">
        <v>45783</v>
      </c>
      <c r="R45" s="89">
        <f t="shared" si="0"/>
        <v>1.0000218426455811</v>
      </c>
      <c r="S45" s="101"/>
      <c r="T45" s="66"/>
    </row>
    <row r="46" spans="1:20" ht="57.6" x14ac:dyDescent="0.3">
      <c r="A46" s="96">
        <f t="shared" si="2"/>
        <v>43</v>
      </c>
      <c r="B46" s="304">
        <v>1550</v>
      </c>
      <c r="C46" s="305">
        <v>45782</v>
      </c>
      <c r="D46" s="331"/>
      <c r="E46" s="391" t="s">
        <v>2314</v>
      </c>
      <c r="F46" s="384" t="s">
        <v>1314</v>
      </c>
      <c r="G46" s="374" t="s">
        <v>4</v>
      </c>
      <c r="H46" s="297">
        <v>45782</v>
      </c>
      <c r="I46" s="317"/>
      <c r="J46" s="727" t="s">
        <v>99</v>
      </c>
      <c r="K46" s="314"/>
      <c r="L46" s="311"/>
      <c r="M46" s="312"/>
      <c r="N46" s="310"/>
      <c r="O46" s="311"/>
      <c r="P46" s="312"/>
      <c r="Q46" s="307">
        <v>45783</v>
      </c>
      <c r="R46" s="89">
        <f t="shared" si="0"/>
        <v>1.0000218426455811</v>
      </c>
      <c r="S46" s="101"/>
      <c r="T46" s="66"/>
    </row>
    <row r="47" spans="1:20" ht="57.6" x14ac:dyDescent="0.3">
      <c r="A47" s="96">
        <f t="shared" si="2"/>
        <v>44</v>
      </c>
      <c r="B47" s="304">
        <v>1550</v>
      </c>
      <c r="C47" s="305">
        <v>45782</v>
      </c>
      <c r="D47" s="331"/>
      <c r="E47" s="391" t="s">
        <v>2315</v>
      </c>
      <c r="F47" s="384" t="s">
        <v>1314</v>
      </c>
      <c r="G47" s="374" t="s">
        <v>4</v>
      </c>
      <c r="H47" s="297">
        <v>45782</v>
      </c>
      <c r="I47" s="317"/>
      <c r="J47" s="299" t="s">
        <v>99</v>
      </c>
      <c r="K47" s="314"/>
      <c r="L47" s="311"/>
      <c r="M47" s="312"/>
      <c r="N47" s="310"/>
      <c r="O47" s="311"/>
      <c r="P47" s="312"/>
      <c r="Q47" s="307">
        <v>45783</v>
      </c>
      <c r="R47" s="89">
        <f t="shared" si="0"/>
        <v>1.0000218426455811</v>
      </c>
      <c r="S47" s="101"/>
      <c r="T47" s="66"/>
    </row>
    <row r="48" spans="1:20" ht="28.8" x14ac:dyDescent="0.3">
      <c r="A48" s="96">
        <f t="shared" si="2"/>
        <v>45</v>
      </c>
      <c r="B48" s="304" t="s">
        <v>1826</v>
      </c>
      <c r="C48" s="305">
        <v>45782</v>
      </c>
      <c r="D48" s="331">
        <v>50958518</v>
      </c>
      <c r="E48" s="394" t="s">
        <v>2316</v>
      </c>
      <c r="F48" s="101" t="s">
        <v>7</v>
      </c>
      <c r="G48" s="112" t="s">
        <v>4</v>
      </c>
      <c r="H48" s="183">
        <v>45782</v>
      </c>
      <c r="I48" s="5"/>
      <c r="J48" s="100" t="s">
        <v>2317</v>
      </c>
      <c r="K48" s="21"/>
      <c r="L48" s="18"/>
      <c r="M48" s="19"/>
      <c r="N48" s="23"/>
      <c r="O48" s="11"/>
      <c r="P48" s="12"/>
      <c r="Q48" s="85">
        <v>45791</v>
      </c>
      <c r="R48" s="89">
        <f t="shared" si="0"/>
        <v>1.0001965838102311</v>
      </c>
      <c r="S48" s="101"/>
      <c r="T48" s="66"/>
    </row>
    <row r="49" spans="1:20" ht="57.6" x14ac:dyDescent="0.3">
      <c r="A49" s="96">
        <f t="shared" si="2"/>
        <v>46</v>
      </c>
      <c r="B49" s="87">
        <v>1550</v>
      </c>
      <c r="C49" s="103">
        <v>45782</v>
      </c>
      <c r="D49" s="331"/>
      <c r="E49" s="391" t="s">
        <v>2318</v>
      </c>
      <c r="F49" s="384" t="s">
        <v>1314</v>
      </c>
      <c r="G49" s="374" t="s">
        <v>4</v>
      </c>
      <c r="H49" s="297">
        <v>45782</v>
      </c>
      <c r="I49" s="317"/>
      <c r="J49" s="299" t="s">
        <v>99</v>
      </c>
      <c r="K49" s="314"/>
      <c r="L49" s="311"/>
      <c r="M49" s="312"/>
      <c r="N49" s="310"/>
      <c r="O49" s="311"/>
      <c r="P49" s="312"/>
      <c r="Q49" s="307">
        <v>45783</v>
      </c>
      <c r="R49" s="89">
        <f t="shared" si="0"/>
        <v>1.0000218426455811</v>
      </c>
      <c r="S49" s="101"/>
      <c r="T49" s="66"/>
    </row>
    <row r="50" spans="1:20" ht="28.8" x14ac:dyDescent="0.3">
      <c r="A50" s="96">
        <f t="shared" si="2"/>
        <v>47</v>
      </c>
      <c r="B50" s="87">
        <v>1550</v>
      </c>
      <c r="C50" s="103">
        <v>45782</v>
      </c>
      <c r="D50" s="331">
        <v>67740332</v>
      </c>
      <c r="E50" s="270" t="s">
        <v>2319</v>
      </c>
      <c r="F50" s="101" t="s">
        <v>32</v>
      </c>
      <c r="G50" s="112" t="s">
        <v>8</v>
      </c>
      <c r="H50" s="183">
        <v>45782</v>
      </c>
      <c r="I50" s="5"/>
      <c r="J50" s="100" t="s">
        <v>106</v>
      </c>
      <c r="K50" s="21"/>
      <c r="L50" s="245"/>
      <c r="M50" s="244"/>
      <c r="N50" s="23"/>
      <c r="O50" s="11"/>
      <c r="P50" s="12"/>
      <c r="Q50" s="85">
        <v>45782</v>
      </c>
      <c r="R50" s="89">
        <f t="shared" si="0"/>
        <v>1</v>
      </c>
      <c r="S50" s="101" t="s">
        <v>1916</v>
      </c>
      <c r="T50" s="66"/>
    </row>
    <row r="51" spans="1:20" ht="57.6" x14ac:dyDescent="0.3">
      <c r="A51" s="96">
        <f t="shared" si="2"/>
        <v>48</v>
      </c>
      <c r="B51" s="152" t="s">
        <v>1826</v>
      </c>
      <c r="C51" s="103">
        <v>45782</v>
      </c>
      <c r="D51" s="331"/>
      <c r="E51" s="391" t="s">
        <v>2320</v>
      </c>
      <c r="F51" s="384" t="s">
        <v>1314</v>
      </c>
      <c r="G51" s="374" t="s">
        <v>4</v>
      </c>
      <c r="H51" s="297">
        <v>45782</v>
      </c>
      <c r="I51" s="317"/>
      <c r="J51" s="299" t="s">
        <v>99</v>
      </c>
      <c r="K51" s="314"/>
      <c r="L51" s="311"/>
      <c r="M51" s="312"/>
      <c r="N51" s="310"/>
      <c r="O51" s="311"/>
      <c r="P51" s="312"/>
      <c r="Q51" s="307">
        <v>45783</v>
      </c>
      <c r="R51" s="89">
        <f t="shared" si="0"/>
        <v>1.0000218426455811</v>
      </c>
      <c r="S51" s="101" t="s">
        <v>1860</v>
      </c>
      <c r="T51" s="167"/>
    </row>
    <row r="52" spans="1:20" ht="57.6" x14ac:dyDescent="0.3">
      <c r="A52" s="96">
        <f t="shared" si="2"/>
        <v>49</v>
      </c>
      <c r="B52" s="152">
        <v>1550</v>
      </c>
      <c r="C52" s="103">
        <v>45782</v>
      </c>
      <c r="D52" s="331"/>
      <c r="E52" s="391" t="s">
        <v>2321</v>
      </c>
      <c r="F52" s="384" t="s">
        <v>1314</v>
      </c>
      <c r="G52" s="374" t="s">
        <v>4</v>
      </c>
      <c r="H52" s="297">
        <v>45782</v>
      </c>
      <c r="I52" s="317"/>
      <c r="J52" s="299" t="s">
        <v>99</v>
      </c>
      <c r="K52" s="314"/>
      <c r="L52" s="311"/>
      <c r="M52" s="312"/>
      <c r="N52" s="310"/>
      <c r="O52" s="311"/>
      <c r="P52" s="312"/>
      <c r="Q52" s="307">
        <v>45783</v>
      </c>
      <c r="R52" s="89">
        <f t="shared" si="0"/>
        <v>1.0000218426455811</v>
      </c>
      <c r="S52" s="101" t="s">
        <v>2322</v>
      </c>
      <c r="T52" s="66"/>
    </row>
    <row r="53" spans="1:20" ht="72" x14ac:dyDescent="0.3">
      <c r="A53" s="96">
        <f t="shared" si="2"/>
        <v>50</v>
      </c>
      <c r="B53" s="152">
        <v>1550</v>
      </c>
      <c r="C53" s="103">
        <v>45782</v>
      </c>
      <c r="D53" s="331"/>
      <c r="E53" s="270" t="s">
        <v>2323</v>
      </c>
      <c r="F53" s="101" t="s">
        <v>1314</v>
      </c>
      <c r="G53" s="221" t="s">
        <v>8</v>
      </c>
      <c r="H53" s="183">
        <v>45782</v>
      </c>
      <c r="I53" s="5"/>
      <c r="J53" s="100" t="s">
        <v>99</v>
      </c>
      <c r="K53" s="21"/>
      <c r="L53" s="18"/>
      <c r="M53" s="19"/>
      <c r="N53" s="23"/>
      <c r="O53" s="11"/>
      <c r="P53" s="12"/>
      <c r="Q53" s="85">
        <v>45783</v>
      </c>
      <c r="R53" s="89">
        <f t="shared" si="0"/>
        <v>1.0000218426455811</v>
      </c>
      <c r="S53" s="101" t="s">
        <v>758</v>
      </c>
      <c r="T53" s="66"/>
    </row>
    <row r="54" spans="1:20" ht="28.8" x14ac:dyDescent="0.3">
      <c r="A54" s="96">
        <f t="shared" si="2"/>
        <v>51</v>
      </c>
      <c r="B54" s="152">
        <v>1550</v>
      </c>
      <c r="C54" s="103">
        <v>45782</v>
      </c>
      <c r="D54" s="331">
        <v>100317391</v>
      </c>
      <c r="E54" s="391" t="s">
        <v>2324</v>
      </c>
      <c r="F54" s="101" t="s">
        <v>32</v>
      </c>
      <c r="G54" s="221" t="s">
        <v>4</v>
      </c>
      <c r="H54" s="183">
        <v>45782</v>
      </c>
      <c r="I54" s="5"/>
      <c r="J54" s="100" t="s">
        <v>106</v>
      </c>
      <c r="K54" s="21"/>
      <c r="L54" s="18"/>
      <c r="M54" s="19"/>
      <c r="N54" s="23"/>
      <c r="O54" s="11"/>
      <c r="P54" s="12"/>
      <c r="Q54" s="85">
        <v>45782</v>
      </c>
      <c r="R54" s="89">
        <f t="shared" si="0"/>
        <v>1</v>
      </c>
      <c r="S54" s="101"/>
      <c r="T54" s="66"/>
    </row>
    <row r="55" spans="1:20" ht="57.6" x14ac:dyDescent="0.3">
      <c r="A55" s="96">
        <f t="shared" si="2"/>
        <v>52</v>
      </c>
      <c r="B55" s="87">
        <v>1550</v>
      </c>
      <c r="C55" s="103">
        <v>45782</v>
      </c>
      <c r="D55" s="331"/>
      <c r="E55" s="391" t="s">
        <v>2325</v>
      </c>
      <c r="F55" s="384" t="s">
        <v>1314</v>
      </c>
      <c r="G55" s="374" t="s">
        <v>4</v>
      </c>
      <c r="H55" s="297">
        <v>45782</v>
      </c>
      <c r="I55" s="317"/>
      <c r="J55" s="299" t="s">
        <v>99</v>
      </c>
      <c r="K55" s="314"/>
      <c r="L55" s="311"/>
      <c r="M55" s="312"/>
      <c r="N55" s="310"/>
      <c r="O55" s="311"/>
      <c r="P55" s="312"/>
      <c r="Q55" s="307">
        <v>45783</v>
      </c>
      <c r="R55" s="89">
        <f t="shared" si="0"/>
        <v>1.0000218426455811</v>
      </c>
      <c r="S55" s="101"/>
      <c r="T55" s="66"/>
    </row>
    <row r="56" spans="1:20" ht="57.6" x14ac:dyDescent="0.3">
      <c r="A56" s="96">
        <f t="shared" si="2"/>
        <v>53</v>
      </c>
      <c r="B56" s="87">
        <v>1550</v>
      </c>
      <c r="C56" s="103">
        <v>45782</v>
      </c>
      <c r="D56" s="331"/>
      <c r="E56" s="391" t="s">
        <v>2326</v>
      </c>
      <c r="F56" s="384" t="s">
        <v>1314</v>
      </c>
      <c r="G56" s="374" t="s">
        <v>4</v>
      </c>
      <c r="H56" s="297">
        <v>45782</v>
      </c>
      <c r="I56" s="317"/>
      <c r="J56" s="299" t="s">
        <v>99</v>
      </c>
      <c r="K56" s="314"/>
      <c r="L56" s="311"/>
      <c r="M56" s="312"/>
      <c r="N56" s="310"/>
      <c r="O56" s="311"/>
      <c r="P56" s="312"/>
      <c r="Q56" s="307">
        <v>45783</v>
      </c>
      <c r="R56" s="89">
        <f t="shared" si="0"/>
        <v>1.0000218426455811</v>
      </c>
      <c r="S56" s="101"/>
      <c r="T56" s="66"/>
    </row>
    <row r="57" spans="1:20" ht="28.8" x14ac:dyDescent="0.3">
      <c r="A57" s="96">
        <f t="shared" si="2"/>
        <v>54</v>
      </c>
      <c r="B57" s="87" t="s">
        <v>1826</v>
      </c>
      <c r="C57" s="103">
        <v>45782</v>
      </c>
      <c r="D57" s="331">
        <v>87740176</v>
      </c>
      <c r="E57" s="270" t="s">
        <v>2327</v>
      </c>
      <c r="F57" s="101" t="s">
        <v>17</v>
      </c>
      <c r="G57" s="112" t="s">
        <v>4</v>
      </c>
      <c r="H57" s="183">
        <v>45782</v>
      </c>
      <c r="I57" s="5"/>
      <c r="J57" s="100" t="s">
        <v>82</v>
      </c>
      <c r="K57" s="21"/>
      <c r="L57" s="18"/>
      <c r="M57" s="19"/>
      <c r="N57" s="23"/>
      <c r="O57" s="11"/>
      <c r="P57" s="12"/>
      <c r="Q57" s="65">
        <v>45784</v>
      </c>
      <c r="R57" s="89">
        <f t="shared" si="0"/>
        <v>1.0000436852911625</v>
      </c>
      <c r="S57" s="101"/>
      <c r="T57" s="66"/>
    </row>
    <row r="58" spans="1:20" ht="28.8" x14ac:dyDescent="0.3">
      <c r="A58" s="96">
        <f t="shared" si="2"/>
        <v>55</v>
      </c>
      <c r="B58" s="87" t="s">
        <v>1826</v>
      </c>
      <c r="C58" s="103">
        <v>45782</v>
      </c>
      <c r="D58" s="331">
        <v>361248172</v>
      </c>
      <c r="E58" s="270" t="s">
        <v>2328</v>
      </c>
      <c r="F58" s="101" t="s">
        <v>3</v>
      </c>
      <c r="G58" s="112" t="s">
        <v>4</v>
      </c>
      <c r="H58" s="183">
        <v>45782</v>
      </c>
      <c r="I58" s="5"/>
      <c r="J58" s="100" t="s">
        <v>82</v>
      </c>
      <c r="K58" s="21"/>
      <c r="L58" s="18"/>
      <c r="M58" s="19"/>
      <c r="N58" s="23"/>
      <c r="O58" s="11"/>
      <c r="P58" s="12"/>
      <c r="Q58" s="65">
        <v>45782</v>
      </c>
      <c r="R58" s="89">
        <f t="shared" si="0"/>
        <v>1</v>
      </c>
      <c r="S58" s="101"/>
      <c r="T58" s="66"/>
    </row>
    <row r="59" spans="1:20" ht="57.6" x14ac:dyDescent="0.3">
      <c r="A59" s="96">
        <f t="shared" si="2"/>
        <v>56</v>
      </c>
      <c r="B59" s="87">
        <v>1550</v>
      </c>
      <c r="C59" s="103">
        <v>45782</v>
      </c>
      <c r="D59" s="369" t="s">
        <v>2329</v>
      </c>
      <c r="E59" s="270" t="s">
        <v>2330</v>
      </c>
      <c r="F59" s="101" t="s">
        <v>33</v>
      </c>
      <c r="G59" s="112" t="s">
        <v>8</v>
      </c>
      <c r="H59" s="183">
        <v>45782</v>
      </c>
      <c r="I59" s="5"/>
      <c r="J59" s="299" t="s">
        <v>99</v>
      </c>
      <c r="K59" s="21"/>
      <c r="L59" s="18"/>
      <c r="M59" s="19"/>
      <c r="N59" s="23"/>
      <c r="O59" s="11"/>
      <c r="P59" s="12"/>
      <c r="Q59" s="65">
        <v>45782</v>
      </c>
      <c r="R59" s="89">
        <f t="shared" si="0"/>
        <v>1</v>
      </c>
      <c r="S59" s="101" t="s">
        <v>528</v>
      </c>
      <c r="T59" s="66"/>
    </row>
    <row r="60" spans="1:20" ht="57.6" x14ac:dyDescent="0.3">
      <c r="A60" s="96">
        <f t="shared" si="2"/>
        <v>57</v>
      </c>
      <c r="B60" s="414">
        <v>1550</v>
      </c>
      <c r="C60" s="250">
        <v>45782</v>
      </c>
      <c r="D60" s="367"/>
      <c r="E60" s="487" t="s">
        <v>2331</v>
      </c>
      <c r="F60" s="384" t="s">
        <v>1314</v>
      </c>
      <c r="G60" s="374" t="s">
        <v>4</v>
      </c>
      <c r="H60" s="297">
        <v>45782</v>
      </c>
      <c r="I60" s="317"/>
      <c r="J60" s="299" t="s">
        <v>99</v>
      </c>
      <c r="K60" s="314"/>
      <c r="L60" s="311"/>
      <c r="M60" s="312"/>
      <c r="N60" s="310"/>
      <c r="O60" s="311"/>
      <c r="P60" s="312"/>
      <c r="Q60" s="307">
        <v>45783</v>
      </c>
      <c r="R60" s="89">
        <f t="shared" si="0"/>
        <v>1.0000218426455811</v>
      </c>
      <c r="S60" s="101"/>
      <c r="T60" s="160"/>
    </row>
    <row r="61" spans="1:20" ht="28.8" x14ac:dyDescent="0.3">
      <c r="A61" s="96">
        <f t="shared" si="2"/>
        <v>58</v>
      </c>
      <c r="B61" s="135">
        <v>1550</v>
      </c>
      <c r="C61" s="136">
        <v>45782</v>
      </c>
      <c r="D61" s="406">
        <v>27835448</v>
      </c>
      <c r="E61" s="254" t="s">
        <v>2332</v>
      </c>
      <c r="F61" s="101" t="s">
        <v>17</v>
      </c>
      <c r="G61" s="112" t="s">
        <v>4</v>
      </c>
      <c r="H61" s="183">
        <v>45782</v>
      </c>
      <c r="I61" s="5"/>
      <c r="J61" s="100" t="s">
        <v>82</v>
      </c>
      <c r="K61" s="21"/>
      <c r="L61" s="18"/>
      <c r="M61" s="19"/>
      <c r="N61" s="23"/>
      <c r="O61" s="11"/>
      <c r="P61" s="12"/>
      <c r="Q61" s="85">
        <v>45861</v>
      </c>
      <c r="R61" s="89">
        <f t="shared" si="0"/>
        <v>1.0017255690009175</v>
      </c>
      <c r="S61" s="101"/>
      <c r="T61" s="66" t="s">
        <v>2333</v>
      </c>
    </row>
    <row r="62" spans="1:20" ht="158.4" x14ac:dyDescent="0.3">
      <c r="A62" s="96">
        <f t="shared" si="2"/>
        <v>59</v>
      </c>
      <c r="B62" s="86" t="s">
        <v>80</v>
      </c>
      <c r="C62" s="253">
        <v>45782</v>
      </c>
      <c r="D62" s="331">
        <v>82226164</v>
      </c>
      <c r="E62" s="423" t="s">
        <v>2334</v>
      </c>
      <c r="F62" s="101" t="s">
        <v>3</v>
      </c>
      <c r="G62" s="112" t="s">
        <v>10</v>
      </c>
      <c r="H62" s="183">
        <v>45782</v>
      </c>
      <c r="I62" s="5">
        <v>10000286562</v>
      </c>
      <c r="J62" s="100" t="s">
        <v>82</v>
      </c>
      <c r="K62" s="21"/>
      <c r="L62" s="18"/>
      <c r="M62" s="19"/>
      <c r="N62" s="23"/>
      <c r="O62" s="11"/>
      <c r="P62" s="12"/>
      <c r="Q62" s="85">
        <v>45786</v>
      </c>
      <c r="R62" s="89">
        <f t="shared" si="0"/>
        <v>1.000087370582325</v>
      </c>
      <c r="S62" s="101" t="s">
        <v>216</v>
      </c>
      <c r="T62" s="66"/>
    </row>
    <row r="63" spans="1:20" ht="115.2" x14ac:dyDescent="0.3">
      <c r="A63" s="96">
        <f t="shared" si="2"/>
        <v>60</v>
      </c>
      <c r="B63" s="87" t="s">
        <v>80</v>
      </c>
      <c r="C63" s="103">
        <v>45782</v>
      </c>
      <c r="D63" s="331">
        <v>20584970</v>
      </c>
      <c r="E63" s="395" t="s">
        <v>2335</v>
      </c>
      <c r="F63" s="386" t="s">
        <v>17</v>
      </c>
      <c r="G63" s="112" t="s">
        <v>10</v>
      </c>
      <c r="H63" s="183">
        <v>45782</v>
      </c>
      <c r="I63" s="137"/>
      <c r="J63" s="100" t="s">
        <v>82</v>
      </c>
      <c r="K63" s="21"/>
      <c r="L63" s="18"/>
      <c r="M63" s="19"/>
      <c r="N63" s="23"/>
      <c r="O63" s="11"/>
      <c r="P63" s="12"/>
      <c r="Q63" s="85">
        <v>45792</v>
      </c>
      <c r="R63" s="89">
        <f t="shared" si="0"/>
        <v>1.0002184264558123</v>
      </c>
      <c r="S63" s="101" t="s">
        <v>1319</v>
      </c>
      <c r="T63" s="168"/>
    </row>
    <row r="64" spans="1:20" ht="115.2" x14ac:dyDescent="0.3">
      <c r="A64" s="96">
        <f t="shared" si="2"/>
        <v>61</v>
      </c>
      <c r="B64" s="87" t="s">
        <v>80</v>
      </c>
      <c r="C64" s="103">
        <v>45782</v>
      </c>
      <c r="D64" s="331">
        <v>95680292</v>
      </c>
      <c r="E64" s="395" t="s">
        <v>2336</v>
      </c>
      <c r="F64" s="101" t="s">
        <v>32</v>
      </c>
      <c r="G64" s="112" t="s">
        <v>10</v>
      </c>
      <c r="H64" s="183">
        <v>45782</v>
      </c>
      <c r="I64" s="5"/>
      <c r="J64" s="100" t="s">
        <v>106</v>
      </c>
      <c r="K64" s="21"/>
      <c r="L64" s="18"/>
      <c r="M64" s="19"/>
      <c r="N64" s="23"/>
      <c r="O64" s="11"/>
      <c r="P64" s="12"/>
      <c r="Q64" s="85">
        <v>45782</v>
      </c>
      <c r="R64" s="89">
        <f t="shared" si="0"/>
        <v>1</v>
      </c>
      <c r="S64" s="101" t="s">
        <v>2111</v>
      </c>
      <c r="T64" s="66"/>
    </row>
    <row r="65" spans="1:20" ht="86.4" x14ac:dyDescent="0.3">
      <c r="A65" s="96">
        <f t="shared" si="2"/>
        <v>62</v>
      </c>
      <c r="B65" s="87" t="s">
        <v>80</v>
      </c>
      <c r="C65" s="103">
        <v>45782</v>
      </c>
      <c r="D65" s="331">
        <v>91370043</v>
      </c>
      <c r="E65" s="395" t="s">
        <v>2337</v>
      </c>
      <c r="F65" s="386" t="s">
        <v>17</v>
      </c>
      <c r="G65" s="112" t="s">
        <v>10</v>
      </c>
      <c r="H65" s="183">
        <v>45782</v>
      </c>
      <c r="I65" s="137"/>
      <c r="J65" s="100" t="s">
        <v>82</v>
      </c>
      <c r="K65" s="21"/>
      <c r="L65" s="18"/>
      <c r="M65" s="19"/>
      <c r="N65" s="23"/>
      <c r="O65" s="11"/>
      <c r="P65" s="12"/>
      <c r="Q65" s="85">
        <v>45792</v>
      </c>
      <c r="R65" s="89">
        <f t="shared" si="0"/>
        <v>1.0002184264558123</v>
      </c>
      <c r="S65" s="101" t="s">
        <v>1319</v>
      </c>
      <c r="T65" s="66"/>
    </row>
    <row r="66" spans="1:20" ht="129.6" x14ac:dyDescent="0.3">
      <c r="A66" s="96">
        <f t="shared" si="2"/>
        <v>63</v>
      </c>
      <c r="B66" s="87" t="s">
        <v>80</v>
      </c>
      <c r="C66" s="103">
        <v>45782</v>
      </c>
      <c r="D66" s="331">
        <v>112526047</v>
      </c>
      <c r="E66" s="395" t="s">
        <v>2338</v>
      </c>
      <c r="F66" s="101" t="s">
        <v>3</v>
      </c>
      <c r="G66" s="112" t="s">
        <v>10</v>
      </c>
      <c r="H66" s="183">
        <v>45782</v>
      </c>
      <c r="I66" s="5"/>
      <c r="J66" s="100" t="s">
        <v>82</v>
      </c>
      <c r="K66" s="21"/>
      <c r="L66" s="18"/>
      <c r="M66" s="19"/>
      <c r="N66" s="23"/>
      <c r="O66" s="11"/>
      <c r="P66" s="12"/>
      <c r="Q66" s="85">
        <v>45782</v>
      </c>
      <c r="R66" s="89">
        <f t="shared" si="0"/>
        <v>1</v>
      </c>
      <c r="S66" s="101" t="s">
        <v>1332</v>
      </c>
      <c r="T66" s="66"/>
    </row>
    <row r="67" spans="1:20" ht="100.8" x14ac:dyDescent="0.3">
      <c r="A67" s="96">
        <f t="shared" si="2"/>
        <v>64</v>
      </c>
      <c r="B67" s="87" t="s">
        <v>80</v>
      </c>
      <c r="C67" s="103">
        <v>45782</v>
      </c>
      <c r="D67" s="331">
        <v>14199254</v>
      </c>
      <c r="E67" s="395" t="s">
        <v>2339</v>
      </c>
      <c r="F67" s="386" t="s">
        <v>17</v>
      </c>
      <c r="G67" s="112" t="s">
        <v>10</v>
      </c>
      <c r="H67" s="183">
        <v>45782</v>
      </c>
      <c r="I67" s="137"/>
      <c r="J67" s="100" t="s">
        <v>82</v>
      </c>
      <c r="K67" s="21"/>
      <c r="L67" s="18"/>
      <c r="M67" s="19"/>
      <c r="N67" s="23"/>
      <c r="O67" s="11"/>
      <c r="P67" s="12"/>
      <c r="Q67" s="85">
        <v>45792</v>
      </c>
      <c r="R67" s="89">
        <f t="shared" si="0"/>
        <v>1.0002184264558123</v>
      </c>
      <c r="S67" s="101" t="s">
        <v>1319</v>
      </c>
      <c r="T67" s="66"/>
    </row>
    <row r="68" spans="1:20" ht="57.6" x14ac:dyDescent="0.3">
      <c r="A68" s="96">
        <f t="shared" si="2"/>
        <v>65</v>
      </c>
      <c r="B68" s="87" t="s">
        <v>80</v>
      </c>
      <c r="C68" s="103">
        <v>45782</v>
      </c>
      <c r="D68" s="331"/>
      <c r="E68" s="395" t="s">
        <v>2340</v>
      </c>
      <c r="F68" s="384" t="s">
        <v>1314</v>
      </c>
      <c r="G68" s="112" t="s">
        <v>10</v>
      </c>
      <c r="H68" s="183">
        <v>45782</v>
      </c>
      <c r="I68" s="137"/>
      <c r="J68" s="100" t="s">
        <v>99</v>
      </c>
      <c r="K68" s="21"/>
      <c r="L68" s="18"/>
      <c r="M68" s="19"/>
      <c r="N68" s="23"/>
      <c r="O68" s="11"/>
      <c r="P68" s="12"/>
      <c r="Q68" s="85">
        <v>45783</v>
      </c>
      <c r="R68" s="89">
        <f t="shared" ref="R68:R131" si="3">Q68/H68</f>
        <v>1.0000218426455811</v>
      </c>
      <c r="S68" s="101" t="s">
        <v>1319</v>
      </c>
      <c r="T68" s="160"/>
    </row>
    <row r="69" spans="1:20" ht="86.4" x14ac:dyDescent="0.3">
      <c r="A69" s="96">
        <f t="shared" ref="A69:A78" si="4">A68+1</f>
        <v>66</v>
      </c>
      <c r="B69" s="87" t="s">
        <v>80</v>
      </c>
      <c r="C69" s="103">
        <v>45782</v>
      </c>
      <c r="D69" s="331">
        <v>27142078</v>
      </c>
      <c r="E69" s="395" t="s">
        <v>2341</v>
      </c>
      <c r="F69" s="101" t="s">
        <v>32</v>
      </c>
      <c r="G69" s="112" t="s">
        <v>10</v>
      </c>
      <c r="H69" s="183">
        <v>45782</v>
      </c>
      <c r="I69" s="5"/>
      <c r="J69" s="100" t="s">
        <v>106</v>
      </c>
      <c r="K69" s="21"/>
      <c r="L69" s="18"/>
      <c r="M69" s="19"/>
      <c r="N69" s="23"/>
      <c r="O69" s="11"/>
      <c r="P69" s="12"/>
      <c r="Q69" s="85">
        <v>45782</v>
      </c>
      <c r="R69" s="89">
        <f t="shared" si="3"/>
        <v>1</v>
      </c>
      <c r="S69" s="101" t="s">
        <v>1835</v>
      </c>
      <c r="T69" s="167"/>
    </row>
    <row r="70" spans="1:20" ht="158.4" x14ac:dyDescent="0.3">
      <c r="A70" s="96">
        <f t="shared" si="4"/>
        <v>67</v>
      </c>
      <c r="B70" s="87" t="s">
        <v>80</v>
      </c>
      <c r="C70" s="103">
        <v>45782</v>
      </c>
      <c r="D70" s="331">
        <v>9572783</v>
      </c>
      <c r="E70" s="395" t="s">
        <v>2342</v>
      </c>
      <c r="F70" s="386" t="s">
        <v>15</v>
      </c>
      <c r="G70" s="112" t="s">
        <v>10</v>
      </c>
      <c r="H70" s="183">
        <v>45782</v>
      </c>
      <c r="I70" s="5"/>
      <c r="J70" s="100" t="s">
        <v>99</v>
      </c>
      <c r="K70" s="21"/>
      <c r="L70" s="18"/>
      <c r="M70" s="19"/>
      <c r="N70" s="23"/>
      <c r="O70" s="11"/>
      <c r="P70" s="12"/>
      <c r="Q70" s="85">
        <v>45789</v>
      </c>
      <c r="R70" s="89">
        <f t="shared" si="3"/>
        <v>1.0001528985190686</v>
      </c>
      <c r="S70" s="101" t="s">
        <v>1806</v>
      </c>
      <c r="T70" s="66"/>
    </row>
    <row r="71" spans="1:20" ht="57.6" x14ac:dyDescent="0.3">
      <c r="A71" s="96">
        <f t="shared" si="4"/>
        <v>68</v>
      </c>
      <c r="B71" s="87" t="s">
        <v>80</v>
      </c>
      <c r="C71" s="103">
        <v>45782</v>
      </c>
      <c r="D71" s="331"/>
      <c r="E71" s="395" t="s">
        <v>2343</v>
      </c>
      <c r="F71" s="384" t="s">
        <v>1314</v>
      </c>
      <c r="G71" s="112" t="s">
        <v>10</v>
      </c>
      <c r="H71" s="183">
        <v>45782</v>
      </c>
      <c r="I71" s="137"/>
      <c r="J71" s="100" t="s">
        <v>99</v>
      </c>
      <c r="K71" s="21"/>
      <c r="L71" s="18"/>
      <c r="M71" s="19"/>
      <c r="N71" s="23"/>
      <c r="O71" s="11"/>
      <c r="P71" s="12"/>
      <c r="Q71" s="85">
        <v>45783</v>
      </c>
      <c r="R71" s="89">
        <f t="shared" si="3"/>
        <v>1.0000218426455811</v>
      </c>
      <c r="S71" s="101" t="s">
        <v>2111</v>
      </c>
      <c r="T71" s="66"/>
    </row>
    <row r="72" spans="1:20" ht="57.6" x14ac:dyDescent="0.3">
      <c r="A72" s="96">
        <f t="shared" si="4"/>
        <v>69</v>
      </c>
      <c r="B72" s="87" t="s">
        <v>80</v>
      </c>
      <c r="C72" s="103">
        <v>45782</v>
      </c>
      <c r="D72" s="331"/>
      <c r="E72" s="395" t="s">
        <v>2344</v>
      </c>
      <c r="F72" s="384" t="s">
        <v>1314</v>
      </c>
      <c r="G72" s="112" t="s">
        <v>10</v>
      </c>
      <c r="H72" s="183">
        <v>45782</v>
      </c>
      <c r="I72" s="137"/>
      <c r="J72" s="100" t="s">
        <v>99</v>
      </c>
      <c r="K72" s="21"/>
      <c r="L72" s="18"/>
      <c r="M72" s="19"/>
      <c r="N72" s="23"/>
      <c r="O72" s="11"/>
      <c r="P72" s="12"/>
      <c r="Q72" s="85">
        <v>45783</v>
      </c>
      <c r="R72" s="89">
        <f t="shared" si="3"/>
        <v>1.0000218426455811</v>
      </c>
      <c r="S72" s="101" t="s">
        <v>214</v>
      </c>
      <c r="T72" s="66"/>
    </row>
    <row r="73" spans="1:20" ht="100.8" x14ac:dyDescent="0.3">
      <c r="A73" s="96">
        <f t="shared" si="4"/>
        <v>70</v>
      </c>
      <c r="B73" s="87" t="s">
        <v>80</v>
      </c>
      <c r="C73" s="103">
        <v>45782</v>
      </c>
      <c r="D73" s="331">
        <v>104660902</v>
      </c>
      <c r="E73" s="395" t="s">
        <v>2345</v>
      </c>
      <c r="F73" s="386" t="s">
        <v>17</v>
      </c>
      <c r="G73" s="112" t="s">
        <v>10</v>
      </c>
      <c r="H73" s="183">
        <v>45782</v>
      </c>
      <c r="I73" s="137"/>
      <c r="J73" s="100" t="s">
        <v>82</v>
      </c>
      <c r="K73" s="163"/>
      <c r="L73" s="164"/>
      <c r="M73" s="165"/>
      <c r="N73" s="157"/>
      <c r="O73" s="158"/>
      <c r="P73" s="159"/>
      <c r="Q73" s="85">
        <v>45792</v>
      </c>
      <c r="R73" s="89">
        <f t="shared" si="3"/>
        <v>1.0002184264558123</v>
      </c>
      <c r="S73" s="101" t="s">
        <v>214</v>
      </c>
      <c r="T73" s="160"/>
    </row>
    <row r="74" spans="1:20" ht="57.6" x14ac:dyDescent="0.3">
      <c r="A74" s="96">
        <f t="shared" si="4"/>
        <v>71</v>
      </c>
      <c r="B74" s="87" t="s">
        <v>80</v>
      </c>
      <c r="C74" s="103">
        <v>45782</v>
      </c>
      <c r="D74" s="331"/>
      <c r="E74" s="395" t="s">
        <v>2346</v>
      </c>
      <c r="F74" s="384" t="s">
        <v>1314</v>
      </c>
      <c r="G74" s="112" t="s">
        <v>10</v>
      </c>
      <c r="H74" s="183">
        <v>45782</v>
      </c>
      <c r="I74" s="137"/>
      <c r="J74" s="100" t="s">
        <v>99</v>
      </c>
      <c r="K74" s="154"/>
      <c r="L74" s="155"/>
      <c r="M74" s="156"/>
      <c r="N74" s="157"/>
      <c r="O74" s="158"/>
      <c r="P74" s="159"/>
      <c r="Q74" s="85">
        <v>45783</v>
      </c>
      <c r="R74" s="89">
        <f t="shared" si="3"/>
        <v>1.0000218426455811</v>
      </c>
      <c r="S74" s="101" t="s">
        <v>85</v>
      </c>
      <c r="T74" s="160"/>
    </row>
    <row r="75" spans="1:20" ht="57.6" x14ac:dyDescent="0.3">
      <c r="A75" s="96">
        <f t="shared" si="4"/>
        <v>72</v>
      </c>
      <c r="B75" s="87" t="s">
        <v>80</v>
      </c>
      <c r="C75" s="103">
        <v>45782</v>
      </c>
      <c r="D75" s="331"/>
      <c r="E75" s="395" t="s">
        <v>2347</v>
      </c>
      <c r="F75" s="384" t="s">
        <v>1314</v>
      </c>
      <c r="G75" s="112" t="s">
        <v>10</v>
      </c>
      <c r="H75" s="183">
        <v>45782</v>
      </c>
      <c r="I75" s="137"/>
      <c r="J75" s="100" t="s">
        <v>99</v>
      </c>
      <c r="K75" s="21"/>
      <c r="L75" s="18"/>
      <c r="M75" s="19"/>
      <c r="N75" s="23"/>
      <c r="O75" s="11"/>
      <c r="P75" s="12"/>
      <c r="Q75" s="85">
        <v>45783</v>
      </c>
      <c r="R75" s="89">
        <f t="shared" si="3"/>
        <v>1.0000218426455811</v>
      </c>
      <c r="S75" s="101" t="s">
        <v>216</v>
      </c>
      <c r="T75" s="66"/>
    </row>
    <row r="76" spans="1:20" ht="100.8" x14ac:dyDescent="0.3">
      <c r="A76" s="96">
        <f t="shared" si="4"/>
        <v>73</v>
      </c>
      <c r="B76" s="87" t="s">
        <v>80</v>
      </c>
      <c r="C76" s="103">
        <v>45782</v>
      </c>
      <c r="D76" s="331">
        <v>35900849</v>
      </c>
      <c r="E76" s="395" t="s">
        <v>2348</v>
      </c>
      <c r="F76" s="386" t="s">
        <v>17</v>
      </c>
      <c r="G76" s="112" t="s">
        <v>10</v>
      </c>
      <c r="H76" s="183">
        <v>45782</v>
      </c>
      <c r="I76" s="137"/>
      <c r="J76" s="100" t="s">
        <v>82</v>
      </c>
      <c r="K76" s="21"/>
      <c r="L76" s="18"/>
      <c r="M76" s="19"/>
      <c r="N76" s="23"/>
      <c r="O76" s="11"/>
      <c r="P76" s="12"/>
      <c r="Q76" s="85">
        <v>45792</v>
      </c>
      <c r="R76" s="89">
        <f t="shared" si="3"/>
        <v>1.0002184264558123</v>
      </c>
      <c r="S76" s="101" t="s">
        <v>1319</v>
      </c>
      <c r="T76" s="66"/>
    </row>
    <row r="77" spans="1:20" ht="72" x14ac:dyDescent="0.3">
      <c r="A77" s="96">
        <f t="shared" si="4"/>
        <v>74</v>
      </c>
      <c r="B77" s="87" t="s">
        <v>80</v>
      </c>
      <c r="C77" s="103">
        <v>45782</v>
      </c>
      <c r="D77" s="331">
        <v>82519412</v>
      </c>
      <c r="E77" s="395" t="s">
        <v>2349</v>
      </c>
      <c r="F77" s="386" t="s">
        <v>17</v>
      </c>
      <c r="G77" s="112" t="s">
        <v>10</v>
      </c>
      <c r="H77" s="183">
        <v>45782</v>
      </c>
      <c r="I77" s="137"/>
      <c r="J77" s="100" t="s">
        <v>82</v>
      </c>
      <c r="K77" s="154"/>
      <c r="L77" s="155"/>
      <c r="M77" s="156"/>
      <c r="N77" s="157"/>
      <c r="O77" s="158"/>
      <c r="P77" s="159"/>
      <c r="Q77" s="85">
        <v>45792</v>
      </c>
      <c r="R77" s="89">
        <f t="shared" si="3"/>
        <v>1.0002184264558123</v>
      </c>
      <c r="S77" s="101" t="s">
        <v>1319</v>
      </c>
      <c r="T77" s="160"/>
    </row>
    <row r="78" spans="1:20" ht="72" x14ac:dyDescent="0.3">
      <c r="A78" s="96">
        <f t="shared" si="4"/>
        <v>75</v>
      </c>
      <c r="B78" s="87" t="s">
        <v>80</v>
      </c>
      <c r="C78" s="103">
        <v>45782</v>
      </c>
      <c r="D78" s="331">
        <v>52493830</v>
      </c>
      <c r="E78" s="395" t="s">
        <v>2350</v>
      </c>
      <c r="F78" s="386" t="s">
        <v>17</v>
      </c>
      <c r="G78" s="112" t="s">
        <v>10</v>
      </c>
      <c r="H78" s="183">
        <v>45782</v>
      </c>
      <c r="I78" s="137"/>
      <c r="J78" s="100" t="s">
        <v>82</v>
      </c>
      <c r="K78" s="21"/>
      <c r="L78" s="18"/>
      <c r="M78" s="19"/>
      <c r="N78" s="23"/>
      <c r="O78" s="11"/>
      <c r="P78" s="12"/>
      <c r="Q78" s="85">
        <v>45792</v>
      </c>
      <c r="R78" s="89">
        <f t="shared" si="3"/>
        <v>1.0002184264558123</v>
      </c>
      <c r="S78" s="101" t="s">
        <v>1319</v>
      </c>
      <c r="T78" s="66"/>
    </row>
    <row r="79" spans="1:20" ht="230.4" x14ac:dyDescent="0.3">
      <c r="A79" s="96">
        <f>A88+1</f>
        <v>77</v>
      </c>
      <c r="B79" s="414" t="s">
        <v>80</v>
      </c>
      <c r="C79" s="250">
        <v>45782</v>
      </c>
      <c r="D79" s="367">
        <v>28818865</v>
      </c>
      <c r="E79" s="415" t="s">
        <v>2351</v>
      </c>
      <c r="F79" s="416" t="s">
        <v>1</v>
      </c>
      <c r="G79" s="417" t="s">
        <v>10</v>
      </c>
      <c r="H79" s="418">
        <v>45782</v>
      </c>
      <c r="I79" s="410"/>
      <c r="J79" s="102" t="s">
        <v>2352</v>
      </c>
      <c r="K79" s="21"/>
      <c r="L79" s="18"/>
      <c r="M79" s="19"/>
      <c r="N79" s="23"/>
      <c r="O79" s="11"/>
      <c r="P79" s="12"/>
      <c r="Q79" s="85">
        <v>45783</v>
      </c>
      <c r="R79" s="89">
        <f t="shared" si="3"/>
        <v>1.0000218426455811</v>
      </c>
      <c r="S79" s="101" t="s">
        <v>1835</v>
      </c>
      <c r="T79" s="66"/>
    </row>
    <row r="80" spans="1:20" ht="72" x14ac:dyDescent="0.3">
      <c r="A80" s="96">
        <f t="shared" ref="A80:A87" si="5">A79+1</f>
        <v>78</v>
      </c>
      <c r="B80" s="135" t="s">
        <v>80</v>
      </c>
      <c r="C80" s="136">
        <v>45782</v>
      </c>
      <c r="D80" s="411">
        <v>70394032</v>
      </c>
      <c r="E80" s="60" t="s">
        <v>2353</v>
      </c>
      <c r="F80" s="111" t="s">
        <v>17</v>
      </c>
      <c r="G80" s="125" t="s">
        <v>10</v>
      </c>
      <c r="H80" s="138">
        <v>45782</v>
      </c>
      <c r="I80" s="137"/>
      <c r="J80" s="100" t="s">
        <v>82</v>
      </c>
      <c r="K80" s="21"/>
      <c r="L80" s="18"/>
      <c r="M80" s="19"/>
      <c r="N80" s="23"/>
      <c r="O80" s="11"/>
      <c r="P80" s="12"/>
      <c r="Q80" s="85">
        <v>45792</v>
      </c>
      <c r="R80" s="89">
        <f t="shared" si="3"/>
        <v>1.0002184264558123</v>
      </c>
      <c r="S80" s="101" t="s">
        <v>2185</v>
      </c>
      <c r="T80" s="66"/>
    </row>
    <row r="81" spans="1:20" ht="115.2" x14ac:dyDescent="0.3">
      <c r="A81" s="96">
        <f t="shared" si="5"/>
        <v>79</v>
      </c>
      <c r="B81" s="86" t="s">
        <v>80</v>
      </c>
      <c r="C81" s="253">
        <v>45782</v>
      </c>
      <c r="D81" s="331">
        <v>18421792</v>
      </c>
      <c r="E81" s="423" t="s">
        <v>2354</v>
      </c>
      <c r="F81" s="101" t="s">
        <v>15</v>
      </c>
      <c r="G81" s="81" t="s">
        <v>10</v>
      </c>
      <c r="H81" s="183">
        <v>45782</v>
      </c>
      <c r="I81" s="4"/>
      <c r="J81" s="100" t="s">
        <v>99</v>
      </c>
      <c r="K81" s="21"/>
      <c r="L81" s="18"/>
      <c r="M81" s="19"/>
      <c r="N81" s="23"/>
      <c r="O81" s="11"/>
      <c r="P81" s="12"/>
      <c r="Q81" s="85">
        <v>45800</v>
      </c>
      <c r="R81" s="89">
        <f t="shared" si="3"/>
        <v>1.0003931676204623</v>
      </c>
      <c r="S81" s="101" t="s">
        <v>1806</v>
      </c>
      <c r="T81" s="66"/>
    </row>
    <row r="82" spans="1:20" ht="57.6" x14ac:dyDescent="0.3">
      <c r="A82" s="96">
        <f t="shared" si="5"/>
        <v>80</v>
      </c>
      <c r="B82" s="87" t="s">
        <v>80</v>
      </c>
      <c r="C82" s="103">
        <v>45782</v>
      </c>
      <c r="D82" s="331"/>
      <c r="E82" s="395" t="s">
        <v>2355</v>
      </c>
      <c r="F82" s="384" t="s">
        <v>1314</v>
      </c>
      <c r="G82" s="112" t="s">
        <v>10</v>
      </c>
      <c r="H82" s="183">
        <v>45782</v>
      </c>
      <c r="I82" s="137"/>
      <c r="J82" s="100" t="s">
        <v>99</v>
      </c>
      <c r="K82" s="154"/>
      <c r="L82" s="155"/>
      <c r="M82" s="156"/>
      <c r="N82" s="157"/>
      <c r="O82" s="158"/>
      <c r="P82" s="159"/>
      <c r="Q82" s="85">
        <v>45783</v>
      </c>
      <c r="R82" s="89">
        <f t="shared" si="3"/>
        <v>1.0000218426455811</v>
      </c>
      <c r="S82" s="101" t="s">
        <v>2111</v>
      </c>
      <c r="T82" s="160"/>
    </row>
    <row r="83" spans="1:20" ht="28.8" x14ac:dyDescent="0.3">
      <c r="A83" s="96">
        <f t="shared" si="5"/>
        <v>81</v>
      </c>
      <c r="B83" s="152">
        <v>1550</v>
      </c>
      <c r="C83" s="103">
        <v>45783</v>
      </c>
      <c r="D83" s="331">
        <v>4825470</v>
      </c>
      <c r="E83" s="271" t="s">
        <v>2356</v>
      </c>
      <c r="F83" s="101" t="s">
        <v>3</v>
      </c>
      <c r="G83" s="112" t="s">
        <v>4</v>
      </c>
      <c r="H83" s="183">
        <v>45783</v>
      </c>
      <c r="I83" s="5"/>
      <c r="J83" s="100" t="s">
        <v>22</v>
      </c>
      <c r="K83" s="21"/>
      <c r="L83" s="18"/>
      <c r="M83" s="19"/>
      <c r="N83" s="23"/>
      <c r="O83" s="11"/>
      <c r="P83" s="12"/>
      <c r="Q83" s="65">
        <v>45784</v>
      </c>
      <c r="R83" s="89">
        <f t="shared" si="3"/>
        <v>1.0000218421684905</v>
      </c>
      <c r="S83" s="101"/>
      <c r="T83" s="66"/>
    </row>
    <row r="84" spans="1:20" ht="57.6" x14ac:dyDescent="0.3">
      <c r="A84" s="96">
        <f t="shared" si="5"/>
        <v>82</v>
      </c>
      <c r="B84" s="152">
        <v>1550</v>
      </c>
      <c r="C84" s="103">
        <v>45783</v>
      </c>
      <c r="D84" s="331"/>
      <c r="E84" s="391" t="s">
        <v>2357</v>
      </c>
      <c r="F84" s="101" t="s">
        <v>1314</v>
      </c>
      <c r="G84" s="112" t="s">
        <v>4</v>
      </c>
      <c r="H84" s="183">
        <v>45783</v>
      </c>
      <c r="I84" s="5"/>
      <c r="J84" s="100" t="s">
        <v>99</v>
      </c>
      <c r="K84" s="21"/>
      <c r="L84" s="18"/>
      <c r="M84" s="19"/>
      <c r="N84" s="23"/>
      <c r="O84" s="11"/>
      <c r="P84" s="12"/>
      <c r="Q84" s="65">
        <v>45783</v>
      </c>
      <c r="R84" s="89">
        <f t="shared" si="3"/>
        <v>1</v>
      </c>
      <c r="S84" s="101"/>
      <c r="T84" s="66"/>
    </row>
    <row r="85" spans="1:20" ht="43.2" x14ac:dyDescent="0.3">
      <c r="A85" s="96">
        <f t="shared" si="5"/>
        <v>83</v>
      </c>
      <c r="B85" s="152">
        <v>1550</v>
      </c>
      <c r="C85" s="250">
        <v>45783</v>
      </c>
      <c r="D85" s="331">
        <v>41647645</v>
      </c>
      <c r="E85" s="271" t="s">
        <v>2358</v>
      </c>
      <c r="F85" s="101" t="s">
        <v>32</v>
      </c>
      <c r="G85" s="112" t="s">
        <v>4</v>
      </c>
      <c r="H85" s="183">
        <v>45783</v>
      </c>
      <c r="I85" s="5"/>
      <c r="J85" s="100" t="s">
        <v>106</v>
      </c>
      <c r="K85" s="21"/>
      <c r="L85" s="18"/>
      <c r="M85" s="19"/>
      <c r="N85" s="23"/>
      <c r="O85" s="11"/>
      <c r="P85" s="12"/>
      <c r="Q85" s="65">
        <v>45783</v>
      </c>
      <c r="R85" s="89">
        <f t="shared" si="3"/>
        <v>1</v>
      </c>
      <c r="S85" s="101"/>
      <c r="T85" s="66"/>
    </row>
    <row r="86" spans="1:20" ht="57.6" x14ac:dyDescent="0.3">
      <c r="A86" s="96">
        <f t="shared" si="5"/>
        <v>84</v>
      </c>
      <c r="B86" s="152">
        <v>1550</v>
      </c>
      <c r="C86" s="103">
        <v>45783</v>
      </c>
      <c r="D86" s="331"/>
      <c r="E86" s="391" t="s">
        <v>2359</v>
      </c>
      <c r="F86" s="101" t="s">
        <v>1314</v>
      </c>
      <c r="G86" s="112" t="s">
        <v>4</v>
      </c>
      <c r="H86" s="183">
        <v>45783</v>
      </c>
      <c r="I86" s="5"/>
      <c r="J86" s="100" t="s">
        <v>99</v>
      </c>
      <c r="K86" s="21"/>
      <c r="L86" s="18"/>
      <c r="M86" s="19"/>
      <c r="N86" s="23"/>
      <c r="O86" s="11"/>
      <c r="P86" s="12"/>
      <c r="Q86" s="65">
        <v>45784</v>
      </c>
      <c r="R86" s="89">
        <f t="shared" si="3"/>
        <v>1.0000218421684905</v>
      </c>
      <c r="S86" s="101"/>
      <c r="T86" s="69"/>
    </row>
    <row r="87" spans="1:20" ht="28.8" x14ac:dyDescent="0.3">
      <c r="A87" s="96">
        <f t="shared" si="5"/>
        <v>85</v>
      </c>
      <c r="B87" s="152" t="s">
        <v>1826</v>
      </c>
      <c r="C87" s="252">
        <v>45783</v>
      </c>
      <c r="D87" s="331">
        <v>41517636</v>
      </c>
      <c r="E87" s="391" t="s">
        <v>2301</v>
      </c>
      <c r="F87" s="101" t="s">
        <v>17</v>
      </c>
      <c r="G87" s="376" t="s">
        <v>4</v>
      </c>
      <c r="H87" s="183">
        <v>45783</v>
      </c>
      <c r="I87" s="137"/>
      <c r="J87" s="100" t="s">
        <v>82</v>
      </c>
      <c r="K87" s="21"/>
      <c r="L87" s="18"/>
      <c r="M87" s="19"/>
      <c r="N87" s="23"/>
      <c r="O87" s="11"/>
      <c r="P87" s="12"/>
      <c r="Q87" s="65">
        <v>45784</v>
      </c>
      <c r="R87" s="89">
        <f t="shared" si="3"/>
        <v>1.0000218421684905</v>
      </c>
      <c r="S87" s="101" t="s">
        <v>720</v>
      </c>
      <c r="T87" s="160"/>
    </row>
    <row r="88" spans="1:20" ht="28.8" x14ac:dyDescent="0.3">
      <c r="A88" s="96">
        <f>A78+1</f>
        <v>76</v>
      </c>
      <c r="B88" s="152" t="s">
        <v>1826</v>
      </c>
      <c r="C88" s="265">
        <v>45783</v>
      </c>
      <c r="D88" s="331">
        <v>325353026</v>
      </c>
      <c r="E88" s="270" t="s">
        <v>2301</v>
      </c>
      <c r="F88" s="386" t="s">
        <v>17</v>
      </c>
      <c r="G88" s="376" t="s">
        <v>4</v>
      </c>
      <c r="H88" s="183">
        <v>45783</v>
      </c>
      <c r="I88" s="137"/>
      <c r="J88" s="100" t="s">
        <v>82</v>
      </c>
      <c r="K88" s="21"/>
      <c r="L88" s="18"/>
      <c r="M88" s="19"/>
      <c r="N88" s="23"/>
      <c r="O88" s="11"/>
      <c r="P88" s="12"/>
      <c r="Q88" s="65">
        <v>45784</v>
      </c>
      <c r="R88" s="89">
        <f t="shared" si="3"/>
        <v>1.0000218421684905</v>
      </c>
      <c r="S88" s="101" t="s">
        <v>720</v>
      </c>
      <c r="T88" s="66"/>
    </row>
    <row r="89" spans="1:20" ht="28.8" x14ac:dyDescent="0.3">
      <c r="A89" s="96">
        <f>A87+1</f>
        <v>86</v>
      </c>
      <c r="B89" s="152">
        <v>1550</v>
      </c>
      <c r="C89" s="251">
        <v>45783</v>
      </c>
      <c r="D89" s="331">
        <v>76249859</v>
      </c>
      <c r="E89" s="271" t="s">
        <v>2360</v>
      </c>
      <c r="F89" s="101" t="s">
        <v>1</v>
      </c>
      <c r="G89" s="112" t="s">
        <v>4</v>
      </c>
      <c r="H89" s="183">
        <v>45783</v>
      </c>
      <c r="I89" s="146"/>
      <c r="J89" s="100" t="s">
        <v>2352</v>
      </c>
      <c r="K89" s="21"/>
      <c r="L89" s="18"/>
      <c r="M89" s="19"/>
      <c r="N89" s="23"/>
      <c r="O89" s="11"/>
      <c r="P89" s="12"/>
      <c r="Q89" s="65">
        <v>45784</v>
      </c>
      <c r="R89" s="89">
        <f t="shared" si="3"/>
        <v>1.0000218421684905</v>
      </c>
      <c r="S89" s="101"/>
      <c r="T89" s="66"/>
    </row>
    <row r="90" spans="1:20" ht="28.8" x14ac:dyDescent="0.3">
      <c r="A90" s="96">
        <f t="shared" ref="A90:A153" si="6">A89+1</f>
        <v>87</v>
      </c>
      <c r="B90" s="152" t="s">
        <v>1826</v>
      </c>
      <c r="C90" s="265">
        <v>45783</v>
      </c>
      <c r="D90" s="381">
        <v>39333590</v>
      </c>
      <c r="E90" s="391" t="s">
        <v>2327</v>
      </c>
      <c r="F90" s="101" t="s">
        <v>17</v>
      </c>
      <c r="G90" s="376" t="s">
        <v>4</v>
      </c>
      <c r="H90" s="183">
        <v>45783</v>
      </c>
      <c r="I90" s="137"/>
      <c r="J90" s="100" t="s">
        <v>82</v>
      </c>
      <c r="K90" s="21"/>
      <c r="L90" s="18"/>
      <c r="M90" s="19"/>
      <c r="N90" s="23"/>
      <c r="O90" s="11"/>
      <c r="P90" s="12"/>
      <c r="Q90" s="65">
        <v>45784</v>
      </c>
      <c r="R90" s="89">
        <f t="shared" si="3"/>
        <v>1.0000218421684905</v>
      </c>
      <c r="S90" s="101" t="s">
        <v>720</v>
      </c>
      <c r="T90" s="66"/>
    </row>
    <row r="91" spans="1:20" ht="28.8" x14ac:dyDescent="0.3">
      <c r="A91" s="96">
        <f t="shared" si="6"/>
        <v>88</v>
      </c>
      <c r="B91" s="152" t="s">
        <v>1826</v>
      </c>
      <c r="C91" s="265">
        <v>45783</v>
      </c>
      <c r="D91" s="382">
        <v>109953460</v>
      </c>
      <c r="E91" s="391" t="s">
        <v>2327</v>
      </c>
      <c r="F91" s="101" t="s">
        <v>17</v>
      </c>
      <c r="G91" s="376" t="s">
        <v>4</v>
      </c>
      <c r="H91" s="183">
        <v>45783</v>
      </c>
      <c r="I91" s="137"/>
      <c r="J91" s="100" t="s">
        <v>82</v>
      </c>
      <c r="K91" s="21"/>
      <c r="L91" s="18"/>
      <c r="M91" s="19"/>
      <c r="N91" s="23"/>
      <c r="O91" s="11"/>
      <c r="P91" s="12"/>
      <c r="Q91" s="65">
        <v>45784</v>
      </c>
      <c r="R91" s="89">
        <f t="shared" si="3"/>
        <v>1.0000218421684905</v>
      </c>
      <c r="S91" s="101" t="s">
        <v>720</v>
      </c>
      <c r="T91" s="66"/>
    </row>
    <row r="92" spans="1:20" ht="28.8" x14ac:dyDescent="0.3">
      <c r="A92" s="96">
        <f t="shared" si="6"/>
        <v>89</v>
      </c>
      <c r="B92" s="152" t="s">
        <v>1826</v>
      </c>
      <c r="C92" s="265">
        <v>45783</v>
      </c>
      <c r="D92" s="382">
        <v>90978773</v>
      </c>
      <c r="E92" s="391" t="s">
        <v>2327</v>
      </c>
      <c r="F92" s="101" t="s">
        <v>17</v>
      </c>
      <c r="G92" s="376" t="s">
        <v>4</v>
      </c>
      <c r="H92" s="183">
        <v>45783</v>
      </c>
      <c r="I92" s="137"/>
      <c r="J92" s="100" t="s">
        <v>82</v>
      </c>
      <c r="K92" s="21"/>
      <c r="L92" s="18"/>
      <c r="M92" s="19"/>
      <c r="N92" s="23"/>
      <c r="O92" s="11"/>
      <c r="P92" s="12"/>
      <c r="Q92" s="65">
        <v>45784</v>
      </c>
      <c r="R92" s="89">
        <f t="shared" si="3"/>
        <v>1.0000218421684905</v>
      </c>
      <c r="S92" s="101" t="s">
        <v>720</v>
      </c>
      <c r="T92" s="66"/>
    </row>
    <row r="93" spans="1:20" ht="28.8" x14ac:dyDescent="0.3">
      <c r="A93" s="96">
        <f t="shared" si="6"/>
        <v>90</v>
      </c>
      <c r="B93" s="152" t="s">
        <v>1826</v>
      </c>
      <c r="C93" s="265">
        <v>45783</v>
      </c>
      <c r="D93" s="382">
        <v>72571667</v>
      </c>
      <c r="E93" s="391" t="s">
        <v>2327</v>
      </c>
      <c r="F93" s="101" t="s">
        <v>17</v>
      </c>
      <c r="G93" s="376" t="s">
        <v>4</v>
      </c>
      <c r="H93" s="183">
        <v>45783</v>
      </c>
      <c r="I93" s="137"/>
      <c r="J93" s="100" t="s">
        <v>82</v>
      </c>
      <c r="K93" s="21"/>
      <c r="L93" s="18"/>
      <c r="M93" s="19"/>
      <c r="N93" s="23"/>
      <c r="O93" s="11"/>
      <c r="P93" s="12"/>
      <c r="Q93" s="65">
        <v>45784</v>
      </c>
      <c r="R93" s="89">
        <f t="shared" si="3"/>
        <v>1.0000218421684905</v>
      </c>
      <c r="S93" s="101" t="s">
        <v>720</v>
      </c>
      <c r="T93" s="66"/>
    </row>
    <row r="94" spans="1:20" ht="28.8" x14ac:dyDescent="0.3">
      <c r="A94" s="96">
        <f t="shared" si="6"/>
        <v>91</v>
      </c>
      <c r="B94" s="152" t="s">
        <v>1826</v>
      </c>
      <c r="C94" s="265">
        <v>45783</v>
      </c>
      <c r="D94" s="382">
        <v>100982395</v>
      </c>
      <c r="E94" s="391" t="s">
        <v>2327</v>
      </c>
      <c r="F94" s="101" t="s">
        <v>17</v>
      </c>
      <c r="G94" s="376" t="s">
        <v>4</v>
      </c>
      <c r="H94" s="183">
        <v>45783</v>
      </c>
      <c r="I94" s="137"/>
      <c r="J94" s="100" t="s">
        <v>82</v>
      </c>
      <c r="K94" s="21"/>
      <c r="L94" s="18"/>
      <c r="M94" s="19"/>
      <c r="N94" s="23"/>
      <c r="O94" s="11"/>
      <c r="P94" s="12"/>
      <c r="Q94" s="65">
        <v>45784</v>
      </c>
      <c r="R94" s="89">
        <f t="shared" si="3"/>
        <v>1.0000218421684905</v>
      </c>
      <c r="S94" s="101" t="s">
        <v>720</v>
      </c>
      <c r="T94" s="66"/>
    </row>
    <row r="95" spans="1:20" ht="43.2" x14ac:dyDescent="0.3">
      <c r="A95" s="96">
        <f t="shared" si="6"/>
        <v>92</v>
      </c>
      <c r="B95" s="152" t="s">
        <v>1826</v>
      </c>
      <c r="C95" s="251">
        <v>45783</v>
      </c>
      <c r="D95" s="331">
        <v>93054343</v>
      </c>
      <c r="E95" s="393" t="s">
        <v>2361</v>
      </c>
      <c r="F95" s="101" t="s">
        <v>1</v>
      </c>
      <c r="G95" s="112" t="s">
        <v>4</v>
      </c>
      <c r="H95" s="183">
        <v>45783</v>
      </c>
      <c r="I95" s="5"/>
      <c r="J95" s="100" t="s">
        <v>99</v>
      </c>
      <c r="K95" s="21" t="s">
        <v>262</v>
      </c>
      <c r="L95" s="18"/>
      <c r="M95" s="19"/>
      <c r="N95" s="23"/>
      <c r="O95" s="11"/>
      <c r="P95" s="12"/>
      <c r="Q95" s="65">
        <v>45785</v>
      </c>
      <c r="R95" s="89">
        <f t="shared" si="3"/>
        <v>1.0000436843369809</v>
      </c>
      <c r="S95" s="101"/>
      <c r="T95" s="66"/>
    </row>
    <row r="96" spans="1:20" ht="57.6" x14ac:dyDescent="0.3">
      <c r="A96" s="96">
        <f t="shared" si="6"/>
        <v>93</v>
      </c>
      <c r="B96" s="87">
        <v>1550</v>
      </c>
      <c r="C96" s="103">
        <v>45783</v>
      </c>
      <c r="D96" s="331"/>
      <c r="E96" s="391" t="s">
        <v>2362</v>
      </c>
      <c r="F96" s="101" t="s">
        <v>1314</v>
      </c>
      <c r="G96" s="112" t="s">
        <v>4</v>
      </c>
      <c r="H96" s="183">
        <v>45783</v>
      </c>
      <c r="I96" s="5"/>
      <c r="J96" s="100" t="s">
        <v>99</v>
      </c>
      <c r="K96" s="21"/>
      <c r="L96" s="18"/>
      <c r="M96" s="19"/>
      <c r="N96" s="23"/>
      <c r="O96" s="11"/>
      <c r="P96" s="12"/>
      <c r="Q96" s="65">
        <v>45784</v>
      </c>
      <c r="R96" s="89">
        <f t="shared" si="3"/>
        <v>1.0000218421684905</v>
      </c>
      <c r="S96" s="101"/>
      <c r="T96" s="66"/>
    </row>
    <row r="97" spans="1:20" ht="72" x14ac:dyDescent="0.3">
      <c r="A97" s="96">
        <f t="shared" si="6"/>
        <v>94</v>
      </c>
      <c r="B97" s="87">
        <v>1550</v>
      </c>
      <c r="C97" s="103">
        <v>45783</v>
      </c>
      <c r="D97" s="331"/>
      <c r="E97" s="270" t="s">
        <v>2363</v>
      </c>
      <c r="F97" s="101" t="s">
        <v>1314</v>
      </c>
      <c r="G97" s="221" t="s">
        <v>8</v>
      </c>
      <c r="H97" s="183">
        <v>45783</v>
      </c>
      <c r="I97" s="5"/>
      <c r="J97" s="100" t="s">
        <v>99</v>
      </c>
      <c r="K97" s="21"/>
      <c r="L97" s="18"/>
      <c r="M97" s="19"/>
      <c r="N97" s="23"/>
      <c r="O97" s="11"/>
      <c r="P97" s="12"/>
      <c r="Q97" s="65">
        <v>45784</v>
      </c>
      <c r="R97" s="89">
        <f t="shared" si="3"/>
        <v>1.0000218421684905</v>
      </c>
      <c r="S97" s="101" t="s">
        <v>1916</v>
      </c>
      <c r="T97" s="66"/>
    </row>
    <row r="98" spans="1:20" ht="72" x14ac:dyDescent="0.3">
      <c r="A98" s="96">
        <f t="shared" si="6"/>
        <v>95</v>
      </c>
      <c r="B98" s="87" t="s">
        <v>1826</v>
      </c>
      <c r="C98" s="103">
        <v>45783</v>
      </c>
      <c r="D98" s="331"/>
      <c r="E98" s="270" t="s">
        <v>2364</v>
      </c>
      <c r="F98" s="101" t="s">
        <v>1314</v>
      </c>
      <c r="G98" s="221" t="s">
        <v>8</v>
      </c>
      <c r="H98" s="183">
        <v>45783</v>
      </c>
      <c r="I98" s="5"/>
      <c r="J98" s="100" t="s">
        <v>99</v>
      </c>
      <c r="K98" s="154"/>
      <c r="L98" s="155"/>
      <c r="M98" s="156"/>
      <c r="N98" s="157"/>
      <c r="O98" s="158"/>
      <c r="P98" s="159"/>
      <c r="Q98" s="65">
        <v>45784</v>
      </c>
      <c r="R98" s="89">
        <f t="shared" si="3"/>
        <v>1.0000218421684905</v>
      </c>
      <c r="S98" s="101" t="s">
        <v>94</v>
      </c>
      <c r="T98" s="160"/>
    </row>
    <row r="99" spans="1:20" ht="28.8" x14ac:dyDescent="0.3">
      <c r="A99" s="96">
        <f t="shared" si="6"/>
        <v>96</v>
      </c>
      <c r="B99" s="87" t="s">
        <v>1826</v>
      </c>
      <c r="C99" s="103">
        <v>45783</v>
      </c>
      <c r="D99" s="331">
        <v>112482864</v>
      </c>
      <c r="E99" s="270" t="s">
        <v>2327</v>
      </c>
      <c r="F99" s="386" t="s">
        <v>17</v>
      </c>
      <c r="G99" s="221" t="s">
        <v>4</v>
      </c>
      <c r="H99" s="183">
        <v>45783</v>
      </c>
      <c r="I99" s="137"/>
      <c r="J99" s="100" t="s">
        <v>82</v>
      </c>
      <c r="K99" s="154"/>
      <c r="L99" s="155"/>
      <c r="M99" s="156"/>
      <c r="N99" s="157"/>
      <c r="O99" s="158"/>
      <c r="P99" s="159"/>
      <c r="Q99" s="65">
        <v>45784</v>
      </c>
      <c r="R99" s="89">
        <f t="shared" si="3"/>
        <v>1.0000218421684905</v>
      </c>
      <c r="S99" s="101"/>
      <c r="T99" s="160"/>
    </row>
    <row r="100" spans="1:20" ht="57.6" x14ac:dyDescent="0.3">
      <c r="A100" s="96">
        <f t="shared" si="6"/>
        <v>97</v>
      </c>
      <c r="B100" s="87" t="s">
        <v>1826</v>
      </c>
      <c r="C100" s="103">
        <v>45783</v>
      </c>
      <c r="D100" s="331">
        <v>50101838</v>
      </c>
      <c r="E100" s="270" t="s">
        <v>2365</v>
      </c>
      <c r="F100" s="386" t="s">
        <v>12</v>
      </c>
      <c r="G100" s="221" t="s">
        <v>8</v>
      </c>
      <c r="H100" s="183">
        <v>45783</v>
      </c>
      <c r="I100" s="137"/>
      <c r="J100" s="729" t="s">
        <v>159</v>
      </c>
      <c r="K100" s="154"/>
      <c r="L100" s="155"/>
      <c r="M100" s="156"/>
      <c r="N100" s="157"/>
      <c r="O100" s="158"/>
      <c r="P100" s="159"/>
      <c r="Q100" s="65">
        <v>45786</v>
      </c>
      <c r="R100" s="89">
        <f t="shared" si="3"/>
        <v>1.0000655265054714</v>
      </c>
      <c r="S100" s="101" t="s">
        <v>94</v>
      </c>
      <c r="T100" s="160"/>
    </row>
    <row r="101" spans="1:20" ht="28.8" x14ac:dyDescent="0.3">
      <c r="A101" s="96">
        <f t="shared" si="6"/>
        <v>98</v>
      </c>
      <c r="B101" s="87">
        <v>1550</v>
      </c>
      <c r="C101" s="103">
        <v>45783</v>
      </c>
      <c r="D101" s="331">
        <v>120237644</v>
      </c>
      <c r="E101" s="270" t="s">
        <v>2366</v>
      </c>
      <c r="F101" s="344" t="s">
        <v>1</v>
      </c>
      <c r="G101" s="221" t="s">
        <v>8</v>
      </c>
      <c r="H101" s="183">
        <v>45783</v>
      </c>
      <c r="I101" s="5"/>
      <c r="J101" s="100" t="s">
        <v>2367</v>
      </c>
      <c r="K101" s="21"/>
      <c r="L101" s="18"/>
      <c r="M101" s="19"/>
      <c r="N101" s="23"/>
      <c r="O101" s="11"/>
      <c r="P101" s="12"/>
      <c r="Q101" s="65">
        <v>45783</v>
      </c>
      <c r="R101" s="89">
        <f t="shared" si="3"/>
        <v>1</v>
      </c>
      <c r="S101" s="101" t="s">
        <v>205</v>
      </c>
      <c r="T101" s="66"/>
    </row>
    <row r="102" spans="1:20" ht="28.8" x14ac:dyDescent="0.3">
      <c r="A102" s="96">
        <f t="shared" si="6"/>
        <v>99</v>
      </c>
      <c r="B102" s="87">
        <v>1550</v>
      </c>
      <c r="C102" s="103">
        <v>45783</v>
      </c>
      <c r="D102" s="331">
        <v>79346537</v>
      </c>
      <c r="E102" s="270" t="s">
        <v>2301</v>
      </c>
      <c r="F102" s="344" t="s">
        <v>17</v>
      </c>
      <c r="G102" s="221" t="s">
        <v>4</v>
      </c>
      <c r="H102" s="183">
        <v>45783</v>
      </c>
      <c r="I102" s="5"/>
      <c r="J102" s="100" t="s">
        <v>82</v>
      </c>
      <c r="K102" s="21"/>
      <c r="L102" s="18"/>
      <c r="M102" s="19"/>
      <c r="N102" s="23"/>
      <c r="O102" s="11"/>
      <c r="P102" s="12"/>
      <c r="Q102" s="65">
        <v>45784</v>
      </c>
      <c r="R102" s="89">
        <f t="shared" si="3"/>
        <v>1.0000218421684905</v>
      </c>
      <c r="S102" s="101"/>
      <c r="T102" s="66"/>
    </row>
    <row r="103" spans="1:20" ht="57.6" x14ac:dyDescent="0.3">
      <c r="A103" s="96">
        <f t="shared" si="6"/>
        <v>100</v>
      </c>
      <c r="B103" s="87">
        <v>1550</v>
      </c>
      <c r="C103" s="103">
        <v>45783</v>
      </c>
      <c r="D103" s="331"/>
      <c r="E103" s="391" t="s">
        <v>2368</v>
      </c>
      <c r="F103" s="386" t="s">
        <v>1314</v>
      </c>
      <c r="G103" s="221" t="s">
        <v>4</v>
      </c>
      <c r="H103" s="183">
        <v>45783</v>
      </c>
      <c r="I103" s="5"/>
      <c r="J103" s="100" t="s">
        <v>99</v>
      </c>
      <c r="K103" s="21"/>
      <c r="L103" s="18"/>
      <c r="M103" s="19"/>
      <c r="N103" s="23"/>
      <c r="O103" s="11"/>
      <c r="P103" s="12"/>
      <c r="Q103" s="65">
        <v>45784</v>
      </c>
      <c r="R103" s="89">
        <f t="shared" si="3"/>
        <v>1.0000218421684905</v>
      </c>
      <c r="S103" s="101"/>
      <c r="T103" s="66"/>
    </row>
    <row r="104" spans="1:20" ht="72" x14ac:dyDescent="0.3">
      <c r="A104" s="96">
        <f t="shared" si="6"/>
        <v>101</v>
      </c>
      <c r="B104" s="87">
        <v>1550</v>
      </c>
      <c r="C104" s="103">
        <v>45783</v>
      </c>
      <c r="D104" s="331"/>
      <c r="E104" s="270" t="s">
        <v>2369</v>
      </c>
      <c r="F104" s="101" t="s">
        <v>1314</v>
      </c>
      <c r="G104" s="221" t="s">
        <v>8</v>
      </c>
      <c r="H104" s="183">
        <v>45783</v>
      </c>
      <c r="I104" s="5"/>
      <c r="J104" s="100" t="s">
        <v>99</v>
      </c>
      <c r="K104" s="21"/>
      <c r="L104" s="18"/>
      <c r="M104" s="19"/>
      <c r="N104" s="23"/>
      <c r="O104" s="11"/>
      <c r="P104" s="12"/>
      <c r="Q104" s="65">
        <v>45784</v>
      </c>
      <c r="R104" s="89">
        <f t="shared" si="3"/>
        <v>1.0000218421684905</v>
      </c>
      <c r="S104" s="101" t="s">
        <v>138</v>
      </c>
      <c r="T104" s="69"/>
    </row>
    <row r="105" spans="1:20" ht="57.6" x14ac:dyDescent="0.3">
      <c r="A105" s="96">
        <f t="shared" si="6"/>
        <v>102</v>
      </c>
      <c r="B105" s="87">
        <v>1550</v>
      </c>
      <c r="C105" s="103">
        <v>45783</v>
      </c>
      <c r="D105" s="331"/>
      <c r="E105" s="393" t="s">
        <v>2370</v>
      </c>
      <c r="F105" s="101" t="s">
        <v>1314</v>
      </c>
      <c r="G105" s="112" t="s">
        <v>10</v>
      </c>
      <c r="H105" s="183">
        <v>45783</v>
      </c>
      <c r="I105" s="5"/>
      <c r="J105" s="100" t="s">
        <v>99</v>
      </c>
      <c r="K105" s="21"/>
      <c r="L105" s="18"/>
      <c r="M105" s="19"/>
      <c r="N105" s="23"/>
      <c r="O105" s="11"/>
      <c r="P105" s="12"/>
      <c r="Q105" s="65">
        <v>45783</v>
      </c>
      <c r="R105" s="89">
        <f t="shared" si="3"/>
        <v>1</v>
      </c>
      <c r="S105" s="101" t="s">
        <v>1319</v>
      </c>
      <c r="T105" s="160"/>
    </row>
    <row r="106" spans="1:20" ht="57.6" x14ac:dyDescent="0.3">
      <c r="A106" s="96">
        <f t="shared" si="6"/>
        <v>103</v>
      </c>
      <c r="B106" s="87">
        <v>1550</v>
      </c>
      <c r="C106" s="103">
        <v>45783</v>
      </c>
      <c r="D106" s="331"/>
      <c r="E106" s="393" t="s">
        <v>2371</v>
      </c>
      <c r="F106" s="101" t="s">
        <v>1314</v>
      </c>
      <c r="G106" s="112" t="s">
        <v>10</v>
      </c>
      <c r="H106" s="183">
        <v>45783</v>
      </c>
      <c r="I106" s="5"/>
      <c r="J106" s="100" t="s">
        <v>99</v>
      </c>
      <c r="K106" s="21"/>
      <c r="L106" s="18"/>
      <c r="M106" s="19"/>
      <c r="N106" s="23"/>
      <c r="O106" s="11"/>
      <c r="P106" s="12"/>
      <c r="Q106" s="65">
        <v>45783</v>
      </c>
      <c r="R106" s="89">
        <f t="shared" si="3"/>
        <v>1</v>
      </c>
      <c r="S106" s="101" t="s">
        <v>1835</v>
      </c>
      <c r="T106" s="66"/>
    </row>
    <row r="107" spans="1:20" ht="57.6" x14ac:dyDescent="0.3">
      <c r="A107" s="96">
        <f t="shared" si="6"/>
        <v>104</v>
      </c>
      <c r="B107" s="87">
        <v>1550</v>
      </c>
      <c r="C107" s="103">
        <v>45783</v>
      </c>
      <c r="D107" s="331"/>
      <c r="E107" s="393" t="s">
        <v>2372</v>
      </c>
      <c r="F107" s="101" t="s">
        <v>1314</v>
      </c>
      <c r="G107" s="112" t="s">
        <v>10</v>
      </c>
      <c r="H107" s="183">
        <v>45783</v>
      </c>
      <c r="I107" s="5"/>
      <c r="J107" s="100" t="s">
        <v>99</v>
      </c>
      <c r="K107" s="21"/>
      <c r="L107" s="18"/>
      <c r="M107" s="19"/>
      <c r="N107" s="23"/>
      <c r="O107" s="11"/>
      <c r="P107" s="12"/>
      <c r="Q107" s="65">
        <v>45783</v>
      </c>
      <c r="R107" s="89">
        <f t="shared" si="3"/>
        <v>1</v>
      </c>
      <c r="S107" s="101" t="s">
        <v>1319</v>
      </c>
      <c r="T107" s="66"/>
    </row>
    <row r="108" spans="1:20" ht="57.6" x14ac:dyDescent="0.3">
      <c r="A108" s="96">
        <f t="shared" si="6"/>
        <v>105</v>
      </c>
      <c r="B108" s="87">
        <v>1550</v>
      </c>
      <c r="C108" s="103">
        <v>45783</v>
      </c>
      <c r="D108" s="331"/>
      <c r="E108" s="393" t="s">
        <v>2373</v>
      </c>
      <c r="F108" s="101" t="s">
        <v>1314</v>
      </c>
      <c r="G108" s="112" t="s">
        <v>10</v>
      </c>
      <c r="H108" s="183">
        <v>45783</v>
      </c>
      <c r="I108" s="5"/>
      <c r="J108" s="100" t="s">
        <v>99</v>
      </c>
      <c r="K108" s="21"/>
      <c r="L108" s="18"/>
      <c r="M108" s="19"/>
      <c r="N108" s="23"/>
      <c r="O108" s="11"/>
      <c r="P108" s="12"/>
      <c r="Q108" s="65">
        <v>45784</v>
      </c>
      <c r="R108" s="89">
        <f t="shared" si="3"/>
        <v>1.0000218421684905</v>
      </c>
      <c r="S108" s="101" t="s">
        <v>1319</v>
      </c>
      <c r="T108" s="66"/>
    </row>
    <row r="109" spans="1:20" ht="100.8" x14ac:dyDescent="0.3">
      <c r="A109" s="96">
        <f t="shared" si="6"/>
        <v>106</v>
      </c>
      <c r="B109" s="87">
        <v>1550</v>
      </c>
      <c r="C109" s="103">
        <v>45783</v>
      </c>
      <c r="D109" s="331">
        <v>4865367</v>
      </c>
      <c r="E109" s="393" t="s">
        <v>2374</v>
      </c>
      <c r="F109" s="386" t="s">
        <v>12</v>
      </c>
      <c r="G109" s="112" t="s">
        <v>10</v>
      </c>
      <c r="H109" s="183">
        <v>45783</v>
      </c>
      <c r="I109" s="146"/>
      <c r="J109" s="729" t="s">
        <v>159</v>
      </c>
      <c r="K109" s="21"/>
      <c r="L109" s="18"/>
      <c r="M109" s="19"/>
      <c r="N109" s="23"/>
      <c r="O109" s="11"/>
      <c r="P109" s="12"/>
      <c r="Q109" s="65">
        <v>45789</v>
      </c>
      <c r="R109" s="89">
        <f t="shared" si="3"/>
        <v>1.0001310530109428</v>
      </c>
      <c r="S109" s="101" t="s">
        <v>1806</v>
      </c>
      <c r="T109" s="66"/>
    </row>
    <row r="110" spans="1:20" ht="57.6" x14ac:dyDescent="0.3">
      <c r="A110" s="96">
        <f t="shared" si="6"/>
        <v>107</v>
      </c>
      <c r="B110" s="87">
        <v>1550</v>
      </c>
      <c r="C110" s="103">
        <v>45783</v>
      </c>
      <c r="D110" s="331"/>
      <c r="E110" s="393" t="s">
        <v>2375</v>
      </c>
      <c r="F110" s="101" t="s">
        <v>1314</v>
      </c>
      <c r="G110" s="112" t="s">
        <v>10</v>
      </c>
      <c r="H110" s="183">
        <v>45783</v>
      </c>
      <c r="I110" s="5"/>
      <c r="J110" s="100" t="s">
        <v>99</v>
      </c>
      <c r="K110" s="21"/>
      <c r="L110" s="18"/>
      <c r="M110" s="19"/>
      <c r="N110" s="23"/>
      <c r="O110" s="11"/>
      <c r="P110" s="12"/>
      <c r="Q110" s="65">
        <v>45784</v>
      </c>
      <c r="R110" s="89">
        <f t="shared" si="3"/>
        <v>1.0000218421684905</v>
      </c>
      <c r="S110" s="101" t="s">
        <v>1319</v>
      </c>
      <c r="T110" s="66"/>
    </row>
    <row r="111" spans="1:20" ht="57.6" x14ac:dyDescent="0.3">
      <c r="A111" s="96">
        <f t="shared" si="6"/>
        <v>108</v>
      </c>
      <c r="B111" s="87">
        <v>1550</v>
      </c>
      <c r="C111" s="103">
        <v>45783</v>
      </c>
      <c r="D111" s="331"/>
      <c r="E111" s="393" t="s">
        <v>2376</v>
      </c>
      <c r="F111" s="101" t="s">
        <v>1314</v>
      </c>
      <c r="G111" s="112" t="s">
        <v>10</v>
      </c>
      <c r="H111" s="183">
        <v>45783</v>
      </c>
      <c r="I111" s="5"/>
      <c r="J111" s="100" t="s">
        <v>99</v>
      </c>
      <c r="K111" s="21"/>
      <c r="L111" s="18"/>
      <c r="M111" s="19"/>
      <c r="N111" s="23"/>
      <c r="O111" s="11"/>
      <c r="P111" s="12"/>
      <c r="Q111" s="65">
        <v>45784</v>
      </c>
      <c r="R111" s="89">
        <f t="shared" si="3"/>
        <v>1.0000218421684905</v>
      </c>
      <c r="S111" s="101" t="s">
        <v>2111</v>
      </c>
      <c r="T111" s="66"/>
    </row>
    <row r="112" spans="1:20" ht="57.6" x14ac:dyDescent="0.3">
      <c r="A112" s="96">
        <f t="shared" si="6"/>
        <v>109</v>
      </c>
      <c r="B112" s="87">
        <v>1550</v>
      </c>
      <c r="C112" s="103">
        <v>45783</v>
      </c>
      <c r="D112" s="331"/>
      <c r="E112" s="393" t="s">
        <v>2377</v>
      </c>
      <c r="F112" s="101" t="s">
        <v>1314</v>
      </c>
      <c r="G112" s="112" t="s">
        <v>10</v>
      </c>
      <c r="H112" s="183">
        <v>45783</v>
      </c>
      <c r="I112" s="5"/>
      <c r="J112" s="100" t="s">
        <v>99</v>
      </c>
      <c r="K112" s="21"/>
      <c r="L112" s="18"/>
      <c r="M112" s="19"/>
      <c r="N112" s="23"/>
      <c r="O112" s="11"/>
      <c r="P112" s="12"/>
      <c r="Q112" s="65">
        <v>45784</v>
      </c>
      <c r="R112" s="89">
        <f t="shared" si="3"/>
        <v>1.0000218421684905</v>
      </c>
      <c r="S112" s="101" t="s">
        <v>216</v>
      </c>
      <c r="T112" s="66"/>
    </row>
    <row r="113" spans="1:20" ht="57.6" x14ac:dyDescent="0.3">
      <c r="A113" s="96">
        <f t="shared" si="6"/>
        <v>110</v>
      </c>
      <c r="B113" s="87">
        <v>1550</v>
      </c>
      <c r="C113" s="103">
        <v>45783</v>
      </c>
      <c r="D113" s="331"/>
      <c r="E113" s="393" t="s">
        <v>2378</v>
      </c>
      <c r="F113" s="101" t="s">
        <v>1314</v>
      </c>
      <c r="G113" s="112" t="s">
        <v>10</v>
      </c>
      <c r="H113" s="183">
        <v>45783</v>
      </c>
      <c r="I113" s="5"/>
      <c r="J113" s="100" t="s">
        <v>99</v>
      </c>
      <c r="K113" s="21"/>
      <c r="L113" s="18"/>
      <c r="M113" s="19"/>
      <c r="N113" s="23"/>
      <c r="O113" s="11"/>
      <c r="P113" s="12"/>
      <c r="Q113" s="65">
        <v>45784</v>
      </c>
      <c r="R113" s="89">
        <f t="shared" si="3"/>
        <v>1.0000218421684905</v>
      </c>
      <c r="S113" s="101" t="s">
        <v>1769</v>
      </c>
      <c r="T113" s="66"/>
    </row>
    <row r="114" spans="1:20" ht="115.2" x14ac:dyDescent="0.3">
      <c r="A114" s="96">
        <f t="shared" si="6"/>
        <v>111</v>
      </c>
      <c r="B114" s="87">
        <v>1550</v>
      </c>
      <c r="C114" s="103">
        <v>45783</v>
      </c>
      <c r="D114" s="331">
        <v>86134973</v>
      </c>
      <c r="E114" s="393" t="s">
        <v>2379</v>
      </c>
      <c r="F114" s="101" t="s">
        <v>32</v>
      </c>
      <c r="G114" s="112" t="s">
        <v>10</v>
      </c>
      <c r="H114" s="183">
        <v>45783</v>
      </c>
      <c r="I114" s="5"/>
      <c r="J114" s="38" t="s">
        <v>106</v>
      </c>
      <c r="K114" s="21"/>
      <c r="L114" s="18"/>
      <c r="M114" s="19"/>
      <c r="N114" s="23"/>
      <c r="O114" s="11"/>
      <c r="P114" s="12"/>
      <c r="Q114" s="65">
        <v>45784</v>
      </c>
      <c r="R114" s="89">
        <f t="shared" si="3"/>
        <v>1.0000218421684905</v>
      </c>
      <c r="S114" s="101" t="s">
        <v>1769</v>
      </c>
      <c r="T114" s="66"/>
    </row>
    <row r="115" spans="1:20" ht="187.2" x14ac:dyDescent="0.3">
      <c r="A115" s="96">
        <f t="shared" si="6"/>
        <v>112</v>
      </c>
      <c r="B115" s="87">
        <v>1550</v>
      </c>
      <c r="C115" s="103">
        <v>45783</v>
      </c>
      <c r="D115" s="331">
        <v>37549979</v>
      </c>
      <c r="E115" s="393" t="s">
        <v>2380</v>
      </c>
      <c r="F115" s="101" t="s">
        <v>1</v>
      </c>
      <c r="G115" s="112" t="s">
        <v>10</v>
      </c>
      <c r="H115" s="183">
        <v>45783</v>
      </c>
      <c r="I115" s="5"/>
      <c r="J115" s="100" t="s">
        <v>2310</v>
      </c>
      <c r="K115" s="21"/>
      <c r="L115" s="18"/>
      <c r="M115" s="19"/>
      <c r="N115" s="23"/>
      <c r="O115" s="11"/>
      <c r="P115" s="12"/>
      <c r="Q115" s="65">
        <v>45783</v>
      </c>
      <c r="R115" s="89">
        <f t="shared" si="3"/>
        <v>1</v>
      </c>
      <c r="S115" s="101" t="s">
        <v>2185</v>
      </c>
      <c r="T115" s="66"/>
    </row>
    <row r="116" spans="1:20" ht="129.6" x14ac:dyDescent="0.3">
      <c r="A116" s="96">
        <f t="shared" si="6"/>
        <v>113</v>
      </c>
      <c r="B116" s="87">
        <v>1550</v>
      </c>
      <c r="C116" s="103">
        <v>45783</v>
      </c>
      <c r="D116" s="331">
        <v>120518147</v>
      </c>
      <c r="E116" s="393" t="s">
        <v>2381</v>
      </c>
      <c r="F116" s="344" t="s">
        <v>3</v>
      </c>
      <c r="G116" s="112" t="s">
        <v>10</v>
      </c>
      <c r="H116" s="183">
        <v>45783</v>
      </c>
      <c r="I116" s="5">
        <v>10000286950</v>
      </c>
      <c r="J116" s="100" t="s">
        <v>82</v>
      </c>
      <c r="K116" s="154"/>
      <c r="L116" s="155"/>
      <c r="M116" s="156"/>
      <c r="N116" s="157"/>
      <c r="O116" s="158"/>
      <c r="P116" s="159"/>
      <c r="Q116" s="65">
        <v>45790</v>
      </c>
      <c r="R116" s="89">
        <f t="shared" si="3"/>
        <v>1.0001528951794334</v>
      </c>
      <c r="S116" s="101" t="s">
        <v>2213</v>
      </c>
      <c r="T116" s="167"/>
    </row>
    <row r="117" spans="1:20" ht="57.6" x14ac:dyDescent="0.3">
      <c r="A117" s="96">
        <f t="shared" si="6"/>
        <v>114</v>
      </c>
      <c r="B117" s="87">
        <v>1550</v>
      </c>
      <c r="C117" s="103">
        <v>45783</v>
      </c>
      <c r="D117" s="331"/>
      <c r="E117" s="393" t="s">
        <v>2382</v>
      </c>
      <c r="F117" s="101" t="s">
        <v>1314</v>
      </c>
      <c r="G117" s="112" t="s">
        <v>10</v>
      </c>
      <c r="H117" s="183">
        <v>45783</v>
      </c>
      <c r="I117" s="5"/>
      <c r="J117" s="100" t="s">
        <v>99</v>
      </c>
      <c r="K117" s="21"/>
      <c r="L117" s="18"/>
      <c r="M117" s="19"/>
      <c r="N117" s="23"/>
      <c r="O117" s="11"/>
      <c r="P117" s="12"/>
      <c r="Q117" s="65">
        <v>45784</v>
      </c>
      <c r="R117" s="89">
        <f t="shared" si="3"/>
        <v>1.0000218421684905</v>
      </c>
      <c r="S117" s="101" t="s">
        <v>1319</v>
      </c>
      <c r="T117" s="66"/>
    </row>
    <row r="118" spans="1:20" ht="57.6" x14ac:dyDescent="0.3">
      <c r="A118" s="96">
        <f t="shared" si="6"/>
        <v>115</v>
      </c>
      <c r="B118" s="87">
        <v>1550</v>
      </c>
      <c r="C118" s="103">
        <v>45783</v>
      </c>
      <c r="D118" s="331"/>
      <c r="E118" s="393" t="s">
        <v>2383</v>
      </c>
      <c r="F118" s="101" t="s">
        <v>1314</v>
      </c>
      <c r="G118" s="112" t="s">
        <v>10</v>
      </c>
      <c r="H118" s="183">
        <v>45783</v>
      </c>
      <c r="I118" s="5"/>
      <c r="J118" s="100" t="s">
        <v>99</v>
      </c>
      <c r="K118" s="154"/>
      <c r="L118" s="155"/>
      <c r="M118" s="156"/>
      <c r="N118" s="157"/>
      <c r="O118" s="158"/>
      <c r="P118" s="159"/>
      <c r="Q118" s="65">
        <v>45784</v>
      </c>
      <c r="R118" s="89">
        <f t="shared" si="3"/>
        <v>1.0000218421684905</v>
      </c>
      <c r="S118" s="101" t="s">
        <v>1319</v>
      </c>
      <c r="T118" s="66"/>
    </row>
    <row r="119" spans="1:20" ht="57.6" x14ac:dyDescent="0.3">
      <c r="A119" s="96">
        <f t="shared" si="6"/>
        <v>116</v>
      </c>
      <c r="B119" s="87">
        <v>1550</v>
      </c>
      <c r="C119" s="103">
        <v>45783</v>
      </c>
      <c r="D119" s="331"/>
      <c r="E119" s="393" t="s">
        <v>2384</v>
      </c>
      <c r="F119" s="101" t="s">
        <v>1314</v>
      </c>
      <c r="G119" s="112" t="s">
        <v>10</v>
      </c>
      <c r="H119" s="183">
        <v>45783</v>
      </c>
      <c r="I119" s="5"/>
      <c r="J119" s="100" t="s">
        <v>99</v>
      </c>
      <c r="K119" s="21"/>
      <c r="L119" s="18"/>
      <c r="M119" s="19"/>
      <c r="N119" s="23"/>
      <c r="O119" s="11"/>
      <c r="P119" s="12"/>
      <c r="Q119" s="65">
        <v>45785</v>
      </c>
      <c r="R119" s="89">
        <f t="shared" si="3"/>
        <v>1.0000436843369809</v>
      </c>
      <c r="S119" s="101" t="s">
        <v>1319</v>
      </c>
      <c r="T119" s="66"/>
    </row>
    <row r="120" spans="1:20" ht="57.6" x14ac:dyDescent="0.3">
      <c r="A120" s="96">
        <f t="shared" si="6"/>
        <v>117</v>
      </c>
      <c r="B120" s="87">
        <v>1550</v>
      </c>
      <c r="C120" s="103">
        <v>45783</v>
      </c>
      <c r="D120" s="331"/>
      <c r="E120" s="393" t="s">
        <v>2385</v>
      </c>
      <c r="F120" s="101" t="s">
        <v>1314</v>
      </c>
      <c r="G120" s="112" t="s">
        <v>10</v>
      </c>
      <c r="H120" s="183">
        <v>45783</v>
      </c>
      <c r="I120" s="5"/>
      <c r="J120" s="100" t="s">
        <v>99</v>
      </c>
      <c r="K120" s="21"/>
      <c r="L120" s="18"/>
      <c r="M120" s="19"/>
      <c r="N120" s="23"/>
      <c r="O120" s="11"/>
      <c r="P120" s="12"/>
      <c r="Q120" s="65">
        <v>45785</v>
      </c>
      <c r="R120" s="89">
        <f t="shared" si="3"/>
        <v>1.0000436843369809</v>
      </c>
      <c r="S120" s="101" t="s">
        <v>216</v>
      </c>
      <c r="T120" s="66"/>
    </row>
    <row r="121" spans="1:20" ht="57.6" x14ac:dyDescent="0.3">
      <c r="A121" s="96">
        <f t="shared" si="6"/>
        <v>118</v>
      </c>
      <c r="B121" s="87">
        <v>1550</v>
      </c>
      <c r="C121" s="103">
        <v>45783</v>
      </c>
      <c r="D121" s="331"/>
      <c r="E121" s="393" t="s">
        <v>2386</v>
      </c>
      <c r="F121" s="101" t="s">
        <v>1314</v>
      </c>
      <c r="G121" s="112" t="s">
        <v>10</v>
      </c>
      <c r="H121" s="183">
        <v>45783</v>
      </c>
      <c r="I121" s="5"/>
      <c r="J121" s="100" t="s">
        <v>99</v>
      </c>
      <c r="K121" s="21"/>
      <c r="L121" s="18"/>
      <c r="M121" s="19"/>
      <c r="N121" s="23"/>
      <c r="O121" s="11"/>
      <c r="P121" s="12"/>
      <c r="Q121" s="65">
        <v>45785</v>
      </c>
      <c r="R121" s="89">
        <f t="shared" si="3"/>
        <v>1.0000436843369809</v>
      </c>
      <c r="S121" s="101" t="s">
        <v>216</v>
      </c>
      <c r="T121" s="66"/>
    </row>
    <row r="122" spans="1:20" ht="43.2" x14ac:dyDescent="0.3">
      <c r="A122" s="96">
        <f t="shared" si="6"/>
        <v>119</v>
      </c>
      <c r="B122" s="87">
        <v>1550</v>
      </c>
      <c r="C122" s="91">
        <v>45784</v>
      </c>
      <c r="D122" s="331">
        <v>84055081</v>
      </c>
      <c r="E122" s="393" t="s">
        <v>2387</v>
      </c>
      <c r="F122" s="344" t="s">
        <v>48</v>
      </c>
      <c r="G122" s="376" t="s">
        <v>8</v>
      </c>
      <c r="H122" s="183">
        <v>45784</v>
      </c>
      <c r="I122" s="5"/>
      <c r="J122" s="100" t="s">
        <v>99</v>
      </c>
      <c r="K122" s="21"/>
      <c r="L122" s="18"/>
      <c r="M122" s="19"/>
      <c r="N122" s="23"/>
      <c r="O122" s="11"/>
      <c r="P122" s="12"/>
      <c r="Q122" s="65">
        <v>45786</v>
      </c>
      <c r="R122" s="89">
        <f t="shared" si="3"/>
        <v>1.0000436833828412</v>
      </c>
      <c r="S122" s="101" t="s">
        <v>758</v>
      </c>
      <c r="T122" s="274" t="s">
        <v>2388</v>
      </c>
    </row>
    <row r="123" spans="1:20" ht="28.8" x14ac:dyDescent="0.3">
      <c r="A123" s="96">
        <f t="shared" si="6"/>
        <v>120</v>
      </c>
      <c r="B123" s="87">
        <v>1550</v>
      </c>
      <c r="C123" s="103">
        <v>45783</v>
      </c>
      <c r="D123" s="331" t="s">
        <v>2389</v>
      </c>
      <c r="E123" s="270" t="s">
        <v>2327</v>
      </c>
      <c r="F123" s="344" t="s">
        <v>17</v>
      </c>
      <c r="G123" s="112" t="s">
        <v>10</v>
      </c>
      <c r="H123" s="183">
        <v>45783</v>
      </c>
      <c r="I123" s="5"/>
      <c r="J123" s="100" t="s">
        <v>82</v>
      </c>
      <c r="K123" s="21"/>
      <c r="L123" s="18"/>
      <c r="M123" s="19"/>
      <c r="N123" s="23"/>
      <c r="O123" s="11"/>
      <c r="P123" s="12"/>
      <c r="Q123" s="65">
        <v>45784</v>
      </c>
      <c r="R123" s="89">
        <f t="shared" si="3"/>
        <v>1.0000218421684905</v>
      </c>
      <c r="S123" s="101" t="s">
        <v>2213</v>
      </c>
      <c r="T123" s="66"/>
    </row>
    <row r="124" spans="1:20" ht="28.8" x14ac:dyDescent="0.3">
      <c r="A124" s="96">
        <f t="shared" si="6"/>
        <v>121</v>
      </c>
      <c r="B124" s="87">
        <v>1550</v>
      </c>
      <c r="C124" s="103">
        <v>45783</v>
      </c>
      <c r="D124" s="331" t="s">
        <v>2390</v>
      </c>
      <c r="E124" s="270" t="s">
        <v>2327</v>
      </c>
      <c r="F124" s="344" t="s">
        <v>17</v>
      </c>
      <c r="G124" s="112" t="s">
        <v>10</v>
      </c>
      <c r="H124" s="183">
        <v>45783</v>
      </c>
      <c r="I124" s="5"/>
      <c r="J124" s="100" t="s">
        <v>82</v>
      </c>
      <c r="K124" s="21"/>
      <c r="L124" s="18"/>
      <c r="M124" s="19"/>
      <c r="N124" s="23"/>
      <c r="O124" s="11"/>
      <c r="P124" s="12"/>
      <c r="Q124" s="65">
        <v>45784</v>
      </c>
      <c r="R124" s="89">
        <f t="shared" si="3"/>
        <v>1.0000218421684905</v>
      </c>
      <c r="S124" s="101" t="s">
        <v>2213</v>
      </c>
      <c r="T124" s="69"/>
    </row>
    <row r="125" spans="1:20" ht="28.8" x14ac:dyDescent="0.3">
      <c r="A125" s="96">
        <f t="shared" si="6"/>
        <v>122</v>
      </c>
      <c r="B125" s="87">
        <v>1550</v>
      </c>
      <c r="C125" s="103">
        <v>45783</v>
      </c>
      <c r="D125" s="331">
        <v>73459038</v>
      </c>
      <c r="E125" s="270" t="s">
        <v>2327</v>
      </c>
      <c r="F125" s="344" t="s">
        <v>17</v>
      </c>
      <c r="G125" s="112" t="s">
        <v>10</v>
      </c>
      <c r="H125" s="183">
        <v>45783</v>
      </c>
      <c r="I125" s="5"/>
      <c r="J125" s="100" t="s">
        <v>82</v>
      </c>
      <c r="K125" s="21"/>
      <c r="L125" s="18"/>
      <c r="M125" s="19"/>
      <c r="N125" s="23"/>
      <c r="O125" s="11"/>
      <c r="P125" s="12"/>
      <c r="Q125" s="65">
        <v>45784</v>
      </c>
      <c r="R125" s="89">
        <f t="shared" si="3"/>
        <v>1.0000218421684905</v>
      </c>
      <c r="S125" s="101" t="s">
        <v>2213</v>
      </c>
      <c r="T125" s="69"/>
    </row>
    <row r="126" spans="1:20" ht="28.8" x14ac:dyDescent="0.3">
      <c r="A126" s="96">
        <f t="shared" si="6"/>
        <v>123</v>
      </c>
      <c r="B126" s="87">
        <v>1550</v>
      </c>
      <c r="C126" s="103">
        <v>45783</v>
      </c>
      <c r="D126" s="331">
        <v>31611834</v>
      </c>
      <c r="E126" s="270" t="s">
        <v>2327</v>
      </c>
      <c r="F126" s="344" t="s">
        <v>17</v>
      </c>
      <c r="G126" s="112" t="s">
        <v>10</v>
      </c>
      <c r="H126" s="183">
        <v>45783</v>
      </c>
      <c r="I126" s="5"/>
      <c r="J126" s="100" t="s">
        <v>82</v>
      </c>
      <c r="K126" s="21"/>
      <c r="L126" s="18"/>
      <c r="M126" s="19"/>
      <c r="N126" s="23"/>
      <c r="O126" s="11"/>
      <c r="P126" s="12"/>
      <c r="Q126" s="65">
        <v>45784</v>
      </c>
      <c r="R126" s="89">
        <f t="shared" si="3"/>
        <v>1.0000218421684905</v>
      </c>
      <c r="S126" s="101" t="s">
        <v>2213</v>
      </c>
      <c r="T126" s="66"/>
    </row>
    <row r="127" spans="1:20" ht="28.8" x14ac:dyDescent="0.3">
      <c r="A127" s="96">
        <f t="shared" si="6"/>
        <v>124</v>
      </c>
      <c r="B127" s="87">
        <v>1550</v>
      </c>
      <c r="C127" s="103">
        <v>45783</v>
      </c>
      <c r="D127" s="331">
        <v>33141886</v>
      </c>
      <c r="E127" s="270" t="s">
        <v>2327</v>
      </c>
      <c r="F127" s="344" t="s">
        <v>17</v>
      </c>
      <c r="G127" s="112" t="s">
        <v>10</v>
      </c>
      <c r="H127" s="183">
        <v>45783</v>
      </c>
      <c r="I127" s="5"/>
      <c r="J127" s="100" t="s">
        <v>82</v>
      </c>
      <c r="K127" s="21"/>
      <c r="L127" s="18"/>
      <c r="M127" s="19"/>
      <c r="N127" s="23"/>
      <c r="O127" s="11"/>
      <c r="P127" s="12"/>
      <c r="Q127" s="65">
        <v>45784</v>
      </c>
      <c r="R127" s="89">
        <f t="shared" si="3"/>
        <v>1.0000218421684905</v>
      </c>
      <c r="S127" s="101" t="s">
        <v>2213</v>
      </c>
      <c r="T127" s="66"/>
    </row>
    <row r="128" spans="1:20" ht="28.8" x14ac:dyDescent="0.3">
      <c r="A128" s="96">
        <f t="shared" si="6"/>
        <v>125</v>
      </c>
      <c r="B128" s="87">
        <v>1550</v>
      </c>
      <c r="C128" s="103">
        <v>45783</v>
      </c>
      <c r="D128" s="331">
        <v>56512589</v>
      </c>
      <c r="E128" s="270" t="s">
        <v>2327</v>
      </c>
      <c r="F128" s="344" t="s">
        <v>17</v>
      </c>
      <c r="G128" s="112" t="s">
        <v>10</v>
      </c>
      <c r="H128" s="183">
        <v>45783</v>
      </c>
      <c r="I128" s="5"/>
      <c r="J128" s="100" t="s">
        <v>82</v>
      </c>
      <c r="K128" s="21"/>
      <c r="L128" s="18"/>
      <c r="M128" s="19"/>
      <c r="N128" s="23"/>
      <c r="O128" s="11"/>
      <c r="P128" s="12"/>
      <c r="Q128" s="65">
        <v>45784</v>
      </c>
      <c r="R128" s="89">
        <f t="shared" si="3"/>
        <v>1.0000218421684905</v>
      </c>
      <c r="S128" s="101" t="s">
        <v>2213</v>
      </c>
      <c r="T128" s="66"/>
    </row>
    <row r="129" spans="1:20" ht="28.8" x14ac:dyDescent="0.3">
      <c r="A129" s="96">
        <f t="shared" si="6"/>
        <v>126</v>
      </c>
      <c r="B129" s="87">
        <v>1550</v>
      </c>
      <c r="C129" s="103">
        <v>45783</v>
      </c>
      <c r="D129" s="331">
        <v>95064729</v>
      </c>
      <c r="E129" s="270" t="s">
        <v>2327</v>
      </c>
      <c r="F129" s="344" t="s">
        <v>17</v>
      </c>
      <c r="G129" s="112" t="s">
        <v>10</v>
      </c>
      <c r="H129" s="183">
        <v>45783</v>
      </c>
      <c r="I129" s="5"/>
      <c r="J129" s="100" t="s">
        <v>82</v>
      </c>
      <c r="K129" s="21"/>
      <c r="L129" s="18"/>
      <c r="M129" s="19"/>
      <c r="N129" s="23"/>
      <c r="O129" s="11"/>
      <c r="P129" s="12"/>
      <c r="Q129" s="65">
        <v>45784</v>
      </c>
      <c r="R129" s="89">
        <f t="shared" si="3"/>
        <v>1.0000218421684905</v>
      </c>
      <c r="S129" s="101" t="s">
        <v>2213</v>
      </c>
      <c r="T129" s="66"/>
    </row>
    <row r="130" spans="1:20" ht="28.8" x14ac:dyDescent="0.3">
      <c r="A130" s="96">
        <f t="shared" si="6"/>
        <v>127</v>
      </c>
      <c r="B130" s="87">
        <v>1550</v>
      </c>
      <c r="C130" s="103">
        <v>45783</v>
      </c>
      <c r="D130" s="331">
        <v>74141791</v>
      </c>
      <c r="E130" s="270" t="s">
        <v>2327</v>
      </c>
      <c r="F130" s="344" t="s">
        <v>17</v>
      </c>
      <c r="G130" s="112" t="s">
        <v>10</v>
      </c>
      <c r="H130" s="183">
        <v>45783</v>
      </c>
      <c r="I130" s="5"/>
      <c r="J130" s="100" t="s">
        <v>82</v>
      </c>
      <c r="K130" s="190"/>
      <c r="L130" s="155"/>
      <c r="M130" s="156"/>
      <c r="N130" s="157"/>
      <c r="O130" s="158"/>
      <c r="P130" s="159"/>
      <c r="Q130" s="65">
        <v>45784</v>
      </c>
      <c r="R130" s="89">
        <f t="shared" si="3"/>
        <v>1.0000218421684905</v>
      </c>
      <c r="S130" s="101" t="s">
        <v>2213</v>
      </c>
      <c r="T130" s="160"/>
    </row>
    <row r="131" spans="1:20" ht="28.8" x14ac:dyDescent="0.3">
      <c r="A131" s="96">
        <f t="shared" si="6"/>
        <v>128</v>
      </c>
      <c r="B131" s="87">
        <v>1550</v>
      </c>
      <c r="C131" s="103">
        <v>45783</v>
      </c>
      <c r="D131" s="331">
        <v>90759877</v>
      </c>
      <c r="E131" s="270" t="s">
        <v>2327</v>
      </c>
      <c r="F131" s="344" t="s">
        <v>17</v>
      </c>
      <c r="G131" s="112" t="s">
        <v>10</v>
      </c>
      <c r="H131" s="183">
        <v>45783</v>
      </c>
      <c r="I131" s="5"/>
      <c r="J131" s="100" t="s">
        <v>82</v>
      </c>
      <c r="K131" s="114"/>
      <c r="L131" s="18"/>
      <c r="M131" s="19"/>
      <c r="N131" s="23"/>
      <c r="O131" s="11"/>
      <c r="P131" s="12"/>
      <c r="Q131" s="65">
        <v>45784</v>
      </c>
      <c r="R131" s="89">
        <f t="shared" si="3"/>
        <v>1.0000218421684905</v>
      </c>
      <c r="S131" s="101" t="s">
        <v>2213</v>
      </c>
      <c r="T131" s="66"/>
    </row>
    <row r="132" spans="1:20" ht="28.8" x14ac:dyDescent="0.3">
      <c r="A132" s="96">
        <f t="shared" si="6"/>
        <v>129</v>
      </c>
      <c r="B132" s="87">
        <v>1550</v>
      </c>
      <c r="C132" s="103">
        <v>45783</v>
      </c>
      <c r="D132" s="331">
        <v>98423657</v>
      </c>
      <c r="E132" s="270" t="s">
        <v>2327</v>
      </c>
      <c r="F132" s="344" t="s">
        <v>17</v>
      </c>
      <c r="G132" s="112" t="s">
        <v>10</v>
      </c>
      <c r="H132" s="183">
        <v>45783</v>
      </c>
      <c r="I132" s="5"/>
      <c r="J132" s="100" t="s">
        <v>82</v>
      </c>
      <c r="K132" s="114"/>
      <c r="L132" s="18"/>
      <c r="M132" s="19"/>
      <c r="N132" s="23"/>
      <c r="O132" s="11"/>
      <c r="P132" s="12"/>
      <c r="Q132" s="65">
        <v>45784</v>
      </c>
      <c r="R132" s="89">
        <f t="shared" ref="R132:R195" si="7">Q132/H132</f>
        <v>1.0000218421684905</v>
      </c>
      <c r="S132" s="101" t="s">
        <v>2213</v>
      </c>
      <c r="T132" s="121"/>
    </row>
    <row r="133" spans="1:20" ht="28.8" x14ac:dyDescent="0.3">
      <c r="A133" s="96">
        <f t="shared" si="6"/>
        <v>130</v>
      </c>
      <c r="B133" s="87">
        <v>1550</v>
      </c>
      <c r="C133" s="103">
        <v>45783</v>
      </c>
      <c r="D133" s="331">
        <v>38169908</v>
      </c>
      <c r="E133" s="270" t="s">
        <v>2327</v>
      </c>
      <c r="F133" s="344" t="s">
        <v>17</v>
      </c>
      <c r="G133" s="112" t="s">
        <v>10</v>
      </c>
      <c r="H133" s="183">
        <v>45783</v>
      </c>
      <c r="I133" s="5"/>
      <c r="J133" s="100" t="s">
        <v>82</v>
      </c>
      <c r="K133" s="114"/>
      <c r="L133" s="18"/>
      <c r="M133" s="19"/>
      <c r="N133" s="23"/>
      <c r="O133" s="11"/>
      <c r="P133" s="12"/>
      <c r="Q133" s="65">
        <v>45784</v>
      </c>
      <c r="R133" s="89">
        <f t="shared" si="7"/>
        <v>1.0000218421684905</v>
      </c>
      <c r="S133" s="101" t="s">
        <v>2213</v>
      </c>
      <c r="T133" s="160"/>
    </row>
    <row r="134" spans="1:20" ht="28.8" x14ac:dyDescent="0.3">
      <c r="A134" s="96">
        <f t="shared" si="6"/>
        <v>131</v>
      </c>
      <c r="B134" s="87">
        <v>1550</v>
      </c>
      <c r="C134" s="103">
        <v>45783</v>
      </c>
      <c r="D134" s="331">
        <v>13238477</v>
      </c>
      <c r="E134" s="270" t="s">
        <v>2327</v>
      </c>
      <c r="F134" s="344" t="s">
        <v>17</v>
      </c>
      <c r="G134" s="112" t="s">
        <v>10</v>
      </c>
      <c r="H134" s="183">
        <v>45783</v>
      </c>
      <c r="I134" s="5"/>
      <c r="J134" s="100" t="s">
        <v>82</v>
      </c>
      <c r="K134" s="114"/>
      <c r="L134" s="18"/>
      <c r="M134" s="19"/>
      <c r="N134" s="23"/>
      <c r="O134" s="11"/>
      <c r="P134" s="12"/>
      <c r="Q134" s="65">
        <v>45784</v>
      </c>
      <c r="R134" s="89">
        <f t="shared" si="7"/>
        <v>1.0000218421684905</v>
      </c>
      <c r="S134" s="101" t="s">
        <v>2213</v>
      </c>
      <c r="T134" s="160"/>
    </row>
    <row r="135" spans="1:20" ht="28.8" x14ac:dyDescent="0.3">
      <c r="A135" s="96">
        <f t="shared" si="6"/>
        <v>132</v>
      </c>
      <c r="B135" s="87">
        <v>1550</v>
      </c>
      <c r="C135" s="103">
        <v>45783</v>
      </c>
      <c r="D135" s="331">
        <v>64323986</v>
      </c>
      <c r="E135" s="270" t="s">
        <v>2327</v>
      </c>
      <c r="F135" s="344" t="s">
        <v>17</v>
      </c>
      <c r="G135" s="112" t="s">
        <v>10</v>
      </c>
      <c r="H135" s="183">
        <v>45783</v>
      </c>
      <c r="I135" s="5"/>
      <c r="J135" s="100" t="s">
        <v>82</v>
      </c>
      <c r="K135" s="114"/>
      <c r="L135" s="18"/>
      <c r="M135" s="19"/>
      <c r="N135" s="23"/>
      <c r="O135" s="11"/>
      <c r="P135" s="12"/>
      <c r="Q135" s="65">
        <v>45784</v>
      </c>
      <c r="R135" s="89">
        <f t="shared" si="7"/>
        <v>1.0000218421684905</v>
      </c>
      <c r="S135" s="101" t="s">
        <v>2213</v>
      </c>
      <c r="T135" s="66"/>
    </row>
    <row r="136" spans="1:20" ht="28.8" x14ac:dyDescent="0.3">
      <c r="A136" s="96">
        <f t="shared" si="6"/>
        <v>133</v>
      </c>
      <c r="B136" s="87">
        <v>1550</v>
      </c>
      <c r="C136" s="103">
        <v>45783</v>
      </c>
      <c r="D136" s="331">
        <v>93140533</v>
      </c>
      <c r="E136" s="270" t="s">
        <v>2327</v>
      </c>
      <c r="F136" s="344" t="s">
        <v>17</v>
      </c>
      <c r="G136" s="112" t="s">
        <v>10</v>
      </c>
      <c r="H136" s="183">
        <v>45783</v>
      </c>
      <c r="I136" s="5"/>
      <c r="J136" s="100" t="s">
        <v>82</v>
      </c>
      <c r="K136" s="190"/>
      <c r="L136" s="155"/>
      <c r="M136" s="156"/>
      <c r="N136" s="157"/>
      <c r="O136" s="158"/>
      <c r="P136" s="159"/>
      <c r="Q136" s="65">
        <v>45784</v>
      </c>
      <c r="R136" s="89">
        <f t="shared" si="7"/>
        <v>1.0000218421684905</v>
      </c>
      <c r="S136" s="101" t="s">
        <v>2213</v>
      </c>
      <c r="T136" s="160"/>
    </row>
    <row r="137" spans="1:20" ht="28.8" x14ac:dyDescent="0.3">
      <c r="A137" s="96">
        <f t="shared" si="6"/>
        <v>134</v>
      </c>
      <c r="B137" s="87">
        <v>1550</v>
      </c>
      <c r="C137" s="103">
        <v>45783</v>
      </c>
      <c r="D137" s="331">
        <v>92188168</v>
      </c>
      <c r="E137" s="270" t="s">
        <v>2327</v>
      </c>
      <c r="F137" s="344" t="s">
        <v>17</v>
      </c>
      <c r="G137" s="112" t="s">
        <v>10</v>
      </c>
      <c r="H137" s="183">
        <v>45783</v>
      </c>
      <c r="I137" s="5"/>
      <c r="J137" s="100" t="s">
        <v>82</v>
      </c>
      <c r="K137" s="190"/>
      <c r="L137" s="155"/>
      <c r="M137" s="156"/>
      <c r="N137" s="157"/>
      <c r="O137" s="158"/>
      <c r="P137" s="159"/>
      <c r="Q137" s="65">
        <v>45784</v>
      </c>
      <c r="R137" s="89">
        <f t="shared" si="7"/>
        <v>1.0000218421684905</v>
      </c>
      <c r="S137" s="101" t="s">
        <v>2213</v>
      </c>
      <c r="T137" s="167"/>
    </row>
    <row r="138" spans="1:20" ht="28.8" x14ac:dyDescent="0.3">
      <c r="A138" s="96">
        <f t="shared" si="6"/>
        <v>135</v>
      </c>
      <c r="B138" s="87">
        <v>1550</v>
      </c>
      <c r="C138" s="103">
        <v>45783</v>
      </c>
      <c r="D138" s="331">
        <v>91433401</v>
      </c>
      <c r="E138" s="270" t="s">
        <v>2327</v>
      </c>
      <c r="F138" s="344" t="s">
        <v>17</v>
      </c>
      <c r="G138" s="112" t="s">
        <v>10</v>
      </c>
      <c r="H138" s="183">
        <v>45783</v>
      </c>
      <c r="I138" s="5"/>
      <c r="J138" s="100" t="s">
        <v>82</v>
      </c>
      <c r="K138" s="190"/>
      <c r="L138" s="155"/>
      <c r="M138" s="156"/>
      <c r="N138" s="157"/>
      <c r="O138" s="158"/>
      <c r="P138" s="159"/>
      <c r="Q138" s="65">
        <v>45784</v>
      </c>
      <c r="R138" s="89">
        <f t="shared" si="7"/>
        <v>1.0000218421684905</v>
      </c>
      <c r="S138" s="101" t="s">
        <v>2213</v>
      </c>
      <c r="T138" s="120"/>
    </row>
    <row r="139" spans="1:20" ht="28.8" x14ac:dyDescent="0.3">
      <c r="A139" s="96">
        <f t="shared" si="6"/>
        <v>136</v>
      </c>
      <c r="B139" s="87">
        <v>1550</v>
      </c>
      <c r="C139" s="103">
        <v>45783</v>
      </c>
      <c r="D139" s="331">
        <v>43528821</v>
      </c>
      <c r="E139" s="270" t="s">
        <v>2327</v>
      </c>
      <c r="F139" s="344" t="s">
        <v>17</v>
      </c>
      <c r="G139" s="112" t="s">
        <v>10</v>
      </c>
      <c r="H139" s="183">
        <v>45783</v>
      </c>
      <c r="I139" s="5"/>
      <c r="J139" s="100" t="s">
        <v>82</v>
      </c>
      <c r="K139" s="190"/>
      <c r="L139" s="155"/>
      <c r="M139" s="156"/>
      <c r="N139" s="157"/>
      <c r="O139" s="158"/>
      <c r="P139" s="159"/>
      <c r="Q139" s="65">
        <v>45784</v>
      </c>
      <c r="R139" s="89">
        <f t="shared" si="7"/>
        <v>1.0000218421684905</v>
      </c>
      <c r="S139" s="101" t="s">
        <v>2213</v>
      </c>
      <c r="T139" s="66"/>
    </row>
    <row r="140" spans="1:20" ht="28.8" x14ac:dyDescent="0.3">
      <c r="A140" s="96">
        <f t="shared" si="6"/>
        <v>137</v>
      </c>
      <c r="B140" s="87">
        <v>1550</v>
      </c>
      <c r="C140" s="103">
        <v>45783</v>
      </c>
      <c r="D140" s="331">
        <v>114102422</v>
      </c>
      <c r="E140" s="270" t="s">
        <v>2327</v>
      </c>
      <c r="F140" s="344" t="s">
        <v>17</v>
      </c>
      <c r="G140" s="112" t="s">
        <v>10</v>
      </c>
      <c r="H140" s="183">
        <v>45783</v>
      </c>
      <c r="I140" s="5"/>
      <c r="J140" s="100" t="s">
        <v>82</v>
      </c>
      <c r="K140" s="21"/>
      <c r="L140" s="18"/>
      <c r="M140" s="19"/>
      <c r="N140" s="23"/>
      <c r="O140" s="11"/>
      <c r="P140" s="12"/>
      <c r="Q140" s="65">
        <v>45784</v>
      </c>
      <c r="R140" s="89">
        <f t="shared" si="7"/>
        <v>1.0000218421684905</v>
      </c>
      <c r="S140" s="101" t="s">
        <v>2213</v>
      </c>
      <c r="T140" s="66"/>
    </row>
    <row r="141" spans="1:20" ht="28.8" x14ac:dyDescent="0.3">
      <c r="A141" s="96">
        <f t="shared" si="6"/>
        <v>138</v>
      </c>
      <c r="B141" s="87">
        <v>1550</v>
      </c>
      <c r="C141" s="103">
        <v>45783</v>
      </c>
      <c r="D141" s="331">
        <v>32269374</v>
      </c>
      <c r="E141" s="270" t="s">
        <v>2327</v>
      </c>
      <c r="F141" s="344" t="s">
        <v>17</v>
      </c>
      <c r="G141" s="112" t="s">
        <v>10</v>
      </c>
      <c r="H141" s="183">
        <v>45783</v>
      </c>
      <c r="I141" s="5"/>
      <c r="J141" s="100" t="s">
        <v>82</v>
      </c>
      <c r="K141" s="21"/>
      <c r="L141" s="18"/>
      <c r="M141" s="19"/>
      <c r="N141" s="23"/>
      <c r="O141" s="11"/>
      <c r="P141" s="12"/>
      <c r="Q141" s="65">
        <v>45784</v>
      </c>
      <c r="R141" s="89">
        <f t="shared" si="7"/>
        <v>1.0000218421684905</v>
      </c>
      <c r="S141" s="101" t="s">
        <v>2213</v>
      </c>
      <c r="T141" s="66"/>
    </row>
    <row r="142" spans="1:20" ht="28.8" x14ac:dyDescent="0.3">
      <c r="A142" s="96">
        <f t="shared" si="6"/>
        <v>139</v>
      </c>
      <c r="B142" s="87">
        <v>1550</v>
      </c>
      <c r="C142" s="103">
        <v>45783</v>
      </c>
      <c r="D142" s="331">
        <v>33416907</v>
      </c>
      <c r="E142" s="270" t="s">
        <v>2327</v>
      </c>
      <c r="F142" s="344" t="s">
        <v>17</v>
      </c>
      <c r="G142" s="112" t="s">
        <v>10</v>
      </c>
      <c r="H142" s="183">
        <v>45783</v>
      </c>
      <c r="I142" s="5"/>
      <c r="J142" s="100" t="s">
        <v>82</v>
      </c>
      <c r="K142" s="21"/>
      <c r="L142" s="18"/>
      <c r="M142" s="19"/>
      <c r="N142" s="23"/>
      <c r="O142" s="11"/>
      <c r="P142" s="12"/>
      <c r="Q142" s="65">
        <v>45784</v>
      </c>
      <c r="R142" s="89">
        <f t="shared" si="7"/>
        <v>1.0000218421684905</v>
      </c>
      <c r="S142" s="101" t="s">
        <v>2213</v>
      </c>
      <c r="T142" s="66"/>
    </row>
    <row r="143" spans="1:20" ht="28.8" x14ac:dyDescent="0.3">
      <c r="A143" s="96">
        <f t="shared" si="6"/>
        <v>140</v>
      </c>
      <c r="B143" s="87">
        <v>1550</v>
      </c>
      <c r="C143" s="103">
        <v>45783</v>
      </c>
      <c r="D143" s="331">
        <v>11857625</v>
      </c>
      <c r="E143" s="270" t="s">
        <v>2327</v>
      </c>
      <c r="F143" s="344" t="s">
        <v>17</v>
      </c>
      <c r="G143" s="112" t="s">
        <v>10</v>
      </c>
      <c r="H143" s="183">
        <v>45783</v>
      </c>
      <c r="I143" s="5"/>
      <c r="J143" s="100" t="s">
        <v>82</v>
      </c>
      <c r="K143" s="21"/>
      <c r="L143" s="18"/>
      <c r="M143" s="19"/>
      <c r="N143" s="23"/>
      <c r="O143" s="11"/>
      <c r="P143" s="12"/>
      <c r="Q143" s="65">
        <v>45784</v>
      </c>
      <c r="R143" s="89">
        <f t="shared" si="7"/>
        <v>1.0000218421684905</v>
      </c>
      <c r="S143" s="101" t="s">
        <v>2213</v>
      </c>
      <c r="T143" s="66"/>
    </row>
    <row r="144" spans="1:20" ht="28.8" x14ac:dyDescent="0.3">
      <c r="A144" s="96">
        <f t="shared" si="6"/>
        <v>141</v>
      </c>
      <c r="B144" s="87">
        <v>1550</v>
      </c>
      <c r="C144" s="103">
        <v>45783</v>
      </c>
      <c r="D144" s="331">
        <v>119775840</v>
      </c>
      <c r="E144" s="270" t="s">
        <v>2327</v>
      </c>
      <c r="F144" s="344" t="s">
        <v>17</v>
      </c>
      <c r="G144" s="112" t="s">
        <v>10</v>
      </c>
      <c r="H144" s="183">
        <v>45783</v>
      </c>
      <c r="I144" s="5"/>
      <c r="J144" s="100" t="s">
        <v>82</v>
      </c>
      <c r="K144" s="21"/>
      <c r="L144" s="18"/>
      <c r="M144" s="19"/>
      <c r="N144" s="23"/>
      <c r="O144" s="11"/>
      <c r="P144" s="12"/>
      <c r="Q144" s="65">
        <v>45784</v>
      </c>
      <c r="R144" s="89">
        <f t="shared" si="7"/>
        <v>1.0000218421684905</v>
      </c>
      <c r="S144" s="101" t="s">
        <v>2213</v>
      </c>
      <c r="T144" s="69"/>
    </row>
    <row r="145" spans="1:20" ht="28.8" x14ac:dyDescent="0.3">
      <c r="A145" s="96">
        <f t="shared" si="6"/>
        <v>142</v>
      </c>
      <c r="B145" s="87">
        <v>1550</v>
      </c>
      <c r="C145" s="103">
        <v>45783</v>
      </c>
      <c r="D145" s="331">
        <v>73781894</v>
      </c>
      <c r="E145" s="270" t="s">
        <v>2327</v>
      </c>
      <c r="F145" s="344" t="s">
        <v>17</v>
      </c>
      <c r="G145" s="112" t="s">
        <v>10</v>
      </c>
      <c r="H145" s="183">
        <v>45783</v>
      </c>
      <c r="I145" s="5"/>
      <c r="J145" s="100" t="s">
        <v>82</v>
      </c>
      <c r="K145" s="21"/>
      <c r="L145" s="18"/>
      <c r="M145" s="19"/>
      <c r="N145" s="23"/>
      <c r="O145" s="11"/>
      <c r="P145" s="12"/>
      <c r="Q145" s="65">
        <v>45784</v>
      </c>
      <c r="R145" s="89">
        <f t="shared" si="7"/>
        <v>1.0000218421684905</v>
      </c>
      <c r="S145" s="101" t="s">
        <v>2213</v>
      </c>
      <c r="T145" s="66"/>
    </row>
    <row r="146" spans="1:20" ht="28.8" x14ac:dyDescent="0.3">
      <c r="A146" s="96">
        <f t="shared" si="6"/>
        <v>143</v>
      </c>
      <c r="B146" s="87">
        <v>1550</v>
      </c>
      <c r="C146" s="103">
        <v>45783</v>
      </c>
      <c r="D146" s="331">
        <v>74651684</v>
      </c>
      <c r="E146" s="270" t="s">
        <v>2327</v>
      </c>
      <c r="F146" s="344" t="s">
        <v>17</v>
      </c>
      <c r="G146" s="112" t="s">
        <v>10</v>
      </c>
      <c r="H146" s="183">
        <v>45783</v>
      </c>
      <c r="I146" s="5"/>
      <c r="J146" s="100" t="s">
        <v>82</v>
      </c>
      <c r="K146" s="154"/>
      <c r="L146" s="155"/>
      <c r="M146" s="156"/>
      <c r="N146" s="157"/>
      <c r="O146" s="158"/>
      <c r="P146" s="159"/>
      <c r="Q146" s="65">
        <v>45784</v>
      </c>
      <c r="R146" s="89">
        <f t="shared" si="7"/>
        <v>1.0000218421684905</v>
      </c>
      <c r="S146" s="101" t="s">
        <v>2213</v>
      </c>
      <c r="T146" s="160"/>
    </row>
    <row r="147" spans="1:20" ht="28.8" x14ac:dyDescent="0.3">
      <c r="A147" s="96">
        <f t="shared" si="6"/>
        <v>144</v>
      </c>
      <c r="B147" s="87">
        <v>1550</v>
      </c>
      <c r="C147" s="103">
        <v>45783</v>
      </c>
      <c r="D147" s="331">
        <v>77561155</v>
      </c>
      <c r="E147" s="270" t="s">
        <v>2327</v>
      </c>
      <c r="F147" s="344" t="s">
        <v>17</v>
      </c>
      <c r="G147" s="112" t="s">
        <v>10</v>
      </c>
      <c r="H147" s="183">
        <v>45783</v>
      </c>
      <c r="I147" s="5"/>
      <c r="J147" s="100" t="s">
        <v>82</v>
      </c>
      <c r="K147" s="21"/>
      <c r="L147" s="18"/>
      <c r="M147" s="19"/>
      <c r="N147" s="23"/>
      <c r="O147" s="11"/>
      <c r="P147" s="12"/>
      <c r="Q147" s="65">
        <v>45784</v>
      </c>
      <c r="R147" s="89">
        <f t="shared" si="7"/>
        <v>1.0000218421684905</v>
      </c>
      <c r="S147" s="101" t="s">
        <v>2213</v>
      </c>
      <c r="T147" s="66"/>
    </row>
    <row r="148" spans="1:20" ht="28.8" x14ac:dyDescent="0.3">
      <c r="A148" s="96">
        <f t="shared" si="6"/>
        <v>145</v>
      </c>
      <c r="B148" s="87">
        <v>1550</v>
      </c>
      <c r="C148" s="103">
        <v>45783</v>
      </c>
      <c r="D148" s="331">
        <v>110188764</v>
      </c>
      <c r="E148" s="270" t="s">
        <v>2327</v>
      </c>
      <c r="F148" s="344" t="s">
        <v>17</v>
      </c>
      <c r="G148" s="112" t="s">
        <v>10</v>
      </c>
      <c r="H148" s="183">
        <v>45783</v>
      </c>
      <c r="I148" s="5"/>
      <c r="J148" s="100" t="s">
        <v>82</v>
      </c>
      <c r="K148" s="154"/>
      <c r="L148" s="155"/>
      <c r="M148" s="156"/>
      <c r="N148" s="157"/>
      <c r="O148" s="158"/>
      <c r="P148" s="159"/>
      <c r="Q148" s="65">
        <v>45784</v>
      </c>
      <c r="R148" s="89">
        <f t="shared" si="7"/>
        <v>1.0000218421684905</v>
      </c>
      <c r="S148" s="101" t="s">
        <v>2213</v>
      </c>
      <c r="T148" s="160"/>
    </row>
    <row r="149" spans="1:20" ht="28.8" x14ac:dyDescent="0.3">
      <c r="A149" s="96">
        <f t="shared" si="6"/>
        <v>146</v>
      </c>
      <c r="B149" s="87">
        <v>1550</v>
      </c>
      <c r="C149" s="103">
        <v>45783</v>
      </c>
      <c r="D149" s="331">
        <v>31855245</v>
      </c>
      <c r="E149" s="270" t="s">
        <v>2327</v>
      </c>
      <c r="F149" s="344" t="s">
        <v>17</v>
      </c>
      <c r="G149" s="112" t="s">
        <v>10</v>
      </c>
      <c r="H149" s="183">
        <v>45783</v>
      </c>
      <c r="I149" s="5"/>
      <c r="J149" s="100" t="s">
        <v>82</v>
      </c>
      <c r="K149" s="154"/>
      <c r="L149" s="155"/>
      <c r="M149" s="156"/>
      <c r="N149" s="157"/>
      <c r="O149" s="158"/>
      <c r="P149" s="159"/>
      <c r="Q149" s="65">
        <v>45784</v>
      </c>
      <c r="R149" s="89">
        <f t="shared" si="7"/>
        <v>1.0000218421684905</v>
      </c>
      <c r="S149" s="101" t="s">
        <v>2213</v>
      </c>
      <c r="T149" s="160"/>
    </row>
    <row r="150" spans="1:20" ht="28.8" x14ac:dyDescent="0.3">
      <c r="A150" s="96">
        <f t="shared" si="6"/>
        <v>147</v>
      </c>
      <c r="B150" s="87">
        <v>1550</v>
      </c>
      <c r="C150" s="103">
        <v>45783</v>
      </c>
      <c r="D150" s="331">
        <v>86288601</v>
      </c>
      <c r="E150" s="270" t="s">
        <v>2327</v>
      </c>
      <c r="F150" s="344" t="s">
        <v>17</v>
      </c>
      <c r="G150" s="112" t="s">
        <v>10</v>
      </c>
      <c r="H150" s="183">
        <v>45783</v>
      </c>
      <c r="I150" s="5"/>
      <c r="J150" s="100" t="s">
        <v>82</v>
      </c>
      <c r="K150" s="21"/>
      <c r="L150" s="18"/>
      <c r="M150" s="19"/>
      <c r="N150" s="23"/>
      <c r="O150" s="11"/>
      <c r="P150" s="12"/>
      <c r="Q150" s="65">
        <v>45784</v>
      </c>
      <c r="R150" s="89">
        <f t="shared" si="7"/>
        <v>1.0000218421684905</v>
      </c>
      <c r="S150" s="101" t="s">
        <v>2213</v>
      </c>
      <c r="T150" s="66"/>
    </row>
    <row r="151" spans="1:20" ht="28.8" x14ac:dyDescent="0.3">
      <c r="A151" s="96">
        <f t="shared" si="6"/>
        <v>148</v>
      </c>
      <c r="B151" s="87">
        <v>1550</v>
      </c>
      <c r="C151" s="103">
        <v>45783</v>
      </c>
      <c r="D151" s="331">
        <v>26642786</v>
      </c>
      <c r="E151" s="270" t="s">
        <v>2327</v>
      </c>
      <c r="F151" s="344" t="s">
        <v>17</v>
      </c>
      <c r="G151" s="112" t="s">
        <v>10</v>
      </c>
      <c r="H151" s="183">
        <v>45783</v>
      </c>
      <c r="I151" s="5"/>
      <c r="J151" s="100" t="s">
        <v>82</v>
      </c>
      <c r="K151" s="154"/>
      <c r="L151" s="155"/>
      <c r="M151" s="156"/>
      <c r="N151" s="157"/>
      <c r="O151" s="158"/>
      <c r="P151" s="159"/>
      <c r="Q151" s="65">
        <v>45784</v>
      </c>
      <c r="R151" s="89">
        <f t="shared" si="7"/>
        <v>1.0000218421684905</v>
      </c>
      <c r="S151" s="101" t="s">
        <v>2213</v>
      </c>
      <c r="T151" s="66"/>
    </row>
    <row r="152" spans="1:20" ht="28.8" x14ac:dyDescent="0.3">
      <c r="A152" s="96">
        <f t="shared" si="6"/>
        <v>149</v>
      </c>
      <c r="B152" s="87">
        <v>1550</v>
      </c>
      <c r="C152" s="103">
        <v>45783</v>
      </c>
      <c r="D152" s="331">
        <v>120154331</v>
      </c>
      <c r="E152" s="270" t="s">
        <v>2327</v>
      </c>
      <c r="F152" s="344" t="s">
        <v>17</v>
      </c>
      <c r="G152" s="112" t="s">
        <v>10</v>
      </c>
      <c r="H152" s="183">
        <v>45783</v>
      </c>
      <c r="I152" s="5"/>
      <c r="J152" s="100" t="s">
        <v>82</v>
      </c>
      <c r="K152" s="21"/>
      <c r="L152" s="18"/>
      <c r="M152" s="19"/>
      <c r="N152" s="23"/>
      <c r="O152" s="11"/>
      <c r="P152" s="12"/>
      <c r="Q152" s="65">
        <v>45784</v>
      </c>
      <c r="R152" s="89">
        <f t="shared" si="7"/>
        <v>1.0000218421684905</v>
      </c>
      <c r="S152" s="101" t="s">
        <v>2213</v>
      </c>
      <c r="T152" s="66"/>
    </row>
    <row r="153" spans="1:20" ht="28.8" x14ac:dyDescent="0.3">
      <c r="A153" s="96">
        <f t="shared" si="6"/>
        <v>150</v>
      </c>
      <c r="B153" s="87">
        <v>1550</v>
      </c>
      <c r="C153" s="103">
        <v>45783</v>
      </c>
      <c r="D153" s="331">
        <v>119983214</v>
      </c>
      <c r="E153" s="270" t="s">
        <v>2327</v>
      </c>
      <c r="F153" s="344" t="s">
        <v>17</v>
      </c>
      <c r="G153" s="112" t="s">
        <v>10</v>
      </c>
      <c r="H153" s="183">
        <v>45783</v>
      </c>
      <c r="I153" s="5"/>
      <c r="J153" s="100" t="s">
        <v>82</v>
      </c>
      <c r="K153" s="21"/>
      <c r="L153" s="18"/>
      <c r="M153" s="19"/>
      <c r="N153" s="23"/>
      <c r="O153" s="11"/>
      <c r="P153" s="12"/>
      <c r="Q153" s="65">
        <v>45784</v>
      </c>
      <c r="R153" s="89">
        <f t="shared" si="7"/>
        <v>1.0000218421684905</v>
      </c>
      <c r="S153" s="101" t="s">
        <v>2213</v>
      </c>
      <c r="T153" s="66"/>
    </row>
    <row r="154" spans="1:20" ht="28.8" x14ac:dyDescent="0.3">
      <c r="A154" s="96">
        <f t="shared" ref="A154:A217" si="8">A153+1</f>
        <v>151</v>
      </c>
      <c r="B154" s="87">
        <v>1550</v>
      </c>
      <c r="C154" s="103">
        <v>45783</v>
      </c>
      <c r="D154" s="331">
        <v>92408850</v>
      </c>
      <c r="E154" s="270" t="s">
        <v>2327</v>
      </c>
      <c r="F154" s="344" t="s">
        <v>17</v>
      </c>
      <c r="G154" s="112" t="s">
        <v>10</v>
      </c>
      <c r="H154" s="183">
        <v>45783</v>
      </c>
      <c r="I154" s="5"/>
      <c r="J154" s="100" t="s">
        <v>82</v>
      </c>
      <c r="K154" s="21"/>
      <c r="L154" s="18"/>
      <c r="M154" s="19"/>
      <c r="N154" s="23"/>
      <c r="O154" s="11"/>
      <c r="P154" s="12"/>
      <c r="Q154" s="65">
        <v>45784</v>
      </c>
      <c r="R154" s="89">
        <f t="shared" si="7"/>
        <v>1.0000218421684905</v>
      </c>
      <c r="S154" s="101" t="s">
        <v>2213</v>
      </c>
      <c r="T154" s="160"/>
    </row>
    <row r="155" spans="1:20" ht="28.8" x14ac:dyDescent="0.3">
      <c r="A155" s="96">
        <f t="shared" si="8"/>
        <v>152</v>
      </c>
      <c r="B155" s="87">
        <v>1550</v>
      </c>
      <c r="C155" s="103">
        <v>45783</v>
      </c>
      <c r="D155" s="331">
        <v>315235276</v>
      </c>
      <c r="E155" s="270" t="s">
        <v>2327</v>
      </c>
      <c r="F155" s="344" t="s">
        <v>17</v>
      </c>
      <c r="G155" s="112" t="s">
        <v>10</v>
      </c>
      <c r="H155" s="183">
        <v>45783</v>
      </c>
      <c r="I155" s="5"/>
      <c r="J155" s="100" t="s">
        <v>82</v>
      </c>
      <c r="K155" s="21"/>
      <c r="L155" s="18"/>
      <c r="M155" s="19"/>
      <c r="N155" s="23"/>
      <c r="O155" s="11"/>
      <c r="P155" s="12"/>
      <c r="Q155" s="65">
        <v>45784</v>
      </c>
      <c r="R155" s="89">
        <f t="shared" si="7"/>
        <v>1.0000218421684905</v>
      </c>
      <c r="S155" s="101" t="s">
        <v>2213</v>
      </c>
      <c r="T155" s="66"/>
    </row>
    <row r="156" spans="1:20" ht="28.8" x14ac:dyDescent="0.3">
      <c r="A156" s="96">
        <f t="shared" si="8"/>
        <v>153</v>
      </c>
      <c r="B156" s="87">
        <v>1550</v>
      </c>
      <c r="C156" s="103">
        <v>45783</v>
      </c>
      <c r="D156" s="331">
        <v>62501593</v>
      </c>
      <c r="E156" s="270" t="s">
        <v>2327</v>
      </c>
      <c r="F156" s="344" t="s">
        <v>17</v>
      </c>
      <c r="G156" s="112" t="s">
        <v>10</v>
      </c>
      <c r="H156" s="183">
        <v>45783</v>
      </c>
      <c r="I156" s="5"/>
      <c r="J156" s="100" t="s">
        <v>82</v>
      </c>
      <c r="K156" s="21"/>
      <c r="L156" s="18"/>
      <c r="M156" s="19"/>
      <c r="N156" s="23"/>
      <c r="O156" s="11"/>
      <c r="P156" s="12"/>
      <c r="Q156" s="65">
        <v>45784</v>
      </c>
      <c r="R156" s="89">
        <f t="shared" si="7"/>
        <v>1.0000218421684905</v>
      </c>
      <c r="S156" s="101" t="s">
        <v>2213</v>
      </c>
      <c r="T156" s="66"/>
    </row>
    <row r="157" spans="1:20" ht="28.8" x14ac:dyDescent="0.3">
      <c r="A157" s="96">
        <f t="shared" si="8"/>
        <v>154</v>
      </c>
      <c r="B157" s="87">
        <v>1550</v>
      </c>
      <c r="C157" s="103">
        <v>45783</v>
      </c>
      <c r="D157" s="331">
        <v>93435908</v>
      </c>
      <c r="E157" s="270" t="s">
        <v>2327</v>
      </c>
      <c r="F157" s="344" t="s">
        <v>17</v>
      </c>
      <c r="G157" s="112" t="s">
        <v>10</v>
      </c>
      <c r="H157" s="183">
        <v>45783</v>
      </c>
      <c r="I157" s="5"/>
      <c r="J157" s="100" t="s">
        <v>82</v>
      </c>
      <c r="K157" s="154"/>
      <c r="L157" s="155"/>
      <c r="M157" s="156"/>
      <c r="N157" s="157"/>
      <c r="O157" s="158"/>
      <c r="P157" s="159"/>
      <c r="Q157" s="65">
        <v>45784</v>
      </c>
      <c r="R157" s="89">
        <f t="shared" si="7"/>
        <v>1.0000218421684905</v>
      </c>
      <c r="S157" s="101" t="s">
        <v>2213</v>
      </c>
      <c r="T157" s="160"/>
    </row>
    <row r="158" spans="1:20" ht="28.8" x14ac:dyDescent="0.3">
      <c r="A158" s="96">
        <f t="shared" si="8"/>
        <v>155</v>
      </c>
      <c r="B158" s="87">
        <v>1550</v>
      </c>
      <c r="C158" s="103">
        <v>45783</v>
      </c>
      <c r="D158" s="331">
        <v>30195195</v>
      </c>
      <c r="E158" s="270" t="s">
        <v>2327</v>
      </c>
      <c r="F158" s="344" t="s">
        <v>17</v>
      </c>
      <c r="G158" s="112" t="s">
        <v>10</v>
      </c>
      <c r="H158" s="183">
        <v>45783</v>
      </c>
      <c r="I158" s="5"/>
      <c r="J158" s="100" t="s">
        <v>82</v>
      </c>
      <c r="K158" s="154"/>
      <c r="L158" s="155"/>
      <c r="M158" s="156"/>
      <c r="N158" s="157"/>
      <c r="O158" s="158"/>
      <c r="P158" s="159"/>
      <c r="Q158" s="65">
        <v>45784</v>
      </c>
      <c r="R158" s="89">
        <f t="shared" si="7"/>
        <v>1.0000218421684905</v>
      </c>
      <c r="S158" s="101" t="s">
        <v>2213</v>
      </c>
      <c r="T158" s="160"/>
    </row>
    <row r="159" spans="1:20" ht="28.8" x14ac:dyDescent="0.3">
      <c r="A159" s="96">
        <f t="shared" si="8"/>
        <v>156</v>
      </c>
      <c r="B159" s="87">
        <v>1550</v>
      </c>
      <c r="C159" s="103">
        <v>45783</v>
      </c>
      <c r="D159" s="331">
        <v>15487253</v>
      </c>
      <c r="E159" s="270" t="s">
        <v>2327</v>
      </c>
      <c r="F159" s="344" t="s">
        <v>17</v>
      </c>
      <c r="G159" s="112" t="s">
        <v>10</v>
      </c>
      <c r="H159" s="183">
        <v>45783</v>
      </c>
      <c r="I159" s="5"/>
      <c r="J159" s="100" t="s">
        <v>82</v>
      </c>
      <c r="K159" s="154"/>
      <c r="L159" s="155"/>
      <c r="M159" s="156"/>
      <c r="N159" s="157"/>
      <c r="O159" s="158"/>
      <c r="P159" s="159"/>
      <c r="Q159" s="65">
        <v>45784</v>
      </c>
      <c r="R159" s="89">
        <f t="shared" si="7"/>
        <v>1.0000218421684905</v>
      </c>
      <c r="S159" s="101" t="s">
        <v>2213</v>
      </c>
      <c r="T159" s="160"/>
    </row>
    <row r="160" spans="1:20" ht="28.8" x14ac:dyDescent="0.3">
      <c r="A160" s="96">
        <f t="shared" si="8"/>
        <v>157</v>
      </c>
      <c r="B160" s="87">
        <v>1550</v>
      </c>
      <c r="C160" s="103">
        <v>45783</v>
      </c>
      <c r="D160" s="331">
        <v>92043178</v>
      </c>
      <c r="E160" s="270" t="s">
        <v>2327</v>
      </c>
      <c r="F160" s="344" t="s">
        <v>17</v>
      </c>
      <c r="G160" s="112" t="s">
        <v>10</v>
      </c>
      <c r="H160" s="183">
        <v>45783</v>
      </c>
      <c r="I160" s="5"/>
      <c r="J160" s="100" t="s">
        <v>82</v>
      </c>
      <c r="K160" s="21"/>
      <c r="L160" s="18"/>
      <c r="M160" s="19"/>
      <c r="N160" s="23"/>
      <c r="O160" s="11"/>
      <c r="P160" s="12"/>
      <c r="Q160" s="65">
        <v>45784</v>
      </c>
      <c r="R160" s="89">
        <f t="shared" si="7"/>
        <v>1.0000218421684905</v>
      </c>
      <c r="S160" s="101" t="s">
        <v>2213</v>
      </c>
      <c r="T160" s="160"/>
    </row>
    <row r="161" spans="1:20" ht="28.8" x14ac:dyDescent="0.3">
      <c r="A161" s="96">
        <f t="shared" si="8"/>
        <v>158</v>
      </c>
      <c r="B161" s="87">
        <v>1550</v>
      </c>
      <c r="C161" s="103">
        <v>45783</v>
      </c>
      <c r="D161" s="331">
        <v>84760656</v>
      </c>
      <c r="E161" s="270" t="s">
        <v>2327</v>
      </c>
      <c r="F161" s="344" t="s">
        <v>17</v>
      </c>
      <c r="G161" s="112" t="s">
        <v>10</v>
      </c>
      <c r="H161" s="183">
        <v>45783</v>
      </c>
      <c r="I161" s="5"/>
      <c r="J161" s="100" t="s">
        <v>82</v>
      </c>
      <c r="K161" s="154"/>
      <c r="L161" s="155"/>
      <c r="M161" s="156"/>
      <c r="N161" s="157"/>
      <c r="O161" s="158"/>
      <c r="P161" s="159"/>
      <c r="Q161" s="65">
        <v>45784</v>
      </c>
      <c r="R161" s="89">
        <f t="shared" si="7"/>
        <v>1.0000218421684905</v>
      </c>
      <c r="S161" s="101" t="s">
        <v>2213</v>
      </c>
      <c r="T161" s="160"/>
    </row>
    <row r="162" spans="1:20" ht="28.8" x14ac:dyDescent="0.3">
      <c r="A162" s="96">
        <f t="shared" si="8"/>
        <v>159</v>
      </c>
      <c r="B162" s="87">
        <v>1550</v>
      </c>
      <c r="C162" s="103">
        <v>45783</v>
      </c>
      <c r="D162" s="331">
        <v>40594831</v>
      </c>
      <c r="E162" s="270" t="s">
        <v>2327</v>
      </c>
      <c r="F162" s="344" t="s">
        <v>17</v>
      </c>
      <c r="G162" s="112" t="s">
        <v>10</v>
      </c>
      <c r="H162" s="183">
        <v>45783</v>
      </c>
      <c r="I162" s="5"/>
      <c r="J162" s="100" t="s">
        <v>82</v>
      </c>
      <c r="K162" s="154"/>
      <c r="L162" s="155"/>
      <c r="M162" s="156"/>
      <c r="N162" s="157"/>
      <c r="O162" s="158"/>
      <c r="P162" s="159"/>
      <c r="Q162" s="65">
        <v>45784</v>
      </c>
      <c r="R162" s="89">
        <f t="shared" si="7"/>
        <v>1.0000218421684905</v>
      </c>
      <c r="S162" s="101" t="s">
        <v>2213</v>
      </c>
      <c r="T162" s="69"/>
    </row>
    <row r="163" spans="1:20" ht="28.8" x14ac:dyDescent="0.3">
      <c r="A163" s="96">
        <f t="shared" si="8"/>
        <v>160</v>
      </c>
      <c r="B163" s="87">
        <v>1550</v>
      </c>
      <c r="C163" s="103">
        <v>45783</v>
      </c>
      <c r="D163" s="331">
        <v>37257641</v>
      </c>
      <c r="E163" s="270" t="s">
        <v>2327</v>
      </c>
      <c r="F163" s="344" t="s">
        <v>17</v>
      </c>
      <c r="G163" s="112" t="s">
        <v>10</v>
      </c>
      <c r="H163" s="183">
        <v>45783</v>
      </c>
      <c r="I163" s="5"/>
      <c r="J163" s="100" t="s">
        <v>82</v>
      </c>
      <c r="K163" s="21"/>
      <c r="L163" s="18"/>
      <c r="M163" s="19"/>
      <c r="N163" s="23"/>
      <c r="O163" s="11"/>
      <c r="P163" s="12"/>
      <c r="Q163" s="65">
        <v>45784</v>
      </c>
      <c r="R163" s="89">
        <f t="shared" si="7"/>
        <v>1.0000218421684905</v>
      </c>
      <c r="S163" s="101" t="s">
        <v>2213</v>
      </c>
      <c r="T163" s="66"/>
    </row>
    <row r="164" spans="1:20" ht="28.8" x14ac:dyDescent="0.3">
      <c r="A164" s="96">
        <f t="shared" si="8"/>
        <v>161</v>
      </c>
      <c r="B164" s="87">
        <v>1550</v>
      </c>
      <c r="C164" s="103">
        <v>45783</v>
      </c>
      <c r="D164" s="331">
        <v>96512024</v>
      </c>
      <c r="E164" s="270" t="s">
        <v>2327</v>
      </c>
      <c r="F164" s="344" t="s">
        <v>17</v>
      </c>
      <c r="G164" s="112" t="s">
        <v>10</v>
      </c>
      <c r="H164" s="183">
        <v>45783</v>
      </c>
      <c r="I164" s="5"/>
      <c r="J164" s="100" t="s">
        <v>82</v>
      </c>
      <c r="K164" s="21"/>
      <c r="L164" s="18"/>
      <c r="M164" s="19"/>
      <c r="N164" s="23"/>
      <c r="O164" s="11"/>
      <c r="P164" s="12"/>
      <c r="Q164" s="65">
        <v>45784</v>
      </c>
      <c r="R164" s="89">
        <f t="shared" si="7"/>
        <v>1.0000218421684905</v>
      </c>
      <c r="S164" s="101" t="s">
        <v>2213</v>
      </c>
      <c r="T164" s="66"/>
    </row>
    <row r="165" spans="1:20" ht="28.8" x14ac:dyDescent="0.3">
      <c r="A165" s="96">
        <f t="shared" si="8"/>
        <v>162</v>
      </c>
      <c r="B165" s="87">
        <v>1550</v>
      </c>
      <c r="C165" s="103">
        <v>45783</v>
      </c>
      <c r="D165" s="331">
        <v>38642611</v>
      </c>
      <c r="E165" s="270" t="s">
        <v>2327</v>
      </c>
      <c r="F165" s="344" t="s">
        <v>17</v>
      </c>
      <c r="G165" s="112" t="s">
        <v>10</v>
      </c>
      <c r="H165" s="183">
        <v>45783</v>
      </c>
      <c r="I165" s="5"/>
      <c r="J165" s="100" t="s">
        <v>82</v>
      </c>
      <c r="K165" s="21"/>
      <c r="L165" s="18"/>
      <c r="M165" s="19"/>
      <c r="N165" s="23"/>
      <c r="O165" s="11"/>
      <c r="P165" s="12"/>
      <c r="Q165" s="65">
        <v>45784</v>
      </c>
      <c r="R165" s="89">
        <f t="shared" si="7"/>
        <v>1.0000218421684905</v>
      </c>
      <c r="S165" s="101" t="s">
        <v>2213</v>
      </c>
      <c r="T165" s="66"/>
    </row>
    <row r="166" spans="1:20" ht="28.8" x14ac:dyDescent="0.3">
      <c r="A166" s="96">
        <f t="shared" si="8"/>
        <v>163</v>
      </c>
      <c r="B166" s="87">
        <v>1550</v>
      </c>
      <c r="C166" s="103">
        <v>45783</v>
      </c>
      <c r="D166" s="331">
        <v>93338481</v>
      </c>
      <c r="E166" s="270" t="s">
        <v>2327</v>
      </c>
      <c r="F166" s="344" t="s">
        <v>17</v>
      </c>
      <c r="G166" s="112" t="s">
        <v>10</v>
      </c>
      <c r="H166" s="183">
        <v>45783</v>
      </c>
      <c r="I166" s="5"/>
      <c r="J166" s="100" t="s">
        <v>82</v>
      </c>
      <c r="K166" s="21"/>
      <c r="L166" s="18"/>
      <c r="M166" s="19"/>
      <c r="N166" s="23"/>
      <c r="O166" s="11"/>
      <c r="P166" s="12"/>
      <c r="Q166" s="65">
        <v>45784</v>
      </c>
      <c r="R166" s="89">
        <f t="shared" si="7"/>
        <v>1.0000218421684905</v>
      </c>
      <c r="S166" s="101" t="s">
        <v>2213</v>
      </c>
      <c r="T166" s="66"/>
    </row>
    <row r="167" spans="1:20" ht="28.8" x14ac:dyDescent="0.3">
      <c r="A167" s="96">
        <f t="shared" si="8"/>
        <v>164</v>
      </c>
      <c r="B167" s="87">
        <v>1550</v>
      </c>
      <c r="C167" s="103">
        <v>45783</v>
      </c>
      <c r="D167" s="331">
        <v>116322861</v>
      </c>
      <c r="E167" s="270" t="s">
        <v>2327</v>
      </c>
      <c r="F167" s="344" t="s">
        <v>17</v>
      </c>
      <c r="G167" s="112" t="s">
        <v>10</v>
      </c>
      <c r="H167" s="183">
        <v>45783</v>
      </c>
      <c r="I167" s="5"/>
      <c r="J167" s="100" t="s">
        <v>82</v>
      </c>
      <c r="K167" s="21"/>
      <c r="L167" s="18"/>
      <c r="M167" s="19"/>
      <c r="N167" s="23"/>
      <c r="O167" s="11"/>
      <c r="P167" s="12"/>
      <c r="Q167" s="65">
        <v>45784</v>
      </c>
      <c r="R167" s="89">
        <f t="shared" si="7"/>
        <v>1.0000218421684905</v>
      </c>
      <c r="S167" s="101" t="s">
        <v>2213</v>
      </c>
      <c r="T167" s="56"/>
    </row>
    <row r="168" spans="1:20" ht="28.8" x14ac:dyDescent="0.3">
      <c r="A168" s="96">
        <f t="shared" si="8"/>
        <v>165</v>
      </c>
      <c r="B168" s="87">
        <v>1550</v>
      </c>
      <c r="C168" s="103">
        <v>45783</v>
      </c>
      <c r="D168" s="331">
        <v>113109091</v>
      </c>
      <c r="E168" s="270" t="s">
        <v>2327</v>
      </c>
      <c r="F168" s="344" t="s">
        <v>17</v>
      </c>
      <c r="G168" s="112" t="s">
        <v>10</v>
      </c>
      <c r="H168" s="183">
        <v>45783</v>
      </c>
      <c r="I168" s="5"/>
      <c r="J168" s="100" t="s">
        <v>82</v>
      </c>
      <c r="K168" s="21"/>
      <c r="L168" s="18"/>
      <c r="M168" s="19"/>
      <c r="N168" s="23"/>
      <c r="O168" s="11"/>
      <c r="P168" s="12"/>
      <c r="Q168" s="65">
        <v>45784</v>
      </c>
      <c r="R168" s="89">
        <f t="shared" si="7"/>
        <v>1.0000218421684905</v>
      </c>
      <c r="S168" s="101" t="s">
        <v>2213</v>
      </c>
      <c r="T168" s="66"/>
    </row>
    <row r="169" spans="1:20" ht="28.8" x14ac:dyDescent="0.3">
      <c r="A169" s="96">
        <f t="shared" si="8"/>
        <v>166</v>
      </c>
      <c r="B169" s="87">
        <v>1550</v>
      </c>
      <c r="C169" s="103">
        <v>45783</v>
      </c>
      <c r="D169" s="331">
        <v>60038322</v>
      </c>
      <c r="E169" s="270" t="s">
        <v>2327</v>
      </c>
      <c r="F169" s="344" t="s">
        <v>17</v>
      </c>
      <c r="G169" s="112" t="s">
        <v>10</v>
      </c>
      <c r="H169" s="183">
        <v>45783</v>
      </c>
      <c r="I169" s="5"/>
      <c r="J169" s="100" t="s">
        <v>82</v>
      </c>
      <c r="K169" s="21"/>
      <c r="L169" s="18"/>
      <c r="M169" s="19"/>
      <c r="N169" s="23"/>
      <c r="O169" s="11"/>
      <c r="P169" s="12"/>
      <c r="Q169" s="65">
        <v>45784</v>
      </c>
      <c r="R169" s="89">
        <f t="shared" si="7"/>
        <v>1.0000218421684905</v>
      </c>
      <c r="S169" s="101" t="s">
        <v>2213</v>
      </c>
      <c r="T169" s="66"/>
    </row>
    <row r="170" spans="1:20" ht="28.8" x14ac:dyDescent="0.3">
      <c r="A170" s="96">
        <f t="shared" si="8"/>
        <v>167</v>
      </c>
      <c r="B170" s="87">
        <v>1550</v>
      </c>
      <c r="C170" s="103">
        <v>45783</v>
      </c>
      <c r="D170" s="331">
        <v>6989926</v>
      </c>
      <c r="E170" s="270" t="s">
        <v>2327</v>
      </c>
      <c r="F170" s="344" t="s">
        <v>17</v>
      </c>
      <c r="G170" s="112" t="s">
        <v>10</v>
      </c>
      <c r="H170" s="183">
        <v>45783</v>
      </c>
      <c r="I170" s="5"/>
      <c r="J170" s="100" t="s">
        <v>82</v>
      </c>
      <c r="K170" s="21"/>
      <c r="L170" s="18"/>
      <c r="M170" s="19"/>
      <c r="N170" s="23"/>
      <c r="O170" s="11"/>
      <c r="P170" s="12"/>
      <c r="Q170" s="65">
        <v>45784</v>
      </c>
      <c r="R170" s="89">
        <f t="shared" si="7"/>
        <v>1.0000218421684905</v>
      </c>
      <c r="S170" s="101" t="s">
        <v>2213</v>
      </c>
      <c r="T170" s="66"/>
    </row>
    <row r="171" spans="1:20" ht="28.8" x14ac:dyDescent="0.3">
      <c r="A171" s="96">
        <f t="shared" si="8"/>
        <v>168</v>
      </c>
      <c r="B171" s="87">
        <v>1550</v>
      </c>
      <c r="C171" s="103">
        <v>45783</v>
      </c>
      <c r="D171" s="331">
        <v>26405326</v>
      </c>
      <c r="E171" s="270" t="s">
        <v>2327</v>
      </c>
      <c r="F171" s="344" t="s">
        <v>17</v>
      </c>
      <c r="G171" s="112" t="s">
        <v>10</v>
      </c>
      <c r="H171" s="183">
        <v>45783</v>
      </c>
      <c r="I171" s="5"/>
      <c r="J171" s="100" t="s">
        <v>82</v>
      </c>
      <c r="K171" s="21"/>
      <c r="L171" s="18"/>
      <c r="M171" s="19"/>
      <c r="N171" s="23"/>
      <c r="O171" s="11"/>
      <c r="P171" s="12"/>
      <c r="Q171" s="65">
        <v>45784</v>
      </c>
      <c r="R171" s="89">
        <f t="shared" si="7"/>
        <v>1.0000218421684905</v>
      </c>
      <c r="S171" s="101" t="s">
        <v>2213</v>
      </c>
      <c r="T171" s="66"/>
    </row>
    <row r="172" spans="1:20" ht="28.8" x14ac:dyDescent="0.3">
      <c r="A172" s="96">
        <f t="shared" si="8"/>
        <v>169</v>
      </c>
      <c r="B172" s="87">
        <v>1550</v>
      </c>
      <c r="C172" s="103">
        <v>45783</v>
      </c>
      <c r="D172" s="331">
        <v>93147147</v>
      </c>
      <c r="E172" s="270" t="s">
        <v>2327</v>
      </c>
      <c r="F172" s="344" t="s">
        <v>17</v>
      </c>
      <c r="G172" s="112" t="s">
        <v>10</v>
      </c>
      <c r="H172" s="183">
        <v>45783</v>
      </c>
      <c r="I172" s="5"/>
      <c r="J172" s="100" t="s">
        <v>82</v>
      </c>
      <c r="K172" s="21"/>
      <c r="L172" s="18"/>
      <c r="M172" s="19"/>
      <c r="N172" s="23"/>
      <c r="O172" s="11"/>
      <c r="P172" s="12"/>
      <c r="Q172" s="65">
        <v>45784</v>
      </c>
      <c r="R172" s="89">
        <f t="shared" si="7"/>
        <v>1.0000218421684905</v>
      </c>
      <c r="S172" s="101" t="s">
        <v>2213</v>
      </c>
      <c r="T172" s="66"/>
    </row>
    <row r="173" spans="1:20" ht="28.8" x14ac:dyDescent="0.3">
      <c r="A173" s="96">
        <f t="shared" si="8"/>
        <v>170</v>
      </c>
      <c r="B173" s="87">
        <v>1550</v>
      </c>
      <c r="C173" s="103">
        <v>45783</v>
      </c>
      <c r="D173" s="331">
        <v>34875239</v>
      </c>
      <c r="E173" s="270" t="s">
        <v>2327</v>
      </c>
      <c r="F173" s="344" t="s">
        <v>17</v>
      </c>
      <c r="G173" s="112" t="s">
        <v>10</v>
      </c>
      <c r="H173" s="183">
        <v>45783</v>
      </c>
      <c r="I173" s="5"/>
      <c r="J173" s="100" t="s">
        <v>82</v>
      </c>
      <c r="K173" s="21"/>
      <c r="L173" s="18"/>
      <c r="M173" s="19"/>
      <c r="N173" s="23"/>
      <c r="O173" s="11"/>
      <c r="P173" s="12"/>
      <c r="Q173" s="65">
        <v>45784</v>
      </c>
      <c r="R173" s="89">
        <f t="shared" si="7"/>
        <v>1.0000218421684905</v>
      </c>
      <c r="S173" s="101" t="s">
        <v>2213</v>
      </c>
      <c r="T173" s="66"/>
    </row>
    <row r="174" spans="1:20" ht="28.8" x14ac:dyDescent="0.3">
      <c r="A174" s="96">
        <f t="shared" si="8"/>
        <v>171</v>
      </c>
      <c r="B174" s="87">
        <v>1550</v>
      </c>
      <c r="C174" s="103">
        <v>45783</v>
      </c>
      <c r="D174" s="331">
        <v>12917443</v>
      </c>
      <c r="E174" s="270" t="s">
        <v>2327</v>
      </c>
      <c r="F174" s="344" t="s">
        <v>17</v>
      </c>
      <c r="G174" s="112" t="s">
        <v>10</v>
      </c>
      <c r="H174" s="183">
        <v>45783</v>
      </c>
      <c r="I174" s="5"/>
      <c r="J174" s="100" t="s">
        <v>82</v>
      </c>
      <c r="K174" s="21"/>
      <c r="L174" s="18"/>
      <c r="M174" s="19"/>
      <c r="N174" s="23"/>
      <c r="O174" s="11"/>
      <c r="P174" s="12"/>
      <c r="Q174" s="65">
        <v>45784</v>
      </c>
      <c r="R174" s="89">
        <f t="shared" si="7"/>
        <v>1.0000218421684905</v>
      </c>
      <c r="S174" s="101" t="s">
        <v>2213</v>
      </c>
      <c r="T174" s="160"/>
    </row>
    <row r="175" spans="1:20" ht="28.8" x14ac:dyDescent="0.3">
      <c r="A175" s="96">
        <f t="shared" si="8"/>
        <v>172</v>
      </c>
      <c r="B175" s="87">
        <v>1550</v>
      </c>
      <c r="C175" s="103">
        <v>45783</v>
      </c>
      <c r="D175" s="331">
        <v>108480798</v>
      </c>
      <c r="E175" s="270" t="s">
        <v>2327</v>
      </c>
      <c r="F175" s="344" t="s">
        <v>17</v>
      </c>
      <c r="G175" s="112" t="s">
        <v>10</v>
      </c>
      <c r="H175" s="183">
        <v>45783</v>
      </c>
      <c r="I175" s="5"/>
      <c r="J175" s="100" t="s">
        <v>82</v>
      </c>
      <c r="K175" s="21"/>
      <c r="L175" s="18"/>
      <c r="M175" s="19"/>
      <c r="N175" s="23"/>
      <c r="O175" s="11"/>
      <c r="P175" s="12"/>
      <c r="Q175" s="65">
        <v>45784</v>
      </c>
      <c r="R175" s="89">
        <f t="shared" si="7"/>
        <v>1.0000218421684905</v>
      </c>
      <c r="S175" s="101" t="s">
        <v>2213</v>
      </c>
      <c r="T175" s="66"/>
    </row>
    <row r="176" spans="1:20" ht="28.8" x14ac:dyDescent="0.3">
      <c r="A176" s="96">
        <f t="shared" si="8"/>
        <v>173</v>
      </c>
      <c r="B176" s="87">
        <v>1550</v>
      </c>
      <c r="C176" s="103">
        <v>45783</v>
      </c>
      <c r="D176" s="331" t="s">
        <v>2391</v>
      </c>
      <c r="E176" s="270" t="s">
        <v>2327</v>
      </c>
      <c r="F176" s="344" t="s">
        <v>17</v>
      </c>
      <c r="G176" s="112" t="s">
        <v>10</v>
      </c>
      <c r="H176" s="183">
        <v>45783</v>
      </c>
      <c r="I176" s="5"/>
      <c r="J176" s="100" t="s">
        <v>82</v>
      </c>
      <c r="K176" s="21"/>
      <c r="L176" s="18"/>
      <c r="M176" s="19"/>
      <c r="N176" s="23"/>
      <c r="O176" s="11"/>
      <c r="P176" s="12"/>
      <c r="Q176" s="65">
        <v>45784</v>
      </c>
      <c r="R176" s="89">
        <f t="shared" si="7"/>
        <v>1.0000218421684905</v>
      </c>
      <c r="S176" s="101" t="s">
        <v>2213</v>
      </c>
      <c r="T176" s="66"/>
    </row>
    <row r="177" spans="1:20" ht="28.8" x14ac:dyDescent="0.3">
      <c r="A177" s="96">
        <f t="shared" si="8"/>
        <v>174</v>
      </c>
      <c r="B177" s="87">
        <v>1550</v>
      </c>
      <c r="C177" s="103">
        <v>45783</v>
      </c>
      <c r="D177" s="331">
        <v>35198990</v>
      </c>
      <c r="E177" s="270" t="s">
        <v>2327</v>
      </c>
      <c r="F177" s="344" t="s">
        <v>17</v>
      </c>
      <c r="G177" s="112" t="s">
        <v>10</v>
      </c>
      <c r="H177" s="183">
        <v>45783</v>
      </c>
      <c r="I177" s="5"/>
      <c r="J177" s="100" t="s">
        <v>82</v>
      </c>
      <c r="K177" s="154"/>
      <c r="L177" s="155"/>
      <c r="M177" s="156"/>
      <c r="N177" s="157"/>
      <c r="O177" s="158"/>
      <c r="P177" s="159"/>
      <c r="Q177" s="65">
        <v>45784</v>
      </c>
      <c r="R177" s="89">
        <f t="shared" si="7"/>
        <v>1.0000218421684905</v>
      </c>
      <c r="S177" s="101" t="s">
        <v>2213</v>
      </c>
      <c r="T177" s="160"/>
    </row>
    <row r="178" spans="1:20" ht="28.8" x14ac:dyDescent="0.3">
      <c r="A178" s="96">
        <f t="shared" si="8"/>
        <v>175</v>
      </c>
      <c r="B178" s="87">
        <v>1550</v>
      </c>
      <c r="C178" s="103">
        <v>45783</v>
      </c>
      <c r="D178" s="331">
        <v>24733318</v>
      </c>
      <c r="E178" s="270" t="s">
        <v>2327</v>
      </c>
      <c r="F178" s="344" t="s">
        <v>17</v>
      </c>
      <c r="G178" s="112" t="s">
        <v>10</v>
      </c>
      <c r="H178" s="183">
        <v>45783</v>
      </c>
      <c r="I178" s="5"/>
      <c r="J178" s="100" t="s">
        <v>82</v>
      </c>
      <c r="K178" s="154"/>
      <c r="L178" s="155"/>
      <c r="M178" s="156"/>
      <c r="N178" s="157"/>
      <c r="O178" s="158"/>
      <c r="P178" s="159"/>
      <c r="Q178" s="65">
        <v>45784</v>
      </c>
      <c r="R178" s="89">
        <f t="shared" si="7"/>
        <v>1.0000218421684905</v>
      </c>
      <c r="S178" s="101" t="s">
        <v>2213</v>
      </c>
      <c r="T178" s="160"/>
    </row>
    <row r="179" spans="1:20" ht="28.8" x14ac:dyDescent="0.3">
      <c r="A179" s="96">
        <f t="shared" si="8"/>
        <v>176</v>
      </c>
      <c r="B179" s="87">
        <v>1550</v>
      </c>
      <c r="C179" s="103">
        <v>45783</v>
      </c>
      <c r="D179" s="331">
        <v>84976039</v>
      </c>
      <c r="E179" s="270" t="s">
        <v>2327</v>
      </c>
      <c r="F179" s="344" t="s">
        <v>17</v>
      </c>
      <c r="G179" s="112" t="s">
        <v>10</v>
      </c>
      <c r="H179" s="183">
        <v>45783</v>
      </c>
      <c r="I179" s="5"/>
      <c r="J179" s="100" t="s">
        <v>82</v>
      </c>
      <c r="K179" s="154"/>
      <c r="L179" s="155"/>
      <c r="M179" s="156"/>
      <c r="N179" s="157"/>
      <c r="O179" s="158"/>
      <c r="P179" s="159"/>
      <c r="Q179" s="65">
        <v>45784</v>
      </c>
      <c r="R179" s="89">
        <f t="shared" si="7"/>
        <v>1.0000218421684905</v>
      </c>
      <c r="S179" s="101" t="s">
        <v>2213</v>
      </c>
      <c r="T179" s="160"/>
    </row>
    <row r="180" spans="1:20" ht="43.2" x14ac:dyDescent="0.3">
      <c r="A180" s="96">
        <f t="shared" si="8"/>
        <v>177</v>
      </c>
      <c r="B180" s="87">
        <v>1550</v>
      </c>
      <c r="C180" s="103">
        <v>45783</v>
      </c>
      <c r="D180" s="331">
        <v>44118449</v>
      </c>
      <c r="E180" s="270" t="s">
        <v>2327</v>
      </c>
      <c r="F180" s="344" t="s">
        <v>17</v>
      </c>
      <c r="G180" s="112" t="s">
        <v>10</v>
      </c>
      <c r="H180" s="183">
        <v>45783</v>
      </c>
      <c r="I180" s="5"/>
      <c r="J180" s="100" t="s">
        <v>82</v>
      </c>
      <c r="K180" s="154"/>
      <c r="L180" s="155"/>
      <c r="M180" s="156"/>
      <c r="N180" s="157"/>
      <c r="O180" s="158"/>
      <c r="P180" s="159"/>
      <c r="Q180" s="65">
        <v>45784</v>
      </c>
      <c r="R180" s="89">
        <f t="shared" si="7"/>
        <v>1.0000218421684905</v>
      </c>
      <c r="S180" s="101" t="s">
        <v>323</v>
      </c>
      <c r="T180" s="160"/>
    </row>
    <row r="181" spans="1:20" ht="43.2" x14ac:dyDescent="0.3">
      <c r="A181" s="96">
        <f t="shared" si="8"/>
        <v>178</v>
      </c>
      <c r="B181" s="87">
        <v>1550</v>
      </c>
      <c r="C181" s="103">
        <v>45783</v>
      </c>
      <c r="D181" s="331" t="s">
        <v>2392</v>
      </c>
      <c r="E181" s="270" t="s">
        <v>2327</v>
      </c>
      <c r="F181" s="344" t="s">
        <v>17</v>
      </c>
      <c r="G181" s="112" t="s">
        <v>10</v>
      </c>
      <c r="H181" s="183">
        <v>45783</v>
      </c>
      <c r="I181" s="5"/>
      <c r="J181" s="100" t="s">
        <v>82</v>
      </c>
      <c r="K181" s="154"/>
      <c r="L181" s="155"/>
      <c r="M181" s="156"/>
      <c r="N181" s="157"/>
      <c r="O181" s="158"/>
      <c r="P181" s="159"/>
      <c r="Q181" s="65">
        <v>45784</v>
      </c>
      <c r="R181" s="89">
        <f t="shared" si="7"/>
        <v>1.0000218421684905</v>
      </c>
      <c r="S181" s="101" t="s">
        <v>323</v>
      </c>
      <c r="T181" s="160"/>
    </row>
    <row r="182" spans="1:20" ht="43.2" x14ac:dyDescent="0.3">
      <c r="A182" s="96">
        <f t="shared" si="8"/>
        <v>179</v>
      </c>
      <c r="B182" s="87">
        <v>1550</v>
      </c>
      <c r="C182" s="103">
        <v>45783</v>
      </c>
      <c r="D182" s="331">
        <v>46699740</v>
      </c>
      <c r="E182" s="270" t="s">
        <v>2327</v>
      </c>
      <c r="F182" s="344" t="s">
        <v>17</v>
      </c>
      <c r="G182" s="112" t="s">
        <v>10</v>
      </c>
      <c r="H182" s="183">
        <v>45783</v>
      </c>
      <c r="I182" s="5"/>
      <c r="J182" s="100" t="s">
        <v>82</v>
      </c>
      <c r="K182" s="154"/>
      <c r="L182" s="155"/>
      <c r="M182" s="156"/>
      <c r="N182" s="157"/>
      <c r="O182" s="158"/>
      <c r="P182" s="159"/>
      <c r="Q182" s="65">
        <v>45784</v>
      </c>
      <c r="R182" s="89">
        <f t="shared" si="7"/>
        <v>1.0000218421684905</v>
      </c>
      <c r="S182" s="101" t="s">
        <v>323</v>
      </c>
      <c r="T182" s="160"/>
    </row>
    <row r="183" spans="1:20" ht="43.2" x14ac:dyDescent="0.3">
      <c r="A183" s="96">
        <f t="shared" si="8"/>
        <v>180</v>
      </c>
      <c r="B183" s="87">
        <v>1550</v>
      </c>
      <c r="C183" s="103">
        <v>45783</v>
      </c>
      <c r="D183" s="331">
        <v>107388219</v>
      </c>
      <c r="E183" s="270" t="s">
        <v>2327</v>
      </c>
      <c r="F183" s="344" t="s">
        <v>17</v>
      </c>
      <c r="G183" s="112" t="s">
        <v>10</v>
      </c>
      <c r="H183" s="183">
        <v>45783</v>
      </c>
      <c r="I183" s="5"/>
      <c r="J183" s="100" t="s">
        <v>82</v>
      </c>
      <c r="K183" s="21"/>
      <c r="L183" s="18"/>
      <c r="M183" s="19"/>
      <c r="N183" s="23"/>
      <c r="O183" s="11"/>
      <c r="P183" s="12"/>
      <c r="Q183" s="65">
        <v>45784</v>
      </c>
      <c r="R183" s="89">
        <f t="shared" si="7"/>
        <v>1.0000218421684905</v>
      </c>
      <c r="S183" s="101" t="s">
        <v>323</v>
      </c>
      <c r="T183" s="66"/>
    </row>
    <row r="184" spans="1:20" ht="43.2" x14ac:dyDescent="0.3">
      <c r="A184" s="96">
        <f t="shared" si="8"/>
        <v>181</v>
      </c>
      <c r="B184" s="87">
        <v>1550</v>
      </c>
      <c r="C184" s="103">
        <v>45783</v>
      </c>
      <c r="D184" s="331">
        <v>34541764</v>
      </c>
      <c r="E184" s="270" t="s">
        <v>2327</v>
      </c>
      <c r="F184" s="344" t="s">
        <v>17</v>
      </c>
      <c r="G184" s="112" t="s">
        <v>10</v>
      </c>
      <c r="H184" s="183">
        <v>45783</v>
      </c>
      <c r="I184" s="5"/>
      <c r="J184" s="100" t="s">
        <v>82</v>
      </c>
      <c r="K184" s="154"/>
      <c r="L184" s="155"/>
      <c r="M184" s="156"/>
      <c r="N184" s="157"/>
      <c r="O184" s="158"/>
      <c r="P184" s="159"/>
      <c r="Q184" s="65">
        <v>45784</v>
      </c>
      <c r="R184" s="89">
        <f t="shared" si="7"/>
        <v>1.0000218421684905</v>
      </c>
      <c r="S184" s="101" t="s">
        <v>323</v>
      </c>
      <c r="T184" s="160"/>
    </row>
    <row r="185" spans="1:20" ht="43.2" x14ac:dyDescent="0.3">
      <c r="A185" s="96">
        <f t="shared" si="8"/>
        <v>182</v>
      </c>
      <c r="B185" s="87">
        <v>1550</v>
      </c>
      <c r="C185" s="103">
        <v>45783</v>
      </c>
      <c r="D185" s="331">
        <v>102631158</v>
      </c>
      <c r="E185" s="270" t="s">
        <v>2327</v>
      </c>
      <c r="F185" s="344" t="s">
        <v>17</v>
      </c>
      <c r="G185" s="112" t="s">
        <v>10</v>
      </c>
      <c r="H185" s="183">
        <v>45783</v>
      </c>
      <c r="I185" s="5"/>
      <c r="J185" s="100" t="s">
        <v>82</v>
      </c>
      <c r="K185" s="21"/>
      <c r="L185" s="18"/>
      <c r="M185" s="19"/>
      <c r="N185" s="23"/>
      <c r="O185" s="11"/>
      <c r="P185" s="12"/>
      <c r="Q185" s="65">
        <v>45784</v>
      </c>
      <c r="R185" s="89">
        <f t="shared" si="7"/>
        <v>1.0000218421684905</v>
      </c>
      <c r="S185" s="101" t="s">
        <v>323</v>
      </c>
      <c r="T185" s="160"/>
    </row>
    <row r="186" spans="1:20" ht="43.2" x14ac:dyDescent="0.3">
      <c r="A186" s="96">
        <f t="shared" si="8"/>
        <v>183</v>
      </c>
      <c r="B186" s="87">
        <v>1550</v>
      </c>
      <c r="C186" s="103">
        <v>45783</v>
      </c>
      <c r="D186" s="331">
        <v>111608368</v>
      </c>
      <c r="E186" s="270" t="s">
        <v>2327</v>
      </c>
      <c r="F186" s="344" t="s">
        <v>17</v>
      </c>
      <c r="G186" s="112" t="s">
        <v>10</v>
      </c>
      <c r="H186" s="183">
        <v>45783</v>
      </c>
      <c r="I186" s="5"/>
      <c r="J186" s="100" t="s">
        <v>82</v>
      </c>
      <c r="K186" s="21"/>
      <c r="L186" s="18"/>
      <c r="M186" s="19"/>
      <c r="N186" s="23"/>
      <c r="O186" s="11"/>
      <c r="P186" s="12"/>
      <c r="Q186" s="65">
        <v>45784</v>
      </c>
      <c r="R186" s="89">
        <f t="shared" si="7"/>
        <v>1.0000218421684905</v>
      </c>
      <c r="S186" s="101" t="s">
        <v>323</v>
      </c>
      <c r="T186" s="66"/>
    </row>
    <row r="187" spans="1:20" ht="43.2" x14ac:dyDescent="0.3">
      <c r="A187" s="96">
        <f t="shared" si="8"/>
        <v>184</v>
      </c>
      <c r="B187" s="87">
        <v>1550</v>
      </c>
      <c r="C187" s="103">
        <v>45783</v>
      </c>
      <c r="D187" s="331">
        <v>6103545</v>
      </c>
      <c r="E187" s="270" t="s">
        <v>2327</v>
      </c>
      <c r="F187" s="344" t="s">
        <v>17</v>
      </c>
      <c r="G187" s="112" t="s">
        <v>10</v>
      </c>
      <c r="H187" s="183">
        <v>45783</v>
      </c>
      <c r="I187" s="5"/>
      <c r="J187" s="100" t="s">
        <v>82</v>
      </c>
      <c r="K187" s="21"/>
      <c r="L187" s="18"/>
      <c r="M187" s="19"/>
      <c r="N187" s="23"/>
      <c r="O187" s="11"/>
      <c r="P187" s="12"/>
      <c r="Q187" s="65">
        <v>45784</v>
      </c>
      <c r="R187" s="89">
        <f t="shared" si="7"/>
        <v>1.0000218421684905</v>
      </c>
      <c r="S187" s="101" t="s">
        <v>323</v>
      </c>
      <c r="T187" s="66"/>
    </row>
    <row r="188" spans="1:20" ht="43.2" x14ac:dyDescent="0.3">
      <c r="A188" s="96">
        <f t="shared" si="8"/>
        <v>185</v>
      </c>
      <c r="B188" s="87">
        <v>1550</v>
      </c>
      <c r="C188" s="103">
        <v>45783</v>
      </c>
      <c r="D188" s="331">
        <v>101938888</v>
      </c>
      <c r="E188" s="270" t="s">
        <v>2327</v>
      </c>
      <c r="F188" s="344" t="s">
        <v>17</v>
      </c>
      <c r="G188" s="112" t="s">
        <v>10</v>
      </c>
      <c r="H188" s="183">
        <v>45783</v>
      </c>
      <c r="I188" s="5"/>
      <c r="J188" s="100" t="s">
        <v>82</v>
      </c>
      <c r="K188" s="21"/>
      <c r="L188" s="18"/>
      <c r="M188" s="19"/>
      <c r="N188" s="23"/>
      <c r="O188" s="11"/>
      <c r="P188" s="12"/>
      <c r="Q188" s="65">
        <v>45784</v>
      </c>
      <c r="R188" s="89">
        <f t="shared" si="7"/>
        <v>1.0000218421684905</v>
      </c>
      <c r="S188" s="101" t="s">
        <v>323</v>
      </c>
      <c r="T188" s="66"/>
    </row>
    <row r="189" spans="1:20" ht="43.2" x14ac:dyDescent="0.3">
      <c r="A189" s="96">
        <f t="shared" si="8"/>
        <v>186</v>
      </c>
      <c r="B189" s="87">
        <v>1550</v>
      </c>
      <c r="C189" s="103">
        <v>45783</v>
      </c>
      <c r="D189" s="331">
        <v>109596153</v>
      </c>
      <c r="E189" s="270" t="s">
        <v>2327</v>
      </c>
      <c r="F189" s="344" t="s">
        <v>17</v>
      </c>
      <c r="G189" s="112" t="s">
        <v>10</v>
      </c>
      <c r="H189" s="183">
        <v>45783</v>
      </c>
      <c r="I189" s="5"/>
      <c r="J189" s="100" t="s">
        <v>82</v>
      </c>
      <c r="K189" s="21"/>
      <c r="L189" s="18"/>
      <c r="M189" s="19"/>
      <c r="N189" s="23"/>
      <c r="O189" s="11"/>
      <c r="P189" s="12"/>
      <c r="Q189" s="65">
        <v>45784</v>
      </c>
      <c r="R189" s="89">
        <f t="shared" si="7"/>
        <v>1.0000218421684905</v>
      </c>
      <c r="S189" s="101" t="s">
        <v>323</v>
      </c>
      <c r="T189" s="66"/>
    </row>
    <row r="190" spans="1:20" ht="43.2" x14ac:dyDescent="0.3">
      <c r="A190" s="96">
        <f t="shared" si="8"/>
        <v>187</v>
      </c>
      <c r="B190" s="87">
        <v>1550</v>
      </c>
      <c r="C190" s="103">
        <v>45783</v>
      </c>
      <c r="D190" s="331">
        <v>313135258</v>
      </c>
      <c r="E190" s="270" t="s">
        <v>2327</v>
      </c>
      <c r="F190" s="344" t="s">
        <v>17</v>
      </c>
      <c r="G190" s="112" t="s">
        <v>10</v>
      </c>
      <c r="H190" s="183">
        <v>45783</v>
      </c>
      <c r="I190" s="5"/>
      <c r="J190" s="100" t="s">
        <v>82</v>
      </c>
      <c r="K190" s="21"/>
      <c r="L190" s="18"/>
      <c r="M190" s="19"/>
      <c r="N190" s="23"/>
      <c r="O190" s="11"/>
      <c r="P190" s="12"/>
      <c r="Q190" s="65">
        <v>45784</v>
      </c>
      <c r="R190" s="89">
        <f t="shared" si="7"/>
        <v>1.0000218421684905</v>
      </c>
      <c r="S190" s="101" t="s">
        <v>323</v>
      </c>
      <c r="T190" s="66"/>
    </row>
    <row r="191" spans="1:20" ht="28.8" x14ac:dyDescent="0.3">
      <c r="A191" s="96">
        <f t="shared" si="8"/>
        <v>188</v>
      </c>
      <c r="B191" s="87">
        <v>1550</v>
      </c>
      <c r="C191" s="103">
        <v>45783</v>
      </c>
      <c r="D191" s="331">
        <v>84530529</v>
      </c>
      <c r="E191" s="270" t="s">
        <v>2327</v>
      </c>
      <c r="F191" s="344" t="s">
        <v>17</v>
      </c>
      <c r="G191" s="112" t="s">
        <v>10</v>
      </c>
      <c r="H191" s="183">
        <v>45783</v>
      </c>
      <c r="I191" s="5"/>
      <c r="J191" s="100" t="s">
        <v>82</v>
      </c>
      <c r="K191" s="21"/>
      <c r="L191" s="18"/>
      <c r="M191" s="19"/>
      <c r="N191" s="23"/>
      <c r="O191" s="11"/>
      <c r="P191" s="12"/>
      <c r="Q191" s="65">
        <v>45784</v>
      </c>
      <c r="R191" s="89">
        <f t="shared" si="7"/>
        <v>1.0000218421684905</v>
      </c>
      <c r="S191" s="101" t="s">
        <v>214</v>
      </c>
      <c r="T191" s="66"/>
    </row>
    <row r="192" spans="1:20" ht="28.8" x14ac:dyDescent="0.3">
      <c r="A192" s="96">
        <f t="shared" si="8"/>
        <v>189</v>
      </c>
      <c r="B192" s="87">
        <v>1550</v>
      </c>
      <c r="C192" s="103">
        <v>45783</v>
      </c>
      <c r="D192" s="331">
        <v>48633143</v>
      </c>
      <c r="E192" s="270" t="s">
        <v>2327</v>
      </c>
      <c r="F192" s="344" t="s">
        <v>17</v>
      </c>
      <c r="G192" s="112" t="s">
        <v>10</v>
      </c>
      <c r="H192" s="183">
        <v>45783</v>
      </c>
      <c r="I192" s="5"/>
      <c r="J192" s="100" t="s">
        <v>82</v>
      </c>
      <c r="K192" s="21"/>
      <c r="L192" s="18"/>
      <c r="M192" s="19"/>
      <c r="N192" s="23"/>
      <c r="O192" s="11"/>
      <c r="P192" s="12"/>
      <c r="Q192" s="65">
        <v>45784</v>
      </c>
      <c r="R192" s="89">
        <f t="shared" si="7"/>
        <v>1.0000218421684905</v>
      </c>
      <c r="S192" s="101" t="s">
        <v>1769</v>
      </c>
      <c r="T192" s="66"/>
    </row>
    <row r="193" spans="1:20" ht="28.8" x14ac:dyDescent="0.3">
      <c r="A193" s="96">
        <f t="shared" si="8"/>
        <v>190</v>
      </c>
      <c r="B193" s="87">
        <v>1550</v>
      </c>
      <c r="C193" s="103">
        <v>45783</v>
      </c>
      <c r="D193" s="331">
        <v>51704870</v>
      </c>
      <c r="E193" s="270" t="s">
        <v>2327</v>
      </c>
      <c r="F193" s="344" t="s">
        <v>17</v>
      </c>
      <c r="G193" s="112" t="s">
        <v>10</v>
      </c>
      <c r="H193" s="183">
        <v>45783</v>
      </c>
      <c r="I193" s="5"/>
      <c r="J193" s="100" t="s">
        <v>82</v>
      </c>
      <c r="K193" s="154"/>
      <c r="L193" s="155"/>
      <c r="M193" s="156"/>
      <c r="N193" s="157"/>
      <c r="O193" s="158"/>
      <c r="P193" s="159"/>
      <c r="Q193" s="65">
        <v>45784</v>
      </c>
      <c r="R193" s="89">
        <f t="shared" si="7"/>
        <v>1.0000218421684905</v>
      </c>
      <c r="S193" s="101" t="s">
        <v>1319</v>
      </c>
      <c r="T193" s="160"/>
    </row>
    <row r="194" spans="1:20" ht="28.8" x14ac:dyDescent="0.3">
      <c r="A194" s="96">
        <f t="shared" si="8"/>
        <v>191</v>
      </c>
      <c r="B194" s="87">
        <v>1550</v>
      </c>
      <c r="C194" s="103">
        <v>45783</v>
      </c>
      <c r="D194" s="331">
        <v>42928184</v>
      </c>
      <c r="E194" s="270" t="s">
        <v>2327</v>
      </c>
      <c r="F194" s="344" t="s">
        <v>17</v>
      </c>
      <c r="G194" s="112" t="s">
        <v>10</v>
      </c>
      <c r="H194" s="183">
        <v>45783</v>
      </c>
      <c r="I194" s="5"/>
      <c r="J194" s="100" t="s">
        <v>82</v>
      </c>
      <c r="K194" s="226"/>
      <c r="L194" s="164"/>
      <c r="M194" s="228"/>
      <c r="N194" s="157"/>
      <c r="O194" s="158"/>
      <c r="P194" s="159"/>
      <c r="Q194" s="65">
        <v>45784</v>
      </c>
      <c r="R194" s="89">
        <f t="shared" si="7"/>
        <v>1.0000218421684905</v>
      </c>
      <c r="S194" s="101" t="s">
        <v>1319</v>
      </c>
      <c r="T194" s="160"/>
    </row>
    <row r="195" spans="1:20" ht="28.8" x14ac:dyDescent="0.3">
      <c r="A195" s="96">
        <f t="shared" si="8"/>
        <v>192</v>
      </c>
      <c r="B195" s="87">
        <v>1550</v>
      </c>
      <c r="C195" s="103">
        <v>45783</v>
      </c>
      <c r="D195" s="331">
        <v>41538528</v>
      </c>
      <c r="E195" s="270" t="s">
        <v>2327</v>
      </c>
      <c r="F195" s="344" t="s">
        <v>17</v>
      </c>
      <c r="G195" s="112" t="s">
        <v>10</v>
      </c>
      <c r="H195" s="183">
        <v>45783</v>
      </c>
      <c r="I195" s="5"/>
      <c r="J195" s="100" t="s">
        <v>82</v>
      </c>
      <c r="K195" s="154"/>
      <c r="L195" s="155"/>
      <c r="M195" s="156"/>
      <c r="N195" s="157"/>
      <c r="O195" s="158"/>
      <c r="P195" s="159"/>
      <c r="Q195" s="65">
        <v>45784</v>
      </c>
      <c r="R195" s="89">
        <f t="shared" si="7"/>
        <v>1.0000218421684905</v>
      </c>
      <c r="S195" s="101" t="s">
        <v>1319</v>
      </c>
      <c r="T195" s="160"/>
    </row>
    <row r="196" spans="1:20" ht="28.8" x14ac:dyDescent="0.3">
      <c r="A196" s="96">
        <f t="shared" si="8"/>
        <v>193</v>
      </c>
      <c r="B196" s="87">
        <v>1550</v>
      </c>
      <c r="C196" s="103">
        <v>45783</v>
      </c>
      <c r="D196" s="331">
        <v>83283129</v>
      </c>
      <c r="E196" s="270" t="s">
        <v>2327</v>
      </c>
      <c r="F196" s="344" t="s">
        <v>17</v>
      </c>
      <c r="G196" s="112" t="s">
        <v>10</v>
      </c>
      <c r="H196" s="183">
        <v>45783</v>
      </c>
      <c r="I196" s="5"/>
      <c r="J196" s="100" t="s">
        <v>82</v>
      </c>
      <c r="K196" s="154"/>
      <c r="L196" s="155"/>
      <c r="M196" s="156"/>
      <c r="N196" s="157"/>
      <c r="O196" s="158"/>
      <c r="P196" s="159"/>
      <c r="Q196" s="65">
        <v>45784</v>
      </c>
      <c r="R196" s="89">
        <f t="shared" ref="R196:R259" si="9">Q196/H196</f>
        <v>1.0000218421684905</v>
      </c>
      <c r="S196" s="101" t="s">
        <v>1319</v>
      </c>
      <c r="T196" s="160"/>
    </row>
    <row r="197" spans="1:20" ht="28.8" x14ac:dyDescent="0.3">
      <c r="A197" s="96">
        <f t="shared" si="8"/>
        <v>194</v>
      </c>
      <c r="B197" s="87">
        <v>1550</v>
      </c>
      <c r="C197" s="103">
        <v>45783</v>
      </c>
      <c r="D197" s="331">
        <v>4984579</v>
      </c>
      <c r="E197" s="270" t="s">
        <v>2327</v>
      </c>
      <c r="F197" s="344" t="s">
        <v>17</v>
      </c>
      <c r="G197" s="112" t="s">
        <v>10</v>
      </c>
      <c r="H197" s="183">
        <v>45783</v>
      </c>
      <c r="I197" s="5"/>
      <c r="J197" s="100" t="s">
        <v>82</v>
      </c>
      <c r="K197" s="154"/>
      <c r="L197" s="155"/>
      <c r="M197" s="156"/>
      <c r="N197" s="157"/>
      <c r="O197" s="158"/>
      <c r="P197" s="159"/>
      <c r="Q197" s="65">
        <v>45784</v>
      </c>
      <c r="R197" s="89">
        <f t="shared" si="9"/>
        <v>1.0000218421684905</v>
      </c>
      <c r="S197" s="101" t="s">
        <v>1319</v>
      </c>
      <c r="T197" s="160"/>
    </row>
    <row r="198" spans="1:20" ht="28.8" x14ac:dyDescent="0.3">
      <c r="A198" s="96">
        <f t="shared" si="8"/>
        <v>195</v>
      </c>
      <c r="B198" s="87">
        <v>1550</v>
      </c>
      <c r="C198" s="103">
        <v>45783</v>
      </c>
      <c r="D198" s="331">
        <v>3963608</v>
      </c>
      <c r="E198" s="270" t="s">
        <v>2327</v>
      </c>
      <c r="F198" s="344" t="s">
        <v>17</v>
      </c>
      <c r="G198" s="112" t="s">
        <v>10</v>
      </c>
      <c r="H198" s="183">
        <v>45783</v>
      </c>
      <c r="I198" s="5"/>
      <c r="J198" s="100" t="s">
        <v>82</v>
      </c>
      <c r="K198" s="154"/>
      <c r="L198" s="155"/>
      <c r="M198" s="156"/>
      <c r="N198" s="157"/>
      <c r="O198" s="158"/>
      <c r="P198" s="159"/>
      <c r="Q198" s="65">
        <v>45784</v>
      </c>
      <c r="R198" s="89">
        <f t="shared" si="9"/>
        <v>1.0000218421684905</v>
      </c>
      <c r="S198" s="101" t="s">
        <v>1319</v>
      </c>
      <c r="T198" s="160"/>
    </row>
    <row r="199" spans="1:20" ht="28.8" x14ac:dyDescent="0.3">
      <c r="A199" s="96">
        <f t="shared" si="8"/>
        <v>196</v>
      </c>
      <c r="B199" s="87">
        <v>1550</v>
      </c>
      <c r="C199" s="103">
        <v>45783</v>
      </c>
      <c r="D199" s="331">
        <v>79992358</v>
      </c>
      <c r="E199" s="270" t="s">
        <v>2327</v>
      </c>
      <c r="F199" s="344" t="s">
        <v>17</v>
      </c>
      <c r="G199" s="112" t="s">
        <v>10</v>
      </c>
      <c r="H199" s="183">
        <v>45783</v>
      </c>
      <c r="I199" s="5"/>
      <c r="J199" s="100" t="s">
        <v>82</v>
      </c>
      <c r="K199" s="154"/>
      <c r="L199" s="155"/>
      <c r="M199" s="156"/>
      <c r="N199" s="157"/>
      <c r="O199" s="158"/>
      <c r="P199" s="159"/>
      <c r="Q199" s="65">
        <v>45784</v>
      </c>
      <c r="R199" s="89">
        <f t="shared" si="9"/>
        <v>1.0000218421684905</v>
      </c>
      <c r="S199" s="101" t="s">
        <v>1319</v>
      </c>
      <c r="T199" s="160"/>
    </row>
    <row r="200" spans="1:20" ht="28.8" x14ac:dyDescent="0.3">
      <c r="A200" s="96">
        <f t="shared" si="8"/>
        <v>197</v>
      </c>
      <c r="B200" s="87">
        <v>1550</v>
      </c>
      <c r="C200" s="103">
        <v>45783</v>
      </c>
      <c r="D200" s="331">
        <v>91370043</v>
      </c>
      <c r="E200" s="270" t="s">
        <v>2327</v>
      </c>
      <c r="F200" s="344" t="s">
        <v>17</v>
      </c>
      <c r="G200" s="112" t="s">
        <v>10</v>
      </c>
      <c r="H200" s="183">
        <v>45783</v>
      </c>
      <c r="I200" s="5"/>
      <c r="J200" s="100" t="s">
        <v>82</v>
      </c>
      <c r="K200" s="21"/>
      <c r="L200" s="18"/>
      <c r="M200" s="19"/>
      <c r="N200" s="23"/>
      <c r="O200" s="11"/>
      <c r="P200" s="12"/>
      <c r="Q200" s="65">
        <v>45784</v>
      </c>
      <c r="R200" s="89">
        <f t="shared" si="9"/>
        <v>1.0000218421684905</v>
      </c>
      <c r="S200" s="101" t="s">
        <v>1319</v>
      </c>
      <c r="T200" s="66"/>
    </row>
    <row r="201" spans="1:20" ht="28.8" x14ac:dyDescent="0.3">
      <c r="A201" s="96">
        <f t="shared" si="8"/>
        <v>198</v>
      </c>
      <c r="B201" s="87">
        <v>1550</v>
      </c>
      <c r="C201" s="103">
        <v>45783</v>
      </c>
      <c r="D201" s="331">
        <v>3978931</v>
      </c>
      <c r="E201" s="270" t="s">
        <v>2327</v>
      </c>
      <c r="F201" s="344" t="s">
        <v>17</v>
      </c>
      <c r="G201" s="112" t="s">
        <v>10</v>
      </c>
      <c r="H201" s="183">
        <v>45783</v>
      </c>
      <c r="I201" s="5"/>
      <c r="J201" s="100" t="s">
        <v>82</v>
      </c>
      <c r="K201" s="226"/>
      <c r="L201" s="164"/>
      <c r="M201" s="228"/>
      <c r="N201" s="157"/>
      <c r="O201" s="158"/>
      <c r="P201" s="159"/>
      <c r="Q201" s="65">
        <v>45784</v>
      </c>
      <c r="R201" s="89">
        <f t="shared" si="9"/>
        <v>1.0000218421684905</v>
      </c>
      <c r="S201" s="101" t="s">
        <v>1319</v>
      </c>
      <c r="T201" s="66"/>
    </row>
    <row r="202" spans="1:20" ht="28.8" x14ac:dyDescent="0.3">
      <c r="A202" s="96">
        <f t="shared" si="8"/>
        <v>199</v>
      </c>
      <c r="B202" s="87">
        <v>1550</v>
      </c>
      <c r="C202" s="103">
        <v>45783</v>
      </c>
      <c r="D202" s="331">
        <v>85030627</v>
      </c>
      <c r="E202" s="270" t="s">
        <v>2327</v>
      </c>
      <c r="F202" s="344" t="s">
        <v>17</v>
      </c>
      <c r="G202" s="112" t="s">
        <v>10</v>
      </c>
      <c r="H202" s="183">
        <v>45783</v>
      </c>
      <c r="I202" s="5"/>
      <c r="J202" s="100" t="s">
        <v>82</v>
      </c>
      <c r="K202" s="226"/>
      <c r="L202" s="164"/>
      <c r="M202" s="228"/>
      <c r="N202" s="157"/>
      <c r="O202" s="158"/>
      <c r="P202" s="159"/>
      <c r="Q202" s="65">
        <v>45784</v>
      </c>
      <c r="R202" s="89">
        <f t="shared" si="9"/>
        <v>1.0000218421684905</v>
      </c>
      <c r="S202" s="101" t="s">
        <v>1319</v>
      </c>
      <c r="T202" s="66"/>
    </row>
    <row r="203" spans="1:20" ht="28.8" x14ac:dyDescent="0.3">
      <c r="A203" s="96">
        <f t="shared" si="8"/>
        <v>200</v>
      </c>
      <c r="B203" s="87">
        <v>1550</v>
      </c>
      <c r="C203" s="103">
        <v>45783</v>
      </c>
      <c r="D203" s="331">
        <v>73228168</v>
      </c>
      <c r="E203" s="270" t="s">
        <v>2327</v>
      </c>
      <c r="F203" s="344" t="s">
        <v>17</v>
      </c>
      <c r="G203" s="112" t="s">
        <v>10</v>
      </c>
      <c r="H203" s="183">
        <v>45783</v>
      </c>
      <c r="I203" s="5"/>
      <c r="J203" s="100" t="s">
        <v>82</v>
      </c>
      <c r="K203" s="226"/>
      <c r="L203" s="164"/>
      <c r="M203" s="228"/>
      <c r="N203" s="157"/>
      <c r="O203" s="158"/>
      <c r="P203" s="159"/>
      <c r="Q203" s="65">
        <v>45784</v>
      </c>
      <c r="R203" s="89">
        <f t="shared" si="9"/>
        <v>1.0000218421684905</v>
      </c>
      <c r="S203" s="101" t="s">
        <v>1769</v>
      </c>
      <c r="T203" s="66"/>
    </row>
    <row r="204" spans="1:20" ht="28.8" x14ac:dyDescent="0.3">
      <c r="A204" s="96">
        <f t="shared" si="8"/>
        <v>201</v>
      </c>
      <c r="B204" s="87">
        <v>1550</v>
      </c>
      <c r="C204" s="103">
        <v>45783</v>
      </c>
      <c r="D204" s="331">
        <v>20165110</v>
      </c>
      <c r="E204" s="270" t="s">
        <v>2327</v>
      </c>
      <c r="F204" s="344" t="s">
        <v>17</v>
      </c>
      <c r="G204" s="112" t="s">
        <v>10</v>
      </c>
      <c r="H204" s="183">
        <v>45783</v>
      </c>
      <c r="I204" s="5"/>
      <c r="J204" s="100" t="s">
        <v>82</v>
      </c>
      <c r="K204" s="154"/>
      <c r="L204" s="155"/>
      <c r="M204" s="156"/>
      <c r="N204" s="157"/>
      <c r="O204" s="158"/>
      <c r="P204" s="159"/>
      <c r="Q204" s="65">
        <v>45784</v>
      </c>
      <c r="R204" s="89">
        <f t="shared" si="9"/>
        <v>1.0000218421684905</v>
      </c>
      <c r="S204" s="101" t="s">
        <v>1955</v>
      </c>
      <c r="T204" s="160"/>
    </row>
    <row r="205" spans="1:20" ht="43.2" x14ac:dyDescent="0.3">
      <c r="A205" s="96">
        <f t="shared" si="8"/>
        <v>202</v>
      </c>
      <c r="B205" s="87">
        <v>1550</v>
      </c>
      <c r="C205" s="103">
        <v>45783</v>
      </c>
      <c r="D205" s="331">
        <v>91436397</v>
      </c>
      <c r="E205" s="270" t="s">
        <v>2327</v>
      </c>
      <c r="F205" s="344" t="s">
        <v>17</v>
      </c>
      <c r="G205" s="112" t="s">
        <v>10</v>
      </c>
      <c r="H205" s="183">
        <v>45783</v>
      </c>
      <c r="I205" s="5"/>
      <c r="J205" s="100" t="s">
        <v>82</v>
      </c>
      <c r="K205" s="21"/>
      <c r="L205" s="18"/>
      <c r="M205" s="19"/>
      <c r="N205" s="23"/>
      <c r="O205" s="11"/>
      <c r="P205" s="12"/>
      <c r="Q205" s="65">
        <v>45784</v>
      </c>
      <c r="R205" s="89">
        <f t="shared" si="9"/>
        <v>1.0000218421684905</v>
      </c>
      <c r="S205" s="101" t="s">
        <v>2393</v>
      </c>
      <c r="T205" s="66"/>
    </row>
    <row r="206" spans="1:20" ht="43.2" x14ac:dyDescent="0.3">
      <c r="A206" s="96">
        <f t="shared" si="8"/>
        <v>203</v>
      </c>
      <c r="B206" s="87">
        <v>1550</v>
      </c>
      <c r="C206" s="103">
        <v>45783</v>
      </c>
      <c r="D206" s="331">
        <v>55385303</v>
      </c>
      <c r="E206" s="270" t="s">
        <v>2327</v>
      </c>
      <c r="F206" s="344" t="s">
        <v>17</v>
      </c>
      <c r="G206" s="112" t="s">
        <v>10</v>
      </c>
      <c r="H206" s="183">
        <v>45783</v>
      </c>
      <c r="I206" s="5"/>
      <c r="J206" s="100" t="s">
        <v>82</v>
      </c>
      <c r="K206" s="21"/>
      <c r="L206" s="18"/>
      <c r="M206" s="19"/>
      <c r="N206" s="23"/>
      <c r="O206" s="11"/>
      <c r="P206" s="12"/>
      <c r="Q206" s="65">
        <v>45784</v>
      </c>
      <c r="R206" s="89">
        <f t="shared" si="9"/>
        <v>1.0000218421684905</v>
      </c>
      <c r="S206" s="101" t="s">
        <v>2393</v>
      </c>
      <c r="T206" s="66"/>
    </row>
    <row r="207" spans="1:20" ht="43.2" x14ac:dyDescent="0.3">
      <c r="A207" s="96">
        <f t="shared" si="8"/>
        <v>204</v>
      </c>
      <c r="B207" s="87">
        <v>1550</v>
      </c>
      <c r="C207" s="103">
        <v>45783</v>
      </c>
      <c r="D207" s="331">
        <v>3502086</v>
      </c>
      <c r="E207" s="270" t="s">
        <v>2327</v>
      </c>
      <c r="F207" s="344" t="s">
        <v>17</v>
      </c>
      <c r="G207" s="112" t="s">
        <v>10</v>
      </c>
      <c r="H207" s="183">
        <v>45783</v>
      </c>
      <c r="I207" s="5"/>
      <c r="J207" s="100" t="s">
        <v>82</v>
      </c>
      <c r="K207" s="21"/>
      <c r="L207" s="18"/>
      <c r="M207" s="19"/>
      <c r="N207" s="23"/>
      <c r="O207" s="11"/>
      <c r="P207" s="12"/>
      <c r="Q207" s="65">
        <v>45784</v>
      </c>
      <c r="R207" s="89">
        <f t="shared" si="9"/>
        <v>1.0000218421684905</v>
      </c>
      <c r="S207" s="101" t="s">
        <v>1366</v>
      </c>
      <c r="T207" s="66"/>
    </row>
    <row r="208" spans="1:20" ht="28.8" x14ac:dyDescent="0.3">
      <c r="A208" s="96">
        <f t="shared" si="8"/>
        <v>205</v>
      </c>
      <c r="B208" s="87">
        <v>1550</v>
      </c>
      <c r="C208" s="103">
        <v>45783</v>
      </c>
      <c r="D208" s="331">
        <v>72440465</v>
      </c>
      <c r="E208" s="270" t="s">
        <v>2327</v>
      </c>
      <c r="F208" s="344" t="s">
        <v>17</v>
      </c>
      <c r="G208" s="112" t="s">
        <v>10</v>
      </c>
      <c r="H208" s="183">
        <v>45783</v>
      </c>
      <c r="I208" s="5"/>
      <c r="J208" s="100" t="s">
        <v>82</v>
      </c>
      <c r="K208" s="21"/>
      <c r="L208" s="18"/>
      <c r="M208" s="19"/>
      <c r="N208" s="23"/>
      <c r="O208" s="11"/>
      <c r="P208" s="12"/>
      <c r="Q208" s="65">
        <v>45784</v>
      </c>
      <c r="R208" s="89">
        <f t="shared" si="9"/>
        <v>1.0000218421684905</v>
      </c>
      <c r="S208" s="101" t="s">
        <v>2394</v>
      </c>
      <c r="T208" s="66"/>
    </row>
    <row r="209" spans="1:20" ht="28.8" x14ac:dyDescent="0.3">
      <c r="A209" s="96">
        <f t="shared" si="8"/>
        <v>206</v>
      </c>
      <c r="B209" s="87">
        <v>1550</v>
      </c>
      <c r="C209" s="103">
        <v>45783</v>
      </c>
      <c r="D209" s="331">
        <v>75799677</v>
      </c>
      <c r="E209" s="270" t="s">
        <v>2327</v>
      </c>
      <c r="F209" s="344" t="s">
        <v>17</v>
      </c>
      <c r="G209" s="112" t="s">
        <v>10</v>
      </c>
      <c r="H209" s="183">
        <v>45783</v>
      </c>
      <c r="I209" s="5"/>
      <c r="J209" s="100" t="s">
        <v>82</v>
      </c>
      <c r="K209" s="114"/>
      <c r="L209" s="227"/>
      <c r="M209" s="116"/>
      <c r="N209" s="117"/>
      <c r="O209" s="118"/>
      <c r="P209" s="119"/>
      <c r="Q209" s="65">
        <v>45784</v>
      </c>
      <c r="R209" s="89">
        <f t="shared" si="9"/>
        <v>1.0000218421684905</v>
      </c>
      <c r="S209" s="101" t="s">
        <v>2394</v>
      </c>
      <c r="T209" s="69"/>
    </row>
    <row r="210" spans="1:20" ht="28.8" x14ac:dyDescent="0.3">
      <c r="A210" s="96">
        <f t="shared" si="8"/>
        <v>207</v>
      </c>
      <c r="B210" s="87">
        <v>1550</v>
      </c>
      <c r="C210" s="103">
        <v>45783</v>
      </c>
      <c r="D210" s="331">
        <v>75799677</v>
      </c>
      <c r="E210" s="270" t="s">
        <v>2327</v>
      </c>
      <c r="F210" s="344" t="s">
        <v>17</v>
      </c>
      <c r="G210" s="112" t="s">
        <v>10</v>
      </c>
      <c r="H210" s="183">
        <v>45783</v>
      </c>
      <c r="I210" s="5"/>
      <c r="J210" s="100" t="s">
        <v>82</v>
      </c>
      <c r="K210" s="27"/>
      <c r="L210" s="50"/>
      <c r="M210" s="51"/>
      <c r="N210" s="29"/>
      <c r="O210" s="52"/>
      <c r="P210" s="54"/>
      <c r="Q210" s="65">
        <v>45784</v>
      </c>
      <c r="R210" s="89">
        <f t="shared" si="9"/>
        <v>1.0000218421684905</v>
      </c>
      <c r="S210" s="101" t="s">
        <v>2394</v>
      </c>
      <c r="T210" s="56"/>
    </row>
    <row r="211" spans="1:20" ht="28.8" x14ac:dyDescent="0.3">
      <c r="A211" s="96">
        <f t="shared" si="8"/>
        <v>208</v>
      </c>
      <c r="B211" s="87">
        <v>1550</v>
      </c>
      <c r="C211" s="103">
        <v>45783</v>
      </c>
      <c r="D211" s="331">
        <v>86657550</v>
      </c>
      <c r="E211" s="270" t="s">
        <v>2327</v>
      </c>
      <c r="F211" s="344" t="s">
        <v>17</v>
      </c>
      <c r="G211" s="112" t="s">
        <v>10</v>
      </c>
      <c r="H211" s="183">
        <v>45783</v>
      </c>
      <c r="I211" s="5"/>
      <c r="J211" s="100" t="s">
        <v>82</v>
      </c>
      <c r="K211" s="27"/>
      <c r="L211" s="28"/>
      <c r="M211" s="51"/>
      <c r="N211" s="29"/>
      <c r="O211" s="30"/>
      <c r="P211" s="54"/>
      <c r="Q211" s="65">
        <v>45784</v>
      </c>
      <c r="R211" s="89">
        <f t="shared" si="9"/>
        <v>1.0000218421684905</v>
      </c>
      <c r="S211" s="101" t="s">
        <v>1806</v>
      </c>
      <c r="T211" s="56"/>
    </row>
    <row r="212" spans="1:20" ht="28.8" x14ac:dyDescent="0.3">
      <c r="A212" s="96">
        <f t="shared" si="8"/>
        <v>209</v>
      </c>
      <c r="B212" s="87">
        <v>1550</v>
      </c>
      <c r="C212" s="103">
        <v>45783</v>
      </c>
      <c r="D212" s="331">
        <v>42629233</v>
      </c>
      <c r="E212" s="270" t="s">
        <v>2327</v>
      </c>
      <c r="F212" s="344" t="s">
        <v>17</v>
      </c>
      <c r="G212" s="112" t="s">
        <v>10</v>
      </c>
      <c r="H212" s="183">
        <v>45783</v>
      </c>
      <c r="I212" s="5"/>
      <c r="J212" s="100" t="s">
        <v>82</v>
      </c>
      <c r="K212" s="27"/>
      <c r="L212" s="28"/>
      <c r="M212" s="51"/>
      <c r="N212" s="29"/>
      <c r="O212" s="30"/>
      <c r="P212" s="54"/>
      <c r="Q212" s="65">
        <v>45784</v>
      </c>
      <c r="R212" s="89">
        <f t="shared" si="9"/>
        <v>1.0000218421684905</v>
      </c>
      <c r="S212" s="101" t="s">
        <v>1806</v>
      </c>
      <c r="T212" s="168"/>
    </row>
    <row r="213" spans="1:20" ht="28.8" x14ac:dyDescent="0.3">
      <c r="A213" s="96">
        <f t="shared" si="8"/>
        <v>210</v>
      </c>
      <c r="B213" s="87">
        <v>1550</v>
      </c>
      <c r="C213" s="103">
        <v>45783</v>
      </c>
      <c r="D213" s="331">
        <v>35557346</v>
      </c>
      <c r="E213" s="270" t="s">
        <v>2327</v>
      </c>
      <c r="F213" s="344" t="s">
        <v>17</v>
      </c>
      <c r="G213" s="112" t="s">
        <v>10</v>
      </c>
      <c r="H213" s="183">
        <v>45783</v>
      </c>
      <c r="I213" s="5"/>
      <c r="J213" s="100" t="s">
        <v>82</v>
      </c>
      <c r="K213" s="27"/>
      <c r="L213" s="28"/>
      <c r="M213" s="51"/>
      <c r="N213" s="29"/>
      <c r="O213" s="30"/>
      <c r="P213" s="54"/>
      <c r="Q213" s="65">
        <v>45784</v>
      </c>
      <c r="R213" s="89">
        <f t="shared" si="9"/>
        <v>1.0000218421684905</v>
      </c>
      <c r="S213" s="101" t="s">
        <v>1806</v>
      </c>
      <c r="T213" s="56"/>
    </row>
    <row r="214" spans="1:20" ht="28.8" x14ac:dyDescent="0.3">
      <c r="A214" s="96">
        <f t="shared" si="8"/>
        <v>211</v>
      </c>
      <c r="B214" s="87">
        <v>1550</v>
      </c>
      <c r="C214" s="103">
        <v>45783</v>
      </c>
      <c r="D214" s="331">
        <v>112460674</v>
      </c>
      <c r="E214" s="270" t="s">
        <v>2327</v>
      </c>
      <c r="F214" s="344" t="s">
        <v>17</v>
      </c>
      <c r="G214" s="112" t="s">
        <v>10</v>
      </c>
      <c r="H214" s="183">
        <v>45783</v>
      </c>
      <c r="I214" s="5"/>
      <c r="J214" s="100" t="s">
        <v>82</v>
      </c>
      <c r="K214" s="27"/>
      <c r="L214" s="28"/>
      <c r="M214" s="51"/>
      <c r="N214" s="29"/>
      <c r="O214" s="30"/>
      <c r="P214" s="54"/>
      <c r="Q214" s="65">
        <v>45784</v>
      </c>
      <c r="R214" s="89">
        <f t="shared" si="9"/>
        <v>1.0000218421684905</v>
      </c>
      <c r="S214" s="101" t="s">
        <v>2394</v>
      </c>
      <c r="T214" s="56"/>
    </row>
    <row r="215" spans="1:20" ht="28.8" x14ac:dyDescent="0.3">
      <c r="A215" s="96">
        <f t="shared" si="8"/>
        <v>212</v>
      </c>
      <c r="B215" s="87">
        <v>1550</v>
      </c>
      <c r="C215" s="103">
        <v>45783</v>
      </c>
      <c r="D215" s="331">
        <v>115280685</v>
      </c>
      <c r="E215" s="270" t="s">
        <v>2327</v>
      </c>
      <c r="F215" s="344" t="s">
        <v>17</v>
      </c>
      <c r="G215" s="112" t="s">
        <v>10</v>
      </c>
      <c r="H215" s="183">
        <v>45783</v>
      </c>
      <c r="I215" s="5"/>
      <c r="J215" s="100" t="s">
        <v>82</v>
      </c>
      <c r="K215" s="27"/>
      <c r="L215" s="28"/>
      <c r="M215" s="51"/>
      <c r="N215" s="29"/>
      <c r="O215" s="30"/>
      <c r="P215" s="54"/>
      <c r="Q215" s="65">
        <v>45784</v>
      </c>
      <c r="R215" s="89">
        <f t="shared" si="9"/>
        <v>1.0000218421684905</v>
      </c>
      <c r="S215" s="101" t="s">
        <v>2394</v>
      </c>
      <c r="T215" s="56"/>
    </row>
    <row r="216" spans="1:20" ht="28.8" x14ac:dyDescent="0.3">
      <c r="A216" s="96">
        <f t="shared" si="8"/>
        <v>213</v>
      </c>
      <c r="B216" s="87">
        <v>1550</v>
      </c>
      <c r="C216" s="103">
        <v>45783</v>
      </c>
      <c r="D216" s="331">
        <v>4735609</v>
      </c>
      <c r="E216" s="270" t="s">
        <v>2327</v>
      </c>
      <c r="F216" s="344" t="s">
        <v>17</v>
      </c>
      <c r="G216" s="112" t="s">
        <v>10</v>
      </c>
      <c r="H216" s="183">
        <v>45783</v>
      </c>
      <c r="I216" s="5"/>
      <c r="J216" s="100" t="s">
        <v>82</v>
      </c>
      <c r="K216" s="27"/>
      <c r="L216" s="28"/>
      <c r="M216" s="51"/>
      <c r="N216" s="29"/>
      <c r="O216" s="30"/>
      <c r="P216" s="54"/>
      <c r="Q216" s="65">
        <v>45784</v>
      </c>
      <c r="R216" s="89">
        <f t="shared" si="9"/>
        <v>1.0000218421684905</v>
      </c>
      <c r="S216" s="101" t="s">
        <v>1319</v>
      </c>
      <c r="T216" s="168"/>
    </row>
    <row r="217" spans="1:20" ht="28.8" x14ac:dyDescent="0.3">
      <c r="A217" s="96">
        <f t="shared" si="8"/>
        <v>214</v>
      </c>
      <c r="B217" s="87">
        <v>1550</v>
      </c>
      <c r="C217" s="103">
        <v>45783</v>
      </c>
      <c r="D217" s="331" t="s">
        <v>2395</v>
      </c>
      <c r="E217" s="270" t="s">
        <v>2327</v>
      </c>
      <c r="F217" s="344" t="s">
        <v>17</v>
      </c>
      <c r="G217" s="112" t="s">
        <v>10</v>
      </c>
      <c r="H217" s="183">
        <v>45783</v>
      </c>
      <c r="I217" s="5"/>
      <c r="J217" s="100" t="s">
        <v>82</v>
      </c>
      <c r="K217" s="128"/>
      <c r="L217" s="128"/>
      <c r="M217" s="129"/>
      <c r="N217" s="130"/>
      <c r="O217" s="130"/>
      <c r="P217" s="131"/>
      <c r="Q217" s="65">
        <v>45784</v>
      </c>
      <c r="R217" s="89">
        <f t="shared" si="9"/>
        <v>1.0000218421684905</v>
      </c>
      <c r="S217" s="101" t="s">
        <v>1319</v>
      </c>
      <c r="T217" s="168"/>
    </row>
    <row r="218" spans="1:20" ht="28.8" x14ac:dyDescent="0.3">
      <c r="A218" s="96">
        <f t="shared" ref="A218:A281" si="10">A217+1</f>
        <v>215</v>
      </c>
      <c r="B218" s="87">
        <v>1550</v>
      </c>
      <c r="C218" s="103">
        <v>45783</v>
      </c>
      <c r="D218" s="331">
        <v>55848540</v>
      </c>
      <c r="E218" s="270" t="s">
        <v>2327</v>
      </c>
      <c r="F218" s="344" t="s">
        <v>17</v>
      </c>
      <c r="G218" s="112" t="s">
        <v>10</v>
      </c>
      <c r="H218" s="183">
        <v>45783</v>
      </c>
      <c r="I218" s="5"/>
      <c r="J218" s="100" t="s">
        <v>82</v>
      </c>
      <c r="K218" s="128"/>
      <c r="L218" s="128"/>
      <c r="M218" s="129"/>
      <c r="N218" s="130"/>
      <c r="O218" s="130"/>
      <c r="P218" s="131"/>
      <c r="Q218" s="65">
        <v>45784</v>
      </c>
      <c r="R218" s="89">
        <f t="shared" si="9"/>
        <v>1.0000218421684905</v>
      </c>
      <c r="S218" s="101" t="s">
        <v>1319</v>
      </c>
      <c r="T218" s="168"/>
    </row>
    <row r="219" spans="1:20" ht="28.8" x14ac:dyDescent="0.3">
      <c r="A219" s="96">
        <f t="shared" si="10"/>
        <v>216</v>
      </c>
      <c r="B219" s="87">
        <v>1550</v>
      </c>
      <c r="C219" s="103">
        <v>45783</v>
      </c>
      <c r="D219" s="331">
        <v>111562856</v>
      </c>
      <c r="E219" s="270" t="s">
        <v>2327</v>
      </c>
      <c r="F219" s="344" t="s">
        <v>17</v>
      </c>
      <c r="G219" s="112" t="s">
        <v>10</v>
      </c>
      <c r="H219" s="183">
        <v>45783</v>
      </c>
      <c r="I219" s="5"/>
      <c r="J219" s="100" t="s">
        <v>82</v>
      </c>
      <c r="K219" s="128"/>
      <c r="L219" s="128"/>
      <c r="M219" s="129"/>
      <c r="N219" s="130"/>
      <c r="O219" s="130"/>
      <c r="P219" s="131"/>
      <c r="Q219" s="65">
        <v>45784</v>
      </c>
      <c r="R219" s="89">
        <f t="shared" si="9"/>
        <v>1.0000218421684905</v>
      </c>
      <c r="S219" s="101" t="s">
        <v>1319</v>
      </c>
      <c r="T219" s="168"/>
    </row>
    <row r="220" spans="1:20" ht="28.8" x14ac:dyDescent="0.3">
      <c r="A220" s="96">
        <f t="shared" si="10"/>
        <v>217</v>
      </c>
      <c r="B220" s="87">
        <v>1550</v>
      </c>
      <c r="C220" s="103">
        <v>45783</v>
      </c>
      <c r="D220" s="331">
        <v>66901561</v>
      </c>
      <c r="E220" s="270" t="s">
        <v>2327</v>
      </c>
      <c r="F220" s="344" t="s">
        <v>17</v>
      </c>
      <c r="G220" s="112" t="s">
        <v>10</v>
      </c>
      <c r="H220" s="183">
        <v>45783</v>
      </c>
      <c r="I220" s="5"/>
      <c r="J220" s="100" t="s">
        <v>82</v>
      </c>
      <c r="K220" s="128"/>
      <c r="L220" s="128"/>
      <c r="M220" s="129"/>
      <c r="N220" s="130"/>
      <c r="O220" s="130"/>
      <c r="P220" s="131"/>
      <c r="Q220" s="65">
        <v>45784</v>
      </c>
      <c r="R220" s="89">
        <f t="shared" si="9"/>
        <v>1.0000218421684905</v>
      </c>
      <c r="S220" s="101" t="s">
        <v>1319</v>
      </c>
      <c r="T220" s="168"/>
    </row>
    <row r="221" spans="1:20" ht="28.8" x14ac:dyDescent="0.3">
      <c r="A221" s="96">
        <f t="shared" si="10"/>
        <v>218</v>
      </c>
      <c r="B221" s="87">
        <v>1550</v>
      </c>
      <c r="C221" s="103">
        <v>45783</v>
      </c>
      <c r="D221" s="331">
        <v>45987920</v>
      </c>
      <c r="E221" s="270" t="s">
        <v>2327</v>
      </c>
      <c r="F221" s="344" t="s">
        <v>17</v>
      </c>
      <c r="G221" s="112" t="s">
        <v>10</v>
      </c>
      <c r="H221" s="183">
        <v>45783</v>
      </c>
      <c r="I221" s="5"/>
      <c r="J221" s="100" t="s">
        <v>82</v>
      </c>
      <c r="K221" s="128"/>
      <c r="L221" s="128"/>
      <c r="M221" s="129"/>
      <c r="N221" s="130"/>
      <c r="O221" s="130"/>
      <c r="P221" s="131"/>
      <c r="Q221" s="65">
        <v>45784</v>
      </c>
      <c r="R221" s="89">
        <f t="shared" si="9"/>
        <v>1.0000218421684905</v>
      </c>
      <c r="S221" s="101" t="s">
        <v>1319</v>
      </c>
      <c r="T221" s="168"/>
    </row>
    <row r="222" spans="1:20" ht="28.8" x14ac:dyDescent="0.3">
      <c r="A222" s="96">
        <f t="shared" si="10"/>
        <v>219</v>
      </c>
      <c r="B222" s="87">
        <v>1550</v>
      </c>
      <c r="C222" s="103">
        <v>45783</v>
      </c>
      <c r="D222" s="331">
        <v>5188598</v>
      </c>
      <c r="E222" s="270" t="s">
        <v>2327</v>
      </c>
      <c r="F222" s="344" t="s">
        <v>17</v>
      </c>
      <c r="G222" s="112" t="s">
        <v>10</v>
      </c>
      <c r="H222" s="183">
        <v>45783</v>
      </c>
      <c r="I222" s="5"/>
      <c r="J222" s="100" t="s">
        <v>82</v>
      </c>
      <c r="K222" s="128"/>
      <c r="L222" s="128"/>
      <c r="M222" s="129"/>
      <c r="N222" s="130"/>
      <c r="O222" s="130"/>
      <c r="P222" s="131"/>
      <c r="Q222" s="65">
        <v>45784</v>
      </c>
      <c r="R222" s="89">
        <f t="shared" si="9"/>
        <v>1.0000218421684905</v>
      </c>
      <c r="S222" s="101" t="s">
        <v>1319</v>
      </c>
      <c r="T222" s="168"/>
    </row>
    <row r="223" spans="1:20" ht="28.8" x14ac:dyDescent="0.3">
      <c r="A223" s="96">
        <f t="shared" si="10"/>
        <v>220</v>
      </c>
      <c r="B223" s="87">
        <v>1550</v>
      </c>
      <c r="C223" s="103">
        <v>45783</v>
      </c>
      <c r="D223" s="331">
        <v>104660902</v>
      </c>
      <c r="E223" s="270" t="s">
        <v>2327</v>
      </c>
      <c r="F223" s="344" t="s">
        <v>17</v>
      </c>
      <c r="G223" s="112" t="s">
        <v>10</v>
      </c>
      <c r="H223" s="183">
        <v>45783</v>
      </c>
      <c r="I223" s="5"/>
      <c r="J223" s="100" t="s">
        <v>82</v>
      </c>
      <c r="K223" s="128"/>
      <c r="L223" s="128"/>
      <c r="M223" s="129"/>
      <c r="N223" s="130"/>
      <c r="O223" s="130"/>
      <c r="P223" s="131"/>
      <c r="Q223" s="65">
        <v>45784</v>
      </c>
      <c r="R223" s="89">
        <f t="shared" si="9"/>
        <v>1.0000218421684905</v>
      </c>
      <c r="S223" s="101" t="s">
        <v>1319</v>
      </c>
      <c r="T223" s="168"/>
    </row>
    <row r="224" spans="1:20" ht="28.8" x14ac:dyDescent="0.3">
      <c r="A224" s="96">
        <f t="shared" si="10"/>
        <v>221</v>
      </c>
      <c r="B224" s="87">
        <v>1550</v>
      </c>
      <c r="C224" s="103">
        <v>45783</v>
      </c>
      <c r="D224" s="331">
        <v>73462802</v>
      </c>
      <c r="E224" s="270" t="s">
        <v>2327</v>
      </c>
      <c r="F224" s="344" t="s">
        <v>17</v>
      </c>
      <c r="G224" s="112" t="s">
        <v>10</v>
      </c>
      <c r="H224" s="183">
        <v>45783</v>
      </c>
      <c r="I224" s="5"/>
      <c r="J224" s="100" t="s">
        <v>82</v>
      </c>
      <c r="K224" s="128"/>
      <c r="L224" s="128"/>
      <c r="M224" s="129"/>
      <c r="N224" s="130"/>
      <c r="O224" s="130"/>
      <c r="P224" s="131"/>
      <c r="Q224" s="65">
        <v>45784</v>
      </c>
      <c r="R224" s="89">
        <f t="shared" si="9"/>
        <v>1.0000218421684905</v>
      </c>
      <c r="S224" s="101" t="s">
        <v>1319</v>
      </c>
      <c r="T224" s="168"/>
    </row>
    <row r="225" spans="1:20" ht="28.8" x14ac:dyDescent="0.3">
      <c r="A225" s="96">
        <f t="shared" si="10"/>
        <v>222</v>
      </c>
      <c r="B225" s="87">
        <v>1550</v>
      </c>
      <c r="C225" s="103">
        <v>45783</v>
      </c>
      <c r="D225" s="331">
        <v>107131498</v>
      </c>
      <c r="E225" s="270" t="s">
        <v>2327</v>
      </c>
      <c r="F225" s="344" t="s">
        <v>17</v>
      </c>
      <c r="G225" s="172" t="s">
        <v>8</v>
      </c>
      <c r="H225" s="183">
        <v>45783</v>
      </c>
      <c r="I225" s="5"/>
      <c r="J225" s="100" t="s">
        <v>82</v>
      </c>
      <c r="K225" s="128"/>
      <c r="L225" s="128"/>
      <c r="M225" s="129"/>
      <c r="N225" s="130"/>
      <c r="O225" s="130"/>
      <c r="P225" s="131"/>
      <c r="Q225" s="83">
        <v>45784</v>
      </c>
      <c r="R225" s="89">
        <f t="shared" si="9"/>
        <v>1.0000218421684905</v>
      </c>
      <c r="S225" s="101" t="s">
        <v>94</v>
      </c>
      <c r="T225" s="168"/>
    </row>
    <row r="226" spans="1:20" ht="28.8" x14ac:dyDescent="0.3">
      <c r="A226" s="96">
        <f t="shared" si="10"/>
        <v>223</v>
      </c>
      <c r="B226" s="87">
        <v>1550</v>
      </c>
      <c r="C226" s="103">
        <v>45783</v>
      </c>
      <c r="D226" s="331">
        <v>96026847</v>
      </c>
      <c r="E226" s="270" t="s">
        <v>2327</v>
      </c>
      <c r="F226" s="344" t="s">
        <v>17</v>
      </c>
      <c r="G226" s="172" t="s">
        <v>8</v>
      </c>
      <c r="H226" s="183">
        <v>45783</v>
      </c>
      <c r="I226" s="5"/>
      <c r="J226" s="100" t="s">
        <v>82</v>
      </c>
      <c r="K226" s="128"/>
      <c r="L226" s="128"/>
      <c r="M226" s="129"/>
      <c r="N226" s="130"/>
      <c r="O226" s="130"/>
      <c r="P226" s="131"/>
      <c r="Q226" s="83">
        <v>45784</v>
      </c>
      <c r="R226" s="89">
        <f t="shared" si="9"/>
        <v>1.0000218421684905</v>
      </c>
      <c r="S226" s="101" t="s">
        <v>758</v>
      </c>
      <c r="T226" s="168"/>
    </row>
    <row r="227" spans="1:20" ht="28.8" x14ac:dyDescent="0.3">
      <c r="A227" s="96">
        <f t="shared" si="10"/>
        <v>224</v>
      </c>
      <c r="B227" s="87">
        <v>1550</v>
      </c>
      <c r="C227" s="103">
        <v>45783</v>
      </c>
      <c r="D227" s="331">
        <v>113548869</v>
      </c>
      <c r="E227" s="270" t="s">
        <v>2327</v>
      </c>
      <c r="F227" s="344" t="s">
        <v>17</v>
      </c>
      <c r="G227" s="172" t="s">
        <v>8</v>
      </c>
      <c r="H227" s="183">
        <v>45783</v>
      </c>
      <c r="I227" s="5"/>
      <c r="J227" s="100" t="s">
        <v>82</v>
      </c>
      <c r="K227" s="128"/>
      <c r="L227" s="128"/>
      <c r="M227" s="129"/>
      <c r="N227" s="130"/>
      <c r="O227" s="130"/>
      <c r="P227" s="131"/>
      <c r="Q227" s="83">
        <v>45784</v>
      </c>
      <c r="R227" s="89">
        <f t="shared" si="9"/>
        <v>1.0000218421684905</v>
      </c>
      <c r="S227" s="101" t="s">
        <v>94</v>
      </c>
      <c r="T227" s="168"/>
    </row>
    <row r="228" spans="1:20" ht="28.8" x14ac:dyDescent="0.3">
      <c r="A228" s="96">
        <f t="shared" si="10"/>
        <v>225</v>
      </c>
      <c r="B228" s="87">
        <v>1550</v>
      </c>
      <c r="C228" s="103">
        <v>45783</v>
      </c>
      <c r="D228" s="331">
        <v>92697127</v>
      </c>
      <c r="E228" s="270" t="s">
        <v>2327</v>
      </c>
      <c r="F228" s="344" t="s">
        <v>17</v>
      </c>
      <c r="G228" s="172" t="s">
        <v>8</v>
      </c>
      <c r="H228" s="183">
        <v>45783</v>
      </c>
      <c r="I228" s="5"/>
      <c r="J228" s="100" t="s">
        <v>82</v>
      </c>
      <c r="K228" s="128"/>
      <c r="L228" s="128"/>
      <c r="M228" s="129"/>
      <c r="N228" s="130"/>
      <c r="O228" s="130"/>
      <c r="P228" s="131"/>
      <c r="Q228" s="83">
        <v>45784</v>
      </c>
      <c r="R228" s="89">
        <f t="shared" si="9"/>
        <v>1.0000218421684905</v>
      </c>
      <c r="S228" s="101" t="s">
        <v>758</v>
      </c>
      <c r="T228" s="56"/>
    </row>
    <row r="229" spans="1:20" ht="28.8" x14ac:dyDescent="0.3">
      <c r="A229" s="96">
        <f t="shared" si="10"/>
        <v>226</v>
      </c>
      <c r="B229" s="87">
        <v>1550</v>
      </c>
      <c r="C229" s="103">
        <v>45783</v>
      </c>
      <c r="D229" s="331">
        <v>14911736</v>
      </c>
      <c r="E229" s="270" t="s">
        <v>2327</v>
      </c>
      <c r="F229" s="344" t="s">
        <v>17</v>
      </c>
      <c r="G229" s="172" t="s">
        <v>8</v>
      </c>
      <c r="H229" s="183">
        <v>45783</v>
      </c>
      <c r="I229" s="5"/>
      <c r="J229" s="100" t="s">
        <v>82</v>
      </c>
      <c r="K229" s="27"/>
      <c r="L229" s="28"/>
      <c r="M229" s="51"/>
      <c r="N229" s="29"/>
      <c r="O229" s="30"/>
      <c r="P229" s="54"/>
      <c r="Q229" s="83">
        <v>45784</v>
      </c>
      <c r="R229" s="89">
        <f t="shared" si="9"/>
        <v>1.0000218421684905</v>
      </c>
      <c r="S229" s="101" t="s">
        <v>758</v>
      </c>
      <c r="T229" s="56"/>
    </row>
    <row r="230" spans="1:20" ht="28.8" x14ac:dyDescent="0.3">
      <c r="A230" s="96">
        <f t="shared" si="10"/>
        <v>227</v>
      </c>
      <c r="B230" s="87" t="s">
        <v>301</v>
      </c>
      <c r="C230" s="103">
        <v>45783</v>
      </c>
      <c r="D230" s="331">
        <v>64348253</v>
      </c>
      <c r="E230" s="270" t="s">
        <v>2327</v>
      </c>
      <c r="F230" s="344" t="s">
        <v>17</v>
      </c>
      <c r="G230" s="172" t="s">
        <v>8</v>
      </c>
      <c r="H230" s="183">
        <v>45783</v>
      </c>
      <c r="I230" s="5"/>
      <c r="J230" s="100" t="s">
        <v>82</v>
      </c>
      <c r="K230" s="128"/>
      <c r="L230" s="128"/>
      <c r="M230" s="129"/>
      <c r="N230" s="130"/>
      <c r="O230" s="130"/>
      <c r="P230" s="131"/>
      <c r="Q230" s="83">
        <v>45784</v>
      </c>
      <c r="R230" s="89">
        <f t="shared" si="9"/>
        <v>1.0000218421684905</v>
      </c>
      <c r="S230" s="101" t="s">
        <v>1727</v>
      </c>
      <c r="T230" s="168"/>
    </row>
    <row r="231" spans="1:20" ht="28.8" x14ac:dyDescent="0.3">
      <c r="A231" s="96">
        <f t="shared" si="10"/>
        <v>228</v>
      </c>
      <c r="B231" s="87" t="s">
        <v>301</v>
      </c>
      <c r="C231" s="103">
        <v>45783</v>
      </c>
      <c r="D231" s="331">
        <v>102652376</v>
      </c>
      <c r="E231" s="270" t="s">
        <v>2327</v>
      </c>
      <c r="F231" s="344" t="s">
        <v>17</v>
      </c>
      <c r="G231" s="172" t="s">
        <v>8</v>
      </c>
      <c r="H231" s="183">
        <v>45783</v>
      </c>
      <c r="I231" s="5"/>
      <c r="J231" s="100" t="s">
        <v>82</v>
      </c>
      <c r="K231" s="27"/>
      <c r="L231" s="28"/>
      <c r="M231" s="51"/>
      <c r="N231" s="29"/>
      <c r="O231" s="30"/>
      <c r="P231" s="54"/>
      <c r="Q231" s="83">
        <v>45784</v>
      </c>
      <c r="R231" s="89">
        <f t="shared" si="9"/>
        <v>1.0000218421684905</v>
      </c>
      <c r="S231" s="101" t="s">
        <v>94</v>
      </c>
      <c r="T231" s="56"/>
    </row>
    <row r="232" spans="1:20" ht="28.8" x14ac:dyDescent="0.3">
      <c r="A232" s="96">
        <f t="shared" si="10"/>
        <v>229</v>
      </c>
      <c r="B232" s="87" t="s">
        <v>301</v>
      </c>
      <c r="C232" s="103">
        <v>45783</v>
      </c>
      <c r="D232" s="331">
        <v>50831089</v>
      </c>
      <c r="E232" s="270" t="s">
        <v>2327</v>
      </c>
      <c r="F232" s="344" t="s">
        <v>17</v>
      </c>
      <c r="G232" s="172" t="s">
        <v>8</v>
      </c>
      <c r="H232" s="183">
        <v>45783</v>
      </c>
      <c r="I232" s="5"/>
      <c r="J232" s="100" t="s">
        <v>82</v>
      </c>
      <c r="K232" s="27"/>
      <c r="L232" s="28"/>
      <c r="M232" s="51"/>
      <c r="N232" s="29"/>
      <c r="O232" s="30"/>
      <c r="P232" s="54"/>
      <c r="Q232" s="83">
        <v>45784</v>
      </c>
      <c r="R232" s="89">
        <f t="shared" si="9"/>
        <v>1.0000218421684905</v>
      </c>
      <c r="S232" s="101" t="s">
        <v>94</v>
      </c>
      <c r="T232" s="56"/>
    </row>
    <row r="233" spans="1:20" ht="28.8" x14ac:dyDescent="0.3">
      <c r="A233" s="96">
        <f t="shared" si="10"/>
        <v>230</v>
      </c>
      <c r="B233" s="87" t="s">
        <v>301</v>
      </c>
      <c r="C233" s="103">
        <v>45783</v>
      </c>
      <c r="D233" s="331">
        <v>111073383</v>
      </c>
      <c r="E233" s="270" t="s">
        <v>2327</v>
      </c>
      <c r="F233" s="344" t="s">
        <v>17</v>
      </c>
      <c r="G233" s="172" t="s">
        <v>8</v>
      </c>
      <c r="H233" s="183">
        <v>45783</v>
      </c>
      <c r="I233" s="5"/>
      <c r="J233" s="100" t="s">
        <v>82</v>
      </c>
      <c r="K233" s="27"/>
      <c r="L233" s="28"/>
      <c r="M233" s="51"/>
      <c r="N233" s="29"/>
      <c r="O233" s="30"/>
      <c r="P233" s="54"/>
      <c r="Q233" s="83">
        <v>45784</v>
      </c>
      <c r="R233" s="89">
        <f t="shared" si="9"/>
        <v>1.0000218421684905</v>
      </c>
      <c r="S233" s="101" t="s">
        <v>94</v>
      </c>
      <c r="T233" s="168"/>
    </row>
    <row r="234" spans="1:20" ht="43.2" x14ac:dyDescent="0.3">
      <c r="A234" s="96">
        <f t="shared" si="10"/>
        <v>231</v>
      </c>
      <c r="B234" s="86" t="s">
        <v>301</v>
      </c>
      <c r="C234" s="83">
        <v>45784</v>
      </c>
      <c r="D234" s="331">
        <v>107348365</v>
      </c>
      <c r="E234" s="394" t="s">
        <v>2396</v>
      </c>
      <c r="F234" s="378" t="s">
        <v>15</v>
      </c>
      <c r="G234" s="221" t="s">
        <v>8</v>
      </c>
      <c r="H234" s="183">
        <v>45784</v>
      </c>
      <c r="I234" s="146"/>
      <c r="J234" s="100" t="s">
        <v>99</v>
      </c>
      <c r="K234" s="128"/>
      <c r="L234" s="128"/>
      <c r="M234" s="129"/>
      <c r="N234" s="130"/>
      <c r="O234" s="130"/>
      <c r="P234" s="131"/>
      <c r="Q234" s="132">
        <v>45792</v>
      </c>
      <c r="R234" s="89">
        <f t="shared" si="9"/>
        <v>1.0001747335313647</v>
      </c>
      <c r="S234" s="101" t="s">
        <v>94</v>
      </c>
      <c r="T234" s="56" t="s">
        <v>2397</v>
      </c>
    </row>
    <row r="235" spans="1:20" ht="28.8" x14ac:dyDescent="0.3">
      <c r="A235" s="96">
        <f t="shared" si="10"/>
        <v>232</v>
      </c>
      <c r="B235" s="86">
        <v>1550</v>
      </c>
      <c r="C235" s="83">
        <v>45784</v>
      </c>
      <c r="D235" s="331">
        <v>101536666</v>
      </c>
      <c r="E235" s="270" t="s">
        <v>2398</v>
      </c>
      <c r="F235" s="378" t="s">
        <v>1</v>
      </c>
      <c r="G235" s="221" t="s">
        <v>8</v>
      </c>
      <c r="H235" s="183">
        <v>45784</v>
      </c>
      <c r="I235" s="146"/>
      <c r="J235" s="100" t="s">
        <v>2352</v>
      </c>
      <c r="K235" s="128"/>
      <c r="L235" s="128"/>
      <c r="M235" s="129"/>
      <c r="N235" s="130"/>
      <c r="O235" s="130"/>
      <c r="P235" s="131"/>
      <c r="Q235" s="132">
        <v>45785</v>
      </c>
      <c r="R235" s="89">
        <f t="shared" si="9"/>
        <v>1.0000218416914206</v>
      </c>
      <c r="S235" s="101" t="s">
        <v>205</v>
      </c>
      <c r="T235" s="56"/>
    </row>
    <row r="236" spans="1:20" ht="43.2" x14ac:dyDescent="0.3">
      <c r="A236" s="96">
        <f t="shared" si="10"/>
        <v>233</v>
      </c>
      <c r="B236" s="86">
        <v>1550</v>
      </c>
      <c r="C236" s="92">
        <v>45784</v>
      </c>
      <c r="D236" s="331">
        <v>70218072</v>
      </c>
      <c r="E236" s="393" t="s">
        <v>2399</v>
      </c>
      <c r="F236" s="378" t="s">
        <v>25</v>
      </c>
      <c r="G236" s="221"/>
      <c r="H236" s="183">
        <v>45784</v>
      </c>
      <c r="I236" s="5">
        <v>10000287118</v>
      </c>
      <c r="J236" s="100" t="s">
        <v>135</v>
      </c>
      <c r="K236" s="128"/>
      <c r="L236" s="128"/>
      <c r="M236" s="129"/>
      <c r="N236" s="130"/>
      <c r="O236" s="130"/>
      <c r="P236" s="131"/>
      <c r="Q236" s="132">
        <v>45790</v>
      </c>
      <c r="R236" s="89">
        <f t="shared" si="9"/>
        <v>1.0001310501485234</v>
      </c>
      <c r="S236" s="101"/>
      <c r="T236" s="168"/>
    </row>
    <row r="237" spans="1:20" ht="57.6" x14ac:dyDescent="0.3">
      <c r="A237" s="96">
        <f t="shared" si="10"/>
        <v>234</v>
      </c>
      <c r="B237" s="86">
        <v>1550</v>
      </c>
      <c r="C237" s="92">
        <v>45784</v>
      </c>
      <c r="D237" s="331"/>
      <c r="E237" s="391" t="s">
        <v>2400</v>
      </c>
      <c r="F237" s="378" t="s">
        <v>1314</v>
      </c>
      <c r="G237" s="221" t="s">
        <v>4</v>
      </c>
      <c r="H237" s="183">
        <v>45784</v>
      </c>
      <c r="I237" s="146"/>
      <c r="J237" s="100" t="s">
        <v>99</v>
      </c>
      <c r="K237" s="128"/>
      <c r="L237" s="128"/>
      <c r="M237" s="129"/>
      <c r="N237" s="130"/>
      <c r="O237" s="130"/>
      <c r="P237" s="131"/>
      <c r="Q237" s="132">
        <v>45786</v>
      </c>
      <c r="R237" s="89">
        <f t="shared" si="9"/>
        <v>1.0000436833828412</v>
      </c>
      <c r="S237" s="101"/>
      <c r="T237" s="168"/>
    </row>
    <row r="238" spans="1:20" ht="28.8" x14ac:dyDescent="0.3">
      <c r="A238" s="96">
        <f t="shared" si="10"/>
        <v>235</v>
      </c>
      <c r="B238" s="86">
        <v>1550</v>
      </c>
      <c r="C238" s="92">
        <v>45784</v>
      </c>
      <c r="D238" s="331">
        <v>8024014</v>
      </c>
      <c r="E238" s="270" t="s">
        <v>2401</v>
      </c>
      <c r="F238" s="378" t="s">
        <v>1</v>
      </c>
      <c r="G238" s="221" t="s">
        <v>4</v>
      </c>
      <c r="H238" s="183">
        <v>45784</v>
      </c>
      <c r="I238" s="146"/>
      <c r="J238" s="100" t="s">
        <v>2352</v>
      </c>
      <c r="K238" s="27"/>
      <c r="L238" s="50"/>
      <c r="M238" s="51"/>
      <c r="N238" s="29"/>
      <c r="O238" s="30"/>
      <c r="P238" s="54"/>
      <c r="Q238" s="132">
        <v>45790</v>
      </c>
      <c r="R238" s="89">
        <f t="shared" si="9"/>
        <v>1.0001310501485234</v>
      </c>
      <c r="S238" s="101"/>
      <c r="T238" s="56"/>
    </row>
    <row r="239" spans="1:20" ht="57.6" x14ac:dyDescent="0.3">
      <c r="A239" s="96">
        <f t="shared" si="10"/>
        <v>236</v>
      </c>
      <c r="B239" s="86">
        <v>1550</v>
      </c>
      <c r="C239" s="83">
        <v>45784</v>
      </c>
      <c r="D239" s="331"/>
      <c r="E239" s="391" t="s">
        <v>2402</v>
      </c>
      <c r="F239" s="378" t="s">
        <v>1314</v>
      </c>
      <c r="G239" s="221" t="s">
        <v>4</v>
      </c>
      <c r="H239" s="183">
        <v>45784</v>
      </c>
      <c r="I239" s="146"/>
      <c r="J239" s="100" t="s">
        <v>99</v>
      </c>
      <c r="K239" s="128"/>
      <c r="L239" s="128"/>
      <c r="M239" s="129"/>
      <c r="N239" s="130"/>
      <c r="O239" s="130"/>
      <c r="P239" s="131"/>
      <c r="Q239" s="132">
        <v>45786</v>
      </c>
      <c r="R239" s="89">
        <f t="shared" si="9"/>
        <v>1.0000436833828412</v>
      </c>
      <c r="S239" s="101"/>
      <c r="T239" s="57"/>
    </row>
    <row r="240" spans="1:20" ht="57.6" x14ac:dyDescent="0.3">
      <c r="A240" s="96">
        <f t="shared" si="10"/>
        <v>237</v>
      </c>
      <c r="B240" s="86">
        <v>1550</v>
      </c>
      <c r="C240" s="83">
        <v>45784</v>
      </c>
      <c r="D240" s="331"/>
      <c r="E240" s="391" t="s">
        <v>2403</v>
      </c>
      <c r="F240" s="378" t="s">
        <v>1314</v>
      </c>
      <c r="G240" s="221" t="s">
        <v>4</v>
      </c>
      <c r="H240" s="183">
        <v>45784</v>
      </c>
      <c r="I240" s="146"/>
      <c r="J240" s="100" t="s">
        <v>99</v>
      </c>
      <c r="K240" s="128"/>
      <c r="L240" s="128"/>
      <c r="M240" s="129"/>
      <c r="N240" s="130"/>
      <c r="O240" s="130"/>
      <c r="P240" s="131"/>
      <c r="Q240" s="132">
        <v>45786</v>
      </c>
      <c r="R240" s="89">
        <f t="shared" si="9"/>
        <v>1.0000436833828412</v>
      </c>
      <c r="S240" s="101"/>
      <c r="T240" s="56"/>
    </row>
    <row r="241" spans="1:20" ht="28.8" x14ac:dyDescent="0.3">
      <c r="A241" s="96">
        <f t="shared" si="10"/>
        <v>238</v>
      </c>
      <c r="B241" s="86">
        <v>1550</v>
      </c>
      <c r="C241" s="83">
        <v>45784</v>
      </c>
      <c r="D241" s="331">
        <v>394548272</v>
      </c>
      <c r="E241" s="270" t="s">
        <v>2404</v>
      </c>
      <c r="F241" s="378" t="s">
        <v>1</v>
      </c>
      <c r="G241" s="221" t="s">
        <v>4</v>
      </c>
      <c r="H241" s="183">
        <v>45784</v>
      </c>
      <c r="I241" s="146"/>
      <c r="J241" s="100" t="s">
        <v>2352</v>
      </c>
      <c r="K241" s="27"/>
      <c r="L241" s="28"/>
      <c r="M241" s="51"/>
      <c r="N241" s="29"/>
      <c r="O241" s="30"/>
      <c r="P241" s="54"/>
      <c r="Q241" s="83">
        <v>45785</v>
      </c>
      <c r="R241" s="89">
        <f t="shared" si="9"/>
        <v>1.0000218416914206</v>
      </c>
      <c r="S241" s="101"/>
      <c r="T241" s="56"/>
    </row>
    <row r="242" spans="1:20" ht="115.2" x14ac:dyDescent="0.3">
      <c r="A242" s="96">
        <f t="shared" si="10"/>
        <v>239</v>
      </c>
      <c r="B242" s="86">
        <v>1550</v>
      </c>
      <c r="C242" s="83">
        <v>45784</v>
      </c>
      <c r="D242" s="331">
        <v>361909888</v>
      </c>
      <c r="E242" s="396" t="s">
        <v>2405</v>
      </c>
      <c r="F242" s="378" t="s">
        <v>1</v>
      </c>
      <c r="G242" s="221" t="s">
        <v>4</v>
      </c>
      <c r="H242" s="183">
        <v>45784</v>
      </c>
      <c r="I242" s="146"/>
      <c r="J242" s="100" t="s">
        <v>99</v>
      </c>
      <c r="K242" s="27" t="s">
        <v>262</v>
      </c>
      <c r="L242" s="28"/>
      <c r="M242" s="51"/>
      <c r="N242" s="29"/>
      <c r="O242" s="30"/>
      <c r="P242" s="54"/>
      <c r="Q242" s="83">
        <v>45798</v>
      </c>
      <c r="R242" s="89">
        <f t="shared" si="9"/>
        <v>1.0003057836798881</v>
      </c>
      <c r="S242" s="101"/>
      <c r="T242" s="56"/>
    </row>
    <row r="243" spans="1:20" ht="28.8" x14ac:dyDescent="0.3">
      <c r="A243" s="96">
        <f t="shared" si="10"/>
        <v>240</v>
      </c>
      <c r="B243" s="86">
        <v>1550</v>
      </c>
      <c r="C243" s="92">
        <v>45784</v>
      </c>
      <c r="D243" s="331"/>
      <c r="E243" s="270" t="s">
        <v>2406</v>
      </c>
      <c r="F243" s="101" t="s">
        <v>21</v>
      </c>
      <c r="G243" s="221" t="s">
        <v>4</v>
      </c>
      <c r="H243" s="183">
        <v>45784</v>
      </c>
      <c r="I243" s="49"/>
      <c r="J243" s="100" t="s">
        <v>2367</v>
      </c>
      <c r="K243" s="27" t="s">
        <v>262</v>
      </c>
      <c r="L243" s="128"/>
      <c r="M243" s="129"/>
      <c r="N243" s="130"/>
      <c r="O243" s="130"/>
      <c r="P243" s="131"/>
      <c r="Q243" s="83">
        <v>45790</v>
      </c>
      <c r="R243" s="89">
        <f t="shared" si="9"/>
        <v>1.0001310501485234</v>
      </c>
      <c r="S243" s="101"/>
      <c r="T243" s="168"/>
    </row>
    <row r="244" spans="1:20" ht="57.6" x14ac:dyDescent="0.3">
      <c r="A244" s="96">
        <f t="shared" si="10"/>
        <v>241</v>
      </c>
      <c r="B244" s="86">
        <v>1550</v>
      </c>
      <c r="C244" s="92">
        <v>45784</v>
      </c>
      <c r="D244" s="331"/>
      <c r="E244" s="391" t="s">
        <v>2407</v>
      </c>
      <c r="F244" s="101" t="s">
        <v>1314</v>
      </c>
      <c r="G244" s="221" t="s">
        <v>4</v>
      </c>
      <c r="H244" s="183">
        <v>45784</v>
      </c>
      <c r="I244" s="146"/>
      <c r="J244" s="100" t="s">
        <v>99</v>
      </c>
      <c r="K244" s="128"/>
      <c r="L244" s="128"/>
      <c r="M244" s="129"/>
      <c r="N244" s="130"/>
      <c r="O244" s="130"/>
      <c r="P244" s="131"/>
      <c r="Q244" s="132">
        <v>45784</v>
      </c>
      <c r="R244" s="89">
        <f t="shared" si="9"/>
        <v>1</v>
      </c>
      <c r="S244" s="101"/>
      <c r="T244" s="56"/>
    </row>
    <row r="245" spans="1:20" ht="57.6" x14ac:dyDescent="0.3">
      <c r="A245" s="96">
        <f t="shared" si="10"/>
        <v>242</v>
      </c>
      <c r="B245" s="86">
        <v>1550</v>
      </c>
      <c r="C245" s="92">
        <v>45784</v>
      </c>
      <c r="D245" s="331"/>
      <c r="E245" s="391" t="s">
        <v>2408</v>
      </c>
      <c r="F245" s="101" t="s">
        <v>1314</v>
      </c>
      <c r="G245" s="221" t="s">
        <v>4</v>
      </c>
      <c r="H245" s="183">
        <v>45784</v>
      </c>
      <c r="I245" s="146"/>
      <c r="J245" s="100" t="s">
        <v>99</v>
      </c>
      <c r="K245" s="128"/>
      <c r="L245" s="128"/>
      <c r="M245" s="129"/>
      <c r="N245" s="130"/>
      <c r="O245" s="130"/>
      <c r="P245" s="131"/>
      <c r="Q245" s="132">
        <v>45786</v>
      </c>
      <c r="R245" s="89">
        <f t="shared" si="9"/>
        <v>1.0000436833828412</v>
      </c>
      <c r="S245" s="101"/>
      <c r="T245" s="56"/>
    </row>
    <row r="246" spans="1:20" ht="57.6" x14ac:dyDescent="0.3">
      <c r="A246" s="96">
        <f t="shared" si="10"/>
        <v>243</v>
      </c>
      <c r="B246" s="170">
        <v>1550</v>
      </c>
      <c r="C246" s="171">
        <v>45784</v>
      </c>
      <c r="D246" s="331"/>
      <c r="E246" s="270" t="s">
        <v>2409</v>
      </c>
      <c r="F246" s="101" t="s">
        <v>1314</v>
      </c>
      <c r="G246" s="221" t="s">
        <v>4</v>
      </c>
      <c r="H246" s="183">
        <v>45784</v>
      </c>
      <c r="I246" s="146"/>
      <c r="J246" s="100" t="s">
        <v>99</v>
      </c>
      <c r="K246" s="128"/>
      <c r="L246" s="128"/>
      <c r="M246" s="129"/>
      <c r="N246" s="130"/>
      <c r="O246" s="130"/>
      <c r="P246" s="131"/>
      <c r="Q246" s="132">
        <v>45786</v>
      </c>
      <c r="R246" s="89">
        <f t="shared" si="9"/>
        <v>1.0000436833828412</v>
      </c>
      <c r="S246" s="101"/>
      <c r="T246" s="56"/>
    </row>
    <row r="247" spans="1:20" ht="36" customHeight="1" x14ac:dyDescent="0.3">
      <c r="A247" s="96">
        <f t="shared" si="10"/>
        <v>244</v>
      </c>
      <c r="B247" s="170">
        <v>1550</v>
      </c>
      <c r="C247" s="171">
        <v>45784</v>
      </c>
      <c r="D247" s="331">
        <v>34163883</v>
      </c>
      <c r="E247" s="393" t="s">
        <v>2410</v>
      </c>
      <c r="F247" s="101" t="s">
        <v>1</v>
      </c>
      <c r="G247" s="81" t="s">
        <v>10</v>
      </c>
      <c r="H247" s="183">
        <v>45784</v>
      </c>
      <c r="I247" s="49"/>
      <c r="J247" s="100" t="s">
        <v>2411</v>
      </c>
      <c r="K247" s="27"/>
      <c r="L247" s="28"/>
      <c r="M247" s="51"/>
      <c r="N247" s="29"/>
      <c r="O247" s="30"/>
      <c r="P247" s="54"/>
      <c r="Q247" s="132">
        <v>45784</v>
      </c>
      <c r="R247" s="89">
        <f t="shared" si="9"/>
        <v>1</v>
      </c>
      <c r="S247" s="101" t="s">
        <v>2209</v>
      </c>
      <c r="T247" s="56"/>
    </row>
    <row r="248" spans="1:20" ht="36" customHeight="1" x14ac:dyDescent="0.3">
      <c r="A248" s="96">
        <f t="shared" si="10"/>
        <v>245</v>
      </c>
      <c r="B248" s="170">
        <v>1550</v>
      </c>
      <c r="C248" s="171">
        <v>45784</v>
      </c>
      <c r="D248" s="331"/>
      <c r="E248" s="393" t="s">
        <v>2412</v>
      </c>
      <c r="F248" s="101" t="s">
        <v>1314</v>
      </c>
      <c r="G248" s="81" t="s">
        <v>10</v>
      </c>
      <c r="H248" s="183">
        <v>45784</v>
      </c>
      <c r="I248" s="146"/>
      <c r="J248" s="100" t="s">
        <v>99</v>
      </c>
      <c r="K248" s="27"/>
      <c r="L248" s="28"/>
      <c r="M248" s="51"/>
      <c r="N248" s="29"/>
      <c r="O248" s="30"/>
      <c r="P248" s="54"/>
      <c r="Q248" s="132">
        <v>45785</v>
      </c>
      <c r="R248" s="89">
        <f t="shared" si="9"/>
        <v>1.0000218416914206</v>
      </c>
      <c r="S248" s="101" t="s">
        <v>216</v>
      </c>
      <c r="T248" s="56"/>
    </row>
    <row r="249" spans="1:20" ht="36" customHeight="1" x14ac:dyDescent="0.3">
      <c r="A249" s="96">
        <f t="shared" si="10"/>
        <v>246</v>
      </c>
      <c r="B249" s="170">
        <v>1550</v>
      </c>
      <c r="C249" s="171">
        <v>45784</v>
      </c>
      <c r="D249" s="331"/>
      <c r="E249" s="393" t="s">
        <v>2413</v>
      </c>
      <c r="F249" s="101" t="s">
        <v>1314</v>
      </c>
      <c r="G249" s="81" t="s">
        <v>10</v>
      </c>
      <c r="H249" s="183">
        <v>45784</v>
      </c>
      <c r="I249" s="146"/>
      <c r="J249" s="100" t="s">
        <v>99</v>
      </c>
      <c r="K249" s="27"/>
      <c r="L249" s="28"/>
      <c r="M249" s="51"/>
      <c r="N249" s="29"/>
      <c r="O249" s="30"/>
      <c r="P249" s="54"/>
      <c r="Q249" s="132">
        <v>45786</v>
      </c>
      <c r="R249" s="89">
        <f t="shared" si="9"/>
        <v>1.0000436833828412</v>
      </c>
      <c r="S249" s="101" t="s">
        <v>2111</v>
      </c>
      <c r="T249" s="56"/>
    </row>
    <row r="250" spans="1:20" ht="36" customHeight="1" x14ac:dyDescent="0.3">
      <c r="A250" s="96">
        <f t="shared" si="10"/>
        <v>247</v>
      </c>
      <c r="B250" s="170">
        <v>1550</v>
      </c>
      <c r="C250" s="171">
        <v>45784</v>
      </c>
      <c r="D250" s="331">
        <v>37406000</v>
      </c>
      <c r="E250" s="393" t="s">
        <v>2414</v>
      </c>
      <c r="F250" s="387" t="s">
        <v>15</v>
      </c>
      <c r="G250" s="81" t="s">
        <v>10</v>
      </c>
      <c r="H250" s="183">
        <v>45784</v>
      </c>
      <c r="I250" s="285"/>
      <c r="J250" s="729" t="s">
        <v>99</v>
      </c>
      <c r="K250" s="27"/>
      <c r="L250" s="28"/>
      <c r="M250" s="51"/>
      <c r="N250" s="29"/>
      <c r="O250" s="30"/>
      <c r="P250" s="54"/>
      <c r="Q250" s="132">
        <v>45789</v>
      </c>
      <c r="R250" s="89">
        <f t="shared" si="9"/>
        <v>1.0001092084571028</v>
      </c>
      <c r="S250" s="101" t="s">
        <v>1319</v>
      </c>
      <c r="T250" s="56"/>
    </row>
    <row r="251" spans="1:20" ht="36" customHeight="1" x14ac:dyDescent="0.3">
      <c r="A251" s="96">
        <f t="shared" si="10"/>
        <v>248</v>
      </c>
      <c r="B251" s="170">
        <v>1550</v>
      </c>
      <c r="C251" s="171">
        <v>45784</v>
      </c>
      <c r="D251" s="331"/>
      <c r="E251" s="393" t="s">
        <v>2415</v>
      </c>
      <c r="F251" s="101" t="s">
        <v>1314</v>
      </c>
      <c r="G251" s="81" t="s">
        <v>10</v>
      </c>
      <c r="H251" s="183">
        <v>45784</v>
      </c>
      <c r="I251" s="146"/>
      <c r="J251" s="100" t="s">
        <v>99</v>
      </c>
      <c r="K251" s="27"/>
      <c r="L251" s="28"/>
      <c r="M251" s="51"/>
      <c r="N251" s="29"/>
      <c r="O251" s="30"/>
      <c r="P251" s="54"/>
      <c r="Q251" s="132">
        <v>45784</v>
      </c>
      <c r="R251" s="89">
        <f t="shared" si="9"/>
        <v>1</v>
      </c>
      <c r="S251" s="101" t="s">
        <v>1319</v>
      </c>
      <c r="T251" s="56"/>
    </row>
    <row r="252" spans="1:20" ht="36" customHeight="1" x14ac:dyDescent="0.3">
      <c r="A252" s="96">
        <f t="shared" si="10"/>
        <v>249</v>
      </c>
      <c r="B252" s="170">
        <v>1550</v>
      </c>
      <c r="C252" s="171">
        <v>45784</v>
      </c>
      <c r="D252" s="331">
        <v>118039989</v>
      </c>
      <c r="E252" s="393" t="s">
        <v>2416</v>
      </c>
      <c r="F252" s="387" t="s">
        <v>1</v>
      </c>
      <c r="G252" s="81" t="s">
        <v>10</v>
      </c>
      <c r="H252" s="183">
        <v>45784</v>
      </c>
      <c r="I252" s="173"/>
      <c r="J252" s="100" t="s">
        <v>2417</v>
      </c>
      <c r="K252" s="27"/>
      <c r="L252" s="28"/>
      <c r="M252" s="51"/>
      <c r="N252" s="29"/>
      <c r="O252" s="30"/>
      <c r="P252" s="54"/>
      <c r="Q252" s="132">
        <v>45784</v>
      </c>
      <c r="R252" s="89">
        <f t="shared" si="9"/>
        <v>1</v>
      </c>
      <c r="S252" s="101" t="s">
        <v>214</v>
      </c>
      <c r="T252" s="56"/>
    </row>
    <row r="253" spans="1:20" ht="36" customHeight="1" x14ac:dyDescent="0.3">
      <c r="A253" s="96">
        <f t="shared" si="10"/>
        <v>250</v>
      </c>
      <c r="B253" s="170">
        <v>1550</v>
      </c>
      <c r="C253" s="171">
        <v>45784</v>
      </c>
      <c r="D253" s="331"/>
      <c r="E253" s="393" t="s">
        <v>2418</v>
      </c>
      <c r="F253" s="101" t="s">
        <v>1314</v>
      </c>
      <c r="G253" s="81" t="s">
        <v>10</v>
      </c>
      <c r="H253" s="183">
        <v>45784</v>
      </c>
      <c r="I253" s="146"/>
      <c r="J253" s="100" t="s">
        <v>99</v>
      </c>
      <c r="K253" s="233"/>
      <c r="L253" s="128"/>
      <c r="M253" s="129"/>
      <c r="N253" s="130"/>
      <c r="O253" s="130"/>
      <c r="P253" s="131"/>
      <c r="Q253" s="132">
        <v>45785</v>
      </c>
      <c r="R253" s="89">
        <f t="shared" si="9"/>
        <v>1.0000218416914206</v>
      </c>
      <c r="S253" s="101" t="s">
        <v>1319</v>
      </c>
      <c r="T253" s="168"/>
    </row>
    <row r="254" spans="1:20" ht="52.5" customHeight="1" x14ac:dyDescent="0.3">
      <c r="A254" s="96">
        <f t="shared" si="10"/>
        <v>251</v>
      </c>
      <c r="B254" s="170">
        <v>1550</v>
      </c>
      <c r="C254" s="171">
        <v>45784</v>
      </c>
      <c r="D254" s="331">
        <v>91401666</v>
      </c>
      <c r="E254" s="393" t="s">
        <v>2419</v>
      </c>
      <c r="F254" s="378" t="s">
        <v>12</v>
      </c>
      <c r="G254" s="81" t="s">
        <v>10</v>
      </c>
      <c r="H254" s="183">
        <v>45784</v>
      </c>
      <c r="I254" s="146"/>
      <c r="J254" s="729" t="s">
        <v>159</v>
      </c>
      <c r="K254" s="27"/>
      <c r="L254" s="28"/>
      <c r="M254" s="51"/>
      <c r="N254" s="29"/>
      <c r="O254" s="30"/>
      <c r="P254" s="54"/>
      <c r="Q254" s="132">
        <v>45791</v>
      </c>
      <c r="R254" s="89">
        <f t="shared" si="9"/>
        <v>1.000152891839944</v>
      </c>
      <c r="S254" s="101" t="s">
        <v>1769</v>
      </c>
      <c r="T254" s="168"/>
    </row>
    <row r="255" spans="1:20" ht="36" customHeight="1" x14ac:dyDescent="0.3">
      <c r="A255" s="96">
        <f t="shared" si="10"/>
        <v>252</v>
      </c>
      <c r="B255" s="170">
        <v>1550</v>
      </c>
      <c r="C255" s="171">
        <v>45784</v>
      </c>
      <c r="D255" s="331"/>
      <c r="E255" s="393" t="s">
        <v>2420</v>
      </c>
      <c r="F255" s="101" t="s">
        <v>1314</v>
      </c>
      <c r="G255" s="81" t="s">
        <v>10</v>
      </c>
      <c r="H255" s="183">
        <v>45784</v>
      </c>
      <c r="I255" s="146"/>
      <c r="J255" s="100" t="s">
        <v>99</v>
      </c>
      <c r="K255" s="128"/>
      <c r="L255" s="128"/>
      <c r="M255" s="129"/>
      <c r="N255" s="130"/>
      <c r="O255" s="130"/>
      <c r="P255" s="131"/>
      <c r="Q255" s="132">
        <v>45785</v>
      </c>
      <c r="R255" s="89">
        <f t="shared" si="9"/>
        <v>1.0000218416914206</v>
      </c>
      <c r="S255" s="101" t="s">
        <v>2213</v>
      </c>
      <c r="T255" s="168"/>
    </row>
    <row r="256" spans="1:20" ht="36" customHeight="1" x14ac:dyDescent="0.3">
      <c r="A256" s="96">
        <f t="shared" si="10"/>
        <v>253</v>
      </c>
      <c r="B256" s="170">
        <v>1550</v>
      </c>
      <c r="C256" s="171">
        <v>45784</v>
      </c>
      <c r="D256" s="331">
        <v>120497492</v>
      </c>
      <c r="E256" s="393" t="s">
        <v>2421</v>
      </c>
      <c r="F256" s="344" t="s">
        <v>1</v>
      </c>
      <c r="G256" s="81" t="s">
        <v>10</v>
      </c>
      <c r="H256" s="183">
        <v>45784</v>
      </c>
      <c r="I256" s="5"/>
      <c r="J256" s="102" t="s">
        <v>2367</v>
      </c>
      <c r="K256" s="128"/>
      <c r="L256" s="128"/>
      <c r="M256" s="129"/>
      <c r="N256" s="130"/>
      <c r="O256" s="130"/>
      <c r="P256" s="131"/>
      <c r="Q256" s="132">
        <v>45785</v>
      </c>
      <c r="R256" s="89">
        <f t="shared" si="9"/>
        <v>1.0000218416914206</v>
      </c>
      <c r="S256" s="101" t="s">
        <v>214</v>
      </c>
      <c r="T256" s="168"/>
    </row>
    <row r="257" spans="1:20" ht="36" customHeight="1" x14ac:dyDescent="0.3">
      <c r="A257" s="96">
        <f t="shared" si="10"/>
        <v>254</v>
      </c>
      <c r="B257" s="170">
        <v>1550</v>
      </c>
      <c r="C257" s="171">
        <v>45784</v>
      </c>
      <c r="D257" s="331">
        <v>68362889</v>
      </c>
      <c r="E257" s="270" t="s">
        <v>2422</v>
      </c>
      <c r="F257" s="101" t="s">
        <v>25</v>
      </c>
      <c r="G257" s="81" t="s">
        <v>10</v>
      </c>
      <c r="H257" s="183">
        <v>45784</v>
      </c>
      <c r="I257" s="49">
        <v>10000287108</v>
      </c>
      <c r="J257" s="100" t="s">
        <v>135</v>
      </c>
      <c r="K257" s="128"/>
      <c r="L257" s="128"/>
      <c r="M257" s="129"/>
      <c r="N257" s="130"/>
      <c r="O257" s="130"/>
      <c r="P257" s="131"/>
      <c r="Q257" s="83">
        <v>45784</v>
      </c>
      <c r="R257" s="89">
        <f t="shared" si="9"/>
        <v>1</v>
      </c>
      <c r="S257" s="101" t="s">
        <v>1366</v>
      </c>
      <c r="T257" s="168"/>
    </row>
    <row r="258" spans="1:20" ht="43.2" x14ac:dyDescent="0.3">
      <c r="A258" s="96">
        <f t="shared" si="10"/>
        <v>255</v>
      </c>
      <c r="B258" s="170">
        <v>1550</v>
      </c>
      <c r="C258" s="171">
        <v>45785</v>
      </c>
      <c r="D258" s="331">
        <v>118386565</v>
      </c>
      <c r="E258" s="270" t="s">
        <v>2423</v>
      </c>
      <c r="F258" s="344" t="s">
        <v>49</v>
      </c>
      <c r="G258" s="112" t="s">
        <v>8</v>
      </c>
      <c r="H258" s="183">
        <v>45785</v>
      </c>
      <c r="I258" s="5"/>
      <c r="J258" s="102" t="s">
        <v>266</v>
      </c>
      <c r="K258" s="128"/>
      <c r="L258" s="128"/>
      <c r="M258" s="129"/>
      <c r="N258" s="130"/>
      <c r="O258" s="130"/>
      <c r="P258" s="131"/>
      <c r="Q258" s="83">
        <v>45785</v>
      </c>
      <c r="R258" s="89">
        <f t="shared" si="9"/>
        <v>1</v>
      </c>
      <c r="S258" s="101" t="s">
        <v>138</v>
      </c>
      <c r="T258" s="168"/>
    </row>
    <row r="259" spans="1:20" x14ac:dyDescent="0.3">
      <c r="A259" s="96">
        <f t="shared" si="10"/>
        <v>256</v>
      </c>
      <c r="B259" s="170">
        <v>1550</v>
      </c>
      <c r="C259" s="171">
        <v>45785</v>
      </c>
      <c r="D259" s="331"/>
      <c r="E259" s="270" t="s">
        <v>2424</v>
      </c>
      <c r="F259" s="101" t="s">
        <v>14</v>
      </c>
      <c r="G259" s="112" t="s">
        <v>4</v>
      </c>
      <c r="H259" s="183">
        <v>45785</v>
      </c>
      <c r="I259" s="49"/>
      <c r="J259" s="100"/>
      <c r="K259" s="128"/>
      <c r="L259" s="128"/>
      <c r="M259" s="129"/>
      <c r="N259" s="130"/>
      <c r="O259" s="130"/>
      <c r="P259" s="131"/>
      <c r="Q259" s="83">
        <v>45785</v>
      </c>
      <c r="R259" s="89">
        <f t="shared" si="9"/>
        <v>1</v>
      </c>
      <c r="S259" s="101"/>
      <c r="T259" s="168"/>
    </row>
    <row r="260" spans="1:20" ht="72" x14ac:dyDescent="0.3">
      <c r="A260" s="96">
        <f t="shared" si="10"/>
        <v>257</v>
      </c>
      <c r="B260" s="170">
        <v>1550</v>
      </c>
      <c r="C260" s="171">
        <v>45785</v>
      </c>
      <c r="D260" s="331">
        <v>91401666</v>
      </c>
      <c r="E260" s="393" t="s">
        <v>2425</v>
      </c>
      <c r="F260" s="378" t="s">
        <v>39</v>
      </c>
      <c r="G260" s="221" t="s">
        <v>4</v>
      </c>
      <c r="H260" s="183">
        <v>45785</v>
      </c>
      <c r="I260" s="146"/>
      <c r="J260" s="742" t="s">
        <v>159</v>
      </c>
      <c r="K260" s="128"/>
      <c r="L260" s="128"/>
      <c r="M260" s="129"/>
      <c r="N260" s="130"/>
      <c r="O260" s="130"/>
      <c r="P260" s="131"/>
      <c r="Q260" s="83">
        <v>45791</v>
      </c>
      <c r="R260" s="89">
        <f t="shared" ref="R260:R323" si="11">Q260/H260</f>
        <v>1.000131047286229</v>
      </c>
      <c r="S260" s="101"/>
      <c r="T260" s="168"/>
    </row>
    <row r="261" spans="1:20" ht="57.6" x14ac:dyDescent="0.3">
      <c r="A261" s="96">
        <f t="shared" si="10"/>
        <v>258</v>
      </c>
      <c r="B261" s="170">
        <v>1550</v>
      </c>
      <c r="C261" s="171">
        <v>45785</v>
      </c>
      <c r="D261" s="331"/>
      <c r="E261" s="391" t="s">
        <v>2426</v>
      </c>
      <c r="F261" s="378" t="s">
        <v>1314</v>
      </c>
      <c r="G261" s="221" t="s">
        <v>4</v>
      </c>
      <c r="H261" s="183">
        <v>45785</v>
      </c>
      <c r="I261" s="146"/>
      <c r="J261" s="100" t="s">
        <v>99</v>
      </c>
      <c r="K261" s="128"/>
      <c r="L261" s="128"/>
      <c r="M261" s="129"/>
      <c r="N261" s="130"/>
      <c r="O261" s="130"/>
      <c r="P261" s="131"/>
      <c r="Q261" s="83">
        <v>45786</v>
      </c>
      <c r="R261" s="89">
        <f t="shared" si="11"/>
        <v>1.0000218412143715</v>
      </c>
      <c r="S261" s="101"/>
      <c r="T261" s="168"/>
    </row>
    <row r="262" spans="1:20" ht="57.6" x14ac:dyDescent="0.3">
      <c r="A262" s="96">
        <f t="shared" si="10"/>
        <v>259</v>
      </c>
      <c r="B262" s="170">
        <v>1550</v>
      </c>
      <c r="C262" s="171">
        <v>45785</v>
      </c>
      <c r="D262" s="331"/>
      <c r="E262" s="391" t="s">
        <v>2427</v>
      </c>
      <c r="F262" s="378" t="s">
        <v>1314</v>
      </c>
      <c r="G262" s="221" t="s">
        <v>4</v>
      </c>
      <c r="H262" s="183">
        <v>45785</v>
      </c>
      <c r="I262" s="146"/>
      <c r="J262" s="100" t="s">
        <v>99</v>
      </c>
      <c r="K262" s="128"/>
      <c r="L262" s="128"/>
      <c r="M262" s="129"/>
      <c r="N262" s="130"/>
      <c r="O262" s="130"/>
      <c r="P262" s="131"/>
      <c r="Q262" s="83">
        <v>45786</v>
      </c>
      <c r="R262" s="89">
        <f t="shared" si="11"/>
        <v>1.0000218412143715</v>
      </c>
      <c r="S262" s="101"/>
      <c r="T262" s="56"/>
    </row>
    <row r="263" spans="1:20" ht="57.6" x14ac:dyDescent="0.3">
      <c r="A263" s="96">
        <f t="shared" si="10"/>
        <v>260</v>
      </c>
      <c r="B263" s="170">
        <v>1550</v>
      </c>
      <c r="C263" s="171">
        <v>45785</v>
      </c>
      <c r="D263" s="331"/>
      <c r="E263" s="391" t="s">
        <v>2428</v>
      </c>
      <c r="F263" s="378" t="s">
        <v>1314</v>
      </c>
      <c r="G263" s="221" t="s">
        <v>4</v>
      </c>
      <c r="H263" s="183">
        <v>45785</v>
      </c>
      <c r="I263" s="146"/>
      <c r="J263" s="100" t="s">
        <v>99</v>
      </c>
      <c r="K263" s="128"/>
      <c r="L263" s="128"/>
      <c r="M263" s="129"/>
      <c r="N263" s="130"/>
      <c r="O263" s="130"/>
      <c r="P263" s="131"/>
      <c r="Q263" s="83">
        <v>45786</v>
      </c>
      <c r="R263" s="89">
        <f t="shared" si="11"/>
        <v>1.0000218412143715</v>
      </c>
      <c r="S263" s="101"/>
      <c r="T263" s="168"/>
    </row>
    <row r="264" spans="1:20" ht="57.6" x14ac:dyDescent="0.3">
      <c r="A264" s="96">
        <f t="shared" si="10"/>
        <v>261</v>
      </c>
      <c r="B264" s="170">
        <v>1550</v>
      </c>
      <c r="C264" s="171">
        <v>45785</v>
      </c>
      <c r="D264" s="331"/>
      <c r="E264" s="391" t="s">
        <v>2429</v>
      </c>
      <c r="F264" s="378" t="s">
        <v>1314</v>
      </c>
      <c r="G264" s="221" t="s">
        <v>4</v>
      </c>
      <c r="H264" s="183">
        <v>45785</v>
      </c>
      <c r="I264" s="146"/>
      <c r="J264" s="100" t="s">
        <v>99</v>
      </c>
      <c r="K264" s="128"/>
      <c r="L264" s="128"/>
      <c r="M264" s="129"/>
      <c r="N264" s="130"/>
      <c r="O264" s="130"/>
      <c r="P264" s="131"/>
      <c r="Q264" s="83">
        <v>45786</v>
      </c>
      <c r="R264" s="89">
        <f t="shared" si="11"/>
        <v>1.0000218412143715</v>
      </c>
      <c r="S264" s="101"/>
      <c r="T264" s="56"/>
    </row>
    <row r="265" spans="1:20" ht="72" x14ac:dyDescent="0.3">
      <c r="A265" s="96">
        <f t="shared" si="10"/>
        <v>262</v>
      </c>
      <c r="B265" s="170">
        <v>1550</v>
      </c>
      <c r="C265" s="171">
        <v>45785</v>
      </c>
      <c r="D265" s="331"/>
      <c r="E265" s="393" t="s">
        <v>2430</v>
      </c>
      <c r="F265" s="378" t="s">
        <v>1314</v>
      </c>
      <c r="G265" s="221" t="s">
        <v>8</v>
      </c>
      <c r="H265" s="183">
        <v>45785</v>
      </c>
      <c r="I265" s="146"/>
      <c r="J265" s="100" t="s">
        <v>99</v>
      </c>
      <c r="K265" s="27"/>
      <c r="L265" s="28"/>
      <c r="M265" s="51"/>
      <c r="N265" s="29"/>
      <c r="O265" s="30"/>
      <c r="P265" s="54"/>
      <c r="Q265" s="83">
        <v>45786</v>
      </c>
      <c r="R265" s="89">
        <f t="shared" si="11"/>
        <v>1.0000218412143715</v>
      </c>
      <c r="S265" s="101" t="s">
        <v>528</v>
      </c>
      <c r="T265" s="56"/>
    </row>
    <row r="266" spans="1:20" ht="28.8" x14ac:dyDescent="0.3">
      <c r="A266" s="96">
        <f t="shared" si="10"/>
        <v>263</v>
      </c>
      <c r="B266" s="170">
        <v>1550</v>
      </c>
      <c r="C266" s="171">
        <v>45785</v>
      </c>
      <c r="D266" s="331">
        <v>103764658</v>
      </c>
      <c r="E266" s="270" t="s">
        <v>2431</v>
      </c>
      <c r="F266" s="378" t="s">
        <v>1</v>
      </c>
      <c r="G266" s="221" t="s">
        <v>4</v>
      </c>
      <c r="H266" s="183">
        <v>45785</v>
      </c>
      <c r="I266" s="146"/>
      <c r="J266" s="100" t="s">
        <v>2432</v>
      </c>
      <c r="K266" s="27"/>
      <c r="L266" s="50"/>
      <c r="M266" s="51"/>
      <c r="N266" s="29"/>
      <c r="O266" s="30"/>
      <c r="P266" s="54"/>
      <c r="Q266" s="83">
        <v>45785</v>
      </c>
      <c r="R266" s="89">
        <f t="shared" si="11"/>
        <v>1</v>
      </c>
      <c r="S266" s="101"/>
      <c r="T266" s="56"/>
    </row>
    <row r="267" spans="1:20" ht="43.2" x14ac:dyDescent="0.3">
      <c r="A267" s="96">
        <f t="shared" si="10"/>
        <v>264</v>
      </c>
      <c r="B267" s="170" t="s">
        <v>1826</v>
      </c>
      <c r="C267" s="132">
        <v>45785</v>
      </c>
      <c r="D267" s="371">
        <v>88146162</v>
      </c>
      <c r="E267" s="394" t="s">
        <v>2433</v>
      </c>
      <c r="F267" s="387" t="s">
        <v>23</v>
      </c>
      <c r="G267" s="81" t="s">
        <v>4</v>
      </c>
      <c r="H267" s="183">
        <v>45785</v>
      </c>
      <c r="I267" s="173">
        <v>10000288433</v>
      </c>
      <c r="J267" s="100" t="s">
        <v>135</v>
      </c>
      <c r="K267" s="128"/>
      <c r="L267" s="128"/>
      <c r="M267" s="129"/>
      <c r="N267" s="130"/>
      <c r="O267" s="130"/>
      <c r="P267" s="131"/>
      <c r="Q267" s="83">
        <v>45821</v>
      </c>
      <c r="R267" s="89">
        <f t="shared" si="11"/>
        <v>1.0007862837173747</v>
      </c>
      <c r="S267" s="101"/>
      <c r="T267" s="168" t="s">
        <v>2434</v>
      </c>
    </row>
    <row r="268" spans="1:20" ht="72" x14ac:dyDescent="0.3">
      <c r="A268" s="96">
        <f t="shared" si="10"/>
        <v>265</v>
      </c>
      <c r="B268" s="170" t="s">
        <v>1826</v>
      </c>
      <c r="C268" s="171">
        <v>45785</v>
      </c>
      <c r="D268" s="331"/>
      <c r="E268" s="270" t="s">
        <v>2435</v>
      </c>
      <c r="F268" s="387" t="s">
        <v>1314</v>
      </c>
      <c r="G268" s="172" t="s">
        <v>8</v>
      </c>
      <c r="H268" s="183">
        <v>45785</v>
      </c>
      <c r="I268" s="173"/>
      <c r="J268" s="100" t="s">
        <v>99</v>
      </c>
      <c r="K268" s="128"/>
      <c r="L268" s="128"/>
      <c r="M268" s="129"/>
      <c r="N268" s="130"/>
      <c r="O268" s="130"/>
      <c r="P268" s="131"/>
      <c r="Q268" s="132">
        <v>45786</v>
      </c>
      <c r="R268" s="89">
        <f t="shared" si="11"/>
        <v>1.0000218412143715</v>
      </c>
      <c r="S268" s="101" t="s">
        <v>94</v>
      </c>
      <c r="T268" s="168"/>
    </row>
    <row r="269" spans="1:20" ht="72" x14ac:dyDescent="0.3">
      <c r="A269" s="96">
        <f t="shared" si="10"/>
        <v>266</v>
      </c>
      <c r="B269" s="170">
        <v>1550</v>
      </c>
      <c r="C269" s="171">
        <v>45785</v>
      </c>
      <c r="D269" s="331"/>
      <c r="E269" s="270" t="s">
        <v>2436</v>
      </c>
      <c r="F269" s="387" t="s">
        <v>1314</v>
      </c>
      <c r="G269" s="172" t="s">
        <v>8</v>
      </c>
      <c r="H269" s="183">
        <v>45785</v>
      </c>
      <c r="I269" s="173"/>
      <c r="J269" s="100" t="s">
        <v>99</v>
      </c>
      <c r="K269" s="128"/>
      <c r="L269" s="128"/>
      <c r="M269" s="129"/>
      <c r="N269" s="130"/>
      <c r="O269" s="130"/>
      <c r="P269" s="131"/>
      <c r="Q269" s="132">
        <v>45786</v>
      </c>
      <c r="R269" s="89">
        <f t="shared" si="11"/>
        <v>1.0000218412143715</v>
      </c>
      <c r="S269" s="101" t="s">
        <v>758</v>
      </c>
      <c r="T269" s="168"/>
    </row>
    <row r="270" spans="1:20" ht="72" x14ac:dyDescent="0.3">
      <c r="A270" s="96">
        <f t="shared" si="10"/>
        <v>267</v>
      </c>
      <c r="B270" s="170">
        <v>1550</v>
      </c>
      <c r="C270" s="171">
        <v>45785</v>
      </c>
      <c r="D270" s="331"/>
      <c r="E270" s="270" t="s">
        <v>2437</v>
      </c>
      <c r="F270" s="378" t="s">
        <v>1314</v>
      </c>
      <c r="G270" s="172" t="s">
        <v>8</v>
      </c>
      <c r="H270" s="183">
        <v>45785</v>
      </c>
      <c r="I270" s="146"/>
      <c r="J270" s="100" t="s">
        <v>99</v>
      </c>
      <c r="K270" s="128"/>
      <c r="L270" s="128"/>
      <c r="M270" s="129"/>
      <c r="N270" s="130"/>
      <c r="O270" s="130"/>
      <c r="P270" s="131"/>
      <c r="Q270" s="132">
        <v>45786</v>
      </c>
      <c r="R270" s="89">
        <f t="shared" si="11"/>
        <v>1.0000218412143715</v>
      </c>
      <c r="S270" s="101" t="s">
        <v>151</v>
      </c>
      <c r="T270" s="168"/>
    </row>
    <row r="271" spans="1:20" ht="28.8" x14ac:dyDescent="0.3">
      <c r="A271" s="96">
        <f t="shared" si="10"/>
        <v>268</v>
      </c>
      <c r="B271" s="170" t="s">
        <v>1826</v>
      </c>
      <c r="C271" s="171">
        <v>45785</v>
      </c>
      <c r="D271" s="331">
        <v>49283820</v>
      </c>
      <c r="E271" s="270" t="s">
        <v>2438</v>
      </c>
      <c r="F271" s="378" t="s">
        <v>3</v>
      </c>
      <c r="G271" s="221" t="s">
        <v>8</v>
      </c>
      <c r="H271" s="183">
        <v>45785</v>
      </c>
      <c r="I271" s="146"/>
      <c r="J271" s="100" t="s">
        <v>82</v>
      </c>
      <c r="K271" s="128"/>
      <c r="L271" s="128"/>
      <c r="M271" s="129"/>
      <c r="N271" s="130"/>
      <c r="O271" s="130"/>
      <c r="P271" s="131"/>
      <c r="Q271" s="132">
        <v>45785</v>
      </c>
      <c r="R271" s="89">
        <f t="shared" si="11"/>
        <v>1</v>
      </c>
      <c r="S271" s="101" t="s">
        <v>94</v>
      </c>
      <c r="T271" s="168"/>
    </row>
    <row r="272" spans="1:20" ht="43.2" x14ac:dyDescent="0.3">
      <c r="A272" s="96">
        <f t="shared" si="10"/>
        <v>269</v>
      </c>
      <c r="B272" s="170" t="s">
        <v>1044</v>
      </c>
      <c r="C272" s="171">
        <v>45785</v>
      </c>
      <c r="D272" s="331">
        <v>80368646</v>
      </c>
      <c r="E272" s="270" t="s">
        <v>2439</v>
      </c>
      <c r="F272" s="378" t="s">
        <v>48</v>
      </c>
      <c r="G272" s="172" t="s">
        <v>4</v>
      </c>
      <c r="H272" s="183">
        <v>45785</v>
      </c>
      <c r="I272" s="146"/>
      <c r="J272" s="100" t="s">
        <v>99</v>
      </c>
      <c r="K272" s="128"/>
      <c r="L272" s="128"/>
      <c r="M272" s="129"/>
      <c r="N272" s="130"/>
      <c r="O272" s="130"/>
      <c r="P272" s="131"/>
      <c r="Q272" s="132">
        <v>45798</v>
      </c>
      <c r="R272" s="89">
        <f t="shared" si="11"/>
        <v>1.0002839357868298</v>
      </c>
      <c r="S272" s="101"/>
      <c r="T272" s="168" t="s">
        <v>2440</v>
      </c>
    </row>
    <row r="273" spans="1:20" ht="72" x14ac:dyDescent="0.3">
      <c r="A273" s="96">
        <f t="shared" si="10"/>
        <v>270</v>
      </c>
      <c r="B273" s="170">
        <v>1550</v>
      </c>
      <c r="C273" s="132">
        <v>45785</v>
      </c>
      <c r="D273" s="331"/>
      <c r="E273" s="270" t="s">
        <v>2441</v>
      </c>
      <c r="F273" s="378" t="s">
        <v>1314</v>
      </c>
      <c r="G273" s="172" t="s">
        <v>8</v>
      </c>
      <c r="H273" s="183">
        <v>45785</v>
      </c>
      <c r="I273" s="146"/>
      <c r="J273" s="100" t="s">
        <v>99</v>
      </c>
      <c r="K273" s="128"/>
      <c r="L273" s="128"/>
      <c r="M273" s="129"/>
      <c r="N273" s="130"/>
      <c r="O273" s="130"/>
      <c r="P273" s="131"/>
      <c r="Q273" s="132">
        <v>45786</v>
      </c>
      <c r="R273" s="89">
        <f t="shared" si="11"/>
        <v>1.0000218412143715</v>
      </c>
      <c r="S273" s="101" t="s">
        <v>528</v>
      </c>
      <c r="T273" s="168"/>
    </row>
    <row r="274" spans="1:20" ht="72" x14ac:dyDescent="0.3">
      <c r="A274" s="96">
        <f t="shared" si="10"/>
        <v>271</v>
      </c>
      <c r="B274" s="170">
        <v>1550</v>
      </c>
      <c r="C274" s="132">
        <v>45785</v>
      </c>
      <c r="D274" s="331"/>
      <c r="E274" s="270" t="s">
        <v>2442</v>
      </c>
      <c r="F274" s="378" t="s">
        <v>1314</v>
      </c>
      <c r="G274" s="172" t="s">
        <v>8</v>
      </c>
      <c r="H274" s="183">
        <v>45785</v>
      </c>
      <c r="I274" s="146"/>
      <c r="J274" s="100" t="s">
        <v>99</v>
      </c>
      <c r="K274" s="128"/>
      <c r="L274" s="128"/>
      <c r="M274" s="129"/>
      <c r="N274" s="130"/>
      <c r="O274" s="130"/>
      <c r="P274" s="131"/>
      <c r="Q274" s="132">
        <v>45786</v>
      </c>
      <c r="R274" s="89">
        <f t="shared" si="11"/>
        <v>1.0000218412143715</v>
      </c>
      <c r="S274" s="101" t="s">
        <v>1916</v>
      </c>
      <c r="T274" s="168"/>
    </row>
    <row r="275" spans="1:20" ht="72" x14ac:dyDescent="0.3">
      <c r="A275" s="96">
        <f t="shared" si="10"/>
        <v>272</v>
      </c>
      <c r="B275" s="170">
        <v>1550</v>
      </c>
      <c r="C275" s="132">
        <v>45785</v>
      </c>
      <c r="D275" s="331"/>
      <c r="E275" s="270" t="s">
        <v>2443</v>
      </c>
      <c r="F275" s="378" t="s">
        <v>1314</v>
      </c>
      <c r="G275" s="172" t="s">
        <v>8</v>
      </c>
      <c r="H275" s="183">
        <v>45785</v>
      </c>
      <c r="I275" s="146"/>
      <c r="J275" s="100" t="s">
        <v>99</v>
      </c>
      <c r="K275" s="128"/>
      <c r="L275" s="128"/>
      <c r="M275" s="129"/>
      <c r="N275" s="130"/>
      <c r="O275" s="130"/>
      <c r="P275" s="131"/>
      <c r="Q275" s="132">
        <v>45786</v>
      </c>
      <c r="R275" s="89">
        <f t="shared" si="11"/>
        <v>1.0000218412143715</v>
      </c>
      <c r="S275" s="101" t="s">
        <v>758</v>
      </c>
      <c r="T275" s="56"/>
    </row>
    <row r="276" spans="1:20" ht="72" x14ac:dyDescent="0.3">
      <c r="A276" s="96">
        <f t="shared" si="10"/>
        <v>273</v>
      </c>
      <c r="B276" s="170">
        <v>1550</v>
      </c>
      <c r="C276" s="132">
        <v>45785</v>
      </c>
      <c r="D276" s="331">
        <v>99451506</v>
      </c>
      <c r="E276" s="270" t="s">
        <v>2444</v>
      </c>
      <c r="F276" s="378" t="s">
        <v>23</v>
      </c>
      <c r="G276" s="172" t="s">
        <v>8</v>
      </c>
      <c r="H276" s="183">
        <v>45785</v>
      </c>
      <c r="I276" s="146"/>
      <c r="J276" s="100" t="s">
        <v>135</v>
      </c>
      <c r="K276" s="128"/>
      <c r="L276" s="128"/>
      <c r="M276" s="129"/>
      <c r="N276" s="130"/>
      <c r="O276" s="130"/>
      <c r="P276" s="131"/>
      <c r="Q276" s="132">
        <v>45785</v>
      </c>
      <c r="R276" s="89">
        <f t="shared" si="11"/>
        <v>1</v>
      </c>
      <c r="S276" s="101" t="s">
        <v>1916</v>
      </c>
      <c r="T276" s="56"/>
    </row>
    <row r="277" spans="1:20" ht="72" x14ac:dyDescent="0.3">
      <c r="A277" s="96">
        <f t="shared" si="10"/>
        <v>274</v>
      </c>
      <c r="B277" s="170">
        <v>1550</v>
      </c>
      <c r="C277" s="132">
        <v>45785</v>
      </c>
      <c r="D277" s="331"/>
      <c r="E277" s="270" t="s">
        <v>2445</v>
      </c>
      <c r="F277" s="378" t="s">
        <v>1314</v>
      </c>
      <c r="G277" s="172" t="s">
        <v>8</v>
      </c>
      <c r="H277" s="183">
        <v>45785</v>
      </c>
      <c r="I277" s="146"/>
      <c r="J277" s="100" t="s">
        <v>99</v>
      </c>
      <c r="K277" s="128"/>
      <c r="L277" s="128"/>
      <c r="M277" s="129"/>
      <c r="N277" s="130"/>
      <c r="O277" s="130"/>
      <c r="P277" s="131"/>
      <c r="Q277" s="132">
        <v>45786</v>
      </c>
      <c r="R277" s="89">
        <f t="shared" si="11"/>
        <v>1.0000218412143715</v>
      </c>
      <c r="S277" s="101" t="s">
        <v>758</v>
      </c>
      <c r="T277" s="56"/>
    </row>
    <row r="278" spans="1:20" ht="57.6" x14ac:dyDescent="0.3">
      <c r="A278" s="96">
        <f t="shared" si="10"/>
        <v>275</v>
      </c>
      <c r="B278" s="86">
        <v>1550</v>
      </c>
      <c r="C278" s="171">
        <v>45785</v>
      </c>
      <c r="D278" s="331"/>
      <c r="E278" t="s">
        <v>2446</v>
      </c>
      <c r="F278" s="378" t="s">
        <v>1314</v>
      </c>
      <c r="G278" s="221" t="s">
        <v>4</v>
      </c>
      <c r="H278" s="183">
        <v>45785</v>
      </c>
      <c r="I278" s="146"/>
      <c r="J278" s="100" t="s">
        <v>99</v>
      </c>
      <c r="K278" s="27"/>
      <c r="L278" s="28"/>
      <c r="M278" s="51"/>
      <c r="N278" s="29"/>
      <c r="O278" s="30"/>
      <c r="P278" s="54"/>
      <c r="Q278" s="132">
        <v>45789</v>
      </c>
      <c r="R278" s="89">
        <f t="shared" si="11"/>
        <v>1.0000873648574862</v>
      </c>
      <c r="S278" s="101"/>
      <c r="T278" s="56"/>
    </row>
    <row r="279" spans="1:20" ht="43.2" x14ac:dyDescent="0.3">
      <c r="A279" s="96">
        <f t="shared" si="10"/>
        <v>276</v>
      </c>
      <c r="B279" s="141">
        <v>1550</v>
      </c>
      <c r="C279" s="419">
        <v>45785</v>
      </c>
      <c r="D279" s="367">
        <v>88067998</v>
      </c>
      <c r="E279" s="275" t="s">
        <v>2447</v>
      </c>
      <c r="F279" s="420" t="s">
        <v>35</v>
      </c>
      <c r="G279" s="421" t="s">
        <v>4</v>
      </c>
      <c r="H279" s="418">
        <v>45785</v>
      </c>
      <c r="I279" s="422"/>
      <c r="J279" s="727" t="s">
        <v>253</v>
      </c>
      <c r="K279" s="27"/>
      <c r="L279" s="28"/>
      <c r="M279" s="51"/>
      <c r="N279" s="29"/>
      <c r="O279" s="30"/>
      <c r="P279" s="54"/>
      <c r="Q279" s="132">
        <v>45786</v>
      </c>
      <c r="R279" s="89">
        <f t="shared" si="11"/>
        <v>1.0000218412143715</v>
      </c>
      <c r="S279" s="101"/>
      <c r="T279" s="56"/>
    </row>
    <row r="280" spans="1:20" ht="135" x14ac:dyDescent="0.35">
      <c r="A280" s="96">
        <f t="shared" si="10"/>
        <v>277</v>
      </c>
      <c r="B280" s="135">
        <v>1550</v>
      </c>
      <c r="C280" s="124">
        <v>45785</v>
      </c>
      <c r="D280" s="411">
        <v>77007190</v>
      </c>
      <c r="E280" s="412" t="s">
        <v>2448</v>
      </c>
      <c r="F280" s="126" t="s">
        <v>17</v>
      </c>
      <c r="G280" s="127" t="s">
        <v>4</v>
      </c>
      <c r="H280" s="138">
        <v>45785</v>
      </c>
      <c r="I280" s="134"/>
      <c r="J280" s="100" t="s">
        <v>82</v>
      </c>
      <c r="K280" s="128"/>
      <c r="L280" s="128"/>
      <c r="M280" s="129"/>
      <c r="N280" s="130"/>
      <c r="O280" s="130"/>
      <c r="P280" s="131"/>
      <c r="Q280" s="132">
        <v>45790</v>
      </c>
      <c r="R280" s="89">
        <f t="shared" si="11"/>
        <v>1.0001092060718575</v>
      </c>
      <c r="S280" s="101"/>
      <c r="T280" s="168"/>
    </row>
    <row r="281" spans="1:20" ht="72" x14ac:dyDescent="0.3">
      <c r="A281" s="96">
        <f t="shared" si="10"/>
        <v>278</v>
      </c>
      <c r="B281" s="424">
        <v>1550</v>
      </c>
      <c r="C281" s="425">
        <v>45785</v>
      </c>
      <c r="D281" s="331"/>
      <c r="E281" s="277" t="s">
        <v>2449</v>
      </c>
      <c r="F281" s="400" t="s">
        <v>1314</v>
      </c>
      <c r="G281" s="172" t="s">
        <v>8</v>
      </c>
      <c r="H281" s="183">
        <v>45785</v>
      </c>
      <c r="I281" s="224"/>
      <c r="J281" s="100" t="s">
        <v>99</v>
      </c>
      <c r="K281" s="27"/>
      <c r="L281" s="28"/>
      <c r="M281" s="51"/>
      <c r="N281" s="29"/>
      <c r="O281" s="30"/>
      <c r="P281" s="54"/>
      <c r="Q281" s="83">
        <v>45786</v>
      </c>
      <c r="R281" s="89">
        <f t="shared" si="11"/>
        <v>1.0000218412143715</v>
      </c>
      <c r="S281" s="101" t="s">
        <v>528</v>
      </c>
      <c r="T281" s="57"/>
    </row>
    <row r="282" spans="1:20" ht="43.2" x14ac:dyDescent="0.3">
      <c r="A282" s="96">
        <f t="shared" ref="A282:A345" si="12">A281+1</f>
        <v>279</v>
      </c>
      <c r="B282" s="176">
        <v>1550</v>
      </c>
      <c r="C282" s="177">
        <v>45785</v>
      </c>
      <c r="D282" s="331">
        <v>76471306</v>
      </c>
      <c r="E282" s="270" t="s">
        <v>2450</v>
      </c>
      <c r="F282" s="387" t="s">
        <v>25</v>
      </c>
      <c r="G282" s="221" t="s">
        <v>8</v>
      </c>
      <c r="H282" s="183">
        <v>45785</v>
      </c>
      <c r="I282" s="173">
        <v>10000287667</v>
      </c>
      <c r="J282" s="113" t="s">
        <v>22</v>
      </c>
      <c r="K282" s="128"/>
      <c r="L282" s="128"/>
      <c r="M282" s="129"/>
      <c r="N282" s="130"/>
      <c r="O282" s="130"/>
      <c r="P282" s="131"/>
      <c r="Q282" s="132">
        <v>45789</v>
      </c>
      <c r="R282" s="89">
        <f t="shared" si="11"/>
        <v>1.0000873648574862</v>
      </c>
      <c r="S282" s="101" t="s">
        <v>1366</v>
      </c>
      <c r="T282" s="168"/>
    </row>
    <row r="283" spans="1:20" ht="57.6" x14ac:dyDescent="0.3">
      <c r="A283" s="96">
        <f t="shared" si="12"/>
        <v>280</v>
      </c>
      <c r="B283" s="176">
        <v>1550</v>
      </c>
      <c r="C283" s="177">
        <v>45785</v>
      </c>
      <c r="D283" s="331"/>
      <c r="E283" s="270" t="s">
        <v>2451</v>
      </c>
      <c r="F283" s="388" t="s">
        <v>1314</v>
      </c>
      <c r="G283" s="221" t="s">
        <v>10</v>
      </c>
      <c r="H283" s="183">
        <v>45785</v>
      </c>
      <c r="I283" s="173"/>
      <c r="J283" s="100" t="s">
        <v>99</v>
      </c>
      <c r="K283" s="128"/>
      <c r="L283" s="128"/>
      <c r="M283" s="129"/>
      <c r="N283" s="130"/>
      <c r="O283" s="130"/>
      <c r="P283" s="131"/>
      <c r="Q283" s="132">
        <v>45785</v>
      </c>
      <c r="R283" s="89">
        <f t="shared" si="11"/>
        <v>1</v>
      </c>
      <c r="S283" s="101" t="s">
        <v>2213</v>
      </c>
      <c r="T283" s="168"/>
    </row>
    <row r="284" spans="1:20" ht="57.6" x14ac:dyDescent="0.3">
      <c r="A284" s="96">
        <f t="shared" si="12"/>
        <v>281</v>
      </c>
      <c r="B284" s="176">
        <v>1550</v>
      </c>
      <c r="C284" s="177">
        <v>45785</v>
      </c>
      <c r="D284" s="331"/>
      <c r="E284" s="270" t="s">
        <v>2452</v>
      </c>
      <c r="F284" s="388" t="s">
        <v>1314</v>
      </c>
      <c r="G284" s="221" t="s">
        <v>10</v>
      </c>
      <c r="H284" s="183">
        <v>45785</v>
      </c>
      <c r="I284" s="173"/>
      <c r="J284" s="100" t="s">
        <v>99</v>
      </c>
      <c r="K284" s="128"/>
      <c r="L284" s="128"/>
      <c r="M284" s="129"/>
      <c r="N284" s="130"/>
      <c r="O284" s="130"/>
      <c r="P284" s="131"/>
      <c r="Q284" s="132">
        <v>45786</v>
      </c>
      <c r="R284" s="89">
        <f t="shared" si="11"/>
        <v>1.0000218412143715</v>
      </c>
      <c r="S284" s="101" t="s">
        <v>216</v>
      </c>
      <c r="T284" s="168"/>
    </row>
    <row r="285" spans="1:20" ht="57.6" x14ac:dyDescent="0.3">
      <c r="A285" s="96">
        <f t="shared" si="12"/>
        <v>282</v>
      </c>
      <c r="B285" s="176">
        <v>1550</v>
      </c>
      <c r="C285" s="177">
        <v>45785</v>
      </c>
      <c r="D285" s="331"/>
      <c r="E285" s="270" t="s">
        <v>2453</v>
      </c>
      <c r="F285" s="388" t="s">
        <v>1314</v>
      </c>
      <c r="G285" s="221" t="s">
        <v>10</v>
      </c>
      <c r="H285" s="183">
        <v>45785</v>
      </c>
      <c r="I285" s="173"/>
      <c r="J285" s="100" t="s">
        <v>99</v>
      </c>
      <c r="K285" s="128"/>
      <c r="L285" s="128"/>
      <c r="M285" s="129"/>
      <c r="N285" s="130"/>
      <c r="O285" s="130"/>
      <c r="P285" s="131"/>
      <c r="Q285" s="132">
        <v>45786</v>
      </c>
      <c r="R285" s="89">
        <f t="shared" si="11"/>
        <v>1.0000218412143715</v>
      </c>
      <c r="S285" s="101" t="s">
        <v>216</v>
      </c>
      <c r="T285" s="168"/>
    </row>
    <row r="286" spans="1:20" ht="57.6" x14ac:dyDescent="0.3">
      <c r="A286" s="96">
        <f t="shared" si="12"/>
        <v>283</v>
      </c>
      <c r="B286" s="176">
        <v>1550</v>
      </c>
      <c r="C286" s="177">
        <v>45785</v>
      </c>
      <c r="D286" s="331"/>
      <c r="E286" s="270" t="s">
        <v>2454</v>
      </c>
      <c r="F286" s="388" t="s">
        <v>1314</v>
      </c>
      <c r="G286" s="221" t="s">
        <v>10</v>
      </c>
      <c r="H286" s="183">
        <v>45785</v>
      </c>
      <c r="I286" s="173"/>
      <c r="J286" s="100" t="s">
        <v>99</v>
      </c>
      <c r="K286" s="128"/>
      <c r="L286" s="128"/>
      <c r="M286" s="129"/>
      <c r="N286" s="130"/>
      <c r="O286" s="130"/>
      <c r="P286" s="131"/>
      <c r="Q286" s="132">
        <v>45786</v>
      </c>
      <c r="R286" s="89">
        <f t="shared" si="11"/>
        <v>1.0000218412143715</v>
      </c>
      <c r="S286" s="101" t="s">
        <v>216</v>
      </c>
      <c r="T286" s="168"/>
    </row>
    <row r="287" spans="1:20" ht="57.6" x14ac:dyDescent="0.3">
      <c r="A287" s="96">
        <f t="shared" si="12"/>
        <v>284</v>
      </c>
      <c r="B287" s="176">
        <v>1550</v>
      </c>
      <c r="C287" s="177">
        <v>45785</v>
      </c>
      <c r="D287" s="331"/>
      <c r="E287" s="270" t="s">
        <v>2455</v>
      </c>
      <c r="F287" s="388" t="s">
        <v>1314</v>
      </c>
      <c r="G287" s="221" t="s">
        <v>10</v>
      </c>
      <c r="H287" s="183">
        <v>45785</v>
      </c>
      <c r="I287" s="173"/>
      <c r="J287" s="100" t="s">
        <v>99</v>
      </c>
      <c r="K287" s="128"/>
      <c r="L287" s="128"/>
      <c r="M287" s="129"/>
      <c r="N287" s="130"/>
      <c r="O287" s="130"/>
      <c r="P287" s="131"/>
      <c r="Q287" s="132">
        <v>45786</v>
      </c>
      <c r="R287" s="89">
        <f t="shared" si="11"/>
        <v>1.0000218412143715</v>
      </c>
      <c r="S287" s="101" t="s">
        <v>216</v>
      </c>
      <c r="T287" s="56"/>
    </row>
    <row r="288" spans="1:20" ht="57.6" x14ac:dyDescent="0.3">
      <c r="A288" s="96">
        <f t="shared" si="12"/>
        <v>285</v>
      </c>
      <c r="B288" s="176">
        <v>1550</v>
      </c>
      <c r="C288" s="177">
        <v>45785</v>
      </c>
      <c r="D288" s="331"/>
      <c r="E288" s="270" t="s">
        <v>2456</v>
      </c>
      <c r="F288" s="388" t="s">
        <v>1314</v>
      </c>
      <c r="G288" s="221" t="s">
        <v>10</v>
      </c>
      <c r="H288" s="183">
        <v>45785</v>
      </c>
      <c r="I288" s="173"/>
      <c r="J288" s="100" t="s">
        <v>99</v>
      </c>
      <c r="K288" s="27"/>
      <c r="L288" s="28"/>
      <c r="M288" s="51"/>
      <c r="N288" s="29"/>
      <c r="O288" s="30"/>
      <c r="P288" s="54"/>
      <c r="Q288" s="132">
        <v>45786</v>
      </c>
      <c r="R288" s="89">
        <f t="shared" si="11"/>
        <v>1.0000218412143715</v>
      </c>
      <c r="S288" s="101" t="s">
        <v>1319</v>
      </c>
      <c r="T288" s="56"/>
    </row>
    <row r="289" spans="1:20" ht="57.6" x14ac:dyDescent="0.3">
      <c r="A289" s="96">
        <f t="shared" si="12"/>
        <v>286</v>
      </c>
      <c r="B289" s="176">
        <v>1550</v>
      </c>
      <c r="C289" s="177">
        <v>45785</v>
      </c>
      <c r="D289" s="331"/>
      <c r="E289" s="270" t="s">
        <v>2457</v>
      </c>
      <c r="F289" s="388" t="s">
        <v>1314</v>
      </c>
      <c r="G289" s="221" t="s">
        <v>10</v>
      </c>
      <c r="H289" s="183">
        <v>45785</v>
      </c>
      <c r="I289" s="173"/>
      <c r="J289" s="100" t="s">
        <v>99</v>
      </c>
      <c r="K289" s="27"/>
      <c r="L289" s="28"/>
      <c r="M289" s="51"/>
      <c r="N289" s="29"/>
      <c r="O289" s="30"/>
      <c r="P289" s="54"/>
      <c r="Q289" s="132">
        <v>45786</v>
      </c>
      <c r="R289" s="89">
        <f t="shared" si="11"/>
        <v>1.0000218412143715</v>
      </c>
      <c r="S289" s="101" t="s">
        <v>1319</v>
      </c>
      <c r="T289" s="56"/>
    </row>
    <row r="290" spans="1:20" ht="57.6" x14ac:dyDescent="0.3">
      <c r="A290" s="96">
        <f t="shared" si="12"/>
        <v>287</v>
      </c>
      <c r="B290" s="176">
        <v>1550</v>
      </c>
      <c r="C290" s="177">
        <v>45785</v>
      </c>
      <c r="D290" s="331"/>
      <c r="E290" s="270" t="s">
        <v>2458</v>
      </c>
      <c r="F290" s="388" t="s">
        <v>1314</v>
      </c>
      <c r="G290" s="221" t="s">
        <v>10</v>
      </c>
      <c r="H290" s="183">
        <v>45785</v>
      </c>
      <c r="I290" s="173"/>
      <c r="J290" s="100" t="s">
        <v>99</v>
      </c>
      <c r="K290" s="27"/>
      <c r="L290" s="28"/>
      <c r="M290" s="51"/>
      <c r="N290" s="29"/>
      <c r="O290" s="30"/>
      <c r="P290" s="54"/>
      <c r="Q290" s="132">
        <v>45786</v>
      </c>
      <c r="R290" s="89">
        <f t="shared" si="11"/>
        <v>1.0000218412143715</v>
      </c>
      <c r="S290" s="101" t="s">
        <v>1319</v>
      </c>
      <c r="T290" s="56"/>
    </row>
    <row r="291" spans="1:20" ht="57.6" x14ac:dyDescent="0.3">
      <c r="A291" s="96">
        <f t="shared" si="12"/>
        <v>288</v>
      </c>
      <c r="B291" s="176">
        <v>1550</v>
      </c>
      <c r="C291" s="177">
        <v>45785</v>
      </c>
      <c r="D291" s="331"/>
      <c r="E291" s="270" t="s">
        <v>2459</v>
      </c>
      <c r="F291" s="388" t="s">
        <v>1314</v>
      </c>
      <c r="G291" s="221" t="s">
        <v>10</v>
      </c>
      <c r="H291" s="183">
        <v>45785</v>
      </c>
      <c r="I291" s="173"/>
      <c r="J291" s="100" t="s">
        <v>99</v>
      </c>
      <c r="K291" s="27"/>
      <c r="L291" s="28"/>
      <c r="M291" s="51"/>
      <c r="N291" s="29"/>
      <c r="O291" s="30"/>
      <c r="P291" s="54"/>
      <c r="Q291" s="132">
        <v>45786</v>
      </c>
      <c r="R291" s="89">
        <f t="shared" si="11"/>
        <v>1.0000218412143715</v>
      </c>
      <c r="S291" s="101" t="s">
        <v>1366</v>
      </c>
      <c r="T291" s="56"/>
    </row>
    <row r="292" spans="1:20" ht="57.6" x14ac:dyDescent="0.3">
      <c r="A292" s="96">
        <f t="shared" si="12"/>
        <v>289</v>
      </c>
      <c r="B292" s="176">
        <v>1550</v>
      </c>
      <c r="C292" s="177">
        <v>45785</v>
      </c>
      <c r="D292" s="331"/>
      <c r="E292" s="270" t="s">
        <v>2460</v>
      </c>
      <c r="F292" s="388" t="s">
        <v>1314</v>
      </c>
      <c r="G292" s="221" t="s">
        <v>10</v>
      </c>
      <c r="H292" s="183">
        <v>45785</v>
      </c>
      <c r="I292" s="173"/>
      <c r="J292" s="100" t="s">
        <v>99</v>
      </c>
      <c r="K292" s="27"/>
      <c r="L292" s="28"/>
      <c r="M292" s="51"/>
      <c r="N292" s="29"/>
      <c r="O292" s="30"/>
      <c r="P292" s="54"/>
      <c r="Q292" s="132">
        <v>45786</v>
      </c>
      <c r="R292" s="89">
        <f t="shared" si="11"/>
        <v>1.0000218412143715</v>
      </c>
      <c r="S292" s="101" t="s">
        <v>216</v>
      </c>
      <c r="T292" s="56"/>
    </row>
    <row r="293" spans="1:20" ht="57.6" x14ac:dyDescent="0.3">
      <c r="A293" s="96">
        <f t="shared" si="12"/>
        <v>290</v>
      </c>
      <c r="B293" s="176">
        <v>1550</v>
      </c>
      <c r="C293" s="177">
        <v>45785</v>
      </c>
      <c r="D293" s="331"/>
      <c r="E293" s="270" t="s">
        <v>2461</v>
      </c>
      <c r="F293" s="388" t="s">
        <v>1314</v>
      </c>
      <c r="G293" s="221" t="s">
        <v>10</v>
      </c>
      <c r="H293" s="183">
        <v>45785</v>
      </c>
      <c r="I293" s="173"/>
      <c r="J293" s="100" t="s">
        <v>99</v>
      </c>
      <c r="K293" s="27"/>
      <c r="L293" s="28"/>
      <c r="M293" s="51"/>
      <c r="N293" s="29"/>
      <c r="O293" s="30"/>
      <c r="P293" s="54"/>
      <c r="Q293" s="132">
        <v>45786</v>
      </c>
      <c r="R293" s="89">
        <f t="shared" si="11"/>
        <v>1.0000218412143715</v>
      </c>
      <c r="S293" s="101" t="s">
        <v>1319</v>
      </c>
      <c r="T293" s="56"/>
    </row>
    <row r="294" spans="1:20" ht="86.4" x14ac:dyDescent="0.3">
      <c r="A294" s="96">
        <f t="shared" si="12"/>
        <v>291</v>
      </c>
      <c r="B294" s="176">
        <v>1550</v>
      </c>
      <c r="C294" s="177">
        <v>45785</v>
      </c>
      <c r="D294" s="331">
        <v>35542195</v>
      </c>
      <c r="E294" s="270" t="s">
        <v>2462</v>
      </c>
      <c r="F294" s="388" t="s">
        <v>33</v>
      </c>
      <c r="G294" s="221" t="s">
        <v>10</v>
      </c>
      <c r="H294" s="183">
        <v>45785</v>
      </c>
      <c r="I294" s="173"/>
      <c r="J294" s="100" t="s">
        <v>99</v>
      </c>
      <c r="K294" s="27"/>
      <c r="L294" s="28"/>
      <c r="M294" s="51"/>
      <c r="N294" s="29"/>
      <c r="O294" s="30"/>
      <c r="P294" s="54"/>
      <c r="Q294" s="132">
        <v>45785</v>
      </c>
      <c r="R294" s="89">
        <f t="shared" si="11"/>
        <v>1</v>
      </c>
      <c r="S294" s="101" t="s">
        <v>2185</v>
      </c>
      <c r="T294" s="56"/>
    </row>
    <row r="295" spans="1:20" ht="57.6" x14ac:dyDescent="0.3">
      <c r="A295" s="96">
        <f t="shared" si="12"/>
        <v>292</v>
      </c>
      <c r="B295" s="176">
        <v>1550</v>
      </c>
      <c r="C295" s="177">
        <v>45785</v>
      </c>
      <c r="D295" s="331"/>
      <c r="E295" s="270" t="s">
        <v>2463</v>
      </c>
      <c r="F295" s="388" t="s">
        <v>1314</v>
      </c>
      <c r="G295" s="221" t="s">
        <v>10</v>
      </c>
      <c r="H295" s="183">
        <v>45785</v>
      </c>
      <c r="I295" s="173"/>
      <c r="J295" s="100" t="s">
        <v>99</v>
      </c>
      <c r="K295" s="27"/>
      <c r="L295" s="28"/>
      <c r="M295" s="51"/>
      <c r="N295" s="29"/>
      <c r="O295" s="30"/>
      <c r="P295" s="54"/>
      <c r="Q295" s="132">
        <v>45786</v>
      </c>
      <c r="R295" s="89">
        <f t="shared" si="11"/>
        <v>1.0000218412143715</v>
      </c>
      <c r="S295" s="101" t="s">
        <v>1319</v>
      </c>
      <c r="T295" s="56"/>
    </row>
    <row r="296" spans="1:20" ht="57.6" x14ac:dyDescent="0.3">
      <c r="A296" s="96">
        <f t="shared" si="12"/>
        <v>293</v>
      </c>
      <c r="B296" s="176">
        <v>1550</v>
      </c>
      <c r="C296" s="177">
        <v>45785</v>
      </c>
      <c r="D296" s="331"/>
      <c r="E296" s="270" t="s">
        <v>2464</v>
      </c>
      <c r="F296" s="388" t="s">
        <v>1314</v>
      </c>
      <c r="G296" s="221" t="s">
        <v>10</v>
      </c>
      <c r="H296" s="183">
        <v>45785</v>
      </c>
      <c r="I296" s="173"/>
      <c r="J296" s="100" t="s">
        <v>99</v>
      </c>
      <c r="K296" s="27"/>
      <c r="L296" s="28"/>
      <c r="M296" s="51"/>
      <c r="N296" s="29"/>
      <c r="O296" s="30"/>
      <c r="P296" s="54"/>
      <c r="Q296" s="132">
        <v>45789</v>
      </c>
      <c r="R296" s="89">
        <f t="shared" si="11"/>
        <v>1.0000873648574862</v>
      </c>
      <c r="S296" s="101" t="s">
        <v>1319</v>
      </c>
      <c r="T296" s="56"/>
    </row>
    <row r="297" spans="1:20" ht="57.6" x14ac:dyDescent="0.3">
      <c r="A297" s="96">
        <f t="shared" si="12"/>
        <v>294</v>
      </c>
      <c r="B297" s="176">
        <v>1550</v>
      </c>
      <c r="C297" s="177">
        <v>45785</v>
      </c>
      <c r="D297" s="331"/>
      <c r="E297" s="270" t="s">
        <v>2465</v>
      </c>
      <c r="F297" s="388" t="s">
        <v>1314</v>
      </c>
      <c r="G297" s="221" t="s">
        <v>10</v>
      </c>
      <c r="H297" s="183">
        <v>45785</v>
      </c>
      <c r="I297" s="173"/>
      <c r="J297" s="100" t="s">
        <v>99</v>
      </c>
      <c r="K297" s="27"/>
      <c r="L297" s="28"/>
      <c r="M297" s="51"/>
      <c r="N297" s="29"/>
      <c r="O297" s="30"/>
      <c r="P297" s="54"/>
      <c r="Q297" s="132">
        <v>45786</v>
      </c>
      <c r="R297" s="89">
        <f t="shared" si="11"/>
        <v>1.0000218412143715</v>
      </c>
      <c r="S297" s="101" t="s">
        <v>1319</v>
      </c>
      <c r="T297" s="56"/>
    </row>
    <row r="298" spans="1:20" ht="100.8" x14ac:dyDescent="0.3">
      <c r="A298" s="96">
        <f t="shared" si="12"/>
        <v>295</v>
      </c>
      <c r="B298" s="176">
        <v>1550</v>
      </c>
      <c r="C298" s="177">
        <v>45785</v>
      </c>
      <c r="D298" s="331">
        <v>116679905</v>
      </c>
      <c r="E298" s="270" t="s">
        <v>2466</v>
      </c>
      <c r="F298" s="344" t="s">
        <v>40</v>
      </c>
      <c r="G298" s="221" t="s">
        <v>10</v>
      </c>
      <c r="H298" s="183">
        <v>45785</v>
      </c>
      <c r="I298" s="5"/>
      <c r="J298" s="100" t="s">
        <v>2467</v>
      </c>
      <c r="K298" s="27"/>
      <c r="L298" s="28"/>
      <c r="M298" s="51"/>
      <c r="N298" s="29"/>
      <c r="O298" s="30"/>
      <c r="P298" s="54"/>
      <c r="Q298" s="132">
        <v>45807</v>
      </c>
      <c r="R298" s="89">
        <f t="shared" si="11"/>
        <v>1.0004805067161735</v>
      </c>
      <c r="S298" s="101" t="s">
        <v>1806</v>
      </c>
      <c r="T298" s="56"/>
    </row>
    <row r="299" spans="1:20" ht="100.8" x14ac:dyDescent="0.3">
      <c r="A299" s="96">
        <f t="shared" si="12"/>
        <v>296</v>
      </c>
      <c r="B299" s="176">
        <v>1550</v>
      </c>
      <c r="C299" s="177">
        <v>45785</v>
      </c>
      <c r="D299" s="331">
        <v>7609000</v>
      </c>
      <c r="E299" s="270" t="s">
        <v>2468</v>
      </c>
      <c r="F299" s="344" t="s">
        <v>38</v>
      </c>
      <c r="G299" s="221" t="s">
        <v>10</v>
      </c>
      <c r="H299" s="183">
        <v>45785</v>
      </c>
      <c r="I299" s="5"/>
      <c r="J299" s="727" t="s">
        <v>253</v>
      </c>
      <c r="K299" s="128"/>
      <c r="L299" s="128"/>
      <c r="M299" s="129"/>
      <c r="N299" s="130"/>
      <c r="O299" s="130"/>
      <c r="P299" s="131"/>
      <c r="Q299" s="132">
        <v>45790</v>
      </c>
      <c r="R299" s="89">
        <f t="shared" si="11"/>
        <v>1.0001092060718575</v>
      </c>
      <c r="S299" s="101" t="s">
        <v>1319</v>
      </c>
      <c r="T299" s="168"/>
    </row>
    <row r="300" spans="1:20" ht="57.6" x14ac:dyDescent="0.3">
      <c r="A300" s="96">
        <f t="shared" si="12"/>
        <v>297</v>
      </c>
      <c r="B300" s="176">
        <v>1550</v>
      </c>
      <c r="C300" s="177">
        <v>45785</v>
      </c>
      <c r="D300" s="367"/>
      <c r="E300" s="275" t="s">
        <v>2469</v>
      </c>
      <c r="F300" s="426" t="s">
        <v>1314</v>
      </c>
      <c r="G300" s="421" t="s">
        <v>10</v>
      </c>
      <c r="H300" s="183">
        <v>45785</v>
      </c>
      <c r="I300" s="173"/>
      <c r="J300" s="100" t="s">
        <v>99</v>
      </c>
      <c r="K300" s="27"/>
      <c r="L300" s="28"/>
      <c r="M300" s="51"/>
      <c r="N300" s="29"/>
      <c r="O300" s="30"/>
      <c r="P300" s="54"/>
      <c r="Q300" s="132">
        <v>45789</v>
      </c>
      <c r="R300" s="89">
        <f t="shared" si="11"/>
        <v>1.0000873648574862</v>
      </c>
      <c r="S300" s="101" t="s">
        <v>216</v>
      </c>
      <c r="T300" s="56"/>
    </row>
    <row r="301" spans="1:20" ht="129.6" x14ac:dyDescent="0.3">
      <c r="A301" s="96">
        <f t="shared" si="12"/>
        <v>298</v>
      </c>
      <c r="B301" s="135">
        <v>1550</v>
      </c>
      <c r="C301" s="136">
        <v>45786</v>
      </c>
      <c r="D301" s="411">
        <v>30930502</v>
      </c>
      <c r="E301" s="109" t="s">
        <v>2470</v>
      </c>
      <c r="F301" s="111" t="s">
        <v>17</v>
      </c>
      <c r="G301" s="127" t="s">
        <v>4</v>
      </c>
      <c r="H301" s="99">
        <v>45786</v>
      </c>
      <c r="I301" s="5"/>
      <c r="J301" s="100" t="s">
        <v>82</v>
      </c>
      <c r="K301" s="27"/>
      <c r="L301" s="28"/>
      <c r="M301" s="51"/>
      <c r="N301" s="29"/>
      <c r="O301" s="30"/>
      <c r="P301" s="54"/>
      <c r="Q301" s="132">
        <v>45790</v>
      </c>
      <c r="R301" s="89">
        <f t="shared" si="11"/>
        <v>1.0000873629493732</v>
      </c>
      <c r="S301" s="101"/>
      <c r="T301" s="56"/>
    </row>
    <row r="302" spans="1:20" ht="43.2" x14ac:dyDescent="0.3">
      <c r="A302" s="96">
        <f t="shared" si="12"/>
        <v>299</v>
      </c>
      <c r="B302" s="86">
        <v>1550</v>
      </c>
      <c r="C302" s="92">
        <v>45786</v>
      </c>
      <c r="D302" s="331">
        <v>120306417</v>
      </c>
      <c r="E302" s="277" t="s">
        <v>2471</v>
      </c>
      <c r="F302" s="401" t="s">
        <v>21</v>
      </c>
      <c r="G302" s="172" t="s">
        <v>4</v>
      </c>
      <c r="H302" s="183">
        <v>45786</v>
      </c>
      <c r="I302" s="5"/>
      <c r="J302" s="727" t="s">
        <v>99</v>
      </c>
      <c r="K302" s="128"/>
      <c r="L302" s="128"/>
      <c r="M302" s="129"/>
      <c r="N302" s="130"/>
      <c r="O302" s="130"/>
      <c r="P302" s="131"/>
      <c r="Q302" s="132">
        <v>45798</v>
      </c>
      <c r="R302" s="89">
        <f t="shared" si="11"/>
        <v>1.0002620888481195</v>
      </c>
      <c r="S302" s="101"/>
      <c r="T302" s="56"/>
    </row>
    <row r="303" spans="1:20" ht="57.6" x14ac:dyDescent="0.3">
      <c r="A303" s="96">
        <f t="shared" si="12"/>
        <v>300</v>
      </c>
      <c r="B303" s="86">
        <v>1550</v>
      </c>
      <c r="C303" s="92">
        <v>45786</v>
      </c>
      <c r="D303" s="331"/>
      <c r="E303" s="270" t="s">
        <v>2472</v>
      </c>
      <c r="F303" s="386" t="s">
        <v>21</v>
      </c>
      <c r="G303" s="221" t="s">
        <v>4</v>
      </c>
      <c r="H303" s="183">
        <v>45786</v>
      </c>
      <c r="I303" s="5"/>
      <c r="J303" s="727" t="s">
        <v>99</v>
      </c>
      <c r="K303" s="128"/>
      <c r="L303" s="128"/>
      <c r="M303" s="129"/>
      <c r="N303" s="130"/>
      <c r="O303" s="130"/>
      <c r="P303" s="131"/>
      <c r="Q303" s="132">
        <v>45817</v>
      </c>
      <c r="R303" s="89">
        <f t="shared" si="11"/>
        <v>1.000677062857642</v>
      </c>
      <c r="S303" s="101"/>
      <c r="T303" s="56"/>
    </row>
    <row r="304" spans="1:20" ht="57.6" x14ac:dyDescent="0.3">
      <c r="A304" s="96">
        <f t="shared" si="12"/>
        <v>301</v>
      </c>
      <c r="B304" s="86">
        <v>1550</v>
      </c>
      <c r="C304" s="92">
        <v>45786</v>
      </c>
      <c r="D304" s="331"/>
      <c r="E304" t="s">
        <v>2473</v>
      </c>
      <c r="F304" s="386" t="s">
        <v>1314</v>
      </c>
      <c r="G304" s="221" t="s">
        <v>4</v>
      </c>
      <c r="H304" s="183">
        <v>45786</v>
      </c>
      <c r="I304" s="137"/>
      <c r="J304" s="100" t="s">
        <v>99</v>
      </c>
      <c r="K304" s="27"/>
      <c r="L304" s="28"/>
      <c r="M304" s="51"/>
      <c r="N304" s="29"/>
      <c r="O304" s="30"/>
      <c r="P304" s="54"/>
      <c r="Q304" s="132">
        <v>45789</v>
      </c>
      <c r="R304" s="89">
        <f t="shared" si="11"/>
        <v>1.0000655222120298</v>
      </c>
      <c r="S304" s="101"/>
      <c r="T304" s="56"/>
    </row>
    <row r="305" spans="1:20" ht="57.6" x14ac:dyDescent="0.3">
      <c r="A305" s="96">
        <f t="shared" si="12"/>
        <v>302</v>
      </c>
      <c r="B305" s="123">
        <v>1550</v>
      </c>
      <c r="C305" s="124">
        <v>45786</v>
      </c>
      <c r="D305" s="331"/>
      <c r="E305" t="s">
        <v>2474</v>
      </c>
      <c r="F305" s="386" t="s">
        <v>1314</v>
      </c>
      <c r="G305" s="221" t="s">
        <v>4</v>
      </c>
      <c r="H305" s="183">
        <v>45786</v>
      </c>
      <c r="I305" s="137"/>
      <c r="J305" s="100" t="s">
        <v>99</v>
      </c>
      <c r="K305" s="27"/>
      <c r="L305" s="28"/>
      <c r="M305" s="51"/>
      <c r="N305" s="29"/>
      <c r="O305" s="30"/>
      <c r="P305" s="54"/>
      <c r="Q305" s="132">
        <v>45789</v>
      </c>
      <c r="R305" s="89">
        <f t="shared" si="11"/>
        <v>1.0000655222120298</v>
      </c>
      <c r="S305" s="101"/>
      <c r="T305" s="168"/>
    </row>
    <row r="306" spans="1:20" ht="57.6" x14ac:dyDescent="0.3">
      <c r="A306" s="96">
        <f t="shared" si="12"/>
        <v>303</v>
      </c>
      <c r="B306" s="123">
        <v>1550</v>
      </c>
      <c r="C306" s="124">
        <v>45786</v>
      </c>
      <c r="D306" s="331"/>
      <c r="E306" t="s">
        <v>2475</v>
      </c>
      <c r="F306" s="386" t="s">
        <v>1314</v>
      </c>
      <c r="G306" s="221" t="s">
        <v>4</v>
      </c>
      <c r="H306" s="183">
        <v>45786</v>
      </c>
      <c r="I306" s="137"/>
      <c r="J306" s="100" t="s">
        <v>99</v>
      </c>
      <c r="K306" s="27"/>
      <c r="L306" s="28"/>
      <c r="M306" s="51"/>
      <c r="N306" s="29"/>
      <c r="O306" s="30"/>
      <c r="P306" s="54"/>
      <c r="Q306" s="132">
        <v>45789</v>
      </c>
      <c r="R306" s="89">
        <f t="shared" si="11"/>
        <v>1.0000655222120298</v>
      </c>
      <c r="S306" s="101"/>
      <c r="T306" s="56"/>
    </row>
    <row r="307" spans="1:20" ht="57.6" x14ac:dyDescent="0.3">
      <c r="A307" s="96">
        <f t="shared" si="12"/>
        <v>304</v>
      </c>
      <c r="B307" s="123">
        <v>1550</v>
      </c>
      <c r="C307" s="124">
        <v>45786</v>
      </c>
      <c r="D307" s="331"/>
      <c r="E307" t="s">
        <v>2476</v>
      </c>
      <c r="F307" s="386" t="s">
        <v>1314</v>
      </c>
      <c r="G307" s="221" t="s">
        <v>4</v>
      </c>
      <c r="H307" s="183">
        <v>45786</v>
      </c>
      <c r="I307" s="137"/>
      <c r="J307" s="100" t="s">
        <v>99</v>
      </c>
      <c r="K307" s="27"/>
      <c r="L307" s="28"/>
      <c r="M307" s="51"/>
      <c r="N307" s="29"/>
      <c r="O307" s="30"/>
      <c r="P307" s="54"/>
      <c r="Q307" s="132">
        <v>45789</v>
      </c>
      <c r="R307" s="89">
        <f t="shared" si="11"/>
        <v>1.0000655222120298</v>
      </c>
      <c r="S307" s="101"/>
      <c r="T307" s="56"/>
    </row>
    <row r="308" spans="1:20" ht="28.8" x14ac:dyDescent="0.3">
      <c r="A308" s="96">
        <f t="shared" si="12"/>
        <v>305</v>
      </c>
      <c r="B308" s="123">
        <v>1550</v>
      </c>
      <c r="C308" s="124">
        <v>45786</v>
      </c>
      <c r="D308" s="331">
        <v>78225191</v>
      </c>
      <c r="E308" s="394" t="s">
        <v>2477</v>
      </c>
      <c r="F308" s="101" t="s">
        <v>7</v>
      </c>
      <c r="G308" s="221" t="s">
        <v>4</v>
      </c>
      <c r="H308" s="183">
        <v>45786</v>
      </c>
      <c r="I308" s="5"/>
      <c r="J308" s="100" t="s">
        <v>2310</v>
      </c>
      <c r="K308" s="128"/>
      <c r="L308" s="128"/>
      <c r="M308" s="129"/>
      <c r="N308" s="130"/>
      <c r="O308" s="130"/>
      <c r="P308" s="131"/>
      <c r="Q308" s="132">
        <v>45786</v>
      </c>
      <c r="R308" s="89">
        <f t="shared" si="11"/>
        <v>1</v>
      </c>
      <c r="S308" s="101"/>
      <c r="T308" s="168"/>
    </row>
    <row r="309" spans="1:20" ht="57.6" x14ac:dyDescent="0.3">
      <c r="A309" s="96">
        <f t="shared" si="12"/>
        <v>306</v>
      </c>
      <c r="B309" s="123">
        <v>1550</v>
      </c>
      <c r="C309" s="124">
        <v>45786</v>
      </c>
      <c r="D309" s="331">
        <v>40206998</v>
      </c>
      <c r="E309" s="270" t="s">
        <v>2478</v>
      </c>
      <c r="F309" s="101" t="s">
        <v>39</v>
      </c>
      <c r="G309" s="81" t="s">
        <v>8</v>
      </c>
      <c r="H309" s="183">
        <v>45786</v>
      </c>
      <c r="I309" s="49"/>
      <c r="J309" s="100" t="s">
        <v>2467</v>
      </c>
      <c r="K309" s="128"/>
      <c r="L309" s="128"/>
      <c r="M309" s="129"/>
      <c r="N309" s="130"/>
      <c r="O309" s="130"/>
      <c r="P309" s="131"/>
      <c r="Q309" s="132">
        <v>45789</v>
      </c>
      <c r="R309" s="89">
        <f t="shared" si="11"/>
        <v>1.0000655222120298</v>
      </c>
      <c r="S309" s="101" t="s">
        <v>528</v>
      </c>
      <c r="T309" s="168"/>
    </row>
    <row r="310" spans="1:20" ht="57.6" x14ac:dyDescent="0.3">
      <c r="A310" s="96">
        <f t="shared" si="12"/>
        <v>307</v>
      </c>
      <c r="B310" s="123">
        <v>1550</v>
      </c>
      <c r="C310" s="124">
        <v>45786</v>
      </c>
      <c r="D310" s="331">
        <v>115472045</v>
      </c>
      <c r="E310" s="270" t="s">
        <v>2479</v>
      </c>
      <c r="F310" s="101" t="s">
        <v>39</v>
      </c>
      <c r="G310" s="81" t="s">
        <v>4</v>
      </c>
      <c r="H310" s="183">
        <v>45786</v>
      </c>
      <c r="I310" s="49"/>
      <c r="J310" s="100" t="s">
        <v>22</v>
      </c>
      <c r="K310" s="128"/>
      <c r="L310" s="128"/>
      <c r="M310" s="129"/>
      <c r="N310" s="130"/>
      <c r="O310" s="130"/>
      <c r="P310" s="131"/>
      <c r="Q310" s="132">
        <v>45789</v>
      </c>
      <c r="R310" s="89">
        <f t="shared" si="11"/>
        <v>1.0000655222120298</v>
      </c>
      <c r="S310" s="101"/>
      <c r="T310" s="168"/>
    </row>
    <row r="311" spans="1:20" ht="28.8" x14ac:dyDescent="0.3">
      <c r="A311" s="96">
        <f t="shared" si="12"/>
        <v>308</v>
      </c>
      <c r="B311" s="123">
        <v>1550</v>
      </c>
      <c r="C311" s="177">
        <v>45786</v>
      </c>
      <c r="D311" s="331">
        <v>101119631</v>
      </c>
      <c r="E311" s="270" t="s">
        <v>2480</v>
      </c>
      <c r="F311" s="101" t="s">
        <v>32</v>
      </c>
      <c r="G311" s="81" t="s">
        <v>4</v>
      </c>
      <c r="H311" s="183">
        <v>45786</v>
      </c>
      <c r="I311" s="49">
        <v>10000287990</v>
      </c>
      <c r="J311" s="100" t="s">
        <v>106</v>
      </c>
      <c r="K311" s="128"/>
      <c r="L311" s="128"/>
      <c r="M311" s="129"/>
      <c r="N311" s="130"/>
      <c r="O311" s="130"/>
      <c r="P311" s="131"/>
      <c r="Q311" s="132">
        <v>45796</v>
      </c>
      <c r="R311" s="89">
        <f t="shared" si="11"/>
        <v>1.0002184073734328</v>
      </c>
      <c r="S311" s="101"/>
      <c r="T311" s="387" t="s">
        <v>2481</v>
      </c>
    </row>
    <row r="312" spans="1:20" ht="57.6" x14ac:dyDescent="0.3">
      <c r="A312" s="96">
        <f t="shared" si="12"/>
        <v>309</v>
      </c>
      <c r="B312" s="287">
        <v>1550</v>
      </c>
      <c r="C312" s="124">
        <v>45786</v>
      </c>
      <c r="D312" s="331"/>
      <c r="E312" t="s">
        <v>2482</v>
      </c>
      <c r="F312" s="386" t="s">
        <v>1314</v>
      </c>
      <c r="G312" s="221" t="s">
        <v>4</v>
      </c>
      <c r="H312" s="183">
        <v>45786</v>
      </c>
      <c r="I312" s="137"/>
      <c r="J312" s="100" t="s">
        <v>99</v>
      </c>
      <c r="K312" s="27"/>
      <c r="L312" s="28"/>
      <c r="M312" s="51"/>
      <c r="N312" s="29"/>
      <c r="O312" s="30"/>
      <c r="P312" s="54"/>
      <c r="Q312" s="132">
        <v>45789</v>
      </c>
      <c r="R312" s="89">
        <f t="shared" si="11"/>
        <v>1.0000655222120298</v>
      </c>
      <c r="S312" s="101"/>
      <c r="T312" s="168"/>
    </row>
    <row r="313" spans="1:20" ht="72" x14ac:dyDescent="0.3">
      <c r="A313" s="96">
        <f t="shared" si="12"/>
        <v>310</v>
      </c>
      <c r="B313" s="287" t="s">
        <v>301</v>
      </c>
      <c r="C313" s="124">
        <v>45786</v>
      </c>
      <c r="D313" s="331"/>
      <c r="E313" s="402" t="s">
        <v>2483</v>
      </c>
      <c r="F313" s="386" t="s">
        <v>1314</v>
      </c>
      <c r="G313" s="221" t="s">
        <v>8</v>
      </c>
      <c r="H313" s="183">
        <v>45786</v>
      </c>
      <c r="I313" s="5"/>
      <c r="J313" s="100" t="s">
        <v>99</v>
      </c>
      <c r="K313" s="128"/>
      <c r="L313" s="128"/>
      <c r="M313" s="129"/>
      <c r="N313" s="130"/>
      <c r="O313" s="130"/>
      <c r="P313" s="131"/>
      <c r="Q313" s="132">
        <v>45789</v>
      </c>
      <c r="R313" s="89">
        <f t="shared" si="11"/>
        <v>1.0000655222120298</v>
      </c>
      <c r="S313" s="101" t="s">
        <v>94</v>
      </c>
      <c r="T313" s="168"/>
    </row>
    <row r="314" spans="1:20" ht="57.6" x14ac:dyDescent="0.3">
      <c r="A314" s="96">
        <f t="shared" si="12"/>
        <v>311</v>
      </c>
      <c r="B314" s="287">
        <v>1550</v>
      </c>
      <c r="C314" s="252">
        <v>45786</v>
      </c>
      <c r="D314" s="331"/>
      <c r="E314" t="s">
        <v>2484</v>
      </c>
      <c r="F314" s="386" t="s">
        <v>1314</v>
      </c>
      <c r="G314" s="221" t="s">
        <v>4</v>
      </c>
      <c r="H314" s="183">
        <v>45786</v>
      </c>
      <c r="I314" s="137"/>
      <c r="J314" s="100" t="s">
        <v>99</v>
      </c>
      <c r="K314" s="27"/>
      <c r="L314" s="28"/>
      <c r="M314" s="51"/>
      <c r="N314" s="29"/>
      <c r="O314" s="30"/>
      <c r="P314" s="54"/>
      <c r="Q314" s="132">
        <v>45789</v>
      </c>
      <c r="R314" s="89">
        <f t="shared" si="11"/>
        <v>1.0000655222120298</v>
      </c>
      <c r="S314" s="101"/>
      <c r="T314" s="168"/>
    </row>
    <row r="315" spans="1:20" ht="57.6" x14ac:dyDescent="0.3">
      <c r="A315" s="96">
        <f t="shared" si="12"/>
        <v>312</v>
      </c>
      <c r="B315" s="427">
        <v>1550</v>
      </c>
      <c r="C315" s="286">
        <v>45786</v>
      </c>
      <c r="D315" s="367"/>
      <c r="E315" t="s">
        <v>2485</v>
      </c>
      <c r="F315" s="420" t="s">
        <v>1314</v>
      </c>
      <c r="G315" s="421" t="s">
        <v>4</v>
      </c>
      <c r="H315" s="183">
        <v>45786</v>
      </c>
      <c r="I315" s="137"/>
      <c r="J315" s="100" t="s">
        <v>99</v>
      </c>
      <c r="K315" s="27"/>
      <c r="L315" s="28"/>
      <c r="M315" s="51"/>
      <c r="N315" s="29"/>
      <c r="O315" s="30"/>
      <c r="P315" s="54"/>
      <c r="Q315" s="132">
        <v>45786</v>
      </c>
      <c r="R315" s="89">
        <f t="shared" si="11"/>
        <v>1</v>
      </c>
      <c r="S315" s="101"/>
      <c r="T315" s="168"/>
    </row>
    <row r="316" spans="1:20" ht="78" x14ac:dyDescent="0.3">
      <c r="A316" s="96">
        <f t="shared" si="12"/>
        <v>313</v>
      </c>
      <c r="B316" s="123">
        <v>1550</v>
      </c>
      <c r="C316" s="124">
        <v>45786</v>
      </c>
      <c r="D316" s="411">
        <v>9508031</v>
      </c>
      <c r="E316" s="453" t="s">
        <v>2486</v>
      </c>
      <c r="F316" s="267" t="s">
        <v>17</v>
      </c>
      <c r="G316" s="127" t="s">
        <v>4</v>
      </c>
      <c r="H316" s="99">
        <v>45786</v>
      </c>
      <c r="I316" s="146">
        <v>10000288879</v>
      </c>
      <c r="J316" s="100" t="s">
        <v>82</v>
      </c>
      <c r="K316" s="27"/>
      <c r="L316" s="28"/>
      <c r="M316" s="51"/>
      <c r="N316" s="29"/>
      <c r="O316" s="30"/>
      <c r="P316" s="54"/>
      <c r="Q316" s="132">
        <v>46008</v>
      </c>
      <c r="R316" s="89">
        <f t="shared" si="11"/>
        <v>1.0048486436902109</v>
      </c>
      <c r="S316" s="101"/>
      <c r="T316" s="168"/>
    </row>
    <row r="317" spans="1:20" ht="72" x14ac:dyDescent="0.3">
      <c r="A317" s="96">
        <f t="shared" si="12"/>
        <v>314</v>
      </c>
      <c r="B317" s="428" t="s">
        <v>301</v>
      </c>
      <c r="C317" s="429">
        <v>45786</v>
      </c>
      <c r="D317" s="331"/>
      <c r="E317" s="398" t="s">
        <v>2487</v>
      </c>
      <c r="F317" s="387" t="s">
        <v>1314</v>
      </c>
      <c r="G317" s="172" t="s">
        <v>8</v>
      </c>
      <c r="H317" s="183">
        <v>45786</v>
      </c>
      <c r="I317" s="146"/>
      <c r="J317" s="100" t="s">
        <v>99</v>
      </c>
      <c r="K317" s="27"/>
      <c r="L317" s="28"/>
      <c r="M317" s="51"/>
      <c r="N317" s="29"/>
      <c r="O317" s="30"/>
      <c r="P317" s="54"/>
      <c r="Q317" s="132">
        <v>45789</v>
      </c>
      <c r="R317" s="89">
        <f t="shared" si="11"/>
        <v>1.0000655222120298</v>
      </c>
      <c r="S317" s="101" t="s">
        <v>94</v>
      </c>
      <c r="T317" s="56"/>
    </row>
    <row r="318" spans="1:20" x14ac:dyDescent="0.3">
      <c r="A318" s="96">
        <f t="shared" si="12"/>
        <v>315</v>
      </c>
      <c r="B318" s="123" t="s">
        <v>1826</v>
      </c>
      <c r="C318" s="124">
        <v>45786</v>
      </c>
      <c r="D318">
        <v>23211091</v>
      </c>
      <c r="E318" s="398" t="s">
        <v>2488</v>
      </c>
      <c r="F318" s="378" t="s">
        <v>23</v>
      </c>
      <c r="G318" s="221" t="s">
        <v>4</v>
      </c>
      <c r="H318" s="183">
        <v>45786</v>
      </c>
      <c r="I318" s="146"/>
      <c r="J318" s="100" t="s">
        <v>135</v>
      </c>
      <c r="K318" s="27"/>
      <c r="L318" s="28"/>
      <c r="M318" s="51"/>
      <c r="N318" s="29"/>
      <c r="O318" s="30"/>
      <c r="P318" s="54"/>
      <c r="Q318" s="132">
        <v>45789</v>
      </c>
      <c r="R318" s="89">
        <f t="shared" si="11"/>
        <v>1.0000655222120298</v>
      </c>
      <c r="S318" s="101"/>
      <c r="T318" s="56"/>
    </row>
    <row r="319" spans="1:20" ht="244.8" x14ac:dyDescent="0.3">
      <c r="A319" s="96">
        <f t="shared" si="12"/>
        <v>316</v>
      </c>
      <c r="B319" s="123">
        <v>1550</v>
      </c>
      <c r="C319" s="124">
        <v>45786</v>
      </c>
      <c r="D319" s="331"/>
      <c r="E319" s="270" t="s">
        <v>2489</v>
      </c>
      <c r="F319" s="378" t="s">
        <v>1</v>
      </c>
      <c r="G319" s="221" t="s">
        <v>10</v>
      </c>
      <c r="H319" s="183">
        <v>45786</v>
      </c>
      <c r="I319" s="146"/>
      <c r="J319" s="100" t="s">
        <v>2411</v>
      </c>
      <c r="K319" s="27"/>
      <c r="L319" s="28"/>
      <c r="M319" s="51"/>
      <c r="N319" s="29"/>
      <c r="O319" s="30"/>
      <c r="P319" s="54"/>
      <c r="Q319" s="132">
        <v>45786</v>
      </c>
      <c r="R319" s="89">
        <f t="shared" si="11"/>
        <v>1</v>
      </c>
      <c r="S319" s="101" t="s">
        <v>2209</v>
      </c>
      <c r="T319" s="56"/>
    </row>
    <row r="320" spans="1:20" ht="172.8" x14ac:dyDescent="0.3">
      <c r="A320" s="96">
        <f t="shared" si="12"/>
        <v>317</v>
      </c>
      <c r="B320" s="123">
        <v>1550</v>
      </c>
      <c r="C320" s="124">
        <v>45786</v>
      </c>
      <c r="D320" s="331"/>
      <c r="E320" s="270" t="s">
        <v>2490</v>
      </c>
      <c r="F320" s="378" t="s">
        <v>52</v>
      </c>
      <c r="G320" s="221" t="s">
        <v>10</v>
      </c>
      <c r="H320" s="183">
        <v>45786</v>
      </c>
      <c r="I320" s="146"/>
      <c r="J320" s="100" t="s">
        <v>253</v>
      </c>
      <c r="K320" s="27"/>
      <c r="L320" s="28"/>
      <c r="M320" s="51"/>
      <c r="N320" s="29"/>
      <c r="O320" s="30"/>
      <c r="P320" s="54"/>
      <c r="Q320" s="132">
        <v>45786</v>
      </c>
      <c r="R320" s="89">
        <f t="shared" si="11"/>
        <v>1</v>
      </c>
      <c r="S320" s="101" t="s">
        <v>1319</v>
      </c>
      <c r="T320" s="147"/>
    </row>
    <row r="321" spans="1:20" ht="57.6" x14ac:dyDescent="0.3">
      <c r="A321" s="96">
        <f t="shared" si="12"/>
        <v>318</v>
      </c>
      <c r="B321" s="123">
        <v>1550</v>
      </c>
      <c r="C321" s="124">
        <v>45786</v>
      </c>
      <c r="D321" s="331"/>
      <c r="E321" s="270" t="s">
        <v>2491</v>
      </c>
      <c r="F321" s="388" t="s">
        <v>1314</v>
      </c>
      <c r="G321" s="221" t="s">
        <v>10</v>
      </c>
      <c r="H321" s="183">
        <v>45786</v>
      </c>
      <c r="I321" s="173"/>
      <c r="J321" s="100" t="s">
        <v>99</v>
      </c>
      <c r="K321" s="27"/>
      <c r="L321" s="28"/>
      <c r="M321" s="51"/>
      <c r="N321" s="29"/>
      <c r="O321" s="30"/>
      <c r="P321" s="54"/>
      <c r="Q321" s="132">
        <v>45789</v>
      </c>
      <c r="R321" s="89">
        <f t="shared" si="11"/>
        <v>1.0000655222120298</v>
      </c>
      <c r="S321" s="101" t="s">
        <v>1319</v>
      </c>
      <c r="T321" s="56"/>
    </row>
    <row r="322" spans="1:20" ht="57.6" x14ac:dyDescent="0.3">
      <c r="A322" s="96">
        <f t="shared" si="12"/>
        <v>319</v>
      </c>
      <c r="B322" s="123">
        <v>1550</v>
      </c>
      <c r="C322" s="124">
        <v>45786</v>
      </c>
      <c r="D322" s="331"/>
      <c r="E322" s="270" t="s">
        <v>2492</v>
      </c>
      <c r="F322" s="388" t="s">
        <v>1314</v>
      </c>
      <c r="G322" s="221" t="s">
        <v>10</v>
      </c>
      <c r="H322" s="183">
        <v>45786</v>
      </c>
      <c r="I322" s="173"/>
      <c r="J322" s="100" t="s">
        <v>99</v>
      </c>
      <c r="K322" s="27"/>
      <c r="L322" s="28"/>
      <c r="M322" s="51"/>
      <c r="N322" s="29"/>
      <c r="O322" s="30"/>
      <c r="P322" s="54"/>
      <c r="Q322" s="132">
        <v>45789</v>
      </c>
      <c r="R322" s="89">
        <f t="shared" si="11"/>
        <v>1.0000655222120298</v>
      </c>
      <c r="S322" s="101" t="s">
        <v>1172</v>
      </c>
      <c r="T322" s="56"/>
    </row>
    <row r="323" spans="1:20" ht="57.6" x14ac:dyDescent="0.3">
      <c r="A323" s="96">
        <f t="shared" si="12"/>
        <v>320</v>
      </c>
      <c r="B323" s="123">
        <v>1550</v>
      </c>
      <c r="C323" s="124">
        <v>45786</v>
      </c>
      <c r="D323" s="331"/>
      <c r="E323" s="270" t="s">
        <v>2493</v>
      </c>
      <c r="F323" s="388" t="s">
        <v>1314</v>
      </c>
      <c r="G323" s="221" t="s">
        <v>10</v>
      </c>
      <c r="H323" s="183">
        <v>45786</v>
      </c>
      <c r="I323" s="173"/>
      <c r="J323" s="100" t="s">
        <v>99</v>
      </c>
      <c r="K323" s="27"/>
      <c r="L323" s="28"/>
      <c r="M323" s="51"/>
      <c r="N323" s="29"/>
      <c r="O323" s="30"/>
      <c r="P323" s="54"/>
      <c r="Q323" s="132">
        <v>45789</v>
      </c>
      <c r="R323" s="89">
        <f t="shared" si="11"/>
        <v>1.0000655222120298</v>
      </c>
      <c r="S323" s="101" t="s">
        <v>1332</v>
      </c>
      <c r="T323" s="56"/>
    </row>
    <row r="324" spans="1:20" ht="43.2" x14ac:dyDescent="0.3">
      <c r="A324" s="96">
        <f t="shared" si="12"/>
        <v>321</v>
      </c>
      <c r="B324" s="123">
        <v>1550</v>
      </c>
      <c r="C324" s="124">
        <v>45786</v>
      </c>
      <c r="D324" s="331"/>
      <c r="E324" s="270" t="s">
        <v>2494</v>
      </c>
      <c r="F324" s="378" t="s">
        <v>23</v>
      </c>
      <c r="G324" s="221" t="s">
        <v>10</v>
      </c>
      <c r="H324" s="183">
        <v>45786</v>
      </c>
      <c r="I324" s="146"/>
      <c r="J324" s="100" t="s">
        <v>135</v>
      </c>
      <c r="K324" s="27"/>
      <c r="L324" s="28"/>
      <c r="M324" s="51"/>
      <c r="N324" s="29"/>
      <c r="O324" s="30"/>
      <c r="P324" s="54"/>
      <c r="Q324" s="132">
        <v>45789</v>
      </c>
      <c r="R324" s="89">
        <f t="shared" ref="R324:R387" si="13">Q324/H324</f>
        <v>1.0000655222120298</v>
      </c>
      <c r="S324" s="101" t="s">
        <v>85</v>
      </c>
      <c r="T324" s="56"/>
    </row>
    <row r="325" spans="1:20" ht="57.6" x14ac:dyDescent="0.3">
      <c r="A325" s="96">
        <f t="shared" si="12"/>
        <v>322</v>
      </c>
      <c r="B325" s="123">
        <v>1550</v>
      </c>
      <c r="C325" s="124">
        <v>45786</v>
      </c>
      <c r="D325" s="331"/>
      <c r="E325" s="270" t="s">
        <v>2495</v>
      </c>
      <c r="F325" s="388" t="s">
        <v>1314</v>
      </c>
      <c r="G325" s="221" t="s">
        <v>10</v>
      </c>
      <c r="H325" s="183">
        <v>45786</v>
      </c>
      <c r="I325" s="173"/>
      <c r="J325" s="100" t="s">
        <v>99</v>
      </c>
      <c r="K325" s="27"/>
      <c r="L325" s="28"/>
      <c r="M325" s="51"/>
      <c r="N325" s="29"/>
      <c r="O325" s="30"/>
      <c r="P325" s="54"/>
      <c r="Q325" s="132">
        <v>45789</v>
      </c>
      <c r="R325" s="89">
        <f t="shared" si="13"/>
        <v>1.0000655222120298</v>
      </c>
      <c r="S325" s="101" t="s">
        <v>1319</v>
      </c>
      <c r="T325" s="56"/>
    </row>
    <row r="326" spans="1:20" ht="57.6" x14ac:dyDescent="0.3">
      <c r="A326" s="96">
        <f t="shared" si="12"/>
        <v>323</v>
      </c>
      <c r="B326" s="176">
        <v>1550</v>
      </c>
      <c r="C326" s="177">
        <v>45786</v>
      </c>
      <c r="D326" s="367"/>
      <c r="E326" s="275" t="s">
        <v>2496</v>
      </c>
      <c r="F326" s="426" t="s">
        <v>1314</v>
      </c>
      <c r="G326" s="421" t="s">
        <v>10</v>
      </c>
      <c r="H326" s="183">
        <v>45786</v>
      </c>
      <c r="I326" s="173"/>
      <c r="J326" s="100" t="s">
        <v>99</v>
      </c>
      <c r="K326" s="27"/>
      <c r="L326" s="28"/>
      <c r="M326" s="51"/>
      <c r="N326" s="29"/>
      <c r="O326" s="30"/>
      <c r="P326" s="54"/>
      <c r="Q326" s="132">
        <v>45789</v>
      </c>
      <c r="R326" s="89">
        <f t="shared" si="13"/>
        <v>1.0000655222120298</v>
      </c>
      <c r="S326" s="101" t="s">
        <v>216</v>
      </c>
      <c r="T326" s="56"/>
    </row>
    <row r="327" spans="1:20" ht="158.4" x14ac:dyDescent="0.3">
      <c r="A327" s="96">
        <f t="shared" si="12"/>
        <v>324</v>
      </c>
      <c r="B327" s="123">
        <v>1550</v>
      </c>
      <c r="C327" s="124">
        <v>45786</v>
      </c>
      <c r="D327" s="411">
        <v>59412550</v>
      </c>
      <c r="E327" s="109" t="s">
        <v>2497</v>
      </c>
      <c r="F327" s="179" t="s">
        <v>17</v>
      </c>
      <c r="G327" s="127" t="s">
        <v>10</v>
      </c>
      <c r="H327" s="99">
        <v>45786</v>
      </c>
      <c r="I327" s="5">
        <v>10000288882</v>
      </c>
      <c r="J327" s="100" t="s">
        <v>82</v>
      </c>
      <c r="K327" s="27"/>
      <c r="L327" s="28"/>
      <c r="M327" s="51"/>
      <c r="N327" s="29"/>
      <c r="O327" s="30"/>
      <c r="P327" s="54"/>
      <c r="Q327" s="132">
        <v>46007</v>
      </c>
      <c r="R327" s="89">
        <f t="shared" si="13"/>
        <v>1.0048268029528677</v>
      </c>
      <c r="S327" s="101" t="s">
        <v>1806</v>
      </c>
      <c r="T327" s="147" t="s">
        <v>2498</v>
      </c>
    </row>
    <row r="328" spans="1:20" ht="57.6" x14ac:dyDescent="0.3">
      <c r="A328" s="96">
        <f t="shared" si="12"/>
        <v>325</v>
      </c>
      <c r="B328" s="428">
        <v>1550</v>
      </c>
      <c r="C328" s="429">
        <v>45786</v>
      </c>
      <c r="D328" s="331"/>
      <c r="E328" s="277" t="s">
        <v>2499</v>
      </c>
      <c r="F328" s="400" t="s">
        <v>1314</v>
      </c>
      <c r="G328" s="172" t="s">
        <v>10</v>
      </c>
      <c r="H328" s="183">
        <v>45786</v>
      </c>
      <c r="I328" s="173"/>
      <c r="J328" s="100" t="s">
        <v>99</v>
      </c>
      <c r="K328" s="27"/>
      <c r="L328" s="28"/>
      <c r="M328" s="51"/>
      <c r="N328" s="29"/>
      <c r="O328" s="30"/>
      <c r="P328" s="430"/>
      <c r="Q328" s="132">
        <v>45789</v>
      </c>
      <c r="R328" s="89">
        <f t="shared" si="13"/>
        <v>1.0000655222120298</v>
      </c>
      <c r="S328" s="101" t="s">
        <v>1319</v>
      </c>
      <c r="T328" s="56"/>
    </row>
    <row r="329" spans="1:20" ht="57.6" x14ac:dyDescent="0.3">
      <c r="A329" s="96">
        <f t="shared" si="12"/>
        <v>326</v>
      </c>
      <c r="B329" s="123">
        <v>1550</v>
      </c>
      <c r="C329" s="124">
        <v>45786</v>
      </c>
      <c r="D329" s="331"/>
      <c r="E329" s="270" t="s">
        <v>2500</v>
      </c>
      <c r="F329" s="388" t="s">
        <v>1314</v>
      </c>
      <c r="G329" s="221" t="s">
        <v>10</v>
      </c>
      <c r="H329" s="183">
        <v>45786</v>
      </c>
      <c r="I329" s="173"/>
      <c r="J329" s="100" t="s">
        <v>99</v>
      </c>
      <c r="K329" s="27"/>
      <c r="L329" s="28"/>
      <c r="M329" s="51"/>
      <c r="N329" s="29"/>
      <c r="O329" s="30"/>
      <c r="P329" s="54"/>
      <c r="Q329" s="132">
        <v>45789</v>
      </c>
      <c r="R329" s="89">
        <f t="shared" si="13"/>
        <v>1.0000655222120298</v>
      </c>
      <c r="S329" s="101" t="s">
        <v>1319</v>
      </c>
      <c r="T329" s="56"/>
    </row>
    <row r="330" spans="1:20" ht="57.6" x14ac:dyDescent="0.3">
      <c r="A330" s="96">
        <f t="shared" si="12"/>
        <v>327</v>
      </c>
      <c r="B330" s="123">
        <v>1550</v>
      </c>
      <c r="C330" s="124">
        <v>45786</v>
      </c>
      <c r="D330" s="331"/>
      <c r="E330" s="270" t="s">
        <v>2501</v>
      </c>
      <c r="F330" s="388" t="s">
        <v>1314</v>
      </c>
      <c r="G330" s="221" t="s">
        <v>10</v>
      </c>
      <c r="H330" s="183">
        <v>45786</v>
      </c>
      <c r="I330" s="173"/>
      <c r="J330" s="100" t="s">
        <v>99</v>
      </c>
      <c r="K330" s="27"/>
      <c r="L330" s="28"/>
      <c r="M330" s="51"/>
      <c r="N330" s="29"/>
      <c r="O330" s="30"/>
      <c r="P330" s="54"/>
      <c r="Q330" s="132">
        <v>45789</v>
      </c>
      <c r="R330" s="89">
        <f t="shared" si="13"/>
        <v>1.0000655222120298</v>
      </c>
      <c r="S330" s="101" t="s">
        <v>1319</v>
      </c>
      <c r="T330" s="56"/>
    </row>
    <row r="331" spans="1:20" ht="57.6" x14ac:dyDescent="0.3">
      <c r="A331" s="96">
        <f t="shared" si="12"/>
        <v>328</v>
      </c>
      <c r="B331" s="123">
        <v>1550</v>
      </c>
      <c r="C331" s="124">
        <v>45786</v>
      </c>
      <c r="D331" s="331"/>
      <c r="E331" s="270" t="s">
        <v>2502</v>
      </c>
      <c r="F331" s="388" t="s">
        <v>1314</v>
      </c>
      <c r="G331" s="221" t="s">
        <v>10</v>
      </c>
      <c r="H331" s="183">
        <v>45786</v>
      </c>
      <c r="I331" s="173"/>
      <c r="J331" s="100" t="s">
        <v>99</v>
      </c>
      <c r="K331" s="27"/>
      <c r="L331" s="28"/>
      <c r="M331" s="51"/>
      <c r="N331" s="29"/>
      <c r="O331" s="30"/>
      <c r="P331" s="54"/>
      <c r="Q331" s="132">
        <v>45789</v>
      </c>
      <c r="R331" s="89">
        <f t="shared" si="13"/>
        <v>1.0000655222120298</v>
      </c>
      <c r="S331" s="101" t="s">
        <v>1319</v>
      </c>
      <c r="T331" s="56"/>
    </row>
    <row r="332" spans="1:20" ht="100.8" x14ac:dyDescent="0.3">
      <c r="A332" s="96">
        <f t="shared" si="12"/>
        <v>329</v>
      </c>
      <c r="B332" s="123">
        <v>1550</v>
      </c>
      <c r="C332" s="124">
        <v>45786</v>
      </c>
      <c r="D332" s="331">
        <v>72806389</v>
      </c>
      <c r="E332" s="270" t="s">
        <v>2503</v>
      </c>
      <c r="F332" s="344" t="s">
        <v>15</v>
      </c>
      <c r="G332" s="221" t="s">
        <v>10</v>
      </c>
      <c r="H332" s="183">
        <v>45786</v>
      </c>
      <c r="I332" s="5"/>
      <c r="J332" s="100" t="s">
        <v>2504</v>
      </c>
      <c r="K332" s="27"/>
      <c r="L332" s="28"/>
      <c r="M332" s="51"/>
      <c r="N332" s="29"/>
      <c r="O332" s="30"/>
      <c r="P332" s="54"/>
      <c r="Q332" s="132">
        <v>45786</v>
      </c>
      <c r="R332" s="89">
        <f t="shared" si="13"/>
        <v>1</v>
      </c>
      <c r="S332" s="101" t="s">
        <v>2111</v>
      </c>
      <c r="T332" s="56"/>
    </row>
    <row r="333" spans="1:20" ht="28.8" x14ac:dyDescent="0.3">
      <c r="A333" s="96">
        <f t="shared" si="12"/>
        <v>330</v>
      </c>
      <c r="B333" s="135">
        <v>1550</v>
      </c>
      <c r="C333" s="251">
        <v>45789</v>
      </c>
      <c r="D333" s="331">
        <v>114187371</v>
      </c>
      <c r="E333" s="391" t="s">
        <v>2505</v>
      </c>
      <c r="F333" s="344" t="s">
        <v>1</v>
      </c>
      <c r="G333" s="112" t="s">
        <v>4</v>
      </c>
      <c r="H333" s="183">
        <v>45789</v>
      </c>
      <c r="I333" s="5"/>
      <c r="J333" s="100" t="s">
        <v>2506</v>
      </c>
      <c r="K333" s="27"/>
      <c r="L333" s="28"/>
      <c r="M333" s="51"/>
      <c r="N333" s="29"/>
      <c r="O333" s="30"/>
      <c r="P333" s="54"/>
      <c r="Q333" s="132">
        <v>45789</v>
      </c>
      <c r="R333" s="89">
        <f t="shared" si="13"/>
        <v>1</v>
      </c>
      <c r="S333" s="101"/>
      <c r="T333" s="56"/>
    </row>
    <row r="334" spans="1:20" ht="57.6" x14ac:dyDescent="0.3">
      <c r="A334" s="96">
        <f t="shared" si="12"/>
        <v>331</v>
      </c>
      <c r="B334" s="135">
        <v>1550</v>
      </c>
      <c r="C334" s="251">
        <v>45789</v>
      </c>
      <c r="D334" s="331"/>
      <c r="E334" t="s">
        <v>2507</v>
      </c>
      <c r="F334" s="344" t="s">
        <v>1314</v>
      </c>
      <c r="G334" s="112" t="s">
        <v>4</v>
      </c>
      <c r="H334" s="183">
        <v>45789</v>
      </c>
      <c r="I334" s="5"/>
      <c r="J334" s="100" t="s">
        <v>135</v>
      </c>
      <c r="K334" s="27"/>
      <c r="L334" s="28"/>
      <c r="M334" s="51"/>
      <c r="N334" s="29"/>
      <c r="O334" s="30"/>
      <c r="P334" s="54"/>
      <c r="Q334" s="132">
        <v>45790</v>
      </c>
      <c r="R334" s="89">
        <f t="shared" si="13"/>
        <v>1.0000218393063836</v>
      </c>
      <c r="S334" s="101"/>
      <c r="T334" s="56"/>
    </row>
    <row r="335" spans="1:20" ht="57.6" x14ac:dyDescent="0.3">
      <c r="A335" s="96">
        <f t="shared" si="12"/>
        <v>332</v>
      </c>
      <c r="B335" s="135">
        <v>1550</v>
      </c>
      <c r="C335" s="251">
        <v>45789</v>
      </c>
      <c r="D335" s="331">
        <v>90804104</v>
      </c>
      <c r="E335" s="269" t="s">
        <v>2508</v>
      </c>
      <c r="F335" s="386" t="s">
        <v>12</v>
      </c>
      <c r="G335" s="221" t="s">
        <v>4</v>
      </c>
      <c r="H335" s="183">
        <v>45789</v>
      </c>
      <c r="I335" s="137"/>
      <c r="J335" s="729" t="s">
        <v>159</v>
      </c>
      <c r="K335" s="27"/>
      <c r="L335" s="28"/>
      <c r="M335" s="51"/>
      <c r="N335" s="29"/>
      <c r="O335" s="30"/>
      <c r="P335" s="54"/>
      <c r="Q335" s="83">
        <v>45792</v>
      </c>
      <c r="R335" s="89">
        <f t="shared" si="13"/>
        <v>1.0000655179191509</v>
      </c>
      <c r="S335" s="101"/>
      <c r="T335" s="56"/>
    </row>
    <row r="336" spans="1:20" ht="57.6" x14ac:dyDescent="0.3">
      <c r="A336" s="96">
        <f t="shared" si="12"/>
        <v>333</v>
      </c>
      <c r="B336" s="135">
        <v>1550</v>
      </c>
      <c r="C336" s="251">
        <v>45789</v>
      </c>
      <c r="D336" s="331"/>
      <c r="E336" t="s">
        <v>2509</v>
      </c>
      <c r="F336" s="344" t="s">
        <v>1314</v>
      </c>
      <c r="G336" s="112" t="s">
        <v>4</v>
      </c>
      <c r="H336" s="183">
        <v>45789</v>
      </c>
      <c r="I336" s="5"/>
      <c r="J336" s="100" t="s">
        <v>135</v>
      </c>
      <c r="K336" s="27"/>
      <c r="L336" s="28"/>
      <c r="M336" s="51"/>
      <c r="N336" s="29"/>
      <c r="O336" s="30"/>
      <c r="P336" s="54"/>
      <c r="Q336" s="132">
        <v>45790</v>
      </c>
      <c r="R336" s="89">
        <f t="shared" si="13"/>
        <v>1.0000218393063836</v>
      </c>
      <c r="S336" s="101"/>
      <c r="T336" s="56"/>
    </row>
    <row r="337" spans="1:20" x14ac:dyDescent="0.3">
      <c r="A337" s="96">
        <f t="shared" si="12"/>
        <v>334</v>
      </c>
      <c r="B337" s="135" t="s">
        <v>2510</v>
      </c>
      <c r="C337" s="251">
        <v>45789</v>
      </c>
      <c r="D337" t="s">
        <v>2511</v>
      </c>
      <c r="E337" s="391" t="s">
        <v>2488</v>
      </c>
      <c r="F337" s="344" t="s">
        <v>23</v>
      </c>
      <c r="G337" s="112" t="s">
        <v>4</v>
      </c>
      <c r="H337" s="183">
        <v>45789</v>
      </c>
      <c r="I337" s="5"/>
      <c r="J337" s="100" t="s">
        <v>135</v>
      </c>
      <c r="K337" s="27"/>
      <c r="L337" s="28"/>
      <c r="M337" s="51"/>
      <c r="N337" s="29"/>
      <c r="O337" s="30"/>
      <c r="P337" s="54"/>
      <c r="Q337" s="132">
        <v>45791</v>
      </c>
      <c r="R337" s="89">
        <f t="shared" si="13"/>
        <v>1.0000436786127673</v>
      </c>
      <c r="S337" s="101"/>
      <c r="T337" s="56"/>
    </row>
    <row r="338" spans="1:20" ht="43.2" x14ac:dyDescent="0.3">
      <c r="A338" s="96">
        <f t="shared" si="12"/>
        <v>335</v>
      </c>
      <c r="B338" s="135" t="s">
        <v>301</v>
      </c>
      <c r="C338" s="251">
        <v>45789</v>
      </c>
      <c r="D338" s="331">
        <v>91067022</v>
      </c>
      <c r="E338" s="270" t="s">
        <v>2512</v>
      </c>
      <c r="F338" s="378" t="s">
        <v>3</v>
      </c>
      <c r="G338" s="221" t="s">
        <v>4</v>
      </c>
      <c r="H338" s="183">
        <v>45789</v>
      </c>
      <c r="I338" s="146"/>
      <c r="J338" s="100" t="s">
        <v>2513</v>
      </c>
      <c r="K338" s="27"/>
      <c r="L338" s="28"/>
      <c r="M338" s="51"/>
      <c r="N338" s="29"/>
      <c r="O338" s="30"/>
      <c r="P338" s="54"/>
      <c r="Q338" s="83">
        <v>45792</v>
      </c>
      <c r="R338" s="89">
        <f t="shared" si="13"/>
        <v>1.0000655179191509</v>
      </c>
      <c r="S338" s="101"/>
      <c r="T338" s="56"/>
    </row>
    <row r="339" spans="1:20" ht="57.6" x14ac:dyDescent="0.3">
      <c r="A339" s="96">
        <f t="shared" si="12"/>
        <v>336</v>
      </c>
      <c r="B339" s="135" t="s">
        <v>301</v>
      </c>
      <c r="C339" s="251">
        <v>45789</v>
      </c>
      <c r="D339" s="331"/>
      <c r="E339" t="s">
        <v>2514</v>
      </c>
      <c r="F339" s="344" t="s">
        <v>1314</v>
      </c>
      <c r="G339" s="112" t="s">
        <v>4</v>
      </c>
      <c r="H339" s="183">
        <v>45789</v>
      </c>
      <c r="I339" s="5"/>
      <c r="J339" s="100" t="s">
        <v>135</v>
      </c>
      <c r="K339" s="27"/>
      <c r="L339" s="28"/>
      <c r="M339" s="51"/>
      <c r="N339" s="29"/>
      <c r="O339" s="30"/>
      <c r="P339" s="54"/>
      <c r="Q339" s="132">
        <v>45790</v>
      </c>
      <c r="R339" s="89">
        <f t="shared" si="13"/>
        <v>1.0000218393063836</v>
      </c>
      <c r="S339" s="101"/>
      <c r="T339" s="56"/>
    </row>
    <row r="340" spans="1:20" ht="57.6" x14ac:dyDescent="0.3">
      <c r="A340" s="96">
        <f t="shared" si="12"/>
        <v>337</v>
      </c>
      <c r="B340" s="135" t="s">
        <v>301</v>
      </c>
      <c r="C340" s="251">
        <v>45789</v>
      </c>
      <c r="D340" s="331"/>
      <c r="E340" t="s">
        <v>2515</v>
      </c>
      <c r="F340" s="344" t="s">
        <v>1314</v>
      </c>
      <c r="G340" s="112" t="s">
        <v>4</v>
      </c>
      <c r="H340" s="183">
        <v>45789</v>
      </c>
      <c r="I340" s="5"/>
      <c r="J340" s="100" t="s">
        <v>135</v>
      </c>
      <c r="K340" s="27"/>
      <c r="L340" s="28"/>
      <c r="M340" s="51"/>
      <c r="N340" s="29"/>
      <c r="O340" s="30"/>
      <c r="P340" s="54"/>
      <c r="Q340" s="132">
        <v>45790</v>
      </c>
      <c r="R340" s="89">
        <f t="shared" si="13"/>
        <v>1.0000218393063836</v>
      </c>
      <c r="S340" s="101"/>
      <c r="T340" s="56"/>
    </row>
    <row r="341" spans="1:20" ht="57.6" x14ac:dyDescent="0.3">
      <c r="A341" s="96">
        <f t="shared" si="12"/>
        <v>338</v>
      </c>
      <c r="B341" s="135">
        <v>1550</v>
      </c>
      <c r="C341" s="251">
        <v>45789</v>
      </c>
      <c r="D341" s="331"/>
      <c r="E341" t="s">
        <v>2516</v>
      </c>
      <c r="F341" s="344" t="s">
        <v>1314</v>
      </c>
      <c r="G341" s="112" t="s">
        <v>4</v>
      </c>
      <c r="H341" s="183">
        <v>45789</v>
      </c>
      <c r="I341" s="5"/>
      <c r="J341" s="100" t="s">
        <v>135</v>
      </c>
      <c r="K341" s="27"/>
      <c r="L341" s="28"/>
      <c r="M341" s="51"/>
      <c r="N341" s="29"/>
      <c r="O341" s="30"/>
      <c r="P341" s="54"/>
      <c r="Q341" s="132">
        <v>45790</v>
      </c>
      <c r="R341" s="89">
        <f t="shared" si="13"/>
        <v>1.0000218393063836</v>
      </c>
      <c r="S341" s="101"/>
      <c r="T341" s="56"/>
    </row>
    <row r="342" spans="1:20" ht="57.6" x14ac:dyDescent="0.3">
      <c r="A342" s="96">
        <f t="shared" si="12"/>
        <v>339</v>
      </c>
      <c r="B342" s="135">
        <v>1550</v>
      </c>
      <c r="C342" s="251">
        <v>45789</v>
      </c>
      <c r="D342" s="331"/>
      <c r="E342" t="s">
        <v>2517</v>
      </c>
      <c r="F342" s="344" t="s">
        <v>1314</v>
      </c>
      <c r="G342" s="112" t="s">
        <v>4</v>
      </c>
      <c r="H342" s="183">
        <v>45789</v>
      </c>
      <c r="I342" s="5"/>
      <c r="J342" s="100" t="s">
        <v>135</v>
      </c>
      <c r="K342" s="27"/>
      <c r="L342" s="28"/>
      <c r="M342" s="51"/>
      <c r="N342" s="29"/>
      <c r="O342" s="30"/>
      <c r="P342" s="54"/>
      <c r="Q342" s="132">
        <v>45790</v>
      </c>
      <c r="R342" s="89">
        <f t="shared" si="13"/>
        <v>1.0000218393063836</v>
      </c>
      <c r="S342" s="101"/>
      <c r="T342" s="56"/>
    </row>
    <row r="343" spans="1:20" ht="57.6" x14ac:dyDescent="0.3">
      <c r="A343" s="96">
        <f t="shared" si="12"/>
        <v>340</v>
      </c>
      <c r="B343" s="135">
        <v>1550</v>
      </c>
      <c r="C343" s="251">
        <v>45789</v>
      </c>
      <c r="D343" s="331"/>
      <c r="E343" t="s">
        <v>2518</v>
      </c>
      <c r="F343" s="344" t="s">
        <v>1314</v>
      </c>
      <c r="G343" s="112" t="s">
        <v>4</v>
      </c>
      <c r="H343" s="183">
        <v>45789</v>
      </c>
      <c r="I343" s="5"/>
      <c r="J343" s="100" t="s">
        <v>135</v>
      </c>
      <c r="K343" s="27"/>
      <c r="L343" s="28"/>
      <c r="M343" s="51"/>
      <c r="N343" s="29"/>
      <c r="O343" s="30"/>
      <c r="P343" s="54"/>
      <c r="Q343" s="132">
        <v>45790</v>
      </c>
      <c r="R343" s="89">
        <f t="shared" si="13"/>
        <v>1.0000218393063836</v>
      </c>
      <c r="S343" s="101"/>
      <c r="T343" s="56"/>
    </row>
    <row r="344" spans="1:20" ht="57.6" x14ac:dyDescent="0.3">
      <c r="A344" s="96">
        <f t="shared" si="12"/>
        <v>341</v>
      </c>
      <c r="B344" s="135">
        <v>1550</v>
      </c>
      <c r="C344" s="136">
        <v>45789</v>
      </c>
      <c r="D344" s="331"/>
      <c r="E344" s="261" t="s">
        <v>2519</v>
      </c>
      <c r="F344" s="386" t="s">
        <v>1314</v>
      </c>
      <c r="G344" s="376" t="s">
        <v>6</v>
      </c>
      <c r="H344" s="183">
        <v>45789</v>
      </c>
      <c r="I344" s="137"/>
      <c r="J344" s="100" t="s">
        <v>99</v>
      </c>
      <c r="K344" s="27"/>
      <c r="L344" s="28"/>
      <c r="M344" s="51"/>
      <c r="N344" s="29"/>
      <c r="O344" s="30"/>
      <c r="P344" s="54"/>
      <c r="Q344" s="83">
        <v>45790</v>
      </c>
      <c r="R344" s="89">
        <f t="shared" si="13"/>
        <v>1.0000218393063836</v>
      </c>
      <c r="S344" s="101" t="s">
        <v>216</v>
      </c>
      <c r="T344" s="56"/>
    </row>
    <row r="345" spans="1:20" ht="57.6" x14ac:dyDescent="0.3">
      <c r="A345" s="96">
        <f t="shared" si="12"/>
        <v>342</v>
      </c>
      <c r="B345" s="135">
        <v>1550</v>
      </c>
      <c r="C345" s="136">
        <v>45789</v>
      </c>
      <c r="D345" s="331"/>
      <c r="E345" s="262" t="s">
        <v>2520</v>
      </c>
      <c r="F345" s="386" t="s">
        <v>1314</v>
      </c>
      <c r="G345" s="376" t="s">
        <v>6</v>
      </c>
      <c r="H345" s="183">
        <v>45789</v>
      </c>
      <c r="I345" s="5"/>
      <c r="J345" s="100" t="s">
        <v>99</v>
      </c>
      <c r="K345" s="128"/>
      <c r="L345" s="128"/>
      <c r="M345" s="129"/>
      <c r="N345" s="130"/>
      <c r="O345" s="130"/>
      <c r="P345" s="131"/>
      <c r="Q345" s="132">
        <v>45791</v>
      </c>
      <c r="R345" s="89">
        <f t="shared" si="13"/>
        <v>1.0000436786127673</v>
      </c>
      <c r="S345" s="101" t="s">
        <v>216</v>
      </c>
      <c r="T345" s="168"/>
    </row>
    <row r="346" spans="1:20" ht="57.6" x14ac:dyDescent="0.3">
      <c r="A346" s="96">
        <f t="shared" ref="A346:A409" si="14">A345+1</f>
        <v>343</v>
      </c>
      <c r="B346" s="135">
        <v>1550</v>
      </c>
      <c r="C346" s="136">
        <v>45789</v>
      </c>
      <c r="D346" s="331"/>
      <c r="E346" s="262" t="s">
        <v>2521</v>
      </c>
      <c r="F346" s="386" t="s">
        <v>1314</v>
      </c>
      <c r="G346" s="376" t="s">
        <v>6</v>
      </c>
      <c r="H346" s="183">
        <v>45789</v>
      </c>
      <c r="I346" s="5"/>
      <c r="J346" s="100" t="s">
        <v>99</v>
      </c>
      <c r="K346" s="128"/>
      <c r="L346" s="128"/>
      <c r="M346" s="129"/>
      <c r="N346" s="130"/>
      <c r="O346" s="130"/>
      <c r="P346" s="131"/>
      <c r="Q346" s="132">
        <v>45790</v>
      </c>
      <c r="R346" s="89">
        <f t="shared" si="13"/>
        <v>1.0000218393063836</v>
      </c>
      <c r="S346" s="101" t="s">
        <v>1172</v>
      </c>
      <c r="T346" s="56"/>
    </row>
    <row r="347" spans="1:20" ht="57.6" x14ac:dyDescent="0.3">
      <c r="A347" s="96">
        <f t="shared" si="14"/>
        <v>344</v>
      </c>
      <c r="B347" s="135">
        <v>1550</v>
      </c>
      <c r="C347" s="136">
        <v>45789</v>
      </c>
      <c r="D347" s="331"/>
      <c r="E347" s="262" t="s">
        <v>2522</v>
      </c>
      <c r="F347" s="386" t="s">
        <v>1314</v>
      </c>
      <c r="G347" s="376" t="s">
        <v>6</v>
      </c>
      <c r="H347" s="183">
        <v>45789</v>
      </c>
      <c r="I347" s="146"/>
      <c r="J347" s="100" t="s">
        <v>99</v>
      </c>
      <c r="K347" s="27"/>
      <c r="L347" s="28"/>
      <c r="M347" s="51"/>
      <c r="N347" s="29"/>
      <c r="O347" s="30"/>
      <c r="P347" s="54"/>
      <c r="Q347" s="132">
        <v>45790</v>
      </c>
      <c r="R347" s="89">
        <f t="shared" si="13"/>
        <v>1.0000218393063836</v>
      </c>
      <c r="S347" s="101" t="s">
        <v>1172</v>
      </c>
      <c r="T347" s="56"/>
    </row>
    <row r="348" spans="1:20" ht="43.2" x14ac:dyDescent="0.3">
      <c r="A348" s="96">
        <f t="shared" si="14"/>
        <v>345</v>
      </c>
      <c r="B348" s="135">
        <v>1550</v>
      </c>
      <c r="C348" s="136">
        <v>45789</v>
      </c>
      <c r="D348" s="331">
        <v>3052915</v>
      </c>
      <c r="E348" s="268" t="s">
        <v>2523</v>
      </c>
      <c r="F348" s="378" t="s">
        <v>14</v>
      </c>
      <c r="G348" s="221" t="s">
        <v>8</v>
      </c>
      <c r="H348" s="183">
        <v>45789</v>
      </c>
      <c r="I348" s="146"/>
      <c r="J348" s="742" t="s">
        <v>253</v>
      </c>
      <c r="K348" s="27"/>
      <c r="L348" s="28"/>
      <c r="M348" s="51"/>
      <c r="N348" s="29"/>
      <c r="O348" s="30"/>
      <c r="P348" s="54"/>
      <c r="Q348" s="132">
        <v>45790</v>
      </c>
      <c r="R348" s="89">
        <f t="shared" si="13"/>
        <v>1.0000218393063836</v>
      </c>
      <c r="S348" s="101" t="s">
        <v>1916</v>
      </c>
      <c r="T348" s="56"/>
    </row>
    <row r="349" spans="1:20" ht="72" x14ac:dyDescent="0.3">
      <c r="A349" s="96">
        <f t="shared" si="14"/>
        <v>346</v>
      </c>
      <c r="B349" s="135">
        <v>1550</v>
      </c>
      <c r="C349" s="136">
        <v>45789</v>
      </c>
      <c r="D349" s="331"/>
      <c r="E349" s="268" t="s">
        <v>2524</v>
      </c>
      <c r="F349" s="378" t="s">
        <v>1314</v>
      </c>
      <c r="G349" s="221" t="s">
        <v>8</v>
      </c>
      <c r="H349" s="183">
        <v>45789</v>
      </c>
      <c r="I349" s="146"/>
      <c r="J349" s="100" t="s">
        <v>99</v>
      </c>
      <c r="K349" s="27"/>
      <c r="L349" s="28"/>
      <c r="M349" s="51"/>
      <c r="N349" s="29"/>
      <c r="O349" s="30"/>
      <c r="P349" s="54"/>
      <c r="Q349" s="132">
        <v>45790</v>
      </c>
      <c r="R349" s="89">
        <f t="shared" si="13"/>
        <v>1.0000218393063836</v>
      </c>
      <c r="S349" s="101" t="s">
        <v>758</v>
      </c>
      <c r="T349" s="56"/>
    </row>
    <row r="350" spans="1:20" ht="57.6" x14ac:dyDescent="0.3">
      <c r="A350" s="96">
        <f t="shared" si="14"/>
        <v>347</v>
      </c>
      <c r="B350" s="135" t="s">
        <v>80</v>
      </c>
      <c r="C350" s="136">
        <v>45789</v>
      </c>
      <c r="D350" s="331"/>
      <c r="E350" s="270" t="s">
        <v>2525</v>
      </c>
      <c r="F350" s="388" t="s">
        <v>1314</v>
      </c>
      <c r="G350" s="221" t="s">
        <v>10</v>
      </c>
      <c r="H350" s="183">
        <v>45789</v>
      </c>
      <c r="I350" s="173"/>
      <c r="J350" s="100" t="s">
        <v>99</v>
      </c>
      <c r="K350" s="27"/>
      <c r="L350" s="28"/>
      <c r="M350" s="51"/>
      <c r="N350" s="29"/>
      <c r="O350" s="30"/>
      <c r="P350" s="54"/>
      <c r="Q350" s="132">
        <v>45790</v>
      </c>
      <c r="R350" s="89">
        <f t="shared" si="13"/>
        <v>1.0000218393063836</v>
      </c>
      <c r="S350" s="101" t="s">
        <v>216</v>
      </c>
      <c r="T350" s="56"/>
    </row>
    <row r="351" spans="1:20" ht="57.6" x14ac:dyDescent="0.3">
      <c r="A351" s="96">
        <f t="shared" si="14"/>
        <v>348</v>
      </c>
      <c r="B351" s="135" t="s">
        <v>80</v>
      </c>
      <c r="C351" s="136">
        <v>45789</v>
      </c>
      <c r="D351" s="331"/>
      <c r="E351" s="270" t="s">
        <v>2526</v>
      </c>
      <c r="F351" s="388" t="s">
        <v>1314</v>
      </c>
      <c r="G351" s="221" t="s">
        <v>10</v>
      </c>
      <c r="H351" s="183">
        <v>45789</v>
      </c>
      <c r="I351" s="173"/>
      <c r="J351" s="100" t="s">
        <v>99</v>
      </c>
      <c r="K351" s="27"/>
      <c r="L351" s="28"/>
      <c r="M351" s="51"/>
      <c r="N351" s="29"/>
      <c r="O351" s="30"/>
      <c r="P351" s="54"/>
      <c r="Q351" s="132">
        <v>45790</v>
      </c>
      <c r="R351" s="89">
        <f t="shared" si="13"/>
        <v>1.0000218393063836</v>
      </c>
      <c r="S351" s="101" t="s">
        <v>1319</v>
      </c>
      <c r="T351" s="56"/>
    </row>
    <row r="352" spans="1:20" ht="57.6" x14ac:dyDescent="0.3">
      <c r="A352" s="96">
        <f t="shared" si="14"/>
        <v>349</v>
      </c>
      <c r="B352" s="135">
        <v>1550</v>
      </c>
      <c r="C352" s="136">
        <v>45789</v>
      </c>
      <c r="D352" s="331"/>
      <c r="E352" s="270" t="s">
        <v>2527</v>
      </c>
      <c r="F352" s="388" t="s">
        <v>1314</v>
      </c>
      <c r="G352" s="221" t="s">
        <v>10</v>
      </c>
      <c r="H352" s="183">
        <v>45789</v>
      </c>
      <c r="I352" s="173"/>
      <c r="J352" s="100" t="s">
        <v>99</v>
      </c>
      <c r="K352" s="27"/>
      <c r="L352" s="28"/>
      <c r="M352" s="51"/>
      <c r="N352" s="29"/>
      <c r="O352" s="30"/>
      <c r="P352" s="54"/>
      <c r="Q352" s="132">
        <v>45790</v>
      </c>
      <c r="R352" s="89">
        <f t="shared" si="13"/>
        <v>1.0000218393063836</v>
      </c>
      <c r="S352" s="101" t="s">
        <v>1366</v>
      </c>
      <c r="T352" s="56"/>
    </row>
    <row r="353" spans="1:20" ht="57.6" x14ac:dyDescent="0.3">
      <c r="A353" s="96">
        <f t="shared" si="14"/>
        <v>350</v>
      </c>
      <c r="B353" s="135" t="s">
        <v>80</v>
      </c>
      <c r="C353" s="136">
        <v>45789</v>
      </c>
      <c r="D353" s="331"/>
      <c r="E353" s="270" t="s">
        <v>2528</v>
      </c>
      <c r="F353" s="388" t="s">
        <v>1314</v>
      </c>
      <c r="G353" s="221" t="s">
        <v>10</v>
      </c>
      <c r="H353" s="183">
        <v>45789</v>
      </c>
      <c r="I353" s="173"/>
      <c r="J353" s="100" t="s">
        <v>99</v>
      </c>
      <c r="K353" s="27"/>
      <c r="L353" s="28"/>
      <c r="M353" s="51"/>
      <c r="N353" s="29"/>
      <c r="O353" s="30"/>
      <c r="P353" s="54"/>
      <c r="Q353" s="132">
        <v>45790</v>
      </c>
      <c r="R353" s="89">
        <f t="shared" si="13"/>
        <v>1.0000218393063836</v>
      </c>
      <c r="S353" s="101" t="s">
        <v>1319</v>
      </c>
      <c r="T353" s="56"/>
    </row>
    <row r="354" spans="1:20" ht="57.6" x14ac:dyDescent="0.3">
      <c r="A354" s="96">
        <f t="shared" si="14"/>
        <v>351</v>
      </c>
      <c r="B354" s="135" t="s">
        <v>80</v>
      </c>
      <c r="C354" s="136">
        <v>45789</v>
      </c>
      <c r="D354" s="331"/>
      <c r="E354" s="270" t="s">
        <v>2529</v>
      </c>
      <c r="F354" s="388" t="s">
        <v>1314</v>
      </c>
      <c r="G354" s="221" t="s">
        <v>10</v>
      </c>
      <c r="H354" s="183">
        <v>45789</v>
      </c>
      <c r="I354" s="173"/>
      <c r="J354" s="100" t="s">
        <v>99</v>
      </c>
      <c r="K354" s="27"/>
      <c r="L354" s="28"/>
      <c r="M354" s="51"/>
      <c r="N354" s="29"/>
      <c r="O354" s="30"/>
      <c r="P354" s="54"/>
      <c r="Q354" s="132">
        <v>45790</v>
      </c>
      <c r="R354" s="89">
        <f t="shared" si="13"/>
        <v>1.0000218393063836</v>
      </c>
      <c r="S354" s="101" t="s">
        <v>1319</v>
      </c>
      <c r="T354" s="56"/>
    </row>
    <row r="355" spans="1:20" ht="57.6" x14ac:dyDescent="0.3">
      <c r="A355" s="96">
        <f t="shared" si="14"/>
        <v>352</v>
      </c>
      <c r="B355" s="135" t="s">
        <v>80</v>
      </c>
      <c r="C355" s="136">
        <v>45789</v>
      </c>
      <c r="D355" s="331"/>
      <c r="E355" s="270" t="s">
        <v>2530</v>
      </c>
      <c r="F355" s="388" t="s">
        <v>1314</v>
      </c>
      <c r="G355" s="221" t="s">
        <v>10</v>
      </c>
      <c r="H355" s="183">
        <v>45789</v>
      </c>
      <c r="I355" s="173"/>
      <c r="J355" s="100" t="s">
        <v>99</v>
      </c>
      <c r="K355" s="27"/>
      <c r="L355" s="28"/>
      <c r="M355" s="51"/>
      <c r="N355" s="29"/>
      <c r="O355" s="30"/>
      <c r="P355" s="54"/>
      <c r="Q355" s="132">
        <v>45791</v>
      </c>
      <c r="R355" s="89">
        <f t="shared" si="13"/>
        <v>1.0000436786127673</v>
      </c>
      <c r="S355" s="101" t="s">
        <v>1332</v>
      </c>
      <c r="T355" s="56"/>
    </row>
    <row r="356" spans="1:20" ht="57.6" x14ac:dyDescent="0.3">
      <c r="A356" s="96">
        <f t="shared" si="14"/>
        <v>353</v>
      </c>
      <c r="B356" s="135" t="s">
        <v>80</v>
      </c>
      <c r="C356" s="136">
        <v>45789</v>
      </c>
      <c r="D356" s="331"/>
      <c r="E356" s="270" t="s">
        <v>2531</v>
      </c>
      <c r="F356" s="388" t="s">
        <v>1314</v>
      </c>
      <c r="G356" s="221" t="s">
        <v>10</v>
      </c>
      <c r="H356" s="183">
        <v>45789</v>
      </c>
      <c r="I356" s="173"/>
      <c r="J356" s="100" t="s">
        <v>99</v>
      </c>
      <c r="K356" s="27"/>
      <c r="L356" s="28"/>
      <c r="M356" s="51"/>
      <c r="N356" s="29"/>
      <c r="O356" s="30"/>
      <c r="P356" s="54"/>
      <c r="Q356" s="132">
        <v>45790</v>
      </c>
      <c r="R356" s="89">
        <f t="shared" si="13"/>
        <v>1.0000218393063836</v>
      </c>
      <c r="S356" s="101" t="s">
        <v>1319</v>
      </c>
      <c r="T356" s="56"/>
    </row>
    <row r="357" spans="1:20" ht="57.6" x14ac:dyDescent="0.3">
      <c r="A357" s="96">
        <f t="shared" si="14"/>
        <v>354</v>
      </c>
      <c r="B357" s="135" t="s">
        <v>80</v>
      </c>
      <c r="C357" s="136">
        <v>45789</v>
      </c>
      <c r="D357" s="331"/>
      <c r="E357" s="270" t="s">
        <v>2532</v>
      </c>
      <c r="F357" s="388" t="s">
        <v>1314</v>
      </c>
      <c r="G357" s="221" t="s">
        <v>10</v>
      </c>
      <c r="H357" s="183">
        <v>45789</v>
      </c>
      <c r="I357" s="173"/>
      <c r="J357" s="100" t="s">
        <v>99</v>
      </c>
      <c r="K357" s="27"/>
      <c r="L357" s="28"/>
      <c r="M357" s="51"/>
      <c r="N357" s="29"/>
      <c r="O357" s="30"/>
      <c r="P357" s="54"/>
      <c r="Q357" s="132">
        <v>45790</v>
      </c>
      <c r="R357" s="89">
        <f t="shared" si="13"/>
        <v>1.0000218393063836</v>
      </c>
      <c r="S357" s="101" t="s">
        <v>1319</v>
      </c>
      <c r="T357" s="56"/>
    </row>
    <row r="358" spans="1:20" ht="57.6" x14ac:dyDescent="0.3">
      <c r="A358" s="96">
        <f t="shared" si="14"/>
        <v>355</v>
      </c>
      <c r="B358" s="135" t="s">
        <v>80</v>
      </c>
      <c r="C358" s="136">
        <v>45789</v>
      </c>
      <c r="D358" s="331"/>
      <c r="E358" s="270" t="s">
        <v>2533</v>
      </c>
      <c r="F358" s="388" t="s">
        <v>1314</v>
      </c>
      <c r="G358" s="221" t="s">
        <v>10</v>
      </c>
      <c r="H358" s="183">
        <v>45789</v>
      </c>
      <c r="I358" s="173"/>
      <c r="J358" s="100" t="s">
        <v>99</v>
      </c>
      <c r="K358" s="27"/>
      <c r="L358" s="28"/>
      <c r="M358" s="51"/>
      <c r="N358" s="29"/>
      <c r="O358" s="30"/>
      <c r="P358" s="54"/>
      <c r="Q358" s="132">
        <v>45790</v>
      </c>
      <c r="R358" s="89">
        <f t="shared" si="13"/>
        <v>1.0000218393063836</v>
      </c>
      <c r="S358" s="101" t="s">
        <v>1319</v>
      </c>
      <c r="T358" s="56"/>
    </row>
    <row r="359" spans="1:20" ht="172.8" x14ac:dyDescent="0.3">
      <c r="A359" s="96">
        <f t="shared" si="14"/>
        <v>356</v>
      </c>
      <c r="B359" s="135">
        <v>1550</v>
      </c>
      <c r="C359" s="136">
        <v>45789</v>
      </c>
      <c r="D359" s="331" t="s">
        <v>2534</v>
      </c>
      <c r="E359" s="270" t="s">
        <v>2535</v>
      </c>
      <c r="F359" s="386" t="s">
        <v>3</v>
      </c>
      <c r="G359" s="221" t="s">
        <v>10</v>
      </c>
      <c r="H359" s="183">
        <v>45789</v>
      </c>
      <c r="I359" s="137"/>
      <c r="J359" s="100" t="s">
        <v>2536</v>
      </c>
      <c r="K359" s="27"/>
      <c r="L359" s="28"/>
      <c r="M359" s="51"/>
      <c r="N359" s="29"/>
      <c r="O359" s="30"/>
      <c r="P359" s="54"/>
      <c r="Q359" s="132">
        <v>45790</v>
      </c>
      <c r="R359" s="89">
        <f t="shared" si="13"/>
        <v>1.0000218393063836</v>
      </c>
      <c r="S359" s="101" t="s">
        <v>1806</v>
      </c>
      <c r="T359" s="56"/>
    </row>
    <row r="360" spans="1:20" ht="72" x14ac:dyDescent="0.3">
      <c r="A360" s="96">
        <f t="shared" si="14"/>
        <v>357</v>
      </c>
      <c r="B360" s="135">
        <v>1550</v>
      </c>
      <c r="C360" s="136">
        <v>45790</v>
      </c>
      <c r="D360" s="331"/>
      <c r="E360" s="268" t="s">
        <v>2537</v>
      </c>
      <c r="F360" s="386" t="s">
        <v>1314</v>
      </c>
      <c r="G360" s="376" t="s">
        <v>8</v>
      </c>
      <c r="H360" s="183">
        <v>45790</v>
      </c>
      <c r="I360" s="137"/>
      <c r="J360" s="100" t="s">
        <v>99</v>
      </c>
      <c r="K360" s="27"/>
      <c r="L360" s="28"/>
      <c r="M360" s="51"/>
      <c r="N360" s="29"/>
      <c r="O360" s="30"/>
      <c r="P360" s="54"/>
      <c r="Q360" s="83">
        <v>45790</v>
      </c>
      <c r="R360" s="89">
        <f t="shared" si="13"/>
        <v>1</v>
      </c>
      <c r="S360" s="101" t="s">
        <v>138</v>
      </c>
      <c r="T360" s="56"/>
    </row>
    <row r="361" spans="1:20" ht="57.6" x14ac:dyDescent="0.3">
      <c r="A361" s="96">
        <f t="shared" si="14"/>
        <v>358</v>
      </c>
      <c r="B361" s="135">
        <v>1550</v>
      </c>
      <c r="C361" s="136">
        <v>45789</v>
      </c>
      <c r="D361" s="331"/>
      <c r="E361" s="268" t="s">
        <v>2538</v>
      </c>
      <c r="F361" s="386" t="s">
        <v>1314</v>
      </c>
      <c r="G361" s="376" t="s">
        <v>6</v>
      </c>
      <c r="H361" s="183">
        <v>45790</v>
      </c>
      <c r="I361" s="137"/>
      <c r="J361" s="100" t="s">
        <v>99</v>
      </c>
      <c r="K361" s="27"/>
      <c r="L361" s="28"/>
      <c r="M361" s="51"/>
      <c r="N361" s="29"/>
      <c r="O361" s="30"/>
      <c r="P361" s="54"/>
      <c r="Q361" s="83">
        <v>45791</v>
      </c>
      <c r="R361" s="89">
        <f t="shared" si="13"/>
        <v>1.0000218388294388</v>
      </c>
      <c r="S361" s="101" t="s">
        <v>1312</v>
      </c>
      <c r="T361" s="56"/>
    </row>
    <row r="362" spans="1:20" ht="100.8" x14ac:dyDescent="0.3">
      <c r="A362" s="96">
        <f t="shared" si="14"/>
        <v>359</v>
      </c>
      <c r="B362" s="135">
        <v>1550</v>
      </c>
      <c r="C362" s="136">
        <v>45790</v>
      </c>
      <c r="D362" s="331"/>
      <c r="E362" s="268" t="s">
        <v>2539</v>
      </c>
      <c r="F362" s="386" t="s">
        <v>14</v>
      </c>
      <c r="G362" s="221" t="s">
        <v>6</v>
      </c>
      <c r="H362" s="183">
        <v>45790</v>
      </c>
      <c r="I362" s="146"/>
      <c r="J362" s="742" t="s">
        <v>253</v>
      </c>
      <c r="K362" s="27"/>
      <c r="L362" s="28"/>
      <c r="M362" s="51"/>
      <c r="N362" s="29"/>
      <c r="O362" s="30"/>
      <c r="P362" s="54"/>
      <c r="Q362" s="83">
        <v>45793</v>
      </c>
      <c r="R362" s="89">
        <f t="shared" si="13"/>
        <v>1.0000655164883163</v>
      </c>
      <c r="S362" s="101" t="s">
        <v>216</v>
      </c>
      <c r="T362" s="56"/>
    </row>
    <row r="363" spans="1:20" ht="28.8" x14ac:dyDescent="0.3">
      <c r="A363" s="96">
        <f t="shared" si="14"/>
        <v>360</v>
      </c>
      <c r="B363" s="135" t="s">
        <v>1826</v>
      </c>
      <c r="C363" s="136">
        <v>45790</v>
      </c>
      <c r="D363" s="331">
        <v>28432657</v>
      </c>
      <c r="E363" s="268" t="s">
        <v>2540</v>
      </c>
      <c r="F363" s="378" t="s">
        <v>3</v>
      </c>
      <c r="G363" s="221" t="s">
        <v>4</v>
      </c>
      <c r="H363" s="183">
        <v>45790</v>
      </c>
      <c r="I363" s="146"/>
      <c r="J363" s="100" t="s">
        <v>82</v>
      </c>
      <c r="K363" s="27"/>
      <c r="L363" s="28"/>
      <c r="M363" s="51"/>
      <c r="N363" s="29"/>
      <c r="O363" s="30"/>
      <c r="P363" s="54"/>
      <c r="Q363" s="83">
        <v>45797</v>
      </c>
      <c r="R363" s="89">
        <f t="shared" si="13"/>
        <v>1.0001528718060713</v>
      </c>
      <c r="S363" s="101"/>
      <c r="T363" s="56"/>
    </row>
    <row r="364" spans="1:20" ht="72" x14ac:dyDescent="0.3">
      <c r="A364" s="96">
        <f t="shared" si="14"/>
        <v>361</v>
      </c>
      <c r="B364" s="135">
        <v>1550</v>
      </c>
      <c r="C364" s="136">
        <v>45790</v>
      </c>
      <c r="D364" s="331">
        <v>78168384</v>
      </c>
      <c r="E364" s="268" t="s">
        <v>2541</v>
      </c>
      <c r="F364" s="378" t="s">
        <v>1</v>
      </c>
      <c r="G364" s="221" t="s">
        <v>6</v>
      </c>
      <c r="H364" s="183">
        <v>45790</v>
      </c>
      <c r="I364" s="146"/>
      <c r="J364" s="100" t="s">
        <v>2352</v>
      </c>
      <c r="K364" s="27"/>
      <c r="L364" s="28"/>
      <c r="M364" s="51"/>
      <c r="N364" s="29"/>
      <c r="O364" s="30"/>
      <c r="P364" s="54"/>
      <c r="Q364" s="83">
        <v>45790</v>
      </c>
      <c r="R364" s="89">
        <f t="shared" si="13"/>
        <v>1</v>
      </c>
      <c r="S364" s="101" t="s">
        <v>1860</v>
      </c>
      <c r="T364" s="56"/>
    </row>
    <row r="365" spans="1:20" ht="115.2" x14ac:dyDescent="0.3">
      <c r="A365" s="96">
        <f t="shared" si="14"/>
        <v>362</v>
      </c>
      <c r="B365" s="135">
        <v>1550</v>
      </c>
      <c r="C365" s="136">
        <v>45790</v>
      </c>
      <c r="D365" s="331">
        <v>59530146</v>
      </c>
      <c r="E365" s="268" t="s">
        <v>2542</v>
      </c>
      <c r="F365" s="386" t="s">
        <v>3</v>
      </c>
      <c r="G365" s="221" t="s">
        <v>6</v>
      </c>
      <c r="H365" s="183">
        <v>45790</v>
      </c>
      <c r="I365" s="140"/>
      <c r="J365" s="100" t="s">
        <v>82</v>
      </c>
      <c r="K365" s="27"/>
      <c r="L365" s="28"/>
      <c r="M365" s="51"/>
      <c r="N365" s="29"/>
      <c r="O365" s="30"/>
      <c r="P365" s="54"/>
      <c r="Q365" s="83">
        <v>45791</v>
      </c>
      <c r="R365" s="89">
        <f t="shared" si="13"/>
        <v>1.0000218388294388</v>
      </c>
      <c r="S365" s="101" t="s">
        <v>1860</v>
      </c>
      <c r="T365" s="56"/>
    </row>
    <row r="366" spans="1:20" ht="100.8" x14ac:dyDescent="0.3">
      <c r="A366" s="96">
        <f t="shared" si="14"/>
        <v>363</v>
      </c>
      <c r="B366" s="135">
        <v>1550</v>
      </c>
      <c r="C366" s="136">
        <v>45790</v>
      </c>
      <c r="D366" s="331">
        <v>120432323</v>
      </c>
      <c r="E366" s="268" t="s">
        <v>2543</v>
      </c>
      <c r="F366" s="386" t="s">
        <v>1</v>
      </c>
      <c r="G366" s="221" t="s">
        <v>6</v>
      </c>
      <c r="H366" s="183">
        <v>45790</v>
      </c>
      <c r="I366" s="137"/>
      <c r="J366" s="38" t="s">
        <v>2544</v>
      </c>
      <c r="K366" s="27"/>
      <c r="L366" s="28"/>
      <c r="M366" s="51"/>
      <c r="N366" s="29"/>
      <c r="O366" s="30"/>
      <c r="P366" s="54"/>
      <c r="Q366" s="83">
        <v>45790</v>
      </c>
      <c r="R366" s="89">
        <f t="shared" si="13"/>
        <v>1</v>
      </c>
      <c r="S366" s="101" t="s">
        <v>1860</v>
      </c>
      <c r="T366" s="56"/>
    </row>
    <row r="367" spans="1:20" ht="28.8" x14ac:dyDescent="0.3">
      <c r="A367" s="96">
        <f t="shared" si="14"/>
        <v>364</v>
      </c>
      <c r="B367" s="135" t="s">
        <v>1826</v>
      </c>
      <c r="C367" s="136">
        <v>45790</v>
      </c>
      <c r="D367" s="331">
        <v>105065277</v>
      </c>
      <c r="E367" s="268" t="s">
        <v>2545</v>
      </c>
      <c r="F367" s="378" t="s">
        <v>1</v>
      </c>
      <c r="G367" s="221" t="s">
        <v>4</v>
      </c>
      <c r="H367" s="183">
        <v>45790</v>
      </c>
      <c r="I367" s="146"/>
      <c r="J367" s="100" t="s">
        <v>2367</v>
      </c>
      <c r="K367" s="27"/>
      <c r="L367" s="28"/>
      <c r="M367" s="51"/>
      <c r="N367" s="29"/>
      <c r="O367" s="30"/>
      <c r="P367" s="54"/>
      <c r="Q367" s="83">
        <v>45790</v>
      </c>
      <c r="R367" s="89">
        <f t="shared" si="13"/>
        <v>1</v>
      </c>
      <c r="S367" s="101"/>
      <c r="T367" s="56"/>
    </row>
    <row r="368" spans="1:20" ht="28.8" x14ac:dyDescent="0.3">
      <c r="A368" s="96">
        <f t="shared" si="14"/>
        <v>365</v>
      </c>
      <c r="B368" s="135" t="s">
        <v>2510</v>
      </c>
      <c r="C368" s="136">
        <v>45790</v>
      </c>
      <c r="D368" s="331">
        <v>112313159</v>
      </c>
      <c r="E368" s="269" t="s">
        <v>2546</v>
      </c>
      <c r="F368" s="378" t="s">
        <v>7</v>
      </c>
      <c r="G368" s="221" t="s">
        <v>4</v>
      </c>
      <c r="H368" s="183">
        <v>45790</v>
      </c>
      <c r="I368" s="146"/>
      <c r="J368" s="100" t="s">
        <v>2547</v>
      </c>
      <c r="K368" s="27"/>
      <c r="L368" s="28"/>
      <c r="M368" s="51"/>
      <c r="N368" s="29"/>
      <c r="O368" s="30"/>
      <c r="P368" s="54"/>
      <c r="Q368" s="83">
        <v>45791</v>
      </c>
      <c r="R368" s="89">
        <f t="shared" si="13"/>
        <v>1.0000218388294388</v>
      </c>
      <c r="S368" s="101"/>
      <c r="T368" s="56"/>
    </row>
    <row r="369" spans="1:20" ht="57.6" x14ac:dyDescent="0.3">
      <c r="A369" s="96">
        <f t="shared" si="14"/>
        <v>366</v>
      </c>
      <c r="B369" s="135">
        <v>1550</v>
      </c>
      <c r="C369" s="251">
        <v>45790</v>
      </c>
      <c r="D369" s="331"/>
      <c r="E369" s="270" t="s">
        <v>2548</v>
      </c>
      <c r="F369" s="386" t="s">
        <v>1314</v>
      </c>
      <c r="G369" s="376" t="s">
        <v>6</v>
      </c>
      <c r="H369" s="183">
        <v>45790</v>
      </c>
      <c r="I369" s="137"/>
      <c r="J369" s="125" t="s">
        <v>99</v>
      </c>
      <c r="K369" s="27"/>
      <c r="L369" s="28"/>
      <c r="M369" s="51"/>
      <c r="N369" s="29"/>
      <c r="O369" s="30"/>
      <c r="P369" s="54"/>
      <c r="Q369" s="83">
        <v>45791</v>
      </c>
      <c r="R369" s="89">
        <f t="shared" si="13"/>
        <v>1.0000218388294388</v>
      </c>
      <c r="S369" s="101" t="s">
        <v>1860</v>
      </c>
      <c r="T369" s="56"/>
    </row>
    <row r="370" spans="1:20" ht="57.6" x14ac:dyDescent="0.3">
      <c r="A370" s="96">
        <f t="shared" si="14"/>
        <v>367</v>
      </c>
      <c r="B370" s="135">
        <v>1550</v>
      </c>
      <c r="C370" s="251">
        <v>45790</v>
      </c>
      <c r="D370" s="331"/>
      <c r="E370" t="s">
        <v>2549</v>
      </c>
      <c r="F370" s="378" t="s">
        <v>1314</v>
      </c>
      <c r="G370" s="112" t="s">
        <v>4</v>
      </c>
      <c r="H370" s="183">
        <v>45790</v>
      </c>
      <c r="I370" s="137"/>
      <c r="J370" s="125" t="s">
        <v>99</v>
      </c>
      <c r="K370" s="27"/>
      <c r="L370" s="28"/>
      <c r="M370" s="51"/>
      <c r="N370" s="29"/>
      <c r="O370" s="30"/>
      <c r="P370" s="54"/>
      <c r="Q370" s="83">
        <v>45791</v>
      </c>
      <c r="R370" s="89">
        <f t="shared" si="13"/>
        <v>1.0000218388294388</v>
      </c>
      <c r="S370" s="101"/>
      <c r="T370" s="56"/>
    </row>
    <row r="371" spans="1:20" ht="72" x14ac:dyDescent="0.3">
      <c r="A371" s="96">
        <f t="shared" si="14"/>
        <v>368</v>
      </c>
      <c r="B371" s="135">
        <v>1550</v>
      </c>
      <c r="C371" s="251">
        <v>45790</v>
      </c>
      <c r="D371" s="331"/>
      <c r="E371" s="269" t="s">
        <v>2550</v>
      </c>
      <c r="F371" s="386" t="s">
        <v>1314</v>
      </c>
      <c r="G371" s="112" t="s">
        <v>8</v>
      </c>
      <c r="H371" s="183">
        <v>45790</v>
      </c>
      <c r="I371" s="137"/>
      <c r="J371" s="107" t="s">
        <v>99</v>
      </c>
      <c r="K371" s="27"/>
      <c r="L371" s="28"/>
      <c r="M371" s="51"/>
      <c r="N371" s="29"/>
      <c r="O371" s="30"/>
      <c r="P371" s="54"/>
      <c r="Q371" s="83">
        <v>45791</v>
      </c>
      <c r="R371" s="89">
        <f t="shared" si="13"/>
        <v>1.0000218388294388</v>
      </c>
      <c r="S371" s="101" t="s">
        <v>528</v>
      </c>
      <c r="T371" s="56"/>
    </row>
    <row r="372" spans="1:20" ht="57.6" x14ac:dyDescent="0.3">
      <c r="A372" s="96">
        <f t="shared" si="14"/>
        <v>369</v>
      </c>
      <c r="B372" s="135" t="s">
        <v>1826</v>
      </c>
      <c r="C372" s="136">
        <v>45790</v>
      </c>
      <c r="D372" s="331">
        <v>79179940</v>
      </c>
      <c r="E372" s="452" t="s">
        <v>2551</v>
      </c>
      <c r="F372" s="344" t="s">
        <v>39</v>
      </c>
      <c r="G372" s="112" t="s">
        <v>4</v>
      </c>
      <c r="H372" s="183">
        <v>45790</v>
      </c>
      <c r="I372" s="146"/>
      <c r="J372" s="100" t="s">
        <v>22</v>
      </c>
      <c r="K372" s="128"/>
      <c r="L372" s="128"/>
      <c r="M372" s="129"/>
      <c r="N372" s="130"/>
      <c r="O372" s="130"/>
      <c r="P372" s="131"/>
      <c r="Q372" s="132">
        <v>45792</v>
      </c>
      <c r="R372" s="89">
        <f t="shared" si="13"/>
        <v>1.0000436776588775</v>
      </c>
      <c r="S372" s="101"/>
      <c r="T372" s="168"/>
    </row>
    <row r="373" spans="1:20" ht="57.6" x14ac:dyDescent="0.3">
      <c r="A373" s="96">
        <f t="shared" si="14"/>
        <v>370</v>
      </c>
      <c r="B373" s="135" t="s">
        <v>1826</v>
      </c>
      <c r="C373" s="136">
        <v>45790</v>
      </c>
      <c r="D373" s="331">
        <v>116464038</v>
      </c>
      <c r="E373" s="271" t="s">
        <v>2552</v>
      </c>
      <c r="F373" s="344" t="s">
        <v>12</v>
      </c>
      <c r="G373" s="112" t="s">
        <v>8</v>
      </c>
      <c r="H373" s="183">
        <v>45790</v>
      </c>
      <c r="I373" s="146"/>
      <c r="J373" s="729" t="s">
        <v>159</v>
      </c>
      <c r="K373" s="128"/>
      <c r="L373" s="128"/>
      <c r="M373" s="129"/>
      <c r="N373" s="130"/>
      <c r="O373" s="130"/>
      <c r="P373" s="131"/>
      <c r="Q373" s="132">
        <v>45797</v>
      </c>
      <c r="R373" s="89">
        <f t="shared" si="13"/>
        <v>1.0001528718060713</v>
      </c>
      <c r="S373" s="101" t="s">
        <v>1916</v>
      </c>
      <c r="T373" s="101"/>
    </row>
    <row r="374" spans="1:20" ht="48.75" customHeight="1" x14ac:dyDescent="0.3">
      <c r="A374" s="96">
        <f t="shared" si="14"/>
        <v>371</v>
      </c>
      <c r="B374" s="135">
        <v>1550</v>
      </c>
      <c r="C374" s="136">
        <v>45790</v>
      </c>
      <c r="D374" s="331"/>
      <c r="E374" s="270" t="s">
        <v>2553</v>
      </c>
      <c r="F374" s="388" t="s">
        <v>1314</v>
      </c>
      <c r="G374" s="221" t="s">
        <v>10</v>
      </c>
      <c r="H374" s="183">
        <v>45790</v>
      </c>
      <c r="I374" s="173"/>
      <c r="J374" s="107" t="s">
        <v>99</v>
      </c>
      <c r="K374" s="128"/>
      <c r="L374" s="128"/>
      <c r="M374" s="129"/>
      <c r="N374" s="130"/>
      <c r="O374" s="130"/>
      <c r="P374" s="131"/>
      <c r="Q374" s="132">
        <v>45791</v>
      </c>
      <c r="R374" s="89">
        <f t="shared" si="13"/>
        <v>1.0000218388294388</v>
      </c>
      <c r="S374" s="101" t="s">
        <v>1366</v>
      </c>
      <c r="T374" s="168"/>
    </row>
    <row r="375" spans="1:20" ht="48.75" customHeight="1" x14ac:dyDescent="0.3">
      <c r="A375" s="96">
        <f t="shared" si="14"/>
        <v>372</v>
      </c>
      <c r="B375" s="135">
        <v>1550</v>
      </c>
      <c r="C375" s="136">
        <v>45790</v>
      </c>
      <c r="D375" s="331"/>
      <c r="E375" s="270" t="s">
        <v>2554</v>
      </c>
      <c r="F375" s="388" t="s">
        <v>1314</v>
      </c>
      <c r="G375" s="221" t="s">
        <v>10</v>
      </c>
      <c r="H375" s="183">
        <v>45790</v>
      </c>
      <c r="I375" s="173"/>
      <c r="J375" s="107" t="s">
        <v>99</v>
      </c>
      <c r="K375" s="27"/>
      <c r="L375" s="28"/>
      <c r="M375" s="51"/>
      <c r="N375" s="29"/>
      <c r="O375" s="30"/>
      <c r="P375" s="54"/>
      <c r="Q375" s="132">
        <v>45791</v>
      </c>
      <c r="R375" s="89">
        <f t="shared" si="13"/>
        <v>1.0000218388294388</v>
      </c>
      <c r="S375" s="101" t="s">
        <v>1366</v>
      </c>
      <c r="T375" s="56"/>
    </row>
    <row r="376" spans="1:20" ht="48.75" customHeight="1" x14ac:dyDescent="0.3">
      <c r="A376" s="96">
        <f t="shared" si="14"/>
        <v>373</v>
      </c>
      <c r="B376" s="135" t="s">
        <v>80</v>
      </c>
      <c r="C376" s="136">
        <v>45790</v>
      </c>
      <c r="D376" s="331"/>
      <c r="E376" s="270" t="s">
        <v>2555</v>
      </c>
      <c r="F376" s="388" t="s">
        <v>1314</v>
      </c>
      <c r="G376" s="112" t="s">
        <v>10</v>
      </c>
      <c r="H376" s="183">
        <v>45790</v>
      </c>
      <c r="I376" s="134"/>
      <c r="J376" s="107" t="s">
        <v>99</v>
      </c>
      <c r="K376" s="27"/>
      <c r="L376" s="28"/>
      <c r="M376" s="51"/>
      <c r="N376" s="29"/>
      <c r="O376" s="30"/>
      <c r="P376" s="54"/>
      <c r="Q376" s="132">
        <v>45791</v>
      </c>
      <c r="R376" s="89">
        <f t="shared" si="13"/>
        <v>1.0000218388294388</v>
      </c>
      <c r="S376" s="101" t="s">
        <v>1319</v>
      </c>
      <c r="T376" s="56"/>
    </row>
    <row r="377" spans="1:20" ht="48.75" customHeight="1" x14ac:dyDescent="0.3">
      <c r="A377" s="96">
        <f t="shared" si="14"/>
        <v>374</v>
      </c>
      <c r="B377" s="135" t="s">
        <v>80</v>
      </c>
      <c r="C377" s="136">
        <v>45790</v>
      </c>
      <c r="D377" s="331">
        <v>60925949</v>
      </c>
      <c r="E377" s="270" t="s">
        <v>2556</v>
      </c>
      <c r="F377" s="386" t="s">
        <v>15</v>
      </c>
      <c r="G377" s="112" t="s">
        <v>10</v>
      </c>
      <c r="H377" s="183">
        <v>45790</v>
      </c>
      <c r="I377" s="137"/>
      <c r="J377" s="107" t="s">
        <v>99</v>
      </c>
      <c r="K377" s="27"/>
      <c r="L377" s="28"/>
      <c r="M377" s="51"/>
      <c r="N377" s="29"/>
      <c r="O377" s="30"/>
      <c r="P377" s="54"/>
      <c r="Q377" s="132">
        <v>45797</v>
      </c>
      <c r="R377" s="89">
        <f t="shared" si="13"/>
        <v>1.0001528718060713</v>
      </c>
      <c r="S377" s="101" t="s">
        <v>1319</v>
      </c>
      <c r="T377" s="56"/>
    </row>
    <row r="378" spans="1:20" ht="48.75" customHeight="1" x14ac:dyDescent="0.3">
      <c r="A378" s="96">
        <f t="shared" si="14"/>
        <v>375</v>
      </c>
      <c r="B378" s="135" t="s">
        <v>80</v>
      </c>
      <c r="C378" s="136">
        <v>45790</v>
      </c>
      <c r="D378" s="331">
        <v>72082313</v>
      </c>
      <c r="E378" s="270" t="s">
        <v>2557</v>
      </c>
      <c r="F378" s="386" t="s">
        <v>15</v>
      </c>
      <c r="G378" s="112" t="s">
        <v>10</v>
      </c>
      <c r="H378" s="183">
        <v>45790</v>
      </c>
      <c r="I378" s="137"/>
      <c r="J378" s="107" t="s">
        <v>99</v>
      </c>
      <c r="K378" s="27"/>
      <c r="L378" s="28"/>
      <c r="M378" s="51"/>
      <c r="N378" s="29"/>
      <c r="O378" s="30"/>
      <c r="P378" s="54"/>
      <c r="Q378" s="132">
        <v>45812</v>
      </c>
      <c r="R378" s="89">
        <f t="shared" si="13"/>
        <v>1.0004804542476524</v>
      </c>
      <c r="S378" s="101" t="s">
        <v>1319</v>
      </c>
      <c r="T378" s="56"/>
    </row>
    <row r="379" spans="1:20" ht="48.75" customHeight="1" x14ac:dyDescent="0.3">
      <c r="A379" s="96">
        <f t="shared" si="14"/>
        <v>376</v>
      </c>
      <c r="B379" s="135" t="s">
        <v>80</v>
      </c>
      <c r="C379" s="136">
        <v>45790</v>
      </c>
      <c r="D379" s="331">
        <v>4323742</v>
      </c>
      <c r="E379" s="270" t="s">
        <v>2558</v>
      </c>
      <c r="F379" s="386" t="s">
        <v>57</v>
      </c>
      <c r="G379" s="112" t="s">
        <v>10</v>
      </c>
      <c r="H379" s="183">
        <v>45790</v>
      </c>
      <c r="I379" s="137"/>
      <c r="J379" s="727" t="s">
        <v>253</v>
      </c>
      <c r="K379" s="27"/>
      <c r="L379" s="28"/>
      <c r="M379" s="51"/>
      <c r="N379" s="29"/>
      <c r="O379" s="30"/>
      <c r="P379" s="54"/>
      <c r="Q379" s="132">
        <v>45812</v>
      </c>
      <c r="R379" s="89">
        <f t="shared" si="13"/>
        <v>1.0004804542476524</v>
      </c>
      <c r="S379" s="101" t="s">
        <v>2213</v>
      </c>
      <c r="T379" s="56"/>
    </row>
    <row r="380" spans="1:20" ht="48.75" customHeight="1" x14ac:dyDescent="0.3">
      <c r="A380" s="96">
        <f t="shared" si="14"/>
        <v>377</v>
      </c>
      <c r="B380" s="135" t="s">
        <v>80</v>
      </c>
      <c r="C380" s="136">
        <v>45790</v>
      </c>
      <c r="D380" s="331">
        <v>99236389</v>
      </c>
      <c r="E380" s="270" t="s">
        <v>2559</v>
      </c>
      <c r="F380" s="386" t="s">
        <v>39</v>
      </c>
      <c r="G380" s="112" t="s">
        <v>10</v>
      </c>
      <c r="H380" s="183">
        <v>45790</v>
      </c>
      <c r="I380" s="137"/>
      <c r="J380" s="100" t="s">
        <v>22</v>
      </c>
      <c r="K380" s="27"/>
      <c r="L380" s="28"/>
      <c r="M380" s="51"/>
      <c r="N380" s="29"/>
      <c r="O380" s="30"/>
      <c r="P380" s="54"/>
      <c r="Q380" s="132">
        <v>45791</v>
      </c>
      <c r="R380" s="89">
        <f t="shared" si="13"/>
        <v>1.0000218388294388</v>
      </c>
      <c r="S380" s="101" t="s">
        <v>1319</v>
      </c>
      <c r="T380" s="56"/>
    </row>
    <row r="381" spans="1:20" ht="28.8" x14ac:dyDescent="0.3">
      <c r="A381" s="96">
        <f t="shared" si="14"/>
        <v>378</v>
      </c>
      <c r="B381" s="135">
        <v>1550</v>
      </c>
      <c r="C381" s="136">
        <v>45790</v>
      </c>
      <c r="D381" s="331">
        <v>120313774</v>
      </c>
      <c r="E381" s="399" t="s">
        <v>2560</v>
      </c>
      <c r="F381" s="386" t="s">
        <v>1</v>
      </c>
      <c r="G381" s="376" t="s">
        <v>4</v>
      </c>
      <c r="H381" s="183">
        <v>45790</v>
      </c>
      <c r="I381" s="137"/>
      <c r="J381" s="100" t="s">
        <v>2513</v>
      </c>
      <c r="K381" s="27"/>
      <c r="L381" s="28"/>
      <c r="M381" s="51"/>
      <c r="N381" s="29"/>
      <c r="O381" s="30"/>
      <c r="P381" s="54"/>
      <c r="Q381" s="83">
        <v>45790</v>
      </c>
      <c r="R381" s="89">
        <f t="shared" si="13"/>
        <v>1</v>
      </c>
      <c r="S381" s="101"/>
      <c r="T381" s="56"/>
    </row>
    <row r="382" spans="1:20" ht="72" x14ac:dyDescent="0.3">
      <c r="A382" s="96">
        <f t="shared" si="14"/>
        <v>379</v>
      </c>
      <c r="B382" s="135">
        <v>1550</v>
      </c>
      <c r="C382" s="136">
        <v>45790</v>
      </c>
      <c r="D382" s="331"/>
      <c r="E382" s="271" t="s">
        <v>2561</v>
      </c>
      <c r="F382" s="386" t="s">
        <v>1314</v>
      </c>
      <c r="G382" s="376" t="s">
        <v>8</v>
      </c>
      <c r="H382" s="183">
        <v>45790</v>
      </c>
      <c r="I382" s="140"/>
      <c r="J382" s="127" t="s">
        <v>99</v>
      </c>
      <c r="K382" s="27"/>
      <c r="L382" s="28"/>
      <c r="M382" s="51"/>
      <c r="N382" s="29"/>
      <c r="O382" s="30"/>
      <c r="P382" s="54"/>
      <c r="Q382" s="83">
        <v>45791</v>
      </c>
      <c r="R382" s="89">
        <f t="shared" si="13"/>
        <v>1.0000218388294388</v>
      </c>
      <c r="S382" s="101" t="s">
        <v>758</v>
      </c>
      <c r="T382" s="257"/>
    </row>
    <row r="383" spans="1:20" ht="57.6" x14ac:dyDescent="0.3">
      <c r="A383" s="96">
        <f t="shared" si="14"/>
        <v>380</v>
      </c>
      <c r="B383" s="135">
        <v>1550</v>
      </c>
      <c r="C383" s="136">
        <v>45790</v>
      </c>
      <c r="D383" s="331"/>
      <c r="E383" s="271" t="s">
        <v>2562</v>
      </c>
      <c r="F383" s="386" t="s">
        <v>1314</v>
      </c>
      <c r="G383" s="376" t="s">
        <v>6</v>
      </c>
      <c r="H383" s="183">
        <v>45790</v>
      </c>
      <c r="I383" s="137"/>
      <c r="J383" s="127" t="s">
        <v>99</v>
      </c>
      <c r="K383" s="27"/>
      <c r="L383" s="28"/>
      <c r="M383" s="51"/>
      <c r="N383" s="29"/>
      <c r="O383" s="30"/>
      <c r="P383" s="54"/>
      <c r="Q383" s="83">
        <v>45791</v>
      </c>
      <c r="R383" s="89">
        <f t="shared" si="13"/>
        <v>1.0000218388294388</v>
      </c>
      <c r="S383" s="101" t="s">
        <v>1813</v>
      </c>
      <c r="T383" s="56"/>
    </row>
    <row r="384" spans="1:20" ht="72" x14ac:dyDescent="0.3">
      <c r="A384" s="96">
        <f t="shared" si="14"/>
        <v>381</v>
      </c>
      <c r="B384" s="135">
        <v>1550</v>
      </c>
      <c r="C384" s="136">
        <v>45790</v>
      </c>
      <c r="D384" s="331"/>
      <c r="E384" s="271" t="s">
        <v>2563</v>
      </c>
      <c r="F384" s="386" t="s">
        <v>1314</v>
      </c>
      <c r="G384" s="376" t="s">
        <v>8</v>
      </c>
      <c r="H384" s="183">
        <v>45790</v>
      </c>
      <c r="I384" s="137"/>
      <c r="J384" s="127" t="s">
        <v>99</v>
      </c>
      <c r="K384" s="27"/>
      <c r="L384" s="28"/>
      <c r="M384" s="51"/>
      <c r="N384" s="29"/>
      <c r="O384" s="30"/>
      <c r="P384" s="54"/>
      <c r="Q384" s="83">
        <v>45791</v>
      </c>
      <c r="R384" s="89">
        <f t="shared" si="13"/>
        <v>1.0000218388294388</v>
      </c>
      <c r="S384" s="101" t="s">
        <v>758</v>
      </c>
      <c r="T384" s="56"/>
    </row>
    <row r="385" spans="1:20" ht="72" x14ac:dyDescent="0.3">
      <c r="A385" s="96">
        <f t="shared" si="14"/>
        <v>382</v>
      </c>
      <c r="B385" s="135">
        <v>1550</v>
      </c>
      <c r="C385" s="136">
        <v>45790</v>
      </c>
      <c r="D385" s="331"/>
      <c r="E385" s="271" t="s">
        <v>2564</v>
      </c>
      <c r="F385" s="386" t="s">
        <v>1314</v>
      </c>
      <c r="G385" s="376" t="s">
        <v>8</v>
      </c>
      <c r="H385" s="183">
        <v>45790</v>
      </c>
      <c r="I385" s="134"/>
      <c r="J385" s="125" t="s">
        <v>99</v>
      </c>
      <c r="K385" s="27"/>
      <c r="L385" s="28"/>
      <c r="M385" s="51"/>
      <c r="N385" s="29"/>
      <c r="O385" s="30"/>
      <c r="P385" s="54"/>
      <c r="Q385" s="83">
        <v>45791</v>
      </c>
      <c r="R385" s="89">
        <f t="shared" si="13"/>
        <v>1.0000218388294388</v>
      </c>
      <c r="S385" s="101" t="s">
        <v>138</v>
      </c>
      <c r="T385" s="56"/>
    </row>
    <row r="386" spans="1:20" ht="43.2" x14ac:dyDescent="0.3">
      <c r="A386" s="96">
        <f t="shared" si="14"/>
        <v>383</v>
      </c>
      <c r="B386" s="135">
        <v>1550</v>
      </c>
      <c r="C386" s="136">
        <v>45790</v>
      </c>
      <c r="D386" s="331">
        <v>62778870</v>
      </c>
      <c r="E386" s="271" t="s">
        <v>2565</v>
      </c>
      <c r="F386" s="386" t="s">
        <v>48</v>
      </c>
      <c r="G386" s="376" t="s">
        <v>6</v>
      </c>
      <c r="H386" s="183">
        <v>45790</v>
      </c>
      <c r="I386" s="140"/>
      <c r="J386" s="742" t="s">
        <v>99</v>
      </c>
      <c r="K386" s="27"/>
      <c r="L386" s="28"/>
      <c r="M386" s="51"/>
      <c r="N386" s="29"/>
      <c r="O386" s="30"/>
      <c r="P386" s="54"/>
      <c r="Q386" s="83">
        <v>45798</v>
      </c>
      <c r="R386" s="89">
        <f t="shared" si="13"/>
        <v>1.0001747106355099</v>
      </c>
      <c r="S386" s="101" t="s">
        <v>1860</v>
      </c>
      <c r="T386" s="56" t="s">
        <v>2566</v>
      </c>
    </row>
    <row r="387" spans="1:20" ht="57.6" x14ac:dyDescent="0.3">
      <c r="A387" s="96">
        <f t="shared" si="14"/>
        <v>384</v>
      </c>
      <c r="B387" s="135">
        <v>1550</v>
      </c>
      <c r="C387" s="136">
        <v>45790</v>
      </c>
      <c r="D387" s="331"/>
      <c r="E387" s="271" t="s">
        <v>2567</v>
      </c>
      <c r="F387" s="386" t="s">
        <v>1314</v>
      </c>
      <c r="G387" s="376" t="s">
        <v>6</v>
      </c>
      <c r="H387" s="183">
        <v>45790</v>
      </c>
      <c r="I387" s="140"/>
      <c r="J387" s="102" t="s">
        <v>99</v>
      </c>
      <c r="K387" s="27"/>
      <c r="L387" s="28"/>
      <c r="M387" s="51"/>
      <c r="N387" s="29"/>
      <c r="O387" s="30"/>
      <c r="P387" s="54"/>
      <c r="Q387" s="83">
        <v>45791</v>
      </c>
      <c r="R387" s="89">
        <f t="shared" si="13"/>
        <v>1.0000218388294388</v>
      </c>
      <c r="S387" s="101" t="s">
        <v>1860</v>
      </c>
      <c r="T387" s="56"/>
    </row>
    <row r="388" spans="1:20" ht="72" x14ac:dyDescent="0.3">
      <c r="A388" s="96">
        <f t="shared" si="14"/>
        <v>385</v>
      </c>
      <c r="B388" s="135">
        <v>1550</v>
      </c>
      <c r="C388" s="136">
        <v>45790</v>
      </c>
      <c r="D388" s="331"/>
      <c r="E388" s="269" t="s">
        <v>2568</v>
      </c>
      <c r="F388" s="386" t="s">
        <v>1314</v>
      </c>
      <c r="G388" s="376" t="s">
        <v>8</v>
      </c>
      <c r="H388" s="183">
        <v>45790</v>
      </c>
      <c r="I388" s="137"/>
      <c r="J388" s="100" t="s">
        <v>99</v>
      </c>
      <c r="K388" s="27"/>
      <c r="L388" s="28"/>
      <c r="M388" s="51"/>
      <c r="N388" s="29"/>
      <c r="O388" s="30"/>
      <c r="P388" s="54"/>
      <c r="Q388" s="83">
        <v>45791</v>
      </c>
      <c r="R388" s="89">
        <f t="shared" ref="R388:R451" si="15">Q388/H388</f>
        <v>1.0000218388294388</v>
      </c>
      <c r="S388" s="101" t="s">
        <v>479</v>
      </c>
      <c r="T388" s="56"/>
    </row>
    <row r="389" spans="1:20" ht="72" x14ac:dyDescent="0.3">
      <c r="A389" s="96">
        <f t="shared" si="14"/>
        <v>386</v>
      </c>
      <c r="B389" s="135">
        <v>1550</v>
      </c>
      <c r="C389" s="136">
        <v>45790</v>
      </c>
      <c r="D389" s="331"/>
      <c r="E389" s="271" t="s">
        <v>2569</v>
      </c>
      <c r="F389" s="386" t="s">
        <v>1314</v>
      </c>
      <c r="G389" s="376" t="s">
        <v>8</v>
      </c>
      <c r="H389" s="183">
        <v>45790</v>
      </c>
      <c r="I389" s="139"/>
      <c r="J389" s="125" t="s">
        <v>99</v>
      </c>
      <c r="K389" s="27"/>
      <c r="L389" s="28"/>
      <c r="M389" s="51"/>
      <c r="N389" s="29"/>
      <c r="O389" s="30"/>
      <c r="P389" s="54"/>
      <c r="Q389" s="83">
        <v>45791</v>
      </c>
      <c r="R389" s="89">
        <f t="shared" si="15"/>
        <v>1.0000218388294388</v>
      </c>
      <c r="S389" s="101" t="s">
        <v>758</v>
      </c>
      <c r="T389" s="56"/>
    </row>
    <row r="390" spans="1:20" ht="72" x14ac:dyDescent="0.3">
      <c r="A390" s="96">
        <f t="shared" si="14"/>
        <v>387</v>
      </c>
      <c r="B390" s="135">
        <v>1550</v>
      </c>
      <c r="C390" s="136">
        <v>45790</v>
      </c>
      <c r="D390" s="331"/>
      <c r="E390" s="271" t="s">
        <v>2570</v>
      </c>
      <c r="F390" s="386" t="s">
        <v>1314</v>
      </c>
      <c r="G390" s="376" t="s">
        <v>8</v>
      </c>
      <c r="H390" s="183">
        <v>45790</v>
      </c>
      <c r="I390" s="137"/>
      <c r="J390" s="100" t="s">
        <v>99</v>
      </c>
      <c r="K390" s="27"/>
      <c r="L390" s="28"/>
      <c r="M390" s="51"/>
      <c r="N390" s="29"/>
      <c r="O390" s="30"/>
      <c r="P390" s="54"/>
      <c r="Q390" s="83">
        <v>45791</v>
      </c>
      <c r="R390" s="89">
        <f t="shared" si="15"/>
        <v>1.0000218388294388</v>
      </c>
      <c r="S390" s="101" t="s">
        <v>758</v>
      </c>
      <c r="T390" s="56"/>
    </row>
    <row r="391" spans="1:20" ht="43.2" x14ac:dyDescent="0.3">
      <c r="A391" s="96">
        <f t="shared" si="14"/>
        <v>388</v>
      </c>
      <c r="B391" s="135" t="s">
        <v>301</v>
      </c>
      <c r="C391" s="136">
        <v>45790</v>
      </c>
      <c r="D391" s="331">
        <v>94547114</v>
      </c>
      <c r="E391" s="271" t="s">
        <v>2571</v>
      </c>
      <c r="F391" s="386" t="s">
        <v>1</v>
      </c>
      <c r="G391" s="376" t="s">
        <v>8</v>
      </c>
      <c r="H391" s="183">
        <v>45790</v>
      </c>
      <c r="I391" s="137"/>
      <c r="J391" s="742" t="s">
        <v>99</v>
      </c>
      <c r="K391" s="27"/>
      <c r="L391" s="28"/>
      <c r="M391" s="51"/>
      <c r="N391" s="29"/>
      <c r="O391" s="30"/>
      <c r="P391" s="54"/>
      <c r="Q391" s="83">
        <v>45791</v>
      </c>
      <c r="R391" s="89">
        <f t="shared" si="15"/>
        <v>1.0000218388294388</v>
      </c>
      <c r="S391" s="101" t="s">
        <v>1916</v>
      </c>
      <c r="T391" s="56"/>
    </row>
    <row r="392" spans="1:20" ht="100.8" x14ac:dyDescent="0.3">
      <c r="A392" s="96">
        <f t="shared" si="14"/>
        <v>389</v>
      </c>
      <c r="B392" s="135">
        <v>1550</v>
      </c>
      <c r="C392" s="136">
        <v>45790</v>
      </c>
      <c r="D392" s="331">
        <v>60521309</v>
      </c>
      <c r="E392" s="270" t="s">
        <v>2572</v>
      </c>
      <c r="F392" s="386" t="s">
        <v>32</v>
      </c>
      <c r="G392" s="112" t="s">
        <v>10</v>
      </c>
      <c r="H392" s="183">
        <v>45790</v>
      </c>
      <c r="I392" s="137"/>
      <c r="J392" s="102" t="s">
        <v>106</v>
      </c>
      <c r="K392" s="27"/>
      <c r="L392" s="28"/>
      <c r="M392" s="51"/>
      <c r="N392" s="29"/>
      <c r="O392" s="30"/>
      <c r="P392" s="54"/>
      <c r="Q392" s="132">
        <v>45799</v>
      </c>
      <c r="R392" s="89">
        <f t="shared" si="15"/>
        <v>1.0001965494649487</v>
      </c>
      <c r="S392" s="101" t="s">
        <v>85</v>
      </c>
      <c r="T392" s="56"/>
    </row>
    <row r="393" spans="1:20" ht="57.6" x14ac:dyDescent="0.3">
      <c r="A393" s="96">
        <f t="shared" si="14"/>
        <v>390</v>
      </c>
      <c r="B393" s="135" t="s">
        <v>80</v>
      </c>
      <c r="C393" s="136">
        <v>45790</v>
      </c>
      <c r="D393" s="331"/>
      <c r="E393" s="270" t="s">
        <v>2573</v>
      </c>
      <c r="F393" s="388" t="s">
        <v>1314</v>
      </c>
      <c r="G393" s="112" t="s">
        <v>10</v>
      </c>
      <c r="H393" s="183">
        <v>45790</v>
      </c>
      <c r="I393" s="134"/>
      <c r="J393" s="107" t="s">
        <v>99</v>
      </c>
      <c r="K393" s="27"/>
      <c r="L393" s="28"/>
      <c r="M393" s="51"/>
      <c r="N393" s="29"/>
      <c r="O393" s="30"/>
      <c r="P393" s="54"/>
      <c r="Q393" s="132">
        <v>45791</v>
      </c>
      <c r="R393" s="89">
        <f t="shared" si="15"/>
        <v>1.0000218388294388</v>
      </c>
      <c r="S393" s="101" t="s">
        <v>1319</v>
      </c>
      <c r="T393" s="56"/>
    </row>
    <row r="394" spans="1:20" ht="57.6" x14ac:dyDescent="0.3">
      <c r="A394" s="96">
        <f t="shared" si="14"/>
        <v>391</v>
      </c>
      <c r="B394" s="135" t="s">
        <v>80</v>
      </c>
      <c r="C394" s="136">
        <v>45790</v>
      </c>
      <c r="D394" s="331"/>
      <c r="E394" s="270" t="s">
        <v>2574</v>
      </c>
      <c r="F394" s="388" t="s">
        <v>1314</v>
      </c>
      <c r="G394" s="112" t="s">
        <v>10</v>
      </c>
      <c r="H394" s="183">
        <v>45790</v>
      </c>
      <c r="I394" s="134"/>
      <c r="J394" s="107" t="s">
        <v>99</v>
      </c>
      <c r="K394" s="27"/>
      <c r="L394" s="28"/>
      <c r="M394" s="51"/>
      <c r="N394" s="29"/>
      <c r="O394" s="30"/>
      <c r="P394" s="54"/>
      <c r="Q394" s="132">
        <v>45792</v>
      </c>
      <c r="R394" s="89">
        <f t="shared" si="15"/>
        <v>1.0000436776588775</v>
      </c>
      <c r="S394" s="101" t="s">
        <v>1319</v>
      </c>
      <c r="T394" s="56"/>
    </row>
    <row r="395" spans="1:20" ht="57.6" x14ac:dyDescent="0.3">
      <c r="A395" s="96">
        <f t="shared" si="14"/>
        <v>392</v>
      </c>
      <c r="B395" s="135" t="s">
        <v>80</v>
      </c>
      <c r="C395" s="136">
        <v>45790</v>
      </c>
      <c r="D395" s="331"/>
      <c r="E395" s="270" t="s">
        <v>2575</v>
      </c>
      <c r="F395" s="388" t="s">
        <v>1314</v>
      </c>
      <c r="G395" s="112" t="s">
        <v>10</v>
      </c>
      <c r="H395" s="183">
        <v>45790</v>
      </c>
      <c r="I395" s="134"/>
      <c r="J395" s="107" t="s">
        <v>99</v>
      </c>
      <c r="K395" s="27"/>
      <c r="L395" s="28"/>
      <c r="M395" s="51"/>
      <c r="N395" s="29"/>
      <c r="O395" s="30"/>
      <c r="P395" s="54"/>
      <c r="Q395" s="132">
        <v>45792</v>
      </c>
      <c r="R395" s="89">
        <f t="shared" si="15"/>
        <v>1.0000436776588775</v>
      </c>
      <c r="S395" s="101" t="s">
        <v>1319</v>
      </c>
      <c r="T395" s="56"/>
    </row>
    <row r="396" spans="1:20" ht="57.6" x14ac:dyDescent="0.3">
      <c r="A396" s="96">
        <f t="shared" si="14"/>
        <v>393</v>
      </c>
      <c r="B396" s="135" t="s">
        <v>80</v>
      </c>
      <c r="C396" s="136">
        <v>45790</v>
      </c>
      <c r="D396" s="331"/>
      <c r="E396" s="270" t="s">
        <v>2576</v>
      </c>
      <c r="F396" s="388" t="s">
        <v>1314</v>
      </c>
      <c r="G396" s="112" t="s">
        <v>10</v>
      </c>
      <c r="H396" s="183">
        <v>45790</v>
      </c>
      <c r="I396" s="134"/>
      <c r="J396" s="107" t="s">
        <v>99</v>
      </c>
      <c r="K396" s="27"/>
      <c r="L396" s="28"/>
      <c r="M396" s="51"/>
      <c r="N396" s="29"/>
      <c r="O396" s="30"/>
      <c r="P396" s="54"/>
      <c r="Q396" s="132">
        <v>45792</v>
      </c>
      <c r="R396" s="89">
        <f t="shared" si="15"/>
        <v>1.0000436776588775</v>
      </c>
      <c r="S396" s="101" t="s">
        <v>1319</v>
      </c>
      <c r="T396" s="56"/>
    </row>
    <row r="397" spans="1:20" ht="57.6" x14ac:dyDescent="0.3">
      <c r="A397" s="96">
        <f t="shared" si="14"/>
        <v>394</v>
      </c>
      <c r="B397" s="135" t="s">
        <v>80</v>
      </c>
      <c r="C397" s="136">
        <v>45790</v>
      </c>
      <c r="D397" s="331"/>
      <c r="E397" s="270" t="s">
        <v>2577</v>
      </c>
      <c r="F397" s="388" t="s">
        <v>1314</v>
      </c>
      <c r="G397" s="112" t="s">
        <v>10</v>
      </c>
      <c r="H397" s="183">
        <v>45790</v>
      </c>
      <c r="I397" s="134"/>
      <c r="J397" s="107" t="s">
        <v>99</v>
      </c>
      <c r="K397" s="27"/>
      <c r="L397" s="28"/>
      <c r="M397" s="51"/>
      <c r="N397" s="29"/>
      <c r="O397" s="30"/>
      <c r="P397" s="54"/>
      <c r="Q397" s="132">
        <v>45792</v>
      </c>
      <c r="R397" s="89">
        <f t="shared" si="15"/>
        <v>1.0000436776588775</v>
      </c>
      <c r="S397" s="101" t="s">
        <v>2213</v>
      </c>
      <c r="T397" s="56"/>
    </row>
    <row r="398" spans="1:20" ht="158.4" x14ac:dyDescent="0.3">
      <c r="A398" s="96">
        <f t="shared" si="14"/>
        <v>395</v>
      </c>
      <c r="B398" s="135" t="s">
        <v>301</v>
      </c>
      <c r="C398" s="136">
        <v>45791</v>
      </c>
      <c r="D398" s="331">
        <v>120522160</v>
      </c>
      <c r="E398" s="271" t="s">
        <v>2578</v>
      </c>
      <c r="F398" s="386" t="s">
        <v>1</v>
      </c>
      <c r="G398" s="376" t="s">
        <v>6</v>
      </c>
      <c r="H398" s="183">
        <v>45791</v>
      </c>
      <c r="I398" s="137"/>
      <c r="J398" s="100" t="s">
        <v>2579</v>
      </c>
      <c r="K398" s="27"/>
      <c r="L398" s="28"/>
      <c r="M398" s="51"/>
      <c r="N398" s="29"/>
      <c r="O398" s="30"/>
      <c r="P398" s="54"/>
      <c r="Q398" s="83">
        <v>45791</v>
      </c>
      <c r="R398" s="89">
        <f t="shared" si="15"/>
        <v>1</v>
      </c>
      <c r="S398" s="101" t="s">
        <v>1860</v>
      </c>
      <c r="T398" s="56"/>
    </row>
    <row r="399" spans="1:20" ht="57.6" x14ac:dyDescent="0.3">
      <c r="A399" s="96">
        <f t="shared" si="14"/>
        <v>396</v>
      </c>
      <c r="B399" s="135">
        <v>1550</v>
      </c>
      <c r="C399" s="136">
        <v>45791</v>
      </c>
      <c r="D399" s="331"/>
      <c r="E399" s="271" t="s">
        <v>2580</v>
      </c>
      <c r="F399" s="386" t="s">
        <v>1314</v>
      </c>
      <c r="G399" s="376" t="s">
        <v>6</v>
      </c>
      <c r="H399" s="183">
        <v>45791</v>
      </c>
      <c r="I399" s="137"/>
      <c r="J399" s="100" t="s">
        <v>99</v>
      </c>
      <c r="K399" s="27"/>
      <c r="L399" s="50"/>
      <c r="M399" s="51"/>
      <c r="N399" s="29"/>
      <c r="O399" s="30"/>
      <c r="P399" s="54"/>
      <c r="Q399" s="83">
        <v>45791</v>
      </c>
      <c r="R399" s="89">
        <f t="shared" si="15"/>
        <v>1</v>
      </c>
      <c r="S399" s="101" t="s">
        <v>216</v>
      </c>
      <c r="T399" s="56"/>
    </row>
    <row r="400" spans="1:20" ht="28.8" x14ac:dyDescent="0.3">
      <c r="A400" s="96">
        <f t="shared" si="14"/>
        <v>397</v>
      </c>
      <c r="B400" s="135">
        <v>1550</v>
      </c>
      <c r="C400" s="136">
        <v>45791</v>
      </c>
      <c r="D400" s="331">
        <v>13590294</v>
      </c>
      <c r="E400" s="271" t="s">
        <v>2581</v>
      </c>
      <c r="F400" s="386" t="s">
        <v>3</v>
      </c>
      <c r="G400" s="376" t="s">
        <v>4</v>
      </c>
      <c r="H400" s="183">
        <v>45791</v>
      </c>
      <c r="I400" s="137"/>
      <c r="J400" s="100" t="s">
        <v>82</v>
      </c>
      <c r="K400" s="128"/>
      <c r="L400" s="128"/>
      <c r="M400" s="129"/>
      <c r="N400" s="130"/>
      <c r="O400" s="130"/>
      <c r="P400" s="131"/>
      <c r="Q400" s="83">
        <v>45791</v>
      </c>
      <c r="R400" s="89">
        <f t="shared" si="15"/>
        <v>1</v>
      </c>
      <c r="S400" s="101"/>
      <c r="T400" s="168"/>
    </row>
    <row r="401" spans="1:20" ht="86.4" x14ac:dyDescent="0.3">
      <c r="A401" s="96">
        <f t="shared" si="14"/>
        <v>398</v>
      </c>
      <c r="B401" s="135">
        <v>1550</v>
      </c>
      <c r="C401" s="136">
        <v>45791</v>
      </c>
      <c r="D401" s="331">
        <v>78196264</v>
      </c>
      <c r="E401" s="271" t="s">
        <v>2582</v>
      </c>
      <c r="F401" s="386" t="s">
        <v>24</v>
      </c>
      <c r="G401" s="376" t="s">
        <v>6</v>
      </c>
      <c r="H401" s="183">
        <v>45791</v>
      </c>
      <c r="I401" s="137"/>
      <c r="J401" s="100" t="s">
        <v>253</v>
      </c>
      <c r="K401" s="128"/>
      <c r="L401" s="128"/>
      <c r="M401" s="129"/>
      <c r="N401" s="130"/>
      <c r="O401" s="130"/>
      <c r="P401" s="131"/>
      <c r="Q401" s="83">
        <v>45791</v>
      </c>
      <c r="R401" s="89">
        <f t="shared" si="15"/>
        <v>1</v>
      </c>
      <c r="S401" s="101" t="s">
        <v>1893</v>
      </c>
      <c r="T401" s="168"/>
    </row>
    <row r="402" spans="1:20" ht="57.6" x14ac:dyDescent="0.3">
      <c r="A402" s="96">
        <f t="shared" si="14"/>
        <v>399</v>
      </c>
      <c r="B402" s="135">
        <v>1550</v>
      </c>
      <c r="C402" s="136">
        <v>45791</v>
      </c>
      <c r="D402" s="331"/>
      <c r="E402" t="s">
        <v>2583</v>
      </c>
      <c r="F402" s="386" t="s">
        <v>1314</v>
      </c>
      <c r="G402" s="376" t="s">
        <v>4</v>
      </c>
      <c r="H402" s="183">
        <v>45791</v>
      </c>
      <c r="I402" s="137"/>
      <c r="J402" s="100" t="s">
        <v>99</v>
      </c>
      <c r="K402" s="27"/>
      <c r="L402" s="50"/>
      <c r="M402" s="51"/>
      <c r="N402" s="29"/>
      <c r="O402" s="30"/>
      <c r="P402" s="54"/>
      <c r="Q402" s="83">
        <v>45792</v>
      </c>
      <c r="R402" s="89">
        <f t="shared" si="15"/>
        <v>1.0000218383525148</v>
      </c>
      <c r="S402" s="101"/>
      <c r="T402" s="168"/>
    </row>
    <row r="403" spans="1:20" ht="86.4" x14ac:dyDescent="0.3">
      <c r="A403" s="96">
        <f t="shared" si="14"/>
        <v>400</v>
      </c>
      <c r="B403" s="135">
        <v>1550</v>
      </c>
      <c r="C403" s="136">
        <v>45791</v>
      </c>
      <c r="D403" s="331">
        <v>78225191</v>
      </c>
      <c r="E403" s="271" t="s">
        <v>2584</v>
      </c>
      <c r="F403" s="386" t="s">
        <v>7</v>
      </c>
      <c r="G403" s="376" t="s">
        <v>6</v>
      </c>
      <c r="H403" s="183">
        <v>45791</v>
      </c>
      <c r="I403" s="137"/>
      <c r="J403" s="125" t="s">
        <v>2310</v>
      </c>
      <c r="K403" s="128"/>
      <c r="L403" s="128"/>
      <c r="M403" s="129"/>
      <c r="N403" s="130"/>
      <c r="O403" s="130"/>
      <c r="P403" s="131"/>
      <c r="Q403" s="83">
        <v>45791</v>
      </c>
      <c r="R403" s="89">
        <f t="shared" si="15"/>
        <v>1</v>
      </c>
      <c r="S403" s="101" t="s">
        <v>1816</v>
      </c>
      <c r="T403" s="168"/>
    </row>
    <row r="404" spans="1:20" ht="57.6" x14ac:dyDescent="0.3">
      <c r="A404" s="96">
        <f t="shared" si="14"/>
        <v>401</v>
      </c>
      <c r="B404" s="135" t="s">
        <v>301</v>
      </c>
      <c r="C404" s="136">
        <v>45791</v>
      </c>
      <c r="D404" s="331"/>
      <c r="E404" s="271" t="s">
        <v>2585</v>
      </c>
      <c r="F404" s="386" t="s">
        <v>1314</v>
      </c>
      <c r="G404" s="376" t="s">
        <v>6</v>
      </c>
      <c r="H404" s="183">
        <v>45791</v>
      </c>
      <c r="I404" s="137"/>
      <c r="J404" s="125" t="s">
        <v>99</v>
      </c>
      <c r="K404" s="128"/>
      <c r="L404" s="128"/>
      <c r="M404" s="129"/>
      <c r="N404" s="130"/>
      <c r="O404" s="130"/>
      <c r="P404" s="131"/>
      <c r="Q404" s="83">
        <v>45791</v>
      </c>
      <c r="R404" s="89">
        <f t="shared" si="15"/>
        <v>1</v>
      </c>
      <c r="S404" s="101" t="s">
        <v>1860</v>
      </c>
      <c r="T404" s="168"/>
    </row>
    <row r="405" spans="1:20" ht="57.6" x14ac:dyDescent="0.3">
      <c r="A405" s="96">
        <f t="shared" si="14"/>
        <v>402</v>
      </c>
      <c r="B405" s="135">
        <v>1550</v>
      </c>
      <c r="C405" s="136">
        <v>45791</v>
      </c>
      <c r="D405" s="331"/>
      <c r="E405" t="s">
        <v>2586</v>
      </c>
      <c r="F405" s="386" t="s">
        <v>1314</v>
      </c>
      <c r="G405" s="376" t="s">
        <v>4</v>
      </c>
      <c r="H405" s="183">
        <v>45791</v>
      </c>
      <c r="I405" s="137"/>
      <c r="J405" s="100" t="s">
        <v>99</v>
      </c>
      <c r="K405" s="27"/>
      <c r="L405" s="50"/>
      <c r="M405" s="51"/>
      <c r="N405" s="29"/>
      <c r="O405" s="30"/>
      <c r="P405" s="54"/>
      <c r="Q405" s="83">
        <v>45793</v>
      </c>
      <c r="R405" s="89">
        <f t="shared" si="15"/>
        <v>1.0000436767050294</v>
      </c>
      <c r="S405" s="101"/>
      <c r="T405" s="168"/>
    </row>
    <row r="406" spans="1:20" ht="43.2" x14ac:dyDescent="0.3">
      <c r="A406" s="96">
        <f t="shared" si="14"/>
        <v>403</v>
      </c>
      <c r="B406" s="135">
        <v>1550</v>
      </c>
      <c r="C406" s="136">
        <v>45791</v>
      </c>
      <c r="D406">
        <v>61217441</v>
      </c>
      <c r="E406" s="271" t="s">
        <v>2587</v>
      </c>
      <c r="F406" s="386" t="s">
        <v>49</v>
      </c>
      <c r="G406" s="376" t="s">
        <v>4</v>
      </c>
      <c r="H406" s="183">
        <v>45791</v>
      </c>
      <c r="I406" s="137"/>
      <c r="J406" s="100" t="s">
        <v>266</v>
      </c>
      <c r="K406" s="128"/>
      <c r="L406" s="128"/>
      <c r="M406" s="129"/>
      <c r="N406" s="130"/>
      <c r="O406" s="130"/>
      <c r="P406" s="131"/>
      <c r="Q406" s="83">
        <v>45791</v>
      </c>
      <c r="R406" s="89">
        <f t="shared" si="15"/>
        <v>1</v>
      </c>
      <c r="S406" s="101"/>
      <c r="T406" s="168"/>
    </row>
    <row r="407" spans="1:20" ht="28.8" x14ac:dyDescent="0.3">
      <c r="A407" s="96">
        <f t="shared" si="14"/>
        <v>404</v>
      </c>
      <c r="B407" s="135">
        <v>1550</v>
      </c>
      <c r="C407" s="136">
        <v>45791</v>
      </c>
      <c r="D407" s="331">
        <v>68485050</v>
      </c>
      <c r="E407" s="271" t="s">
        <v>2588</v>
      </c>
      <c r="F407" s="386" t="s">
        <v>3</v>
      </c>
      <c r="G407" s="376" t="s">
        <v>6</v>
      </c>
      <c r="H407" s="183">
        <v>45791</v>
      </c>
      <c r="I407" s="137"/>
      <c r="J407" s="100" t="s">
        <v>82</v>
      </c>
      <c r="K407" s="128"/>
      <c r="L407" s="128"/>
      <c r="M407" s="129"/>
      <c r="N407" s="130"/>
      <c r="O407" s="130"/>
      <c r="P407" s="131"/>
      <c r="Q407" s="83">
        <v>45792</v>
      </c>
      <c r="R407" s="89">
        <f t="shared" si="15"/>
        <v>1.0000218383525148</v>
      </c>
      <c r="S407" s="101" t="s">
        <v>1811</v>
      </c>
      <c r="T407" s="168"/>
    </row>
    <row r="408" spans="1:20" ht="57.6" x14ac:dyDescent="0.3">
      <c r="A408" s="96">
        <f t="shared" si="14"/>
        <v>405</v>
      </c>
      <c r="B408" s="135">
        <v>1550</v>
      </c>
      <c r="C408" s="136">
        <v>45791</v>
      </c>
      <c r="D408" s="331">
        <v>69730342</v>
      </c>
      <c r="E408" s="271" t="s">
        <v>2589</v>
      </c>
      <c r="F408" s="386" t="s">
        <v>39</v>
      </c>
      <c r="G408" s="376" t="s">
        <v>4</v>
      </c>
      <c r="H408" s="183">
        <v>45791</v>
      </c>
      <c r="I408" s="137"/>
      <c r="J408" s="100" t="s">
        <v>22</v>
      </c>
      <c r="K408" s="128"/>
      <c r="L408" s="128"/>
      <c r="M408" s="129"/>
      <c r="N408" s="130"/>
      <c r="O408" s="130"/>
      <c r="P408" s="131"/>
      <c r="Q408" s="83">
        <v>45792</v>
      </c>
      <c r="R408" s="89">
        <f t="shared" si="15"/>
        <v>1.0000218383525148</v>
      </c>
      <c r="S408" s="101"/>
      <c r="T408" s="168"/>
    </row>
    <row r="409" spans="1:20" ht="28.8" x14ac:dyDescent="0.3">
      <c r="A409" s="96">
        <f t="shared" si="14"/>
        <v>406</v>
      </c>
      <c r="B409" s="135">
        <v>1550</v>
      </c>
      <c r="C409" s="136">
        <v>45791</v>
      </c>
      <c r="D409" s="331">
        <v>66708214</v>
      </c>
      <c r="E409" s="271" t="s">
        <v>2590</v>
      </c>
      <c r="F409" s="386" t="s">
        <v>1</v>
      </c>
      <c r="G409" s="376" t="s">
        <v>4</v>
      </c>
      <c r="H409" s="183">
        <v>45791</v>
      </c>
      <c r="I409" s="137"/>
      <c r="J409" s="100" t="s">
        <v>2367</v>
      </c>
      <c r="K409" s="128"/>
      <c r="L409" s="128"/>
      <c r="M409" s="129"/>
      <c r="N409" s="130"/>
      <c r="O409" s="130"/>
      <c r="P409" s="131"/>
      <c r="Q409" s="83">
        <v>45791</v>
      </c>
      <c r="R409" s="89">
        <f t="shared" si="15"/>
        <v>1</v>
      </c>
      <c r="S409" s="101"/>
      <c r="T409" s="168"/>
    </row>
    <row r="410" spans="1:20" ht="57.6" x14ac:dyDescent="0.3">
      <c r="A410" s="96">
        <f t="shared" ref="A410:A473" si="16">A409+1</f>
        <v>407</v>
      </c>
      <c r="B410" s="135">
        <v>1550</v>
      </c>
      <c r="C410" s="136">
        <v>45791</v>
      </c>
      <c r="D410" s="331"/>
      <c r="E410" t="s">
        <v>2591</v>
      </c>
      <c r="F410" s="388" t="s">
        <v>1314</v>
      </c>
      <c r="G410" s="112" t="s">
        <v>4</v>
      </c>
      <c r="H410" s="183">
        <v>45790</v>
      </c>
      <c r="I410" s="134"/>
      <c r="J410" s="107" t="s">
        <v>99</v>
      </c>
      <c r="K410" s="27"/>
      <c r="L410" s="28"/>
      <c r="M410" s="51"/>
      <c r="N410" s="29"/>
      <c r="O410" s="30"/>
      <c r="P410" s="54"/>
      <c r="Q410" s="132">
        <v>45793</v>
      </c>
      <c r="R410" s="89">
        <f t="shared" si="15"/>
        <v>1.0000655164883163</v>
      </c>
      <c r="S410" s="101"/>
      <c r="T410" s="168"/>
    </row>
    <row r="411" spans="1:20" ht="43.2" x14ac:dyDescent="0.3">
      <c r="A411" s="96">
        <f t="shared" si="16"/>
        <v>408</v>
      </c>
      <c r="B411" s="135">
        <v>1550</v>
      </c>
      <c r="C411" s="136">
        <v>45791</v>
      </c>
      <c r="D411" s="331">
        <v>30463203</v>
      </c>
      <c r="E411" s="271" t="s">
        <v>2592</v>
      </c>
      <c r="F411" s="386" t="s">
        <v>1</v>
      </c>
      <c r="G411" s="376" t="s">
        <v>8</v>
      </c>
      <c r="H411" s="183">
        <v>45790</v>
      </c>
      <c r="I411" s="137"/>
      <c r="J411" s="100" t="s">
        <v>82</v>
      </c>
      <c r="K411" s="128"/>
      <c r="L411" s="128"/>
      <c r="M411" s="129"/>
      <c r="N411" s="130"/>
      <c r="O411" s="130"/>
      <c r="P411" s="131"/>
      <c r="Q411" s="83">
        <v>45799</v>
      </c>
      <c r="R411" s="89">
        <f t="shared" si="15"/>
        <v>1.0001965494649487</v>
      </c>
      <c r="S411" s="101" t="s">
        <v>758</v>
      </c>
      <c r="T411" s="168" t="s">
        <v>2593</v>
      </c>
    </row>
    <row r="412" spans="1:20" ht="57.6" x14ac:dyDescent="0.3">
      <c r="A412" s="96">
        <f t="shared" si="16"/>
        <v>409</v>
      </c>
      <c r="B412" s="135">
        <v>1550</v>
      </c>
      <c r="C412" s="136">
        <v>45791</v>
      </c>
      <c r="D412" s="331"/>
      <c r="E412" s="271" t="s">
        <v>2594</v>
      </c>
      <c r="F412" s="386" t="s">
        <v>1314</v>
      </c>
      <c r="G412" s="376" t="s">
        <v>6</v>
      </c>
      <c r="H412" s="183">
        <v>45791</v>
      </c>
      <c r="I412" s="134"/>
      <c r="J412" s="100" t="s">
        <v>99</v>
      </c>
      <c r="K412" s="128"/>
      <c r="L412" s="128"/>
      <c r="M412" s="129"/>
      <c r="N412" s="130"/>
      <c r="O412" s="130"/>
      <c r="P412" s="131"/>
      <c r="Q412" s="83">
        <v>45792</v>
      </c>
      <c r="R412" s="89">
        <f t="shared" si="15"/>
        <v>1.0000218383525148</v>
      </c>
      <c r="S412" s="101" t="s">
        <v>216</v>
      </c>
      <c r="T412" s="168"/>
    </row>
    <row r="413" spans="1:20" ht="57.6" x14ac:dyDescent="0.3">
      <c r="A413" s="96">
        <f t="shared" si="16"/>
        <v>410</v>
      </c>
      <c r="B413" s="135">
        <v>1550</v>
      </c>
      <c r="C413" s="136">
        <v>45791</v>
      </c>
      <c r="D413" s="331"/>
      <c r="E413" s="271" t="s">
        <v>2595</v>
      </c>
      <c r="F413" s="386" t="s">
        <v>1314</v>
      </c>
      <c r="G413" s="376" t="s">
        <v>6</v>
      </c>
      <c r="H413" s="183">
        <v>45791</v>
      </c>
      <c r="I413" s="134"/>
      <c r="J413" s="100" t="s">
        <v>99</v>
      </c>
      <c r="K413" s="128"/>
      <c r="L413" s="128"/>
      <c r="M413" s="129"/>
      <c r="N413" s="130"/>
      <c r="O413" s="130"/>
      <c r="P413" s="131"/>
      <c r="Q413" s="83">
        <v>45792</v>
      </c>
      <c r="R413" s="89">
        <f t="shared" si="15"/>
        <v>1.0000218383525148</v>
      </c>
      <c r="S413" s="101" t="s">
        <v>216</v>
      </c>
      <c r="T413" s="168"/>
    </row>
    <row r="414" spans="1:20" ht="57.6" x14ac:dyDescent="0.3">
      <c r="A414" s="96">
        <f t="shared" si="16"/>
        <v>411</v>
      </c>
      <c r="B414" s="135">
        <v>1550</v>
      </c>
      <c r="C414" s="136">
        <v>45791</v>
      </c>
      <c r="D414" s="331"/>
      <c r="E414" s="271" t="s">
        <v>2596</v>
      </c>
      <c r="F414" s="386" t="s">
        <v>1314</v>
      </c>
      <c r="G414" s="376" t="s">
        <v>6</v>
      </c>
      <c r="H414" s="183">
        <v>45791</v>
      </c>
      <c r="I414" s="134"/>
      <c r="J414" s="100" t="s">
        <v>99</v>
      </c>
      <c r="K414" s="128"/>
      <c r="L414" s="128"/>
      <c r="M414" s="129"/>
      <c r="N414" s="130"/>
      <c r="O414" s="130"/>
      <c r="P414" s="131"/>
      <c r="Q414" s="83">
        <v>45792</v>
      </c>
      <c r="R414" s="89">
        <f t="shared" si="15"/>
        <v>1.0000218383525148</v>
      </c>
      <c r="S414" s="101" t="s">
        <v>2597</v>
      </c>
      <c r="T414" s="168"/>
    </row>
    <row r="415" spans="1:20" ht="57.6" x14ac:dyDescent="0.3">
      <c r="A415" s="96">
        <f t="shared" si="16"/>
        <v>412</v>
      </c>
      <c r="B415" s="135">
        <v>1550</v>
      </c>
      <c r="C415" s="136">
        <v>45791</v>
      </c>
      <c r="D415" s="331"/>
      <c r="E415" s="270" t="s">
        <v>2598</v>
      </c>
      <c r="F415" s="386" t="s">
        <v>1314</v>
      </c>
      <c r="G415" s="376" t="s">
        <v>10</v>
      </c>
      <c r="H415" s="183">
        <v>45791</v>
      </c>
      <c r="I415" s="137"/>
      <c r="J415" s="100" t="s">
        <v>99</v>
      </c>
      <c r="K415" s="128"/>
      <c r="L415" s="128"/>
      <c r="M415" s="129"/>
      <c r="N415" s="130"/>
      <c r="O415" s="130"/>
      <c r="P415" s="202"/>
      <c r="Q415" s="83">
        <v>45792</v>
      </c>
      <c r="R415" s="89">
        <f t="shared" si="15"/>
        <v>1.0000218383525148</v>
      </c>
      <c r="S415" s="101" t="s">
        <v>1835</v>
      </c>
      <c r="T415" s="168"/>
    </row>
    <row r="416" spans="1:20" ht="115.2" x14ac:dyDescent="0.3">
      <c r="A416" s="96">
        <f t="shared" si="16"/>
        <v>413</v>
      </c>
      <c r="B416" s="135" t="s">
        <v>80</v>
      </c>
      <c r="C416" s="136">
        <v>45791</v>
      </c>
      <c r="D416" s="331">
        <v>7751419</v>
      </c>
      <c r="E416" s="270" t="s">
        <v>2599</v>
      </c>
      <c r="F416" s="386" t="s">
        <v>17</v>
      </c>
      <c r="G416" s="376" t="s">
        <v>10</v>
      </c>
      <c r="H416" s="183">
        <v>45791</v>
      </c>
      <c r="I416" s="134"/>
      <c r="J416" s="100" t="s">
        <v>82</v>
      </c>
      <c r="K416" s="128"/>
      <c r="L416" s="128"/>
      <c r="M416" s="129"/>
      <c r="N416" s="130"/>
      <c r="O416" s="130"/>
      <c r="P416" s="131"/>
      <c r="Q416" s="83">
        <v>45804</v>
      </c>
      <c r="R416" s="89">
        <f t="shared" si="15"/>
        <v>1.000283898582691</v>
      </c>
      <c r="S416" s="101" t="s">
        <v>1319</v>
      </c>
      <c r="T416" s="168"/>
    </row>
    <row r="417" spans="1:20" ht="57.6" x14ac:dyDescent="0.3">
      <c r="A417" s="96">
        <f t="shared" si="16"/>
        <v>414</v>
      </c>
      <c r="B417" s="135" t="s">
        <v>80</v>
      </c>
      <c r="C417" s="136">
        <v>45791</v>
      </c>
      <c r="D417" s="331"/>
      <c r="E417" s="270" t="s">
        <v>2600</v>
      </c>
      <c r="F417" s="386" t="s">
        <v>1314</v>
      </c>
      <c r="G417" s="376" t="s">
        <v>10</v>
      </c>
      <c r="H417" s="183">
        <v>45791</v>
      </c>
      <c r="I417" s="137"/>
      <c r="J417" s="100" t="s">
        <v>99</v>
      </c>
      <c r="K417" s="27"/>
      <c r="L417" s="28"/>
      <c r="M417" s="51"/>
      <c r="N417" s="29"/>
      <c r="O417" s="30"/>
      <c r="P417" s="54"/>
      <c r="Q417" s="83">
        <v>45792</v>
      </c>
      <c r="R417" s="89">
        <f t="shared" si="15"/>
        <v>1.0000218383525148</v>
      </c>
      <c r="S417" s="101" t="s">
        <v>1319</v>
      </c>
      <c r="T417" s="56"/>
    </row>
    <row r="418" spans="1:20" ht="57.6" x14ac:dyDescent="0.3">
      <c r="A418" s="96">
        <f t="shared" si="16"/>
        <v>415</v>
      </c>
      <c r="B418" s="135" t="s">
        <v>80</v>
      </c>
      <c r="C418" s="136">
        <v>45791</v>
      </c>
      <c r="D418" s="331"/>
      <c r="E418" s="270" t="s">
        <v>2601</v>
      </c>
      <c r="F418" s="386" t="s">
        <v>1314</v>
      </c>
      <c r="G418" s="376" t="s">
        <v>10</v>
      </c>
      <c r="H418" s="183">
        <v>45791</v>
      </c>
      <c r="I418" s="137"/>
      <c r="J418" s="100" t="s">
        <v>99</v>
      </c>
      <c r="K418" s="128"/>
      <c r="L418" s="128"/>
      <c r="M418" s="129"/>
      <c r="N418" s="130"/>
      <c r="O418" s="130"/>
      <c r="P418" s="131"/>
      <c r="Q418" s="83">
        <v>45792</v>
      </c>
      <c r="R418" s="89">
        <f t="shared" si="15"/>
        <v>1.0000218383525148</v>
      </c>
      <c r="S418" s="101" t="s">
        <v>1319</v>
      </c>
      <c r="T418" s="168"/>
    </row>
    <row r="419" spans="1:20" ht="57.6" x14ac:dyDescent="0.3">
      <c r="A419" s="96">
        <f t="shared" si="16"/>
        <v>416</v>
      </c>
      <c r="B419" s="135" t="s">
        <v>80</v>
      </c>
      <c r="C419" s="136">
        <v>45791</v>
      </c>
      <c r="D419" s="331"/>
      <c r="E419" s="270" t="s">
        <v>2602</v>
      </c>
      <c r="F419" s="386" t="s">
        <v>1314</v>
      </c>
      <c r="G419" s="376" t="s">
        <v>10</v>
      </c>
      <c r="H419" s="183">
        <v>45791</v>
      </c>
      <c r="I419" s="137"/>
      <c r="J419" s="100" t="s">
        <v>99</v>
      </c>
      <c r="K419" s="27"/>
      <c r="L419" s="28"/>
      <c r="M419" s="51"/>
      <c r="N419" s="29"/>
      <c r="O419" s="30"/>
      <c r="P419" s="54"/>
      <c r="Q419" s="83">
        <v>45792</v>
      </c>
      <c r="R419" s="89">
        <f t="shared" si="15"/>
        <v>1.0000218383525148</v>
      </c>
      <c r="S419" s="101" t="s">
        <v>1319</v>
      </c>
      <c r="T419" s="56"/>
    </row>
    <row r="420" spans="1:20" ht="115.2" x14ac:dyDescent="0.3">
      <c r="A420" s="96">
        <f t="shared" si="16"/>
        <v>417</v>
      </c>
      <c r="B420" s="135" t="s">
        <v>80</v>
      </c>
      <c r="C420" s="136">
        <v>45791</v>
      </c>
      <c r="D420" s="331">
        <v>104274409</v>
      </c>
      <c r="E420" s="270" t="s">
        <v>2603</v>
      </c>
      <c r="F420" s="386" t="s">
        <v>15</v>
      </c>
      <c r="G420" s="376" t="s">
        <v>10</v>
      </c>
      <c r="H420" s="183">
        <v>45791</v>
      </c>
      <c r="I420" s="137"/>
      <c r="J420" s="100" t="s">
        <v>99</v>
      </c>
      <c r="K420" s="27"/>
      <c r="L420" s="28"/>
      <c r="M420" s="51"/>
      <c r="N420" s="29"/>
      <c r="O420" s="30"/>
      <c r="P420" s="54"/>
      <c r="Q420" s="83">
        <v>45807</v>
      </c>
      <c r="R420" s="89">
        <f t="shared" si="15"/>
        <v>1.0003494136402349</v>
      </c>
      <c r="S420" s="101" t="s">
        <v>1319</v>
      </c>
      <c r="T420" s="56"/>
    </row>
    <row r="421" spans="1:20" ht="86.4" x14ac:dyDescent="0.3">
      <c r="A421" s="96">
        <f t="shared" si="16"/>
        <v>418</v>
      </c>
      <c r="B421" s="135">
        <v>1550</v>
      </c>
      <c r="C421" s="136">
        <v>45791</v>
      </c>
      <c r="D421" s="331">
        <v>9615431</v>
      </c>
      <c r="E421" s="270" t="s">
        <v>2604</v>
      </c>
      <c r="F421" s="386" t="s">
        <v>32</v>
      </c>
      <c r="G421" s="376" t="s">
        <v>10</v>
      </c>
      <c r="H421" s="183">
        <v>45791</v>
      </c>
      <c r="I421" s="137"/>
      <c r="J421" s="125" t="s">
        <v>106</v>
      </c>
      <c r="K421" s="27"/>
      <c r="L421" s="28"/>
      <c r="M421" s="51"/>
      <c r="N421" s="29"/>
      <c r="O421" s="30"/>
      <c r="P421" s="54"/>
      <c r="Q421" s="83">
        <v>45797</v>
      </c>
      <c r="R421" s="89">
        <f t="shared" si="15"/>
        <v>1.0001310301150881</v>
      </c>
      <c r="S421" s="101" t="s">
        <v>1835</v>
      </c>
      <c r="T421" s="56"/>
    </row>
    <row r="422" spans="1:20" ht="100.8" x14ac:dyDescent="0.3">
      <c r="A422" s="96">
        <f t="shared" si="16"/>
        <v>419</v>
      </c>
      <c r="B422" s="135" t="s">
        <v>80</v>
      </c>
      <c r="C422" s="136">
        <v>45791</v>
      </c>
      <c r="D422" s="331">
        <v>85805181</v>
      </c>
      <c r="E422" s="270" t="s">
        <v>2605</v>
      </c>
      <c r="F422" s="386" t="s">
        <v>3</v>
      </c>
      <c r="G422" s="376" t="s">
        <v>10</v>
      </c>
      <c r="H422" s="183">
        <v>45791</v>
      </c>
      <c r="I422" s="137">
        <v>10000289554</v>
      </c>
      <c r="J422" s="100" t="s">
        <v>82</v>
      </c>
      <c r="K422" s="27"/>
      <c r="L422" s="28"/>
      <c r="M422" s="51"/>
      <c r="N422" s="29"/>
      <c r="O422" s="30"/>
      <c r="P422" s="54"/>
      <c r="Q422" s="83">
        <v>45811</v>
      </c>
      <c r="R422" s="89">
        <f t="shared" si="15"/>
        <v>1.0004367670502938</v>
      </c>
      <c r="S422" s="101" t="s">
        <v>1319</v>
      </c>
      <c r="T422" s="56"/>
    </row>
    <row r="423" spans="1:20" ht="57.6" x14ac:dyDescent="0.3">
      <c r="A423" s="96">
        <f t="shared" si="16"/>
        <v>420</v>
      </c>
      <c r="B423" s="135">
        <v>1550</v>
      </c>
      <c r="C423" s="136">
        <v>45791</v>
      </c>
      <c r="D423" s="331"/>
      <c r="E423" s="270" t="s">
        <v>2606</v>
      </c>
      <c r="F423" s="386" t="s">
        <v>1314</v>
      </c>
      <c r="G423" s="376" t="s">
        <v>10</v>
      </c>
      <c r="H423" s="183">
        <v>45791</v>
      </c>
      <c r="I423" s="137"/>
      <c r="J423" s="100" t="s">
        <v>99</v>
      </c>
      <c r="K423" s="27"/>
      <c r="L423" s="258"/>
      <c r="M423" s="259"/>
      <c r="N423" s="29"/>
      <c r="O423" s="30"/>
      <c r="P423" s="54"/>
      <c r="Q423" s="83">
        <v>45792</v>
      </c>
      <c r="R423" s="89">
        <f t="shared" si="15"/>
        <v>1.0000218383525148</v>
      </c>
      <c r="S423" s="101" t="s">
        <v>214</v>
      </c>
      <c r="T423" s="257"/>
    </row>
    <row r="424" spans="1:20" ht="57.6" x14ac:dyDescent="0.3">
      <c r="A424" s="96">
        <f t="shared" si="16"/>
        <v>421</v>
      </c>
      <c r="B424" s="135">
        <v>1550</v>
      </c>
      <c r="C424" s="136">
        <v>45791</v>
      </c>
      <c r="D424" s="331"/>
      <c r="E424" s="270" t="s">
        <v>2607</v>
      </c>
      <c r="F424" s="386" t="s">
        <v>1314</v>
      </c>
      <c r="G424" s="376" t="s">
        <v>10</v>
      </c>
      <c r="H424" s="183">
        <v>45791</v>
      </c>
      <c r="I424" s="137"/>
      <c r="J424" s="100" t="s">
        <v>99</v>
      </c>
      <c r="K424" s="128"/>
      <c r="L424" s="128"/>
      <c r="M424" s="129"/>
      <c r="N424" s="130"/>
      <c r="O424" s="130"/>
      <c r="P424" s="131"/>
      <c r="Q424" s="83">
        <v>45792</v>
      </c>
      <c r="R424" s="89">
        <f t="shared" si="15"/>
        <v>1.0000218383525148</v>
      </c>
      <c r="S424" s="101" t="s">
        <v>85</v>
      </c>
      <c r="T424" s="168"/>
    </row>
    <row r="425" spans="1:20" ht="57.6" x14ac:dyDescent="0.3">
      <c r="A425" s="96">
        <f t="shared" si="16"/>
        <v>422</v>
      </c>
      <c r="B425" s="135">
        <v>1550</v>
      </c>
      <c r="C425" s="136">
        <v>45791</v>
      </c>
      <c r="D425" s="331"/>
      <c r="E425" s="270" t="s">
        <v>2608</v>
      </c>
      <c r="F425" s="386" t="s">
        <v>1314</v>
      </c>
      <c r="G425" s="376" t="s">
        <v>10</v>
      </c>
      <c r="H425" s="183">
        <v>45791</v>
      </c>
      <c r="I425" s="137"/>
      <c r="J425" s="100" t="s">
        <v>99</v>
      </c>
      <c r="K425" s="27"/>
      <c r="L425" s="28"/>
      <c r="M425" s="51"/>
      <c r="N425" s="29"/>
      <c r="O425" s="30"/>
      <c r="P425" s="54"/>
      <c r="Q425" s="83">
        <v>45792</v>
      </c>
      <c r="R425" s="89">
        <f t="shared" si="15"/>
        <v>1.0000218383525148</v>
      </c>
      <c r="S425" s="101" t="s">
        <v>85</v>
      </c>
      <c r="T425" s="147"/>
    </row>
    <row r="426" spans="1:20" ht="216" x14ac:dyDescent="0.3">
      <c r="A426" s="96">
        <f t="shared" si="16"/>
        <v>423</v>
      </c>
      <c r="B426" s="135" t="s">
        <v>80</v>
      </c>
      <c r="C426" s="136">
        <v>45791</v>
      </c>
      <c r="D426" s="331">
        <v>107885557</v>
      </c>
      <c r="E426" s="270" t="s">
        <v>2609</v>
      </c>
      <c r="F426" s="386" t="s">
        <v>12</v>
      </c>
      <c r="G426" s="376" t="s">
        <v>10</v>
      </c>
      <c r="H426" s="183">
        <v>45791</v>
      </c>
      <c r="I426" s="137"/>
      <c r="J426" s="729" t="s">
        <v>159</v>
      </c>
      <c r="K426" s="128"/>
      <c r="L426" s="128"/>
      <c r="M426" s="129"/>
      <c r="N426" s="130"/>
      <c r="O426" s="130"/>
      <c r="P426" s="131"/>
      <c r="Q426" s="83">
        <v>45800</v>
      </c>
      <c r="R426" s="89">
        <f t="shared" si="15"/>
        <v>1.0001965451726322</v>
      </c>
      <c r="S426" s="101" t="s">
        <v>1319</v>
      </c>
      <c r="T426" s="168"/>
    </row>
    <row r="427" spans="1:20" ht="57.6" x14ac:dyDescent="0.3">
      <c r="A427" s="96">
        <f t="shared" si="16"/>
        <v>424</v>
      </c>
      <c r="B427" s="135" t="s">
        <v>80</v>
      </c>
      <c r="C427" s="136">
        <v>45791</v>
      </c>
      <c r="D427" s="331"/>
      <c r="E427" s="270" t="s">
        <v>2610</v>
      </c>
      <c r="F427" s="386" t="s">
        <v>1314</v>
      </c>
      <c r="G427" s="376" t="s">
        <v>10</v>
      </c>
      <c r="H427" s="183">
        <v>45791</v>
      </c>
      <c r="I427" s="137"/>
      <c r="J427" s="100" t="s">
        <v>99</v>
      </c>
      <c r="K427" s="128"/>
      <c r="L427" s="128"/>
      <c r="M427" s="129"/>
      <c r="N427" s="130"/>
      <c r="O427" s="130"/>
      <c r="P427" s="131"/>
      <c r="Q427" s="83">
        <v>45792</v>
      </c>
      <c r="R427" s="89">
        <f t="shared" si="15"/>
        <v>1.0000218383525148</v>
      </c>
      <c r="S427" s="101" t="s">
        <v>1319</v>
      </c>
      <c r="T427" s="56"/>
    </row>
    <row r="428" spans="1:20" ht="57.6" x14ac:dyDescent="0.3">
      <c r="A428" s="96">
        <f t="shared" si="16"/>
        <v>425</v>
      </c>
      <c r="B428" s="135">
        <v>1550</v>
      </c>
      <c r="C428" s="136">
        <v>45791</v>
      </c>
      <c r="D428" s="331"/>
      <c r="E428" s="270" t="s">
        <v>2611</v>
      </c>
      <c r="F428" s="386" t="s">
        <v>1314</v>
      </c>
      <c r="G428" s="376" t="s">
        <v>10</v>
      </c>
      <c r="H428" s="183">
        <v>45791</v>
      </c>
      <c r="I428" s="137"/>
      <c r="J428" s="100" t="s">
        <v>99</v>
      </c>
      <c r="K428" s="27"/>
      <c r="L428" s="28"/>
      <c r="M428" s="51"/>
      <c r="N428" s="29"/>
      <c r="O428" s="30"/>
      <c r="P428" s="54"/>
      <c r="Q428" s="83">
        <v>45792</v>
      </c>
      <c r="R428" s="89">
        <f t="shared" si="15"/>
        <v>1.0000218383525148</v>
      </c>
      <c r="S428" s="101" t="s">
        <v>214</v>
      </c>
      <c r="T428" s="56"/>
    </row>
    <row r="429" spans="1:20" ht="244.8" x14ac:dyDescent="0.3">
      <c r="A429" s="96">
        <f t="shared" si="16"/>
        <v>426</v>
      </c>
      <c r="B429" s="135">
        <v>1550</v>
      </c>
      <c r="C429" s="136">
        <v>45791</v>
      </c>
      <c r="D429" s="331">
        <v>81082762</v>
      </c>
      <c r="E429" s="270" t="s">
        <v>2612</v>
      </c>
      <c r="F429" s="386" t="s">
        <v>7</v>
      </c>
      <c r="G429" s="376" t="s">
        <v>10</v>
      </c>
      <c r="H429" s="183">
        <v>45791</v>
      </c>
      <c r="I429" s="137"/>
      <c r="J429" s="100" t="s">
        <v>2411</v>
      </c>
      <c r="K429" s="27"/>
      <c r="L429" s="28"/>
      <c r="M429" s="51"/>
      <c r="N429" s="29"/>
      <c r="O429" s="30"/>
      <c r="P429" s="54"/>
      <c r="Q429" s="83">
        <v>45791</v>
      </c>
      <c r="R429" s="89">
        <f t="shared" si="15"/>
        <v>1</v>
      </c>
      <c r="S429" s="101" t="s">
        <v>214</v>
      </c>
      <c r="T429" s="56"/>
    </row>
    <row r="430" spans="1:20" ht="43.2" x14ac:dyDescent="0.3">
      <c r="A430" s="96">
        <f t="shared" si="16"/>
        <v>427</v>
      </c>
      <c r="B430" s="123">
        <v>1550</v>
      </c>
      <c r="C430" s="124">
        <v>45791</v>
      </c>
      <c r="D430" s="331">
        <v>19713614</v>
      </c>
      <c r="E430" s="398" t="s">
        <v>2613</v>
      </c>
      <c r="F430" s="386" t="s">
        <v>3</v>
      </c>
      <c r="G430" s="376" t="s">
        <v>6</v>
      </c>
      <c r="H430" s="183">
        <v>45791</v>
      </c>
      <c r="I430" s="137"/>
      <c r="J430" s="100" t="s">
        <v>82</v>
      </c>
      <c r="K430" s="27"/>
      <c r="L430" s="28"/>
      <c r="M430" s="51"/>
      <c r="N430" s="29"/>
      <c r="O430" s="30"/>
      <c r="P430" s="54"/>
      <c r="Q430" s="132">
        <v>45792</v>
      </c>
      <c r="R430" s="89">
        <f t="shared" si="15"/>
        <v>1.0000218383525148</v>
      </c>
      <c r="S430" s="101" t="s">
        <v>1811</v>
      </c>
      <c r="T430" s="56"/>
    </row>
    <row r="431" spans="1:20" ht="57.6" x14ac:dyDescent="0.3">
      <c r="A431" s="96">
        <f t="shared" si="16"/>
        <v>428</v>
      </c>
      <c r="B431" s="123" t="s">
        <v>80</v>
      </c>
      <c r="C431" s="124">
        <v>45791</v>
      </c>
      <c r="D431" s="331">
        <v>4688058</v>
      </c>
      <c r="E431" s="398" t="s">
        <v>2614</v>
      </c>
      <c r="F431" s="386" t="s">
        <v>17</v>
      </c>
      <c r="G431" s="376" t="s">
        <v>6</v>
      </c>
      <c r="H431" s="183">
        <v>45791</v>
      </c>
      <c r="I431" s="137">
        <v>10000289622</v>
      </c>
      <c r="J431" s="100" t="s">
        <v>82</v>
      </c>
      <c r="K431" s="128"/>
      <c r="L431" s="128"/>
      <c r="M431" s="129"/>
      <c r="N431" s="130"/>
      <c r="O431" s="130"/>
      <c r="P431" s="131"/>
      <c r="Q431" s="132">
        <v>46008</v>
      </c>
      <c r="R431" s="89">
        <f t="shared" si="15"/>
        <v>1.0047389224956869</v>
      </c>
      <c r="S431" s="200" t="s">
        <v>1813</v>
      </c>
      <c r="T431" s="230" t="s">
        <v>2615</v>
      </c>
    </row>
    <row r="432" spans="1:20" ht="57.6" x14ac:dyDescent="0.3">
      <c r="A432" s="96">
        <f t="shared" si="16"/>
        <v>429</v>
      </c>
      <c r="B432" s="123" t="s">
        <v>301</v>
      </c>
      <c r="C432" s="124">
        <v>45791</v>
      </c>
      <c r="D432" s="331"/>
      <c r="E432" s="398" t="s">
        <v>2616</v>
      </c>
      <c r="F432" s="386" t="s">
        <v>1314</v>
      </c>
      <c r="G432" s="376" t="s">
        <v>6</v>
      </c>
      <c r="H432" s="183">
        <v>45791</v>
      </c>
      <c r="I432" s="137"/>
      <c r="J432" s="100" t="s">
        <v>99</v>
      </c>
      <c r="K432" s="128"/>
      <c r="L432" s="128"/>
      <c r="M432" s="129"/>
      <c r="N432" s="130"/>
      <c r="O432" s="130"/>
      <c r="P432" s="131"/>
      <c r="Q432" s="132">
        <v>45792</v>
      </c>
      <c r="R432" s="89">
        <f t="shared" si="15"/>
        <v>1.0000218383525148</v>
      </c>
      <c r="S432" s="101" t="s">
        <v>1811</v>
      </c>
      <c r="T432" s="168"/>
    </row>
    <row r="433" spans="1:20" ht="43.2" x14ac:dyDescent="0.3">
      <c r="A433" s="96">
        <f t="shared" si="16"/>
        <v>430</v>
      </c>
      <c r="B433" s="123">
        <v>1550</v>
      </c>
      <c r="C433" s="124">
        <v>45791</v>
      </c>
      <c r="D433" s="331">
        <v>30168260</v>
      </c>
      <c r="E433" s="398" t="s">
        <v>2617</v>
      </c>
      <c r="F433" s="386" t="s">
        <v>24</v>
      </c>
      <c r="G433" s="376" t="s">
        <v>8</v>
      </c>
      <c r="H433" s="183">
        <v>45791</v>
      </c>
      <c r="I433" s="137"/>
      <c r="J433" s="100" t="s">
        <v>253</v>
      </c>
      <c r="K433" s="27"/>
      <c r="L433" s="28"/>
      <c r="M433" s="51"/>
      <c r="N433" s="29"/>
      <c r="O433" s="30"/>
      <c r="P433" s="54"/>
      <c r="Q433" s="132">
        <v>45792</v>
      </c>
      <c r="R433" s="89">
        <f t="shared" si="15"/>
        <v>1.0000218383525148</v>
      </c>
      <c r="S433" s="101" t="s">
        <v>2618</v>
      </c>
      <c r="T433" s="56"/>
    </row>
    <row r="434" spans="1:20" ht="57.6" x14ac:dyDescent="0.3">
      <c r="A434" s="96">
        <f t="shared" si="16"/>
        <v>431</v>
      </c>
      <c r="B434" s="135" t="s">
        <v>80</v>
      </c>
      <c r="C434" s="124">
        <v>45791</v>
      </c>
      <c r="D434" s="331"/>
      <c r="E434" s="270" t="s">
        <v>2619</v>
      </c>
      <c r="F434" s="386" t="s">
        <v>1314</v>
      </c>
      <c r="G434" s="376" t="s">
        <v>10</v>
      </c>
      <c r="H434" s="183">
        <v>45791</v>
      </c>
      <c r="I434" s="137"/>
      <c r="J434" s="100" t="s">
        <v>99</v>
      </c>
      <c r="K434" s="128"/>
      <c r="L434" s="128"/>
      <c r="M434" s="129"/>
      <c r="N434" s="130"/>
      <c r="O434" s="130"/>
      <c r="P434" s="131"/>
      <c r="Q434" s="132">
        <v>45792</v>
      </c>
      <c r="R434" s="89">
        <f t="shared" si="15"/>
        <v>1.0000218383525148</v>
      </c>
      <c r="S434" s="101" t="s">
        <v>2213</v>
      </c>
      <c r="T434" s="168"/>
    </row>
    <row r="435" spans="1:20" ht="57.6" x14ac:dyDescent="0.3">
      <c r="A435" s="96">
        <f t="shared" si="16"/>
        <v>432</v>
      </c>
      <c r="B435" s="135" t="s">
        <v>80</v>
      </c>
      <c r="C435" s="124">
        <v>45791</v>
      </c>
      <c r="D435" s="331"/>
      <c r="E435" s="270" t="s">
        <v>2620</v>
      </c>
      <c r="F435" s="386" t="s">
        <v>1314</v>
      </c>
      <c r="G435" s="376" t="s">
        <v>10</v>
      </c>
      <c r="H435" s="183">
        <v>45791</v>
      </c>
      <c r="I435" s="137"/>
      <c r="J435" s="100" t="s">
        <v>99</v>
      </c>
      <c r="K435" s="27"/>
      <c r="L435" s="28"/>
      <c r="M435" s="51"/>
      <c r="N435" s="29"/>
      <c r="O435" s="30"/>
      <c r="P435" s="54"/>
      <c r="Q435" s="132">
        <v>45792</v>
      </c>
      <c r="R435" s="89">
        <f t="shared" si="15"/>
        <v>1.0000218383525148</v>
      </c>
      <c r="S435" s="101" t="s">
        <v>2213</v>
      </c>
      <c r="T435" s="56"/>
    </row>
    <row r="436" spans="1:20" ht="72" x14ac:dyDescent="0.3">
      <c r="A436" s="96">
        <f t="shared" si="16"/>
        <v>433</v>
      </c>
      <c r="B436" s="123">
        <v>1550</v>
      </c>
      <c r="C436" s="206">
        <v>45792</v>
      </c>
      <c r="D436" s="331"/>
      <c r="E436" s="270" t="s">
        <v>2621</v>
      </c>
      <c r="F436" s="386" t="s">
        <v>1314</v>
      </c>
      <c r="G436" s="377" t="s">
        <v>8</v>
      </c>
      <c r="H436" s="183">
        <v>45792</v>
      </c>
      <c r="I436" s="134"/>
      <c r="J436" s="100" t="s">
        <v>99</v>
      </c>
      <c r="K436" s="128"/>
      <c r="L436" s="128"/>
      <c r="M436" s="129"/>
      <c r="N436" s="130"/>
      <c r="O436" s="130"/>
      <c r="P436" s="131"/>
      <c r="Q436" s="132">
        <v>45792</v>
      </c>
      <c r="R436" s="89">
        <f t="shared" si="15"/>
        <v>1</v>
      </c>
      <c r="S436" s="101" t="s">
        <v>528</v>
      </c>
      <c r="T436" s="168"/>
    </row>
    <row r="437" spans="1:20" ht="57.6" x14ac:dyDescent="0.3">
      <c r="A437" s="96">
        <f t="shared" si="16"/>
        <v>434</v>
      </c>
      <c r="B437" s="204">
        <v>1550</v>
      </c>
      <c r="C437" s="205">
        <v>45792</v>
      </c>
      <c r="D437" s="367"/>
      <c r="E437" s="275" t="s">
        <v>2622</v>
      </c>
      <c r="F437" s="426" t="s">
        <v>1314</v>
      </c>
      <c r="G437" s="454" t="s">
        <v>6</v>
      </c>
      <c r="H437" s="418">
        <v>45792</v>
      </c>
      <c r="I437" s="455"/>
      <c r="J437" s="456" t="s">
        <v>99</v>
      </c>
      <c r="K437" s="443"/>
      <c r="L437" s="28"/>
      <c r="M437" s="51"/>
      <c r="N437" s="29"/>
      <c r="O437" s="30"/>
      <c r="P437" s="54"/>
      <c r="Q437" s="83">
        <v>45792</v>
      </c>
      <c r="R437" s="89">
        <f t="shared" si="15"/>
        <v>1</v>
      </c>
      <c r="S437" s="101" t="s">
        <v>1813</v>
      </c>
      <c r="T437" s="56"/>
    </row>
    <row r="438" spans="1:20" ht="57.6" x14ac:dyDescent="0.3">
      <c r="A438" s="96">
        <f t="shared" si="16"/>
        <v>435</v>
      </c>
      <c r="B438" s="135">
        <v>1550</v>
      </c>
      <c r="C438" s="136">
        <v>45792</v>
      </c>
      <c r="D438" s="411"/>
      <c r="E438" s="109" t="s">
        <v>2623</v>
      </c>
      <c r="F438" s="111" t="s">
        <v>1314</v>
      </c>
      <c r="G438" s="127" t="s">
        <v>6</v>
      </c>
      <c r="H438" s="138">
        <v>45792</v>
      </c>
      <c r="I438" s="134"/>
      <c r="J438" s="125" t="s">
        <v>99</v>
      </c>
      <c r="K438" s="431"/>
      <c r="L438" s="28"/>
      <c r="M438" s="51"/>
      <c r="N438" s="29"/>
      <c r="O438" s="30"/>
      <c r="P438" s="54"/>
      <c r="Q438" s="83">
        <v>45792</v>
      </c>
      <c r="R438" s="89">
        <f t="shared" si="15"/>
        <v>1</v>
      </c>
      <c r="S438" s="101" t="s">
        <v>1936</v>
      </c>
      <c r="T438" s="56"/>
    </row>
    <row r="439" spans="1:20" ht="57.6" x14ac:dyDescent="0.3">
      <c r="A439" s="96">
        <f t="shared" si="16"/>
        <v>436</v>
      </c>
      <c r="B439" s="135">
        <v>1550</v>
      </c>
      <c r="C439" s="136">
        <v>45792</v>
      </c>
      <c r="D439" s="411"/>
      <c r="E439" s="109" t="s">
        <v>2624</v>
      </c>
      <c r="F439" s="111" t="s">
        <v>1314</v>
      </c>
      <c r="G439" s="127" t="s">
        <v>6</v>
      </c>
      <c r="H439" s="138">
        <v>45792</v>
      </c>
      <c r="I439" s="134"/>
      <c r="J439" s="125" t="s">
        <v>99</v>
      </c>
      <c r="K439" s="431"/>
      <c r="L439" s="28"/>
      <c r="M439" s="51"/>
      <c r="N439" s="29"/>
      <c r="O439" s="30"/>
      <c r="P439" s="54"/>
      <c r="Q439" s="83">
        <v>45792</v>
      </c>
      <c r="R439" s="89">
        <f t="shared" si="15"/>
        <v>1</v>
      </c>
      <c r="S439" s="101" t="s">
        <v>1813</v>
      </c>
      <c r="T439" s="56"/>
    </row>
    <row r="440" spans="1:20" ht="115.2" x14ac:dyDescent="0.3">
      <c r="A440" s="96">
        <f t="shared" si="16"/>
        <v>437</v>
      </c>
      <c r="B440" s="135" t="s">
        <v>301</v>
      </c>
      <c r="C440" s="136">
        <v>45792</v>
      </c>
      <c r="D440" s="411">
        <v>68044836</v>
      </c>
      <c r="E440" s="289" t="s">
        <v>2625</v>
      </c>
      <c r="F440" s="111" t="s">
        <v>1</v>
      </c>
      <c r="G440" s="127" t="s">
        <v>6</v>
      </c>
      <c r="H440" s="138">
        <v>45792</v>
      </c>
      <c r="I440" s="134"/>
      <c r="J440" s="125" t="s">
        <v>2352</v>
      </c>
      <c r="K440" s="458"/>
      <c r="L440" s="128"/>
      <c r="M440" s="129"/>
      <c r="N440" s="130"/>
      <c r="O440" s="130"/>
      <c r="P440" s="131"/>
      <c r="Q440" s="132">
        <v>45793</v>
      </c>
      <c r="R440" s="89">
        <f t="shared" si="15"/>
        <v>1.0000218378756114</v>
      </c>
      <c r="S440" s="101" t="s">
        <v>1860</v>
      </c>
      <c r="T440" s="56"/>
    </row>
    <row r="441" spans="1:20" ht="57.6" x14ac:dyDescent="0.3">
      <c r="A441" s="96">
        <f t="shared" si="16"/>
        <v>438</v>
      </c>
      <c r="B441" s="450">
        <v>1550</v>
      </c>
      <c r="C441" s="459">
        <v>45792</v>
      </c>
      <c r="D441" s="331">
        <v>5454018</v>
      </c>
      <c r="E441" s="277" t="s">
        <v>2626</v>
      </c>
      <c r="F441" s="401" t="s">
        <v>1</v>
      </c>
      <c r="G441" s="457" t="s">
        <v>6</v>
      </c>
      <c r="H441" s="183">
        <v>45792</v>
      </c>
      <c r="I441" s="460"/>
      <c r="J441" s="461" t="s">
        <v>135</v>
      </c>
      <c r="K441" s="27"/>
      <c r="L441" s="28"/>
      <c r="M441" s="51"/>
      <c r="N441" s="29"/>
      <c r="O441" s="30"/>
      <c r="P441" s="54"/>
      <c r="Q441" s="83">
        <v>45804</v>
      </c>
      <c r="R441" s="89">
        <f t="shared" si="15"/>
        <v>1.0002620545073375</v>
      </c>
      <c r="S441" s="101" t="s">
        <v>1312</v>
      </c>
      <c r="T441" s="56"/>
    </row>
    <row r="442" spans="1:20" ht="57.6" x14ac:dyDescent="0.3">
      <c r="A442" s="96">
        <f t="shared" si="16"/>
        <v>439</v>
      </c>
      <c r="B442" s="135">
        <v>1550</v>
      </c>
      <c r="C442" s="136">
        <v>45792</v>
      </c>
      <c r="D442" s="331"/>
      <c r="E442" s="270" t="s">
        <v>2627</v>
      </c>
      <c r="F442" s="111" t="s">
        <v>1314</v>
      </c>
      <c r="G442" s="127" t="s">
        <v>6</v>
      </c>
      <c r="H442" s="138">
        <v>45792</v>
      </c>
      <c r="I442" s="134"/>
      <c r="J442" s="125" t="s">
        <v>99</v>
      </c>
      <c r="K442" s="431"/>
      <c r="L442" s="28"/>
      <c r="M442" s="51"/>
      <c r="N442" s="29"/>
      <c r="O442" s="30"/>
      <c r="P442" s="54"/>
      <c r="Q442" s="83">
        <v>45792</v>
      </c>
      <c r="R442" s="89">
        <f t="shared" si="15"/>
        <v>1</v>
      </c>
      <c r="S442" s="101" t="s">
        <v>1936</v>
      </c>
      <c r="T442" s="56"/>
    </row>
    <row r="443" spans="1:20" ht="43.2" x14ac:dyDescent="0.3">
      <c r="A443" s="96">
        <f t="shared" si="16"/>
        <v>440</v>
      </c>
      <c r="B443" s="123" t="s">
        <v>80</v>
      </c>
      <c r="C443" s="124">
        <v>45792</v>
      </c>
      <c r="D443" s="331">
        <v>74057677</v>
      </c>
      <c r="E443" s="397" t="s">
        <v>2628</v>
      </c>
      <c r="F443" s="386" t="s">
        <v>17</v>
      </c>
      <c r="G443" s="377" t="s">
        <v>8</v>
      </c>
      <c r="H443" s="183">
        <v>45792</v>
      </c>
      <c r="I443" s="364">
        <v>10000292834</v>
      </c>
      <c r="J443" s="100" t="s">
        <v>82</v>
      </c>
      <c r="K443" s="128"/>
      <c r="L443" s="128"/>
      <c r="M443" s="129"/>
      <c r="N443" s="130"/>
      <c r="O443" s="130"/>
      <c r="P443" s="131"/>
      <c r="Q443" s="132">
        <v>45867</v>
      </c>
      <c r="R443" s="89">
        <f t="shared" si="15"/>
        <v>1.0016378406708595</v>
      </c>
      <c r="S443" s="101" t="s">
        <v>758</v>
      </c>
      <c r="T443" s="147" t="s">
        <v>2498</v>
      </c>
    </row>
    <row r="444" spans="1:20" ht="43.2" x14ac:dyDescent="0.3">
      <c r="A444" s="96">
        <f t="shared" si="16"/>
        <v>441</v>
      </c>
      <c r="B444" s="176" t="s">
        <v>1826</v>
      </c>
      <c r="C444" s="177">
        <v>45792</v>
      </c>
      <c r="D444" s="367">
        <v>109120825</v>
      </c>
      <c r="E444" s="463" t="s">
        <v>2629</v>
      </c>
      <c r="F444" s="420" t="s">
        <v>7</v>
      </c>
      <c r="G444" s="454" t="s">
        <v>4</v>
      </c>
      <c r="H444" s="183">
        <v>45792</v>
      </c>
      <c r="I444" s="49"/>
      <c r="J444" s="742" t="s">
        <v>99</v>
      </c>
      <c r="K444" s="27"/>
      <c r="L444" s="28"/>
      <c r="M444" s="51"/>
      <c r="N444" s="29"/>
      <c r="O444" s="30"/>
      <c r="P444" s="54"/>
      <c r="Q444" s="132">
        <v>45792</v>
      </c>
      <c r="R444" s="89">
        <f t="shared" si="15"/>
        <v>1</v>
      </c>
      <c r="S444" s="101"/>
      <c r="T444" s="56"/>
    </row>
    <row r="445" spans="1:20" ht="57.6" x14ac:dyDescent="0.3">
      <c r="A445" s="96">
        <f t="shared" si="16"/>
        <v>442</v>
      </c>
      <c r="B445" s="123">
        <v>1550</v>
      </c>
      <c r="C445" s="124">
        <v>45792</v>
      </c>
      <c r="D445" s="411"/>
      <c r="E445" s="254" t="s">
        <v>2630</v>
      </c>
      <c r="F445" s="111" t="s">
        <v>1314</v>
      </c>
      <c r="G445" s="127" t="s">
        <v>6</v>
      </c>
      <c r="H445" s="462">
        <v>45792</v>
      </c>
      <c r="I445" s="134"/>
      <c r="J445" s="125" t="s">
        <v>99</v>
      </c>
      <c r="K445" s="27"/>
      <c r="L445" s="28"/>
      <c r="M445" s="51"/>
      <c r="N445" s="29"/>
      <c r="O445" s="30"/>
      <c r="P445" s="54"/>
      <c r="Q445" s="83">
        <v>45793</v>
      </c>
      <c r="R445" s="89">
        <f t="shared" si="15"/>
        <v>1.0000218378756114</v>
      </c>
      <c r="S445" s="101" t="s">
        <v>1936</v>
      </c>
      <c r="T445" s="56"/>
    </row>
    <row r="446" spans="1:20" x14ac:dyDescent="0.3">
      <c r="A446" s="96">
        <f t="shared" si="16"/>
        <v>443</v>
      </c>
      <c r="B446" s="123">
        <v>1550</v>
      </c>
      <c r="C446" s="124">
        <v>45792</v>
      </c>
      <c r="D446" s="411">
        <v>78718252</v>
      </c>
      <c r="E446" s="254" t="s">
        <v>2631</v>
      </c>
      <c r="F446" s="111" t="s">
        <v>3</v>
      </c>
      <c r="G446" s="125" t="s">
        <v>4</v>
      </c>
      <c r="H446" s="99">
        <v>45792</v>
      </c>
      <c r="I446" s="137"/>
      <c r="J446" s="100" t="s">
        <v>2513</v>
      </c>
      <c r="K446" s="128"/>
      <c r="L446" s="128"/>
      <c r="M446" s="129"/>
      <c r="N446" s="130"/>
      <c r="O446" s="130"/>
      <c r="P446" s="131"/>
      <c r="Q446" s="83">
        <v>45792</v>
      </c>
      <c r="R446" s="89">
        <f t="shared" si="15"/>
        <v>1</v>
      </c>
      <c r="S446" s="101"/>
      <c r="T446" s="168"/>
    </row>
    <row r="447" spans="1:20" ht="57.6" x14ac:dyDescent="0.3">
      <c r="A447" s="96">
        <f t="shared" si="16"/>
        <v>444</v>
      </c>
      <c r="B447" s="123">
        <v>1550</v>
      </c>
      <c r="C447" s="124">
        <v>45792</v>
      </c>
      <c r="D447" s="411"/>
      <c r="E447" s="36" t="s">
        <v>2632</v>
      </c>
      <c r="F447" s="111" t="s">
        <v>1314</v>
      </c>
      <c r="G447" s="125" t="s">
        <v>4</v>
      </c>
      <c r="H447" s="99">
        <v>45792</v>
      </c>
      <c r="I447" s="137"/>
      <c r="J447" s="100" t="s">
        <v>82</v>
      </c>
      <c r="K447" s="128"/>
      <c r="L447" s="128"/>
      <c r="M447" s="129"/>
      <c r="N447" s="130"/>
      <c r="O447" s="130"/>
      <c r="P447" s="131"/>
      <c r="Q447" s="83">
        <v>45793</v>
      </c>
      <c r="R447" s="89">
        <f t="shared" si="15"/>
        <v>1.0000218378756114</v>
      </c>
      <c r="S447" s="101"/>
      <c r="T447" s="168"/>
    </row>
    <row r="448" spans="1:20" ht="57.6" x14ac:dyDescent="0.3">
      <c r="A448" s="96">
        <f t="shared" si="16"/>
        <v>445</v>
      </c>
      <c r="B448" s="428">
        <v>1550</v>
      </c>
      <c r="C448" s="429">
        <v>45792</v>
      </c>
      <c r="D448" s="331"/>
      <c r="E448" s="398" t="s">
        <v>2633</v>
      </c>
      <c r="F448" s="151" t="s">
        <v>1314</v>
      </c>
      <c r="G448" s="196" t="s">
        <v>6</v>
      </c>
      <c r="H448" s="138">
        <v>45792</v>
      </c>
      <c r="I448" s="134"/>
      <c r="J448" s="125" t="s">
        <v>99</v>
      </c>
      <c r="K448" s="27"/>
      <c r="L448" s="28"/>
      <c r="M448" s="51"/>
      <c r="N448" s="29"/>
      <c r="O448" s="30"/>
      <c r="P448" s="54"/>
      <c r="Q448" s="83">
        <v>45792</v>
      </c>
      <c r="R448" s="89">
        <f t="shared" si="15"/>
        <v>1</v>
      </c>
      <c r="S448" s="101" t="s">
        <v>2597</v>
      </c>
      <c r="T448" s="168"/>
    </row>
    <row r="449" spans="1:20" ht="57.6" x14ac:dyDescent="0.3">
      <c r="A449" s="96">
        <f t="shared" si="16"/>
        <v>446</v>
      </c>
      <c r="B449" s="123">
        <v>1550</v>
      </c>
      <c r="C449" s="124">
        <v>45792</v>
      </c>
      <c r="D449" s="331"/>
      <c r="E449" s="270" t="s">
        <v>2634</v>
      </c>
      <c r="F449" s="111" t="s">
        <v>1314</v>
      </c>
      <c r="G449" s="125" t="s">
        <v>4</v>
      </c>
      <c r="H449" s="99">
        <v>45792</v>
      </c>
      <c r="I449" s="137"/>
      <c r="J449" s="125" t="s">
        <v>99</v>
      </c>
      <c r="K449" s="128"/>
      <c r="L449" s="128"/>
      <c r="M449" s="129"/>
      <c r="N449" s="130"/>
      <c r="O449" s="130"/>
      <c r="P449" s="131"/>
      <c r="Q449" s="83">
        <v>45793</v>
      </c>
      <c r="R449" s="89">
        <f t="shared" si="15"/>
        <v>1.0000218378756114</v>
      </c>
      <c r="S449" s="101"/>
      <c r="T449" s="56"/>
    </row>
    <row r="450" spans="1:20" ht="57.6" x14ac:dyDescent="0.3">
      <c r="A450" s="96">
        <f t="shared" si="16"/>
        <v>447</v>
      </c>
      <c r="B450" s="123">
        <v>1550</v>
      </c>
      <c r="C450" s="124">
        <v>45792</v>
      </c>
      <c r="D450" s="331"/>
      <c r="E450" s="270" t="s">
        <v>2635</v>
      </c>
      <c r="F450" s="111" t="s">
        <v>1314</v>
      </c>
      <c r="G450" s="125" t="s">
        <v>4</v>
      </c>
      <c r="H450" s="99">
        <v>45792</v>
      </c>
      <c r="I450" s="137"/>
      <c r="J450" s="125" t="s">
        <v>99</v>
      </c>
      <c r="K450" s="128"/>
      <c r="L450" s="128"/>
      <c r="M450" s="129"/>
      <c r="N450" s="130"/>
      <c r="O450" s="130"/>
      <c r="P450" s="131"/>
      <c r="Q450" s="83">
        <v>45793</v>
      </c>
      <c r="R450" s="89">
        <f t="shared" si="15"/>
        <v>1.0000218378756114</v>
      </c>
      <c r="S450" s="101"/>
      <c r="T450" s="56"/>
    </row>
    <row r="451" spans="1:20" ht="57.6" x14ac:dyDescent="0.3">
      <c r="A451" s="96">
        <f t="shared" si="16"/>
        <v>448</v>
      </c>
      <c r="B451" s="123">
        <v>1550</v>
      </c>
      <c r="C451" s="124">
        <v>45792</v>
      </c>
      <c r="D451" s="331"/>
      <c r="E451" s="270" t="s">
        <v>2636</v>
      </c>
      <c r="F451" s="111" t="s">
        <v>1314</v>
      </c>
      <c r="G451" s="125" t="s">
        <v>4</v>
      </c>
      <c r="H451" s="99">
        <v>45792</v>
      </c>
      <c r="I451" s="137"/>
      <c r="J451" s="125" t="s">
        <v>99</v>
      </c>
      <c r="K451" s="128"/>
      <c r="L451" s="128"/>
      <c r="M451" s="129"/>
      <c r="N451" s="130"/>
      <c r="O451" s="130"/>
      <c r="P451" s="131"/>
      <c r="Q451" s="83">
        <v>45793</v>
      </c>
      <c r="R451" s="89">
        <f t="shared" si="15"/>
        <v>1.0000218378756114</v>
      </c>
      <c r="S451" s="101"/>
      <c r="T451" s="56"/>
    </row>
    <row r="452" spans="1:20" ht="72" x14ac:dyDescent="0.3">
      <c r="A452" s="96">
        <f t="shared" si="16"/>
        <v>449</v>
      </c>
      <c r="B452" s="135">
        <v>1550</v>
      </c>
      <c r="C452" s="136">
        <v>45792</v>
      </c>
      <c r="D452" s="331"/>
      <c r="E452" s="270" t="s">
        <v>2637</v>
      </c>
      <c r="F452" s="386" t="s">
        <v>1314</v>
      </c>
      <c r="G452" s="376" t="s">
        <v>8</v>
      </c>
      <c r="H452" s="183">
        <v>45792</v>
      </c>
      <c r="I452" s="137"/>
      <c r="J452" s="125" t="s">
        <v>99</v>
      </c>
      <c r="K452" s="27"/>
      <c r="L452" s="28"/>
      <c r="M452" s="51"/>
      <c r="N452" s="29"/>
      <c r="O452" s="30"/>
      <c r="P452" s="54"/>
      <c r="Q452" s="83">
        <v>45793</v>
      </c>
      <c r="R452" s="89">
        <f t="shared" ref="R452:R515" si="17">Q452/H452</f>
        <v>1.0000218378756114</v>
      </c>
      <c r="S452" s="101" t="s">
        <v>528</v>
      </c>
      <c r="T452" s="56"/>
    </row>
    <row r="453" spans="1:20" ht="57.6" x14ac:dyDescent="0.3">
      <c r="A453" s="96">
        <f t="shared" si="16"/>
        <v>450</v>
      </c>
      <c r="B453" s="135" t="s">
        <v>80</v>
      </c>
      <c r="C453" s="136">
        <v>45792</v>
      </c>
      <c r="D453" s="331"/>
      <c r="E453" s="270" t="s">
        <v>2638</v>
      </c>
      <c r="F453" s="386" t="s">
        <v>1314</v>
      </c>
      <c r="G453" s="376" t="s">
        <v>10</v>
      </c>
      <c r="H453" s="183">
        <v>45792</v>
      </c>
      <c r="I453" s="137"/>
      <c r="J453" s="100" t="s">
        <v>99</v>
      </c>
      <c r="K453" s="128"/>
      <c r="L453" s="128"/>
      <c r="M453" s="129"/>
      <c r="N453" s="130"/>
      <c r="O453" s="130"/>
      <c r="P453" s="131"/>
      <c r="Q453" s="132">
        <v>45792</v>
      </c>
      <c r="R453" s="89">
        <f t="shared" si="17"/>
        <v>1</v>
      </c>
      <c r="S453" s="101" t="s">
        <v>1319</v>
      </c>
      <c r="T453" s="56"/>
    </row>
    <row r="454" spans="1:20" ht="57.6" x14ac:dyDescent="0.3">
      <c r="A454" s="96">
        <f t="shared" si="16"/>
        <v>451</v>
      </c>
      <c r="B454" s="135" t="s">
        <v>80</v>
      </c>
      <c r="C454" s="136">
        <v>45792</v>
      </c>
      <c r="D454" s="331"/>
      <c r="E454" s="270" t="s">
        <v>2639</v>
      </c>
      <c r="F454" s="386" t="s">
        <v>1314</v>
      </c>
      <c r="G454" s="376" t="s">
        <v>10</v>
      </c>
      <c r="H454" s="183">
        <v>45792</v>
      </c>
      <c r="I454" s="137"/>
      <c r="J454" s="100" t="s">
        <v>99</v>
      </c>
      <c r="K454" s="128"/>
      <c r="L454" s="128"/>
      <c r="M454" s="129"/>
      <c r="N454" s="130"/>
      <c r="O454" s="130"/>
      <c r="P454" s="131"/>
      <c r="Q454" s="132">
        <v>45792</v>
      </c>
      <c r="R454" s="89">
        <f t="shared" si="17"/>
        <v>1</v>
      </c>
      <c r="S454" s="101" t="s">
        <v>214</v>
      </c>
      <c r="T454" s="168"/>
    </row>
    <row r="455" spans="1:20" ht="57.6" x14ac:dyDescent="0.3">
      <c r="A455" s="96">
        <f t="shared" si="16"/>
        <v>452</v>
      </c>
      <c r="B455" s="135" t="s">
        <v>80</v>
      </c>
      <c r="C455" s="136">
        <v>45792</v>
      </c>
      <c r="D455" s="331"/>
      <c r="E455" s="270" t="s">
        <v>2640</v>
      </c>
      <c r="F455" s="386" t="s">
        <v>1314</v>
      </c>
      <c r="G455" s="376" t="s">
        <v>10</v>
      </c>
      <c r="H455" s="183">
        <v>45792</v>
      </c>
      <c r="I455" s="137"/>
      <c r="J455" s="100" t="s">
        <v>99</v>
      </c>
      <c r="K455" s="128"/>
      <c r="L455" s="128"/>
      <c r="M455" s="129"/>
      <c r="N455" s="130"/>
      <c r="O455" s="130"/>
      <c r="P455" s="131"/>
      <c r="Q455" s="132">
        <v>45792</v>
      </c>
      <c r="R455" s="89">
        <f t="shared" si="17"/>
        <v>1</v>
      </c>
      <c r="S455" s="101" t="s">
        <v>1319</v>
      </c>
      <c r="T455" s="168"/>
    </row>
    <row r="456" spans="1:20" ht="57.6" x14ac:dyDescent="0.3">
      <c r="A456" s="96">
        <f t="shared" si="16"/>
        <v>453</v>
      </c>
      <c r="B456" s="135" t="s">
        <v>80</v>
      </c>
      <c r="C456" s="136">
        <v>45792</v>
      </c>
      <c r="D456" s="331"/>
      <c r="E456" s="270" t="s">
        <v>2641</v>
      </c>
      <c r="F456" s="386" t="s">
        <v>1314</v>
      </c>
      <c r="G456" s="376" t="s">
        <v>10</v>
      </c>
      <c r="H456" s="183">
        <v>45792</v>
      </c>
      <c r="I456" s="137"/>
      <c r="J456" s="100" t="s">
        <v>99</v>
      </c>
      <c r="K456" s="128"/>
      <c r="L456" s="128"/>
      <c r="M456" s="129"/>
      <c r="N456" s="130"/>
      <c r="O456" s="130"/>
      <c r="P456" s="131"/>
      <c r="Q456" s="132">
        <v>45792</v>
      </c>
      <c r="R456" s="89">
        <f t="shared" si="17"/>
        <v>1</v>
      </c>
      <c r="S456" s="101" t="s">
        <v>1319</v>
      </c>
      <c r="T456" s="168"/>
    </row>
    <row r="457" spans="1:20" ht="57.6" x14ac:dyDescent="0.3">
      <c r="A457" s="96">
        <f t="shared" si="16"/>
        <v>454</v>
      </c>
      <c r="B457" s="135" t="s">
        <v>80</v>
      </c>
      <c r="C457" s="136">
        <v>45792</v>
      </c>
      <c r="D457" s="331"/>
      <c r="E457" s="270" t="s">
        <v>2642</v>
      </c>
      <c r="F457" s="386" t="s">
        <v>1314</v>
      </c>
      <c r="G457" s="376" t="s">
        <v>10</v>
      </c>
      <c r="H457" s="183">
        <v>45792</v>
      </c>
      <c r="I457" s="137"/>
      <c r="J457" s="100" t="s">
        <v>99</v>
      </c>
      <c r="K457" s="128"/>
      <c r="L457" s="128"/>
      <c r="M457" s="129"/>
      <c r="N457" s="130"/>
      <c r="O457" s="130"/>
      <c r="P457" s="131"/>
      <c r="Q457" s="132">
        <v>45792</v>
      </c>
      <c r="R457" s="89">
        <f t="shared" si="17"/>
        <v>1</v>
      </c>
      <c r="S457" s="101" t="s">
        <v>1319</v>
      </c>
      <c r="T457" s="168"/>
    </row>
    <row r="458" spans="1:20" ht="57.6" x14ac:dyDescent="0.3">
      <c r="A458" s="96">
        <f t="shared" si="16"/>
        <v>455</v>
      </c>
      <c r="B458" s="135" t="s">
        <v>80</v>
      </c>
      <c r="C458" s="136">
        <v>45792</v>
      </c>
      <c r="D458" s="331"/>
      <c r="E458" s="270" t="s">
        <v>2643</v>
      </c>
      <c r="F458" s="386" t="s">
        <v>1314</v>
      </c>
      <c r="G458" s="376" t="s">
        <v>10</v>
      </c>
      <c r="H458" s="183">
        <v>45792</v>
      </c>
      <c r="I458" s="137"/>
      <c r="J458" s="100" t="s">
        <v>99</v>
      </c>
      <c r="K458" s="128"/>
      <c r="L458" s="128"/>
      <c r="M458" s="129"/>
      <c r="N458" s="130"/>
      <c r="O458" s="130"/>
      <c r="P458" s="131"/>
      <c r="Q458" s="132">
        <v>45792</v>
      </c>
      <c r="R458" s="89">
        <f t="shared" si="17"/>
        <v>1</v>
      </c>
      <c r="S458" s="101" t="s">
        <v>1319</v>
      </c>
      <c r="T458" s="168"/>
    </row>
    <row r="459" spans="1:20" ht="57.6" x14ac:dyDescent="0.3">
      <c r="A459" s="96">
        <f t="shared" si="16"/>
        <v>456</v>
      </c>
      <c r="B459" s="135" t="s">
        <v>80</v>
      </c>
      <c r="C459" s="136">
        <v>45792</v>
      </c>
      <c r="D459" s="331"/>
      <c r="E459" s="270" t="s">
        <v>2644</v>
      </c>
      <c r="F459" s="386" t="s">
        <v>1314</v>
      </c>
      <c r="G459" s="376" t="s">
        <v>10</v>
      </c>
      <c r="H459" s="183">
        <v>45792</v>
      </c>
      <c r="I459" s="137"/>
      <c r="J459" s="100" t="s">
        <v>99</v>
      </c>
      <c r="K459" s="128"/>
      <c r="L459" s="128"/>
      <c r="M459" s="129"/>
      <c r="N459" s="130"/>
      <c r="O459" s="130"/>
      <c r="P459" s="131"/>
      <c r="Q459" s="132">
        <v>45792</v>
      </c>
      <c r="R459" s="89">
        <f t="shared" si="17"/>
        <v>1</v>
      </c>
      <c r="S459" s="101" t="s">
        <v>1319</v>
      </c>
      <c r="T459" s="168"/>
    </row>
    <row r="460" spans="1:20" ht="57.6" x14ac:dyDescent="0.3">
      <c r="A460" s="96">
        <f t="shared" si="16"/>
        <v>457</v>
      </c>
      <c r="B460" s="135" t="s">
        <v>80</v>
      </c>
      <c r="C460" s="136">
        <v>45792</v>
      </c>
      <c r="D460" s="331"/>
      <c r="E460" s="270" t="s">
        <v>2645</v>
      </c>
      <c r="F460" s="386" t="s">
        <v>1314</v>
      </c>
      <c r="G460" s="376" t="s">
        <v>10</v>
      </c>
      <c r="H460" s="183">
        <v>45792</v>
      </c>
      <c r="I460" s="137"/>
      <c r="J460" s="100" t="s">
        <v>99</v>
      </c>
      <c r="K460" s="128"/>
      <c r="L460" s="128"/>
      <c r="M460" s="129"/>
      <c r="N460" s="130"/>
      <c r="O460" s="130"/>
      <c r="P460" s="131"/>
      <c r="Q460" s="132">
        <v>45792</v>
      </c>
      <c r="R460" s="89">
        <f t="shared" si="17"/>
        <v>1</v>
      </c>
      <c r="S460" s="101" t="s">
        <v>1319</v>
      </c>
      <c r="T460" s="168"/>
    </row>
    <row r="461" spans="1:20" ht="57.6" x14ac:dyDescent="0.3">
      <c r="A461" s="96">
        <f t="shared" si="16"/>
        <v>458</v>
      </c>
      <c r="B461" s="135" t="s">
        <v>80</v>
      </c>
      <c r="C461" s="136">
        <v>45792</v>
      </c>
      <c r="D461" s="331"/>
      <c r="E461" s="270" t="s">
        <v>2646</v>
      </c>
      <c r="F461" s="386" t="s">
        <v>1314</v>
      </c>
      <c r="G461" s="376" t="s">
        <v>10</v>
      </c>
      <c r="H461" s="183">
        <v>45792</v>
      </c>
      <c r="I461" s="137"/>
      <c r="J461" s="100" t="s">
        <v>99</v>
      </c>
      <c r="K461" s="128"/>
      <c r="L461" s="128"/>
      <c r="M461" s="129"/>
      <c r="N461" s="130"/>
      <c r="O461" s="130"/>
      <c r="P461" s="131"/>
      <c r="Q461" s="132">
        <v>45792</v>
      </c>
      <c r="R461" s="89">
        <f t="shared" si="17"/>
        <v>1</v>
      </c>
      <c r="S461" s="101" t="s">
        <v>1319</v>
      </c>
      <c r="T461" s="201"/>
    </row>
    <row r="462" spans="1:20" ht="57.6" x14ac:dyDescent="0.3">
      <c r="A462" s="96">
        <f t="shared" si="16"/>
        <v>459</v>
      </c>
      <c r="B462" s="135" t="s">
        <v>80</v>
      </c>
      <c r="C462" s="136">
        <v>45792</v>
      </c>
      <c r="D462" s="331"/>
      <c r="E462" s="270" t="s">
        <v>2646</v>
      </c>
      <c r="F462" s="386" t="s">
        <v>1314</v>
      </c>
      <c r="G462" s="376" t="s">
        <v>10</v>
      </c>
      <c r="H462" s="183">
        <v>45792</v>
      </c>
      <c r="I462" s="137"/>
      <c r="J462" s="100" t="s">
        <v>99</v>
      </c>
      <c r="K462" s="128"/>
      <c r="L462" s="128"/>
      <c r="M462" s="129"/>
      <c r="N462" s="130"/>
      <c r="O462" s="130"/>
      <c r="P462" s="131"/>
      <c r="Q462" s="132">
        <v>45792</v>
      </c>
      <c r="R462" s="89">
        <f t="shared" si="17"/>
        <v>1</v>
      </c>
      <c r="S462" s="101" t="s">
        <v>1319</v>
      </c>
      <c r="T462" s="201"/>
    </row>
    <row r="463" spans="1:20" ht="28.8" x14ac:dyDescent="0.3">
      <c r="A463" s="96">
        <f t="shared" si="16"/>
        <v>460</v>
      </c>
      <c r="B463" s="135" t="s">
        <v>80</v>
      </c>
      <c r="C463" s="136">
        <v>45792</v>
      </c>
      <c r="D463" s="331">
        <v>39848094</v>
      </c>
      <c r="E463" s="270" t="s">
        <v>2647</v>
      </c>
      <c r="F463" s="386" t="s">
        <v>23</v>
      </c>
      <c r="G463" s="376" t="s">
        <v>10</v>
      </c>
      <c r="H463" s="183">
        <v>45792</v>
      </c>
      <c r="I463" s="173"/>
      <c r="J463" s="125" t="s">
        <v>135</v>
      </c>
      <c r="K463" s="128"/>
      <c r="L463" s="128"/>
      <c r="M463" s="129"/>
      <c r="N463" s="130"/>
      <c r="O463" s="130"/>
      <c r="P463" s="131"/>
      <c r="Q463" s="132">
        <v>45793</v>
      </c>
      <c r="R463" s="89">
        <f t="shared" si="17"/>
        <v>1.0000218378756114</v>
      </c>
      <c r="S463" s="101" t="s">
        <v>1319</v>
      </c>
      <c r="T463" s="201"/>
    </row>
    <row r="464" spans="1:20" ht="216" x14ac:dyDescent="0.3">
      <c r="A464" s="96">
        <f t="shared" si="16"/>
        <v>461</v>
      </c>
      <c r="B464" s="135" t="s">
        <v>80</v>
      </c>
      <c r="C464" s="136">
        <v>45792</v>
      </c>
      <c r="D464" s="331">
        <v>111165342</v>
      </c>
      <c r="E464" s="270" t="s">
        <v>2648</v>
      </c>
      <c r="F464" s="386" t="s">
        <v>1</v>
      </c>
      <c r="G464" s="376" t="s">
        <v>10</v>
      </c>
      <c r="H464" s="183">
        <v>45792</v>
      </c>
      <c r="I464" s="173"/>
      <c r="J464" s="125" t="s">
        <v>2432</v>
      </c>
      <c r="K464" s="128"/>
      <c r="L464" s="128"/>
      <c r="M464" s="129"/>
      <c r="N464" s="130"/>
      <c r="O464" s="130"/>
      <c r="P464" s="131"/>
      <c r="Q464" s="132">
        <v>45792</v>
      </c>
      <c r="R464" s="89">
        <f t="shared" si="17"/>
        <v>1</v>
      </c>
      <c r="S464" s="101" t="s">
        <v>214</v>
      </c>
      <c r="T464" s="201"/>
    </row>
    <row r="465" spans="1:20" ht="57.6" x14ac:dyDescent="0.3">
      <c r="A465" s="96">
        <f t="shared" si="16"/>
        <v>462</v>
      </c>
      <c r="B465" s="135" t="s">
        <v>80</v>
      </c>
      <c r="C465" s="136">
        <v>45792</v>
      </c>
      <c r="D465" s="331"/>
      <c r="E465" s="270" t="s">
        <v>2649</v>
      </c>
      <c r="F465" s="386" t="s">
        <v>1314</v>
      </c>
      <c r="G465" s="376" t="s">
        <v>10</v>
      </c>
      <c r="H465" s="183">
        <v>45792</v>
      </c>
      <c r="I465" s="137"/>
      <c r="J465" s="100" t="s">
        <v>99</v>
      </c>
      <c r="K465" s="128"/>
      <c r="L465" s="128"/>
      <c r="M465" s="129"/>
      <c r="N465" s="130"/>
      <c r="O465" s="130"/>
      <c r="P465" s="131"/>
      <c r="Q465" s="132">
        <v>45793</v>
      </c>
      <c r="R465" s="89">
        <f t="shared" si="17"/>
        <v>1.0000218378756114</v>
      </c>
      <c r="S465" s="101" t="s">
        <v>1319</v>
      </c>
      <c r="T465" s="201"/>
    </row>
    <row r="466" spans="1:20" ht="57.6" x14ac:dyDescent="0.3">
      <c r="A466" s="96">
        <f t="shared" si="16"/>
        <v>463</v>
      </c>
      <c r="B466" s="135" t="s">
        <v>80</v>
      </c>
      <c r="C466" s="136">
        <v>45792</v>
      </c>
      <c r="D466" s="331"/>
      <c r="E466" s="270" t="s">
        <v>2650</v>
      </c>
      <c r="F466" s="386" t="s">
        <v>1314</v>
      </c>
      <c r="G466" s="376" t="s">
        <v>10</v>
      </c>
      <c r="H466" s="183">
        <v>45792</v>
      </c>
      <c r="I466" s="137"/>
      <c r="J466" s="100" t="s">
        <v>99</v>
      </c>
      <c r="K466" s="128"/>
      <c r="L466" s="128"/>
      <c r="M466" s="129"/>
      <c r="N466" s="130"/>
      <c r="O466" s="130"/>
      <c r="P466" s="131"/>
      <c r="Q466" s="132">
        <v>45793</v>
      </c>
      <c r="R466" s="89">
        <f t="shared" si="17"/>
        <v>1.0000218378756114</v>
      </c>
      <c r="S466" s="101" t="s">
        <v>1319</v>
      </c>
      <c r="T466" s="168"/>
    </row>
    <row r="467" spans="1:20" ht="57.6" x14ac:dyDescent="0.3">
      <c r="A467" s="96">
        <f t="shared" si="16"/>
        <v>464</v>
      </c>
      <c r="B467" s="135" t="s">
        <v>80</v>
      </c>
      <c r="C467" s="136">
        <v>45792</v>
      </c>
      <c r="D467" s="331"/>
      <c r="E467" s="270" t="s">
        <v>2651</v>
      </c>
      <c r="F467" s="386" t="s">
        <v>1314</v>
      </c>
      <c r="G467" s="376" t="s">
        <v>10</v>
      </c>
      <c r="H467" s="183">
        <v>45792</v>
      </c>
      <c r="I467" s="137"/>
      <c r="J467" s="100" t="s">
        <v>99</v>
      </c>
      <c r="K467" s="128"/>
      <c r="L467" s="128"/>
      <c r="M467" s="129"/>
      <c r="N467" s="130"/>
      <c r="O467" s="130"/>
      <c r="P467" s="131"/>
      <c r="Q467" s="132">
        <v>45793</v>
      </c>
      <c r="R467" s="89">
        <f t="shared" si="17"/>
        <v>1.0000218378756114</v>
      </c>
      <c r="S467" s="101" t="s">
        <v>1319</v>
      </c>
      <c r="T467" s="168"/>
    </row>
    <row r="468" spans="1:20" ht="57.6" x14ac:dyDescent="0.3">
      <c r="A468" s="96">
        <f t="shared" si="16"/>
        <v>465</v>
      </c>
      <c r="B468" s="135" t="s">
        <v>80</v>
      </c>
      <c r="C468" s="136">
        <v>45792</v>
      </c>
      <c r="D468" s="331"/>
      <c r="E468" s="270" t="s">
        <v>2652</v>
      </c>
      <c r="F468" s="386" t="s">
        <v>1314</v>
      </c>
      <c r="G468" s="376" t="s">
        <v>10</v>
      </c>
      <c r="H468" s="183">
        <v>45792</v>
      </c>
      <c r="I468" s="137"/>
      <c r="J468" s="100" t="s">
        <v>99</v>
      </c>
      <c r="K468" s="128"/>
      <c r="L468" s="128"/>
      <c r="M468" s="129"/>
      <c r="N468" s="130"/>
      <c r="O468" s="130"/>
      <c r="P468" s="131"/>
      <c r="Q468" s="132">
        <v>45793</v>
      </c>
      <c r="R468" s="89">
        <f t="shared" si="17"/>
        <v>1.0000218378756114</v>
      </c>
      <c r="S468" s="101" t="s">
        <v>214</v>
      </c>
      <c r="T468" s="201"/>
    </row>
    <row r="469" spans="1:20" ht="57.6" x14ac:dyDescent="0.3">
      <c r="A469" s="96">
        <f t="shared" si="16"/>
        <v>466</v>
      </c>
      <c r="B469" s="170">
        <v>1550</v>
      </c>
      <c r="C469" s="132">
        <v>45792</v>
      </c>
      <c r="D469" s="331">
        <v>315056754</v>
      </c>
      <c r="E469" s="271" t="s">
        <v>2653</v>
      </c>
      <c r="F469" s="386" t="s">
        <v>23</v>
      </c>
      <c r="G469" s="172" t="s">
        <v>8</v>
      </c>
      <c r="H469" s="106">
        <v>45792</v>
      </c>
      <c r="I469" s="134"/>
      <c r="J469" s="100" t="s">
        <v>135</v>
      </c>
      <c r="K469" s="128"/>
      <c r="L469" s="128"/>
      <c r="M469" s="129"/>
      <c r="N469" s="130"/>
      <c r="O469" s="130"/>
      <c r="P469" s="131"/>
      <c r="Q469" s="132">
        <v>45793</v>
      </c>
      <c r="R469" s="89">
        <f t="shared" si="17"/>
        <v>1.0000218378756114</v>
      </c>
      <c r="S469" s="101" t="s">
        <v>758</v>
      </c>
      <c r="T469" s="168"/>
    </row>
    <row r="470" spans="1:20" ht="43.2" x14ac:dyDescent="0.3">
      <c r="A470" s="96">
        <f t="shared" si="16"/>
        <v>467</v>
      </c>
      <c r="B470" s="170" t="s">
        <v>80</v>
      </c>
      <c r="C470" s="132">
        <v>45792</v>
      </c>
      <c r="D470" s="331">
        <v>16325435</v>
      </c>
      <c r="E470" s="270" t="s">
        <v>2654</v>
      </c>
      <c r="F470" s="386" t="s">
        <v>17</v>
      </c>
      <c r="G470" s="172" t="s">
        <v>8</v>
      </c>
      <c r="H470" s="106">
        <v>45792</v>
      </c>
      <c r="I470" s="173">
        <v>10000292835</v>
      </c>
      <c r="J470" s="100" t="s">
        <v>82</v>
      </c>
      <c r="K470" s="128"/>
      <c r="L470" s="128"/>
      <c r="M470" s="129"/>
      <c r="N470" s="130"/>
      <c r="O470" s="130"/>
      <c r="P470" s="131"/>
      <c r="Q470" s="132">
        <v>45867</v>
      </c>
      <c r="R470" s="89">
        <f t="shared" si="17"/>
        <v>1.0016378406708595</v>
      </c>
      <c r="S470" s="101" t="s">
        <v>758</v>
      </c>
      <c r="T470" s="168" t="s">
        <v>2498</v>
      </c>
    </row>
    <row r="471" spans="1:20" ht="57.75" customHeight="1" x14ac:dyDescent="0.3">
      <c r="A471" s="96">
        <f t="shared" si="16"/>
        <v>468</v>
      </c>
      <c r="B471" s="170" t="s">
        <v>80</v>
      </c>
      <c r="C471" s="132">
        <v>45792</v>
      </c>
      <c r="D471" s="331">
        <v>51818779</v>
      </c>
      <c r="E471" s="270" t="s">
        <v>2655</v>
      </c>
      <c r="F471" s="386" t="s">
        <v>39</v>
      </c>
      <c r="G471" s="376" t="s">
        <v>10</v>
      </c>
      <c r="H471" s="183">
        <v>45792</v>
      </c>
      <c r="I471" s="134"/>
      <c r="J471" s="100" t="s">
        <v>22</v>
      </c>
      <c r="K471" s="128"/>
      <c r="L471" s="128"/>
      <c r="M471" s="129"/>
      <c r="N471" s="130"/>
      <c r="O471" s="130"/>
      <c r="P471" s="131"/>
      <c r="Q471" s="132">
        <v>45796</v>
      </c>
      <c r="R471" s="89">
        <f t="shared" si="17"/>
        <v>1.0000873515024458</v>
      </c>
      <c r="S471" s="101" t="s">
        <v>1319</v>
      </c>
      <c r="T471" s="168"/>
    </row>
    <row r="472" spans="1:20" ht="57.75" customHeight="1" x14ac:dyDescent="0.3">
      <c r="A472" s="96">
        <f t="shared" si="16"/>
        <v>469</v>
      </c>
      <c r="B472" s="170" t="s">
        <v>80</v>
      </c>
      <c r="C472" s="132">
        <v>45792</v>
      </c>
      <c r="D472" s="331">
        <v>90120353</v>
      </c>
      <c r="E472" s="270" t="s">
        <v>2656</v>
      </c>
      <c r="F472" s="386" t="s">
        <v>15</v>
      </c>
      <c r="G472" s="376" t="s">
        <v>10</v>
      </c>
      <c r="H472" s="183">
        <v>45792</v>
      </c>
      <c r="I472" s="137"/>
      <c r="J472" s="100" t="s">
        <v>99</v>
      </c>
      <c r="K472" s="128"/>
      <c r="L472" s="128"/>
      <c r="M472" s="129"/>
      <c r="N472" s="130"/>
      <c r="O472" s="130"/>
      <c r="P472" s="131"/>
      <c r="Q472" s="132">
        <v>45803</v>
      </c>
      <c r="R472" s="89">
        <f t="shared" si="17"/>
        <v>1.0002402166317261</v>
      </c>
      <c r="S472" s="101" t="s">
        <v>1319</v>
      </c>
      <c r="T472" s="168"/>
    </row>
    <row r="473" spans="1:20" ht="28.8" x14ac:dyDescent="0.3">
      <c r="A473" s="96">
        <f t="shared" si="16"/>
        <v>470</v>
      </c>
      <c r="B473" s="170">
        <v>1550</v>
      </c>
      <c r="C473" s="132">
        <v>45793</v>
      </c>
      <c r="D473" s="331">
        <v>56784953</v>
      </c>
      <c r="E473" s="271" t="s">
        <v>2657</v>
      </c>
      <c r="F473" s="386" t="s">
        <v>7</v>
      </c>
      <c r="G473" s="377" t="s">
        <v>8</v>
      </c>
      <c r="H473" s="106">
        <v>45793</v>
      </c>
      <c r="I473" s="137"/>
      <c r="J473" s="100" t="s">
        <v>2536</v>
      </c>
      <c r="K473" s="128"/>
      <c r="L473" s="128"/>
      <c r="M473" s="129"/>
      <c r="N473" s="130"/>
      <c r="O473" s="130"/>
      <c r="P473" s="131"/>
      <c r="Q473" s="132">
        <v>45798</v>
      </c>
      <c r="R473" s="89">
        <f t="shared" si="17"/>
        <v>1.0001091869936454</v>
      </c>
      <c r="S473" s="101" t="s">
        <v>2658</v>
      </c>
      <c r="T473" s="168"/>
    </row>
    <row r="474" spans="1:20" ht="57.6" x14ac:dyDescent="0.3">
      <c r="A474" s="96">
        <f t="shared" ref="A474:A525" si="18">A473+1</f>
        <v>471</v>
      </c>
      <c r="B474" s="170" t="s">
        <v>301</v>
      </c>
      <c r="C474" s="132">
        <v>45792</v>
      </c>
      <c r="D474" s="331"/>
      <c r="E474" s="271" t="s">
        <v>2659</v>
      </c>
      <c r="F474" s="386" t="s">
        <v>1314</v>
      </c>
      <c r="G474" s="172" t="s">
        <v>6</v>
      </c>
      <c r="H474" s="106">
        <v>45793</v>
      </c>
      <c r="I474" s="134"/>
      <c r="J474" s="113" t="s">
        <v>99</v>
      </c>
      <c r="K474" s="128"/>
      <c r="L474" s="128"/>
      <c r="M474" s="129"/>
      <c r="N474" s="130"/>
      <c r="O474" s="130"/>
      <c r="P474" s="131"/>
      <c r="Q474" s="132">
        <v>45793</v>
      </c>
      <c r="R474" s="89">
        <f t="shared" si="17"/>
        <v>1</v>
      </c>
      <c r="S474" s="101" t="s">
        <v>1860</v>
      </c>
      <c r="T474" s="168"/>
    </row>
    <row r="475" spans="1:20" ht="86.4" x14ac:dyDescent="0.3">
      <c r="A475" s="96">
        <f t="shared" si="18"/>
        <v>472</v>
      </c>
      <c r="B475" s="170" t="s">
        <v>301</v>
      </c>
      <c r="C475" s="132">
        <v>45792</v>
      </c>
      <c r="D475" s="331">
        <v>65149270</v>
      </c>
      <c r="E475" s="271" t="s">
        <v>2660</v>
      </c>
      <c r="F475" s="386" t="s">
        <v>1</v>
      </c>
      <c r="G475" s="376" t="s">
        <v>6</v>
      </c>
      <c r="H475" s="106">
        <v>45793</v>
      </c>
      <c r="I475" s="137"/>
      <c r="J475" s="38" t="s">
        <v>2544</v>
      </c>
      <c r="K475" s="128"/>
      <c r="L475" s="128"/>
      <c r="M475" s="129"/>
      <c r="N475" s="130"/>
      <c r="O475" s="130"/>
      <c r="P475" s="131"/>
      <c r="Q475" s="132">
        <v>45793</v>
      </c>
      <c r="R475" s="89">
        <f t="shared" si="17"/>
        <v>1</v>
      </c>
      <c r="S475" s="101" t="s">
        <v>1860</v>
      </c>
      <c r="T475" s="168"/>
    </row>
    <row r="476" spans="1:20" ht="57.6" x14ac:dyDescent="0.3">
      <c r="A476" s="96">
        <f t="shared" si="18"/>
        <v>473</v>
      </c>
      <c r="B476" s="170">
        <v>1550</v>
      </c>
      <c r="C476" s="132">
        <v>45793</v>
      </c>
      <c r="D476" s="331"/>
      <c r="E476" s="271" t="s">
        <v>2661</v>
      </c>
      <c r="F476" s="386" t="s">
        <v>1314</v>
      </c>
      <c r="G476" s="376" t="s">
        <v>6</v>
      </c>
      <c r="H476" s="106">
        <v>45793</v>
      </c>
      <c r="I476" s="137"/>
      <c r="J476" s="102" t="s">
        <v>99</v>
      </c>
      <c r="K476" s="128"/>
      <c r="L476" s="128"/>
      <c r="M476" s="129"/>
      <c r="N476" s="130"/>
      <c r="O476" s="130"/>
      <c r="P476" s="131"/>
      <c r="Q476" s="132">
        <v>45794</v>
      </c>
      <c r="R476" s="89">
        <f t="shared" si="17"/>
        <v>1.0000218373987291</v>
      </c>
      <c r="S476" s="101" t="s">
        <v>1936</v>
      </c>
      <c r="T476" s="168"/>
    </row>
    <row r="477" spans="1:20" ht="57.6" x14ac:dyDescent="0.3">
      <c r="A477" s="96">
        <f t="shared" si="18"/>
        <v>474</v>
      </c>
      <c r="B477" s="170">
        <v>1550</v>
      </c>
      <c r="C477" s="132">
        <v>45793</v>
      </c>
      <c r="D477" s="331"/>
      <c r="E477" s="271" t="s">
        <v>2662</v>
      </c>
      <c r="F477" s="386" t="s">
        <v>1314</v>
      </c>
      <c r="G477" s="376" t="s">
        <v>6</v>
      </c>
      <c r="H477" s="106">
        <v>45793</v>
      </c>
      <c r="I477" s="137"/>
      <c r="J477" s="102" t="s">
        <v>99</v>
      </c>
      <c r="K477" s="128"/>
      <c r="L477" s="128"/>
      <c r="M477" s="129"/>
      <c r="N477" s="130"/>
      <c r="O477" s="130"/>
      <c r="P477" s="131"/>
      <c r="Q477" s="132">
        <v>45794</v>
      </c>
      <c r="R477" s="89">
        <f t="shared" si="17"/>
        <v>1.0000218373987291</v>
      </c>
      <c r="S477" s="101" t="s">
        <v>1936</v>
      </c>
      <c r="T477" s="168"/>
    </row>
    <row r="478" spans="1:20" ht="72" x14ac:dyDescent="0.3">
      <c r="A478" s="96">
        <f t="shared" si="18"/>
        <v>475</v>
      </c>
      <c r="B478" s="170">
        <v>1550</v>
      </c>
      <c r="C478" s="132">
        <v>45793</v>
      </c>
      <c r="D478" s="331">
        <v>87379392</v>
      </c>
      <c r="E478" s="467" t="s">
        <v>2663</v>
      </c>
      <c r="F478" s="386" t="s">
        <v>12</v>
      </c>
      <c r="G478" s="81" t="s">
        <v>6</v>
      </c>
      <c r="H478" s="106">
        <v>45793</v>
      </c>
      <c r="I478" s="49"/>
      <c r="J478" s="729" t="s">
        <v>159</v>
      </c>
      <c r="K478" s="128"/>
      <c r="L478" s="128"/>
      <c r="M478" s="129"/>
      <c r="N478" s="130"/>
      <c r="O478" s="130"/>
      <c r="P478" s="131"/>
      <c r="Q478" s="132">
        <v>45797</v>
      </c>
      <c r="R478" s="89">
        <f t="shared" si="17"/>
        <v>1.0000873495949163</v>
      </c>
      <c r="S478" s="101" t="s">
        <v>1893</v>
      </c>
      <c r="T478" s="168"/>
    </row>
    <row r="479" spans="1:20" ht="58.2" thickBot="1" x14ac:dyDescent="0.35">
      <c r="A479" s="96">
        <f t="shared" si="18"/>
        <v>476</v>
      </c>
      <c r="B479" s="170">
        <v>1550</v>
      </c>
      <c r="C479" s="132">
        <v>45793</v>
      </c>
      <c r="D479" s="331"/>
      <c r="E479" s="36" t="s">
        <v>2664</v>
      </c>
      <c r="F479" s="180" t="s">
        <v>1314</v>
      </c>
      <c r="G479" s="172" t="s">
        <v>4</v>
      </c>
      <c r="H479" s="106">
        <v>45793</v>
      </c>
      <c r="I479" s="173"/>
      <c r="J479" s="102" t="s">
        <v>99</v>
      </c>
      <c r="K479" s="128"/>
      <c r="L479" s="128"/>
      <c r="M479" s="129"/>
      <c r="N479" s="130"/>
      <c r="O479" s="130"/>
      <c r="P479" s="131"/>
      <c r="Q479" s="132">
        <v>45796</v>
      </c>
      <c r="R479" s="89">
        <f t="shared" si="17"/>
        <v>1.0000655121961872</v>
      </c>
      <c r="S479" s="101"/>
      <c r="T479" s="168"/>
    </row>
    <row r="480" spans="1:20" ht="58.2" thickBot="1" x14ac:dyDescent="0.35">
      <c r="A480" s="96">
        <f t="shared" si="18"/>
        <v>477</v>
      </c>
      <c r="B480" s="170">
        <v>1550</v>
      </c>
      <c r="C480" s="132">
        <v>45793</v>
      </c>
      <c r="D480" s="331"/>
      <c r="E480" s="36" t="s">
        <v>2665</v>
      </c>
      <c r="F480" s="180" t="s">
        <v>1314</v>
      </c>
      <c r="G480" s="172" t="s">
        <v>4</v>
      </c>
      <c r="H480" s="106">
        <v>45793</v>
      </c>
      <c r="I480" s="173"/>
      <c r="J480" s="102" t="s">
        <v>99</v>
      </c>
      <c r="K480" s="128"/>
      <c r="L480" s="128"/>
      <c r="M480" s="129"/>
      <c r="N480" s="130"/>
      <c r="O480" s="130"/>
      <c r="P480" s="131"/>
      <c r="Q480" s="132">
        <v>45796</v>
      </c>
      <c r="R480" s="89">
        <f t="shared" si="17"/>
        <v>1.0000655121961872</v>
      </c>
      <c r="S480" s="101"/>
      <c r="T480" s="168"/>
    </row>
    <row r="481" spans="1:20" ht="57.6" x14ac:dyDescent="0.3">
      <c r="A481" s="96">
        <f t="shared" si="18"/>
        <v>478</v>
      </c>
      <c r="B481" s="170" t="s">
        <v>301</v>
      </c>
      <c r="C481" s="132">
        <v>45793</v>
      </c>
      <c r="D481" s="331">
        <v>110960491</v>
      </c>
      <c r="E481" s="452" t="s">
        <v>2666</v>
      </c>
      <c r="F481" s="179" t="s">
        <v>3</v>
      </c>
      <c r="G481" s="172" t="s">
        <v>4</v>
      </c>
      <c r="H481" s="106">
        <v>45793</v>
      </c>
      <c r="I481" s="173"/>
      <c r="J481" s="100" t="s">
        <v>82</v>
      </c>
      <c r="K481" s="128"/>
      <c r="L481" s="128"/>
      <c r="M481" s="129"/>
      <c r="N481" s="130"/>
      <c r="O481" s="130"/>
      <c r="P481" s="131"/>
      <c r="Q481" s="132">
        <v>45798</v>
      </c>
      <c r="R481" s="89">
        <f t="shared" si="17"/>
        <v>1.0001091869936454</v>
      </c>
      <c r="S481" s="101"/>
      <c r="T481" s="168"/>
    </row>
    <row r="482" spans="1:20" ht="72" x14ac:dyDescent="0.3">
      <c r="A482" s="96">
        <f t="shared" si="18"/>
        <v>479</v>
      </c>
      <c r="B482" s="170">
        <v>1550</v>
      </c>
      <c r="C482" s="132">
        <v>45793</v>
      </c>
      <c r="D482" s="331"/>
      <c r="E482" s="271" t="s">
        <v>2667</v>
      </c>
      <c r="F482" s="179" t="s">
        <v>1314</v>
      </c>
      <c r="G482" s="125" t="s">
        <v>8</v>
      </c>
      <c r="H482" s="106">
        <v>45793</v>
      </c>
      <c r="I482" s="137"/>
      <c r="J482" s="102" t="s">
        <v>99</v>
      </c>
      <c r="K482" s="128"/>
      <c r="L482" s="128"/>
      <c r="M482" s="129"/>
      <c r="N482" s="130"/>
      <c r="O482" s="130"/>
      <c r="P482" s="131"/>
      <c r="Q482" s="132">
        <v>45796</v>
      </c>
      <c r="R482" s="89">
        <f t="shared" si="17"/>
        <v>1.0000655121961872</v>
      </c>
      <c r="S482" s="101" t="s">
        <v>1916</v>
      </c>
      <c r="T482" s="168"/>
    </row>
    <row r="483" spans="1:20" ht="57.6" x14ac:dyDescent="0.3">
      <c r="A483" s="96">
        <f t="shared" si="18"/>
        <v>480</v>
      </c>
      <c r="B483" s="170">
        <v>1550</v>
      </c>
      <c r="C483" s="132">
        <v>45793</v>
      </c>
      <c r="D483" s="331">
        <v>119786710</v>
      </c>
      <c r="E483" s="271" t="s">
        <v>2668</v>
      </c>
      <c r="F483" s="179" t="s">
        <v>39</v>
      </c>
      <c r="G483" s="172" t="s">
        <v>8</v>
      </c>
      <c r="H483" s="106">
        <v>45793</v>
      </c>
      <c r="I483" s="137"/>
      <c r="J483" s="107" t="s">
        <v>2669</v>
      </c>
      <c r="K483" s="128"/>
      <c r="L483" s="128"/>
      <c r="M483" s="129"/>
      <c r="N483" s="130"/>
      <c r="O483" s="130"/>
      <c r="P483" s="131"/>
      <c r="Q483" s="132">
        <v>45793</v>
      </c>
      <c r="R483" s="89">
        <f t="shared" si="17"/>
        <v>1</v>
      </c>
      <c r="S483" s="101" t="s">
        <v>151</v>
      </c>
      <c r="T483" s="168"/>
    </row>
    <row r="484" spans="1:20" ht="72" x14ac:dyDescent="0.3">
      <c r="A484" s="96">
        <f t="shared" si="18"/>
        <v>481</v>
      </c>
      <c r="B484" s="170">
        <v>1550</v>
      </c>
      <c r="C484" s="132">
        <v>45793</v>
      </c>
      <c r="D484" s="331"/>
      <c r="E484" s="271" t="s">
        <v>2670</v>
      </c>
      <c r="F484" s="179" t="s">
        <v>1314</v>
      </c>
      <c r="G484" s="125" t="s">
        <v>8</v>
      </c>
      <c r="H484" s="106">
        <v>45793</v>
      </c>
      <c r="I484" s="137"/>
      <c r="J484" s="102" t="s">
        <v>99</v>
      </c>
      <c r="K484" s="128"/>
      <c r="L484" s="128"/>
      <c r="M484" s="129"/>
      <c r="N484" s="130"/>
      <c r="O484" s="130"/>
      <c r="P484" s="131"/>
      <c r="Q484" s="132">
        <v>45796</v>
      </c>
      <c r="R484" s="89">
        <f t="shared" si="17"/>
        <v>1.0000655121961872</v>
      </c>
      <c r="S484" s="101" t="s">
        <v>1916</v>
      </c>
      <c r="T484" s="168"/>
    </row>
    <row r="485" spans="1:20" ht="28.8" x14ac:dyDescent="0.3">
      <c r="A485" s="96">
        <f t="shared" si="18"/>
        <v>482</v>
      </c>
      <c r="B485" s="170">
        <v>1550</v>
      </c>
      <c r="C485" s="132">
        <v>45793</v>
      </c>
      <c r="D485" s="331">
        <v>5934958</v>
      </c>
      <c r="E485" s="271" t="s">
        <v>2671</v>
      </c>
      <c r="F485" s="179" t="s">
        <v>52</v>
      </c>
      <c r="G485" s="172" t="s">
        <v>4</v>
      </c>
      <c r="H485" s="106">
        <v>45793</v>
      </c>
      <c r="I485" s="173"/>
      <c r="J485" s="125"/>
      <c r="K485" s="233" t="s">
        <v>262</v>
      </c>
      <c r="L485" s="128"/>
      <c r="M485" s="129"/>
      <c r="N485" s="130"/>
      <c r="O485" s="130"/>
      <c r="P485" s="131"/>
      <c r="Q485" s="132">
        <v>45796</v>
      </c>
      <c r="R485" s="89">
        <f t="shared" si="17"/>
        <v>1.0000655121961872</v>
      </c>
      <c r="S485" s="101"/>
      <c r="T485" s="168"/>
    </row>
    <row r="486" spans="1:20" ht="57.6" x14ac:dyDescent="0.3">
      <c r="A486" s="96">
        <f t="shared" si="18"/>
        <v>483</v>
      </c>
      <c r="B486" s="170">
        <v>1550</v>
      </c>
      <c r="C486" s="132">
        <v>45793</v>
      </c>
      <c r="D486" s="331"/>
      <c r="E486" s="271" t="s">
        <v>2672</v>
      </c>
      <c r="F486" s="179" t="s">
        <v>1314</v>
      </c>
      <c r="G486" s="172" t="s">
        <v>6</v>
      </c>
      <c r="H486" s="106">
        <v>45793</v>
      </c>
      <c r="I486" s="173"/>
      <c r="J486" s="125" t="s">
        <v>99</v>
      </c>
      <c r="K486" s="128"/>
      <c r="L486" s="128"/>
      <c r="M486" s="129"/>
      <c r="N486" s="130"/>
      <c r="O486" s="130"/>
      <c r="P486" s="131"/>
      <c r="Q486" s="132">
        <v>45794</v>
      </c>
      <c r="R486" s="89">
        <f t="shared" si="17"/>
        <v>1.0000218373987291</v>
      </c>
      <c r="S486" s="101" t="s">
        <v>1934</v>
      </c>
      <c r="T486" s="168"/>
    </row>
    <row r="487" spans="1:20" ht="28.8" x14ac:dyDescent="0.3">
      <c r="A487" s="96">
        <f t="shared" si="18"/>
        <v>484</v>
      </c>
      <c r="B487" s="170" t="s">
        <v>301</v>
      </c>
      <c r="C487" s="132">
        <v>45793</v>
      </c>
      <c r="D487" s="331">
        <v>29733332</v>
      </c>
      <c r="E487" s="271" t="s">
        <v>2673</v>
      </c>
      <c r="F487" s="179" t="s">
        <v>32</v>
      </c>
      <c r="G487" s="172" t="s">
        <v>4</v>
      </c>
      <c r="H487" s="106">
        <v>45793</v>
      </c>
      <c r="I487" s="173"/>
      <c r="J487" s="125" t="s">
        <v>106</v>
      </c>
      <c r="K487" s="128"/>
      <c r="L487" s="128"/>
      <c r="M487" s="129"/>
      <c r="N487" s="130"/>
      <c r="O487" s="130"/>
      <c r="P487" s="131"/>
      <c r="Q487" s="132">
        <v>45796</v>
      </c>
      <c r="R487" s="89">
        <f t="shared" si="17"/>
        <v>1.0000655121961872</v>
      </c>
      <c r="S487" s="101"/>
      <c r="T487" s="168"/>
    </row>
    <row r="488" spans="1:20" ht="57.6" x14ac:dyDescent="0.3">
      <c r="A488" s="96">
        <f t="shared" si="18"/>
        <v>485</v>
      </c>
      <c r="B488" s="170" t="s">
        <v>80</v>
      </c>
      <c r="C488" s="132">
        <v>45793</v>
      </c>
      <c r="D488" s="331"/>
      <c r="E488" s="271" t="s">
        <v>2674</v>
      </c>
      <c r="F488" s="179" t="s">
        <v>1314</v>
      </c>
      <c r="G488" s="172" t="s">
        <v>6</v>
      </c>
      <c r="H488" s="106">
        <v>45793</v>
      </c>
      <c r="I488" s="173"/>
      <c r="J488" s="125" t="s">
        <v>99</v>
      </c>
      <c r="K488" s="128"/>
      <c r="L488" s="128"/>
      <c r="M488" s="129"/>
      <c r="N488" s="130"/>
      <c r="O488" s="130"/>
      <c r="P488" s="131"/>
      <c r="Q488" s="132">
        <v>45794</v>
      </c>
      <c r="R488" s="89">
        <f t="shared" si="17"/>
        <v>1.0000218373987291</v>
      </c>
      <c r="S488" s="101" t="s">
        <v>1813</v>
      </c>
      <c r="T488" s="168"/>
    </row>
    <row r="489" spans="1:20" ht="57.6" x14ac:dyDescent="0.3">
      <c r="A489" s="96">
        <f t="shared" si="18"/>
        <v>486</v>
      </c>
      <c r="B489" s="170" t="s">
        <v>80</v>
      </c>
      <c r="C489" s="132">
        <v>45793</v>
      </c>
      <c r="D489" s="331"/>
      <c r="E489" s="271" t="s">
        <v>2675</v>
      </c>
      <c r="F489" s="179" t="s">
        <v>1314</v>
      </c>
      <c r="G489" s="172" t="s">
        <v>6</v>
      </c>
      <c r="H489" s="106">
        <v>45793</v>
      </c>
      <c r="I489" s="173"/>
      <c r="J489" s="125" t="s">
        <v>99</v>
      </c>
      <c r="K489" s="128"/>
      <c r="L489" s="128"/>
      <c r="M489" s="129"/>
      <c r="N489" s="130"/>
      <c r="O489" s="130"/>
      <c r="P489" s="131"/>
      <c r="Q489" s="132">
        <v>45794</v>
      </c>
      <c r="R489" s="89">
        <f t="shared" si="17"/>
        <v>1.0000218373987291</v>
      </c>
      <c r="S489" s="101" t="s">
        <v>1813</v>
      </c>
      <c r="T489" s="168"/>
    </row>
    <row r="490" spans="1:20" ht="57.6" x14ac:dyDescent="0.3">
      <c r="A490" s="96">
        <f t="shared" si="18"/>
        <v>487</v>
      </c>
      <c r="B490" s="170" t="s">
        <v>80</v>
      </c>
      <c r="C490" s="132">
        <v>45793</v>
      </c>
      <c r="D490" s="331"/>
      <c r="E490" s="271" t="s">
        <v>2676</v>
      </c>
      <c r="F490" s="179" t="s">
        <v>1314</v>
      </c>
      <c r="G490" s="172" t="s">
        <v>6</v>
      </c>
      <c r="H490" s="106">
        <v>45793</v>
      </c>
      <c r="I490" s="173"/>
      <c r="J490" s="125" t="s">
        <v>99</v>
      </c>
      <c r="K490" s="128"/>
      <c r="L490" s="128"/>
      <c r="M490" s="129"/>
      <c r="N490" s="130"/>
      <c r="O490" s="130"/>
      <c r="P490" s="131"/>
      <c r="Q490" s="132">
        <v>45794</v>
      </c>
      <c r="R490" s="89">
        <f t="shared" si="17"/>
        <v>1.0000218373987291</v>
      </c>
      <c r="S490" s="101" t="s">
        <v>1813</v>
      </c>
      <c r="T490" s="168"/>
    </row>
    <row r="491" spans="1:20" ht="57.6" x14ac:dyDescent="0.3">
      <c r="A491" s="96">
        <f t="shared" si="18"/>
        <v>488</v>
      </c>
      <c r="B491" s="170" t="s">
        <v>80</v>
      </c>
      <c r="C491" s="132">
        <v>45793</v>
      </c>
      <c r="D491" s="331"/>
      <c r="E491" s="271" t="s">
        <v>2677</v>
      </c>
      <c r="F491" s="179" t="s">
        <v>1314</v>
      </c>
      <c r="G491" s="172" t="s">
        <v>6</v>
      </c>
      <c r="H491" s="106">
        <v>45793</v>
      </c>
      <c r="I491" s="173"/>
      <c r="J491" s="125" t="s">
        <v>99</v>
      </c>
      <c r="K491" s="128"/>
      <c r="L491" s="128"/>
      <c r="M491" s="129"/>
      <c r="N491" s="130"/>
      <c r="O491" s="130"/>
      <c r="P491" s="131"/>
      <c r="Q491" s="132">
        <v>45794</v>
      </c>
      <c r="R491" s="89">
        <f t="shared" si="17"/>
        <v>1.0000218373987291</v>
      </c>
      <c r="S491" s="101" t="s">
        <v>1813</v>
      </c>
      <c r="T491" s="168"/>
    </row>
    <row r="492" spans="1:20" ht="72" x14ac:dyDescent="0.3">
      <c r="A492" s="96">
        <f t="shared" si="18"/>
        <v>489</v>
      </c>
      <c r="B492" s="170">
        <v>1550</v>
      </c>
      <c r="C492" s="132">
        <v>45793</v>
      </c>
      <c r="D492" s="331"/>
      <c r="E492" s="271" t="s">
        <v>2678</v>
      </c>
      <c r="F492" s="179" t="s">
        <v>1314</v>
      </c>
      <c r="G492" s="172" t="s">
        <v>8</v>
      </c>
      <c r="H492" s="106">
        <v>45793</v>
      </c>
      <c r="I492" s="173"/>
      <c r="J492" s="125" t="s">
        <v>99</v>
      </c>
      <c r="K492" s="128"/>
      <c r="L492" s="128"/>
      <c r="M492" s="129"/>
      <c r="N492" s="130"/>
      <c r="O492" s="130"/>
      <c r="P492" s="131"/>
      <c r="Q492" s="132">
        <v>45796</v>
      </c>
      <c r="R492" s="89">
        <f t="shared" si="17"/>
        <v>1.0000655121961872</v>
      </c>
      <c r="S492" s="101" t="s">
        <v>1916</v>
      </c>
      <c r="T492" s="168"/>
    </row>
    <row r="493" spans="1:20" ht="57.6" x14ac:dyDescent="0.3">
      <c r="A493" s="96">
        <f t="shared" si="18"/>
        <v>490</v>
      </c>
      <c r="B493" s="170" t="s">
        <v>80</v>
      </c>
      <c r="C493" s="132">
        <v>45793</v>
      </c>
      <c r="D493" s="331"/>
      <c r="E493" s="270" t="s">
        <v>2679</v>
      </c>
      <c r="F493" s="179" t="s">
        <v>1314</v>
      </c>
      <c r="G493" s="376" t="s">
        <v>10</v>
      </c>
      <c r="H493" s="106">
        <v>45793</v>
      </c>
      <c r="I493" s="173"/>
      <c r="J493" s="125" t="s">
        <v>99</v>
      </c>
      <c r="K493" s="128"/>
      <c r="L493" s="128"/>
      <c r="M493" s="129"/>
      <c r="N493" s="130"/>
      <c r="O493" s="130"/>
      <c r="P493" s="131"/>
      <c r="Q493" s="132">
        <v>45793</v>
      </c>
      <c r="R493" s="89">
        <f t="shared" si="17"/>
        <v>1</v>
      </c>
      <c r="S493" s="101" t="s">
        <v>1319</v>
      </c>
      <c r="T493" s="168"/>
    </row>
    <row r="494" spans="1:20" ht="57.6" x14ac:dyDescent="0.3">
      <c r="A494" s="96">
        <f t="shared" si="18"/>
        <v>491</v>
      </c>
      <c r="B494" s="170">
        <v>1550</v>
      </c>
      <c r="C494" s="132">
        <v>45793</v>
      </c>
      <c r="D494" s="331"/>
      <c r="E494" s="270" t="s">
        <v>2680</v>
      </c>
      <c r="F494" s="179" t="s">
        <v>1314</v>
      </c>
      <c r="G494" s="376" t="s">
        <v>10</v>
      </c>
      <c r="H494" s="106">
        <v>45793</v>
      </c>
      <c r="I494" s="173"/>
      <c r="J494" s="125" t="s">
        <v>99</v>
      </c>
      <c r="K494" s="128"/>
      <c r="L494" s="128"/>
      <c r="M494" s="129"/>
      <c r="N494" s="130"/>
      <c r="O494" s="130"/>
      <c r="P494" s="131"/>
      <c r="Q494" s="132">
        <v>45793</v>
      </c>
      <c r="R494" s="89">
        <f t="shared" si="17"/>
        <v>1</v>
      </c>
      <c r="S494" s="101" t="s">
        <v>214</v>
      </c>
      <c r="T494" s="168"/>
    </row>
    <row r="495" spans="1:20" ht="115.2" x14ac:dyDescent="0.3">
      <c r="A495" s="96">
        <f t="shared" si="18"/>
        <v>492</v>
      </c>
      <c r="B495" s="170">
        <v>1550</v>
      </c>
      <c r="C495" s="132">
        <v>45793</v>
      </c>
      <c r="D495" s="331">
        <v>70851646</v>
      </c>
      <c r="E495" s="270" t="s">
        <v>2681</v>
      </c>
      <c r="F495" s="179" t="s">
        <v>24</v>
      </c>
      <c r="G495" s="376" t="s">
        <v>10</v>
      </c>
      <c r="H495" s="106">
        <v>45793</v>
      </c>
      <c r="I495" s="173"/>
      <c r="J495" s="107" t="s">
        <v>253</v>
      </c>
      <c r="K495" s="128"/>
      <c r="L495" s="128"/>
      <c r="M495" s="129"/>
      <c r="N495" s="130"/>
      <c r="O495" s="130"/>
      <c r="P495" s="131"/>
      <c r="Q495" s="132">
        <v>45793</v>
      </c>
      <c r="R495" s="89">
        <f t="shared" si="17"/>
        <v>1</v>
      </c>
      <c r="S495" s="101" t="s">
        <v>1806</v>
      </c>
      <c r="T495" s="168"/>
    </row>
    <row r="496" spans="1:20" ht="57.6" x14ac:dyDescent="0.3">
      <c r="A496" s="96">
        <f t="shared" si="18"/>
        <v>493</v>
      </c>
      <c r="B496" s="170">
        <v>1550</v>
      </c>
      <c r="C496" s="132">
        <v>45793</v>
      </c>
      <c r="D496" s="331"/>
      <c r="E496" s="270" t="s">
        <v>2682</v>
      </c>
      <c r="F496" s="179" t="s">
        <v>1314</v>
      </c>
      <c r="G496" s="376" t="s">
        <v>10</v>
      </c>
      <c r="H496" s="106">
        <v>45793</v>
      </c>
      <c r="I496" s="173"/>
      <c r="J496" s="125" t="s">
        <v>99</v>
      </c>
      <c r="K496" s="128"/>
      <c r="L496" s="128"/>
      <c r="M496" s="129"/>
      <c r="N496" s="130"/>
      <c r="O496" s="130"/>
      <c r="P496" s="131"/>
      <c r="Q496" s="132">
        <v>45793</v>
      </c>
      <c r="R496" s="89">
        <f t="shared" si="17"/>
        <v>1</v>
      </c>
      <c r="S496" s="101" t="s">
        <v>214</v>
      </c>
      <c r="T496" s="168"/>
    </row>
    <row r="497" spans="1:20" ht="57.6" x14ac:dyDescent="0.3">
      <c r="A497" s="96">
        <f t="shared" si="18"/>
        <v>494</v>
      </c>
      <c r="B497" s="170" t="s">
        <v>80</v>
      </c>
      <c r="C497" s="132">
        <v>45793</v>
      </c>
      <c r="D497" s="331"/>
      <c r="E497" s="270" t="s">
        <v>2683</v>
      </c>
      <c r="F497" s="179" t="s">
        <v>1314</v>
      </c>
      <c r="G497" s="376" t="s">
        <v>10</v>
      </c>
      <c r="H497" s="106">
        <v>45793</v>
      </c>
      <c r="I497" s="173"/>
      <c r="J497" s="125" t="s">
        <v>99</v>
      </c>
      <c r="K497" s="233"/>
      <c r="L497" s="231"/>
      <c r="M497" s="232"/>
      <c r="N497" s="130"/>
      <c r="O497" s="130"/>
      <c r="P497" s="131"/>
      <c r="Q497" s="132">
        <v>45794</v>
      </c>
      <c r="R497" s="89">
        <f t="shared" si="17"/>
        <v>1.0000218373987291</v>
      </c>
      <c r="S497" s="101" t="s">
        <v>1319</v>
      </c>
      <c r="T497" s="168"/>
    </row>
    <row r="498" spans="1:20" ht="57.6" x14ac:dyDescent="0.3">
      <c r="A498" s="96">
        <f t="shared" si="18"/>
        <v>495</v>
      </c>
      <c r="B498" s="170">
        <v>1550</v>
      </c>
      <c r="C498" s="132">
        <v>45793</v>
      </c>
      <c r="D498" s="331"/>
      <c r="E498" s="270" t="s">
        <v>2684</v>
      </c>
      <c r="F498" s="179" t="s">
        <v>1314</v>
      </c>
      <c r="G498" s="376" t="s">
        <v>10</v>
      </c>
      <c r="H498" s="106">
        <v>45793</v>
      </c>
      <c r="I498" s="173"/>
      <c r="J498" s="125" t="s">
        <v>99</v>
      </c>
      <c r="K498" s="128"/>
      <c r="L498" s="128"/>
      <c r="M498" s="129"/>
      <c r="N498" s="130"/>
      <c r="O498" s="130"/>
      <c r="P498" s="131"/>
      <c r="Q498" s="132">
        <v>45794</v>
      </c>
      <c r="R498" s="89">
        <f t="shared" si="17"/>
        <v>1.0000218373987291</v>
      </c>
      <c r="S498" s="101" t="s">
        <v>1366</v>
      </c>
      <c r="T498" s="168"/>
    </row>
    <row r="499" spans="1:20" ht="57.6" x14ac:dyDescent="0.3">
      <c r="A499" s="96">
        <f t="shared" si="18"/>
        <v>496</v>
      </c>
      <c r="B499" s="170" t="s">
        <v>80</v>
      </c>
      <c r="C499" s="132">
        <v>45793</v>
      </c>
      <c r="D499" s="331">
        <v>118322982</v>
      </c>
      <c r="E499" s="270" t="s">
        <v>2685</v>
      </c>
      <c r="F499" s="179" t="s">
        <v>14</v>
      </c>
      <c r="G499" s="376" t="s">
        <v>10</v>
      </c>
      <c r="H499" s="106">
        <v>45793</v>
      </c>
      <c r="I499" s="137"/>
      <c r="J499" s="107" t="s">
        <v>253</v>
      </c>
      <c r="K499" s="128"/>
      <c r="L499" s="128"/>
      <c r="M499" s="129"/>
      <c r="N499" s="130"/>
      <c r="O499" s="130"/>
      <c r="P499" s="131"/>
      <c r="Q499" s="132">
        <v>45797</v>
      </c>
      <c r="R499" s="89">
        <f t="shared" si="17"/>
        <v>1.0000873495949163</v>
      </c>
      <c r="S499" s="101" t="s">
        <v>1319</v>
      </c>
      <c r="T499" s="168"/>
    </row>
    <row r="500" spans="1:20" ht="57.6" x14ac:dyDescent="0.3">
      <c r="A500" s="96">
        <f t="shared" si="18"/>
        <v>497</v>
      </c>
      <c r="B500" s="170" t="s">
        <v>80</v>
      </c>
      <c r="C500" s="132">
        <v>45793</v>
      </c>
      <c r="D500" s="331"/>
      <c r="E500" s="270" t="s">
        <v>2686</v>
      </c>
      <c r="F500" s="179" t="s">
        <v>1314</v>
      </c>
      <c r="G500" s="376" t="s">
        <v>10</v>
      </c>
      <c r="H500" s="106">
        <v>45793</v>
      </c>
      <c r="I500" s="173"/>
      <c r="J500" s="125" t="s">
        <v>99</v>
      </c>
      <c r="K500" s="128"/>
      <c r="L500" s="128"/>
      <c r="M500" s="129"/>
      <c r="N500" s="130"/>
      <c r="O500" s="130"/>
      <c r="P500" s="131"/>
      <c r="Q500" s="132">
        <v>45794</v>
      </c>
      <c r="R500" s="89">
        <f t="shared" si="17"/>
        <v>1.0000218373987291</v>
      </c>
      <c r="S500" s="101" t="s">
        <v>1319</v>
      </c>
      <c r="T500" s="168"/>
    </row>
    <row r="501" spans="1:20" ht="57.6" x14ac:dyDescent="0.3">
      <c r="A501" s="96">
        <f t="shared" si="18"/>
        <v>498</v>
      </c>
      <c r="B501" s="170" t="s">
        <v>80</v>
      </c>
      <c r="C501" s="132">
        <v>45793</v>
      </c>
      <c r="D501" s="331"/>
      <c r="E501" s="270" t="s">
        <v>2687</v>
      </c>
      <c r="F501" s="179" t="s">
        <v>1314</v>
      </c>
      <c r="G501" s="376" t="s">
        <v>10</v>
      </c>
      <c r="H501" s="106">
        <v>45793</v>
      </c>
      <c r="I501" s="173"/>
      <c r="J501" s="125" t="s">
        <v>99</v>
      </c>
      <c r="K501" s="233"/>
      <c r="L501" s="231"/>
      <c r="M501" s="232"/>
      <c r="N501" s="130"/>
      <c r="O501" s="130"/>
      <c r="P501" s="131"/>
      <c r="Q501" s="132">
        <v>45794</v>
      </c>
      <c r="R501" s="89">
        <f t="shared" si="17"/>
        <v>1.0000218373987291</v>
      </c>
      <c r="S501" s="101" t="s">
        <v>1319</v>
      </c>
      <c r="T501" s="168"/>
    </row>
    <row r="502" spans="1:20" ht="43.2" x14ac:dyDescent="0.3">
      <c r="A502" s="96">
        <f t="shared" si="18"/>
        <v>499</v>
      </c>
      <c r="B502" s="170" t="s">
        <v>80</v>
      </c>
      <c r="C502" s="132">
        <v>45793</v>
      </c>
      <c r="D502" s="331">
        <v>34145974</v>
      </c>
      <c r="E502" s="270" t="s">
        <v>2688</v>
      </c>
      <c r="F502" s="179" t="s">
        <v>48</v>
      </c>
      <c r="G502" s="376" t="s">
        <v>10</v>
      </c>
      <c r="H502" s="106">
        <v>45793</v>
      </c>
      <c r="I502" s="137"/>
      <c r="J502" s="107" t="s">
        <v>99</v>
      </c>
      <c r="K502" s="128"/>
      <c r="L502" s="128"/>
      <c r="M502" s="129"/>
      <c r="N502" s="130"/>
      <c r="O502" s="130"/>
      <c r="P502" s="131"/>
      <c r="Q502" s="132">
        <v>45805</v>
      </c>
      <c r="R502" s="89">
        <f t="shared" si="17"/>
        <v>1.0002620487847487</v>
      </c>
      <c r="S502" s="101" t="s">
        <v>1332</v>
      </c>
      <c r="T502" s="168" t="s">
        <v>2689</v>
      </c>
    </row>
    <row r="503" spans="1:20" ht="115.2" x14ac:dyDescent="0.3">
      <c r="A503" s="96">
        <f t="shared" si="18"/>
        <v>500</v>
      </c>
      <c r="B503" s="170">
        <v>1550</v>
      </c>
      <c r="C503" s="132">
        <v>45793</v>
      </c>
      <c r="D503" s="331">
        <v>5530202</v>
      </c>
      <c r="E503" s="270" t="s">
        <v>2690</v>
      </c>
      <c r="F503" s="179" t="s">
        <v>32</v>
      </c>
      <c r="G503" s="376" t="s">
        <v>10</v>
      </c>
      <c r="H503" s="106">
        <v>45793</v>
      </c>
      <c r="I503" s="173"/>
      <c r="J503" s="107" t="s">
        <v>106</v>
      </c>
      <c r="K503" s="128"/>
      <c r="L503" s="128"/>
      <c r="M503" s="129"/>
      <c r="N503" s="130"/>
      <c r="O503" s="130"/>
      <c r="P503" s="131"/>
      <c r="Q503" s="132">
        <v>45797</v>
      </c>
      <c r="R503" s="89">
        <f t="shared" si="17"/>
        <v>1.0000873495949163</v>
      </c>
      <c r="S503" s="101" t="s">
        <v>214</v>
      </c>
      <c r="T503" s="168"/>
    </row>
    <row r="504" spans="1:20" ht="57.6" x14ac:dyDescent="0.3">
      <c r="A504" s="96">
        <f t="shared" si="18"/>
        <v>501</v>
      </c>
      <c r="B504" s="170" t="s">
        <v>80</v>
      </c>
      <c r="C504" s="132">
        <v>45793</v>
      </c>
      <c r="D504" s="331"/>
      <c r="E504" s="270" t="s">
        <v>2691</v>
      </c>
      <c r="F504" s="179" t="s">
        <v>1314</v>
      </c>
      <c r="G504" s="376" t="s">
        <v>10</v>
      </c>
      <c r="H504" s="106">
        <v>45793</v>
      </c>
      <c r="I504" s="173"/>
      <c r="J504" s="125" t="s">
        <v>99</v>
      </c>
      <c r="K504" s="128"/>
      <c r="L504" s="128"/>
      <c r="M504" s="129"/>
      <c r="N504" s="130"/>
      <c r="O504" s="130"/>
      <c r="P504" s="131"/>
      <c r="Q504" s="132">
        <v>45794</v>
      </c>
      <c r="R504" s="89">
        <f t="shared" si="17"/>
        <v>1.0000218373987291</v>
      </c>
      <c r="S504" s="101" t="s">
        <v>1319</v>
      </c>
      <c r="T504" s="168"/>
    </row>
    <row r="505" spans="1:20" ht="100.8" x14ac:dyDescent="0.3">
      <c r="A505" s="96">
        <f t="shared" si="18"/>
        <v>502</v>
      </c>
      <c r="B505" s="170" t="s">
        <v>80</v>
      </c>
      <c r="C505" s="132">
        <v>45793</v>
      </c>
      <c r="D505" s="331">
        <v>25274317</v>
      </c>
      <c r="E505" s="270" t="s">
        <v>2692</v>
      </c>
      <c r="F505" s="179" t="s">
        <v>15</v>
      </c>
      <c r="G505" s="376" t="s">
        <v>10</v>
      </c>
      <c r="H505" s="106">
        <v>45793</v>
      </c>
      <c r="I505" s="173"/>
      <c r="J505" s="100" t="s">
        <v>99</v>
      </c>
      <c r="K505" s="128"/>
      <c r="L505" s="128"/>
      <c r="M505" s="129"/>
      <c r="N505" s="130"/>
      <c r="O505" s="130"/>
      <c r="P505" s="131"/>
      <c r="Q505" s="132">
        <v>45807</v>
      </c>
      <c r="R505" s="89">
        <f t="shared" si="17"/>
        <v>1.0003057235822068</v>
      </c>
      <c r="S505" s="101" t="s">
        <v>1319</v>
      </c>
      <c r="T505" s="168"/>
    </row>
    <row r="506" spans="1:20" ht="57.6" x14ac:dyDescent="0.3">
      <c r="A506" s="96">
        <f t="shared" si="18"/>
        <v>503</v>
      </c>
      <c r="B506" s="170" t="s">
        <v>80</v>
      </c>
      <c r="C506" s="132">
        <v>45793</v>
      </c>
      <c r="D506" s="331"/>
      <c r="E506" s="270" t="s">
        <v>2693</v>
      </c>
      <c r="F506" s="179" t="s">
        <v>1314</v>
      </c>
      <c r="G506" s="376" t="s">
        <v>10</v>
      </c>
      <c r="H506" s="106">
        <v>45793</v>
      </c>
      <c r="I506" s="173"/>
      <c r="J506" s="125" t="s">
        <v>99</v>
      </c>
      <c r="K506" s="128"/>
      <c r="L506" s="128"/>
      <c r="M506" s="129"/>
      <c r="N506" s="130"/>
      <c r="O506" s="130"/>
      <c r="P506" s="131"/>
      <c r="Q506" s="132">
        <v>45794</v>
      </c>
      <c r="R506" s="89">
        <f t="shared" si="17"/>
        <v>1.0000218373987291</v>
      </c>
      <c r="S506" s="101" t="s">
        <v>1319</v>
      </c>
      <c r="T506" s="168"/>
    </row>
    <row r="507" spans="1:20" ht="230.4" x14ac:dyDescent="0.3">
      <c r="A507" s="96">
        <f t="shared" si="18"/>
        <v>504</v>
      </c>
      <c r="B507" s="170">
        <v>1550</v>
      </c>
      <c r="C507" s="132">
        <v>45793</v>
      </c>
      <c r="D507" s="331">
        <v>84577851</v>
      </c>
      <c r="E507" s="270" t="s">
        <v>2694</v>
      </c>
      <c r="F507" s="179" t="s">
        <v>39</v>
      </c>
      <c r="G507" s="376" t="s">
        <v>10</v>
      </c>
      <c r="H507" s="106">
        <v>45793</v>
      </c>
      <c r="I507" s="173"/>
      <c r="J507" s="125" t="s">
        <v>22</v>
      </c>
      <c r="K507" s="128"/>
      <c r="L507" s="128"/>
      <c r="M507" s="129"/>
      <c r="N507" s="130"/>
      <c r="O507" s="130"/>
      <c r="P507" s="131"/>
      <c r="Q507" s="132">
        <v>45800</v>
      </c>
      <c r="R507" s="89">
        <f t="shared" si="17"/>
        <v>1.0001528617911035</v>
      </c>
      <c r="S507" s="101" t="s">
        <v>2213</v>
      </c>
      <c r="T507" s="168"/>
    </row>
    <row r="508" spans="1:20" ht="57.6" x14ac:dyDescent="0.3">
      <c r="A508" s="96">
        <f t="shared" si="18"/>
        <v>505</v>
      </c>
      <c r="B508" s="170">
        <v>1550</v>
      </c>
      <c r="C508" s="132">
        <v>45793</v>
      </c>
      <c r="D508" s="331"/>
      <c r="E508" s="270" t="s">
        <v>2695</v>
      </c>
      <c r="F508" s="179" t="s">
        <v>1314</v>
      </c>
      <c r="G508" s="376" t="s">
        <v>10</v>
      </c>
      <c r="H508" s="106">
        <v>45793</v>
      </c>
      <c r="I508" s="173"/>
      <c r="J508" s="125" t="s">
        <v>99</v>
      </c>
      <c r="K508" s="128"/>
      <c r="L508" s="128"/>
      <c r="M508" s="129"/>
      <c r="N508" s="130"/>
      <c r="O508" s="130"/>
      <c r="P508" s="131"/>
      <c r="Q508" s="132">
        <v>45794</v>
      </c>
      <c r="R508" s="89">
        <f t="shared" si="17"/>
        <v>1.0000218373987291</v>
      </c>
      <c r="S508" s="101" t="s">
        <v>1366</v>
      </c>
      <c r="T508" s="168"/>
    </row>
    <row r="509" spans="1:20" ht="72" x14ac:dyDescent="0.3">
      <c r="A509" s="96">
        <f t="shared" si="18"/>
        <v>506</v>
      </c>
      <c r="B509" s="170" t="s">
        <v>80</v>
      </c>
      <c r="C509" s="132">
        <v>45793</v>
      </c>
      <c r="D509" s="331">
        <v>1660705</v>
      </c>
      <c r="E509" s="270" t="s">
        <v>2696</v>
      </c>
      <c r="F509" s="179" t="s">
        <v>17</v>
      </c>
      <c r="G509" s="376" t="s">
        <v>10</v>
      </c>
      <c r="H509" s="106">
        <v>45793</v>
      </c>
      <c r="I509" s="173"/>
      <c r="J509" s="100" t="s">
        <v>82</v>
      </c>
      <c r="K509" s="128"/>
      <c r="L509" s="128"/>
      <c r="M509" s="129"/>
      <c r="N509" s="130"/>
      <c r="O509" s="130"/>
      <c r="P509" s="131"/>
      <c r="Q509" s="132">
        <v>45804</v>
      </c>
      <c r="R509" s="89">
        <f t="shared" si="17"/>
        <v>1.0002402113860196</v>
      </c>
      <c r="S509" s="101" t="s">
        <v>1319</v>
      </c>
      <c r="T509" s="168"/>
    </row>
    <row r="510" spans="1:20" ht="57.6" x14ac:dyDescent="0.3">
      <c r="A510" s="96">
        <f t="shared" si="18"/>
        <v>507</v>
      </c>
      <c r="B510" s="170" t="s">
        <v>80</v>
      </c>
      <c r="C510" s="132">
        <v>45793</v>
      </c>
      <c r="D510" s="331"/>
      <c r="E510" s="270" t="s">
        <v>2697</v>
      </c>
      <c r="F510" s="179" t="s">
        <v>1314</v>
      </c>
      <c r="G510" s="376" t="s">
        <v>10</v>
      </c>
      <c r="H510" s="106">
        <v>45793</v>
      </c>
      <c r="I510" s="173"/>
      <c r="J510" s="125" t="s">
        <v>99</v>
      </c>
      <c r="K510" s="128"/>
      <c r="L510" s="128"/>
      <c r="M510" s="129"/>
      <c r="N510" s="130"/>
      <c r="O510" s="130"/>
      <c r="P510" s="131"/>
      <c r="Q510" s="132">
        <v>45794</v>
      </c>
      <c r="R510" s="89">
        <f t="shared" si="17"/>
        <v>1.0000218373987291</v>
      </c>
      <c r="S510" s="101" t="s">
        <v>1319</v>
      </c>
      <c r="T510" s="168"/>
    </row>
    <row r="511" spans="1:20" ht="115.2" x14ac:dyDescent="0.3">
      <c r="A511" s="96">
        <f t="shared" si="18"/>
        <v>508</v>
      </c>
      <c r="B511" s="170">
        <v>1550</v>
      </c>
      <c r="C511" s="132">
        <v>45793</v>
      </c>
      <c r="D511" s="331">
        <v>97909017</v>
      </c>
      <c r="E511" s="270" t="s">
        <v>2698</v>
      </c>
      <c r="F511" s="179" t="s">
        <v>32</v>
      </c>
      <c r="G511" s="376" t="s">
        <v>10</v>
      </c>
      <c r="H511" s="106">
        <v>45793</v>
      </c>
      <c r="I511" s="173"/>
      <c r="J511" s="125" t="s">
        <v>106</v>
      </c>
      <c r="K511" s="128"/>
      <c r="L511" s="128"/>
      <c r="M511" s="129"/>
      <c r="N511" s="130"/>
      <c r="O511" s="130"/>
      <c r="P511" s="131"/>
      <c r="Q511" s="132">
        <v>45796</v>
      </c>
      <c r="R511" s="89">
        <f t="shared" si="17"/>
        <v>1.0000655121961872</v>
      </c>
      <c r="S511" s="101" t="s">
        <v>214</v>
      </c>
      <c r="T511" s="168"/>
    </row>
    <row r="512" spans="1:20" ht="57.6" x14ac:dyDescent="0.3">
      <c r="A512" s="96">
        <f t="shared" si="18"/>
        <v>509</v>
      </c>
      <c r="B512" s="170">
        <v>1550</v>
      </c>
      <c r="C512" s="449">
        <v>45793</v>
      </c>
      <c r="D512" s="367">
        <v>78771854</v>
      </c>
      <c r="E512" s="275" t="s">
        <v>2699</v>
      </c>
      <c r="F512" s="283" t="s">
        <v>33</v>
      </c>
      <c r="G512" s="465" t="s">
        <v>10</v>
      </c>
      <c r="H512" s="106">
        <v>45793</v>
      </c>
      <c r="I512" s="137"/>
      <c r="J512" s="100" t="s">
        <v>99</v>
      </c>
      <c r="K512" s="128"/>
      <c r="L512" s="128"/>
      <c r="M512" s="129"/>
      <c r="N512" s="130"/>
      <c r="O512" s="130"/>
      <c r="P512" s="131"/>
      <c r="Q512" s="132">
        <v>45793</v>
      </c>
      <c r="R512" s="89">
        <f t="shared" si="17"/>
        <v>1</v>
      </c>
      <c r="S512" s="101" t="s">
        <v>1835</v>
      </c>
      <c r="T512" s="168"/>
    </row>
    <row r="513" spans="1:20" ht="57.6" x14ac:dyDescent="0.3">
      <c r="A513" s="96">
        <f t="shared" si="18"/>
        <v>510</v>
      </c>
      <c r="B513" s="464" t="s">
        <v>80</v>
      </c>
      <c r="C513" s="124">
        <v>45796</v>
      </c>
      <c r="D513" s="411"/>
      <c r="E513" s="175" t="s">
        <v>2700</v>
      </c>
      <c r="F513" s="111" t="s">
        <v>1314</v>
      </c>
      <c r="G513" s="127" t="s">
        <v>6</v>
      </c>
      <c r="H513" s="106">
        <v>45796</v>
      </c>
      <c r="I513" s="137"/>
      <c r="J513" s="107" t="s">
        <v>99</v>
      </c>
      <c r="K513" s="128"/>
      <c r="L513" s="128"/>
      <c r="M513" s="129"/>
      <c r="N513" s="130"/>
      <c r="O513" s="130"/>
      <c r="P513" s="131"/>
      <c r="Q513" s="132">
        <v>45798</v>
      </c>
      <c r="R513" s="89">
        <f t="shared" si="17"/>
        <v>1.0000436719364136</v>
      </c>
      <c r="S513" s="101" t="s">
        <v>1813</v>
      </c>
      <c r="T513" s="168"/>
    </row>
    <row r="514" spans="1:20" ht="43.2" x14ac:dyDescent="0.3">
      <c r="A514" s="96">
        <f t="shared" si="18"/>
        <v>511</v>
      </c>
      <c r="B514" s="464">
        <v>1550</v>
      </c>
      <c r="C514" s="124">
        <v>45796</v>
      </c>
      <c r="D514" s="411">
        <v>87863057</v>
      </c>
      <c r="E514" s="175" t="s">
        <v>2701</v>
      </c>
      <c r="F514" s="111" t="s">
        <v>33</v>
      </c>
      <c r="G514" s="125" t="s">
        <v>4</v>
      </c>
      <c r="H514" s="106">
        <v>45796</v>
      </c>
      <c r="I514" s="137"/>
      <c r="J514" s="107" t="s">
        <v>99</v>
      </c>
      <c r="K514" s="128"/>
      <c r="L514" s="128"/>
      <c r="M514" s="129"/>
      <c r="N514" s="130"/>
      <c r="O514" s="130"/>
      <c r="P514" s="131"/>
      <c r="Q514" s="132">
        <v>45796</v>
      </c>
      <c r="R514" s="89">
        <f t="shared" si="17"/>
        <v>1</v>
      </c>
      <c r="S514" s="101"/>
      <c r="T514" s="168"/>
    </row>
    <row r="515" spans="1:20" ht="57.6" x14ac:dyDescent="0.3">
      <c r="A515" s="96">
        <f t="shared" si="18"/>
        <v>512</v>
      </c>
      <c r="B515" s="464">
        <v>1550</v>
      </c>
      <c r="C515" s="124">
        <v>45796</v>
      </c>
      <c r="D515" s="411"/>
      <c r="E515" s="36" t="s">
        <v>2702</v>
      </c>
      <c r="F515" s="111" t="s">
        <v>1314</v>
      </c>
      <c r="G515" s="127" t="s">
        <v>4</v>
      </c>
      <c r="H515" s="106">
        <v>45796</v>
      </c>
      <c r="I515" s="137"/>
      <c r="J515" s="107" t="s">
        <v>99</v>
      </c>
      <c r="K515" s="128"/>
      <c r="L515" s="128"/>
      <c r="M515" s="129"/>
      <c r="N515" s="130"/>
      <c r="O515" s="130"/>
      <c r="P515" s="131"/>
      <c r="Q515" s="106">
        <v>45798</v>
      </c>
      <c r="R515" s="89">
        <f t="shared" si="17"/>
        <v>1.0000436719364136</v>
      </c>
      <c r="S515" s="101"/>
      <c r="T515" s="168"/>
    </row>
    <row r="516" spans="1:20" ht="57.6" x14ac:dyDescent="0.3">
      <c r="A516" s="96">
        <f t="shared" si="18"/>
        <v>513</v>
      </c>
      <c r="B516" s="464">
        <v>1550</v>
      </c>
      <c r="C516" s="124">
        <v>45707</v>
      </c>
      <c r="D516" s="411">
        <v>72865024</v>
      </c>
      <c r="E516" s="175" t="s">
        <v>2703</v>
      </c>
      <c r="F516" s="111" t="s">
        <v>23</v>
      </c>
      <c r="G516" s="127" t="s">
        <v>8</v>
      </c>
      <c r="H516" s="106">
        <v>45796</v>
      </c>
      <c r="I516" s="173"/>
      <c r="J516" s="125" t="s">
        <v>135</v>
      </c>
      <c r="K516" s="128"/>
      <c r="L516" s="128"/>
      <c r="M516" s="129"/>
      <c r="N516" s="130"/>
      <c r="O516" s="130"/>
      <c r="P516" s="131"/>
      <c r="Q516" s="132">
        <v>45796</v>
      </c>
      <c r="R516" s="89">
        <f t="shared" ref="R516:R579" si="19">Q516/H516</f>
        <v>1</v>
      </c>
      <c r="S516" s="101" t="s">
        <v>528</v>
      </c>
      <c r="T516" s="168"/>
    </row>
    <row r="517" spans="1:20" ht="57.6" x14ac:dyDescent="0.3">
      <c r="A517" s="96">
        <f t="shared" si="18"/>
        <v>514</v>
      </c>
      <c r="B517" s="170" t="s">
        <v>301</v>
      </c>
      <c r="C517" s="132">
        <v>45796</v>
      </c>
      <c r="D517" s="331"/>
      <c r="E517" s="452" t="s">
        <v>2704</v>
      </c>
      <c r="F517" s="466" t="s">
        <v>1314</v>
      </c>
      <c r="G517" s="172" t="s">
        <v>6</v>
      </c>
      <c r="H517" s="106">
        <v>45796</v>
      </c>
      <c r="I517" s="173"/>
      <c r="J517" s="125" t="s">
        <v>99</v>
      </c>
      <c r="K517" s="128"/>
      <c r="L517" s="128"/>
      <c r="M517" s="129"/>
      <c r="N517" s="130"/>
      <c r="O517" s="130"/>
      <c r="P517" s="131"/>
      <c r="Q517" s="132">
        <v>45798</v>
      </c>
      <c r="R517" s="89">
        <f t="shared" si="19"/>
        <v>1.0000436719364136</v>
      </c>
      <c r="S517" s="101" t="s">
        <v>1934</v>
      </c>
      <c r="T517" s="168"/>
    </row>
    <row r="518" spans="1:20" ht="57.6" x14ac:dyDescent="0.3">
      <c r="A518" s="96">
        <f t="shared" si="18"/>
        <v>515</v>
      </c>
      <c r="B518" s="170">
        <v>1550</v>
      </c>
      <c r="C518" s="132">
        <v>45796</v>
      </c>
      <c r="D518" s="331"/>
      <c r="E518" s="271" t="s">
        <v>2705</v>
      </c>
      <c r="F518" s="179" t="s">
        <v>1314</v>
      </c>
      <c r="G518" s="172" t="s">
        <v>6</v>
      </c>
      <c r="H518" s="106">
        <v>45796</v>
      </c>
      <c r="I518" s="173"/>
      <c r="J518" s="125" t="s">
        <v>99</v>
      </c>
      <c r="K518" s="128"/>
      <c r="L518" s="128"/>
      <c r="M518" s="129"/>
      <c r="N518" s="130"/>
      <c r="O518" s="130"/>
      <c r="P518" s="131"/>
      <c r="Q518" s="132">
        <v>45798</v>
      </c>
      <c r="R518" s="89">
        <f t="shared" si="19"/>
        <v>1.0000436719364136</v>
      </c>
      <c r="S518" s="101" t="s">
        <v>1927</v>
      </c>
      <c r="T518" s="168"/>
    </row>
    <row r="519" spans="1:20" ht="28.8" x14ac:dyDescent="0.3">
      <c r="A519" s="96">
        <f t="shared" si="18"/>
        <v>516</v>
      </c>
      <c r="B519" s="170" t="s">
        <v>1826</v>
      </c>
      <c r="C519" s="132">
        <v>45796</v>
      </c>
      <c r="D519" s="331">
        <v>74131923</v>
      </c>
      <c r="E519" s="271" t="s">
        <v>2706</v>
      </c>
      <c r="F519" s="179" t="s">
        <v>17</v>
      </c>
      <c r="G519" s="172" t="s">
        <v>4</v>
      </c>
      <c r="H519" s="106">
        <v>45796</v>
      </c>
      <c r="I519" s="173">
        <v>10000293073</v>
      </c>
      <c r="J519" s="100" t="s">
        <v>82</v>
      </c>
      <c r="K519" s="128"/>
      <c r="L519" s="128"/>
      <c r="M519" s="129"/>
      <c r="N519" s="130"/>
      <c r="O519" s="130"/>
      <c r="P519" s="131"/>
      <c r="Q519" s="132">
        <v>46008</v>
      </c>
      <c r="R519" s="89">
        <f t="shared" si="19"/>
        <v>1.0046292252598481</v>
      </c>
      <c r="S519" s="101"/>
      <c r="T519" s="168" t="s">
        <v>2707</v>
      </c>
    </row>
    <row r="520" spans="1:20" ht="100.8" x14ac:dyDescent="0.3">
      <c r="A520" s="96">
        <f t="shared" si="18"/>
        <v>517</v>
      </c>
      <c r="B520" s="170">
        <v>1550</v>
      </c>
      <c r="C520" s="132">
        <v>45796</v>
      </c>
      <c r="D520" s="331">
        <v>101805705</v>
      </c>
      <c r="E520" s="271" t="s">
        <v>2708</v>
      </c>
      <c r="F520" s="179" t="s">
        <v>36</v>
      </c>
      <c r="G520" s="172" t="s">
        <v>6</v>
      </c>
      <c r="H520" s="106">
        <v>45796</v>
      </c>
      <c r="I520" s="173"/>
      <c r="J520" s="107" t="s">
        <v>99</v>
      </c>
      <c r="K520" s="128"/>
      <c r="L520" s="128"/>
      <c r="M520" s="129"/>
      <c r="N520" s="130"/>
      <c r="O520" s="130"/>
      <c r="P520" s="131"/>
      <c r="Q520" s="132">
        <v>45799</v>
      </c>
      <c r="R520" s="89">
        <f t="shared" si="19"/>
        <v>1.0000655079046206</v>
      </c>
      <c r="S520" s="101" t="s">
        <v>1927</v>
      </c>
      <c r="T520" s="168"/>
    </row>
    <row r="521" spans="1:20" ht="57.6" x14ac:dyDescent="0.3">
      <c r="A521" s="96">
        <f t="shared" si="18"/>
        <v>518</v>
      </c>
      <c r="B521" s="170" t="s">
        <v>80</v>
      </c>
      <c r="C521" s="132">
        <v>45796</v>
      </c>
      <c r="D521" s="331"/>
      <c r="E521" s="271" t="s">
        <v>2709</v>
      </c>
      <c r="F521" s="179" t="s">
        <v>1314</v>
      </c>
      <c r="G521" s="172" t="s">
        <v>6</v>
      </c>
      <c r="H521" s="106">
        <v>45796</v>
      </c>
      <c r="I521" s="173"/>
      <c r="J521" s="107" t="s">
        <v>99</v>
      </c>
      <c r="K521" s="128"/>
      <c r="L521" s="128"/>
      <c r="M521" s="129"/>
      <c r="N521" s="130"/>
      <c r="O521" s="130"/>
      <c r="P521" s="131"/>
      <c r="Q521" s="132">
        <v>45798</v>
      </c>
      <c r="R521" s="89">
        <f t="shared" si="19"/>
        <v>1.0000436719364136</v>
      </c>
      <c r="S521" s="101" t="s">
        <v>1813</v>
      </c>
      <c r="T521" s="168"/>
    </row>
    <row r="522" spans="1:20" ht="43.2" x14ac:dyDescent="0.3">
      <c r="A522" s="96">
        <f t="shared" si="18"/>
        <v>519</v>
      </c>
      <c r="B522" s="170">
        <v>1550</v>
      </c>
      <c r="C522" s="132">
        <v>45796</v>
      </c>
      <c r="D522" s="331">
        <v>90806670</v>
      </c>
      <c r="E522" s="271" t="s">
        <v>2710</v>
      </c>
      <c r="F522" s="179" t="s">
        <v>32</v>
      </c>
      <c r="G522" s="172" t="s">
        <v>4</v>
      </c>
      <c r="H522" s="106">
        <v>45796</v>
      </c>
      <c r="I522" s="173"/>
      <c r="J522" s="107" t="s">
        <v>106</v>
      </c>
      <c r="K522" s="128"/>
      <c r="L522" s="128"/>
      <c r="M522" s="129"/>
      <c r="N522" s="130"/>
      <c r="O522" s="130"/>
      <c r="P522" s="131"/>
      <c r="Q522" s="132">
        <v>45798</v>
      </c>
      <c r="R522" s="89">
        <f t="shared" si="19"/>
        <v>1.0000436719364136</v>
      </c>
      <c r="S522" s="101"/>
      <c r="T522" s="168"/>
    </row>
    <row r="523" spans="1:20" ht="43.2" x14ac:dyDescent="0.3">
      <c r="A523" s="96">
        <f t="shared" si="18"/>
        <v>520</v>
      </c>
      <c r="B523" s="170">
        <v>1550</v>
      </c>
      <c r="C523" s="132">
        <v>45796</v>
      </c>
      <c r="D523" s="331">
        <v>84778547</v>
      </c>
      <c r="E523" s="271" t="s">
        <v>2711</v>
      </c>
      <c r="F523" s="179" t="s">
        <v>7</v>
      </c>
      <c r="G523" s="125" t="s">
        <v>8</v>
      </c>
      <c r="H523" s="106">
        <v>45796</v>
      </c>
      <c r="I523" s="137"/>
      <c r="J523" s="107" t="s">
        <v>99</v>
      </c>
      <c r="K523" s="128"/>
      <c r="L523" s="128"/>
      <c r="M523" s="129"/>
      <c r="N523" s="130"/>
      <c r="O523" s="130"/>
      <c r="P523" s="131"/>
      <c r="Q523" s="132">
        <v>45834</v>
      </c>
      <c r="R523" s="89">
        <f t="shared" si="19"/>
        <v>1.0008297667918595</v>
      </c>
      <c r="S523" s="101" t="s">
        <v>2712</v>
      </c>
      <c r="T523" s="201" t="s">
        <v>2713</v>
      </c>
    </row>
    <row r="524" spans="1:20" ht="57.6" x14ac:dyDescent="0.3">
      <c r="A524" s="96">
        <f t="shared" si="18"/>
        <v>521</v>
      </c>
      <c r="B524" s="170" t="s">
        <v>2714</v>
      </c>
      <c r="C524" s="132">
        <v>45796</v>
      </c>
      <c r="D524" s="331"/>
      <c r="E524" s="271" t="s">
        <v>2715</v>
      </c>
      <c r="F524" s="179" t="s">
        <v>1314</v>
      </c>
      <c r="G524" s="376" t="s">
        <v>10</v>
      </c>
      <c r="H524" s="106">
        <v>45796</v>
      </c>
      <c r="I524" s="173"/>
      <c r="J524" s="125" t="s">
        <v>99</v>
      </c>
      <c r="K524" s="128"/>
      <c r="L524" s="128"/>
      <c r="M524" s="129"/>
      <c r="N524" s="130"/>
      <c r="O524" s="130"/>
      <c r="P524" s="131"/>
      <c r="Q524" s="132">
        <v>45798</v>
      </c>
      <c r="R524" s="89">
        <f t="shared" si="19"/>
        <v>1.0000436719364136</v>
      </c>
      <c r="S524" s="101" t="s">
        <v>2716</v>
      </c>
      <c r="T524" s="168"/>
    </row>
    <row r="525" spans="1:20" ht="57.6" x14ac:dyDescent="0.3">
      <c r="A525" s="96">
        <f t="shared" si="18"/>
        <v>522</v>
      </c>
      <c r="B525" s="170" t="s">
        <v>2714</v>
      </c>
      <c r="C525" s="132">
        <v>45796</v>
      </c>
      <c r="D525" s="331"/>
      <c r="E525" s="271" t="s">
        <v>2717</v>
      </c>
      <c r="F525" s="179" t="s">
        <v>1314</v>
      </c>
      <c r="G525" s="376" t="s">
        <v>10</v>
      </c>
      <c r="H525" s="106">
        <v>45796</v>
      </c>
      <c r="I525" s="173"/>
      <c r="J525" s="125" t="s">
        <v>99</v>
      </c>
      <c r="K525" s="128"/>
      <c r="L525" s="128"/>
      <c r="M525" s="129"/>
      <c r="N525" s="130"/>
      <c r="O525" s="130"/>
      <c r="P525" s="131"/>
      <c r="Q525" s="132">
        <v>45798</v>
      </c>
      <c r="R525" s="89">
        <f t="shared" si="19"/>
        <v>1.0000436719364136</v>
      </c>
      <c r="S525" s="101" t="s">
        <v>2716</v>
      </c>
      <c r="T525" s="168"/>
    </row>
    <row r="526" spans="1:20" ht="57.6" x14ac:dyDescent="0.3">
      <c r="A526" s="96">
        <f t="shared" ref="A526:A883" si="20">A525+1</f>
        <v>523</v>
      </c>
      <c r="B526" s="170" t="s">
        <v>2714</v>
      </c>
      <c r="C526" s="132">
        <v>45796</v>
      </c>
      <c r="D526" s="331"/>
      <c r="E526" s="271" t="s">
        <v>2718</v>
      </c>
      <c r="F526" s="179" t="s">
        <v>1314</v>
      </c>
      <c r="G526" s="376" t="s">
        <v>10</v>
      </c>
      <c r="H526" s="106">
        <v>45796</v>
      </c>
      <c r="I526" s="173"/>
      <c r="J526" s="125" t="s">
        <v>99</v>
      </c>
      <c r="K526" s="128"/>
      <c r="L526" s="128"/>
      <c r="M526" s="129"/>
      <c r="N526" s="130"/>
      <c r="O526" s="130"/>
      <c r="P526" s="131"/>
      <c r="Q526" s="132">
        <v>45798</v>
      </c>
      <c r="R526" s="89">
        <f t="shared" si="19"/>
        <v>1.0000436719364136</v>
      </c>
      <c r="S526" s="101" t="s">
        <v>2716</v>
      </c>
      <c r="T526" s="168"/>
    </row>
    <row r="527" spans="1:20" ht="57.6" x14ac:dyDescent="0.3">
      <c r="A527" s="96">
        <f t="shared" si="20"/>
        <v>524</v>
      </c>
      <c r="B527" s="170" t="s">
        <v>2714</v>
      </c>
      <c r="C527" s="132">
        <v>45796</v>
      </c>
      <c r="D527" s="331"/>
      <c r="E527" s="271" t="s">
        <v>2719</v>
      </c>
      <c r="F527" s="179" t="s">
        <v>1314</v>
      </c>
      <c r="G527" s="376" t="s">
        <v>10</v>
      </c>
      <c r="H527" s="106">
        <v>45796</v>
      </c>
      <c r="I527" s="173"/>
      <c r="J527" s="125" t="s">
        <v>99</v>
      </c>
      <c r="K527" s="128"/>
      <c r="L527" s="128"/>
      <c r="M527" s="129"/>
      <c r="N527" s="130"/>
      <c r="O527" s="130"/>
      <c r="P527" s="131"/>
      <c r="Q527" s="132">
        <v>45798</v>
      </c>
      <c r="R527" s="89">
        <f t="shared" si="19"/>
        <v>1.0000436719364136</v>
      </c>
      <c r="S527" s="101" t="s">
        <v>2716</v>
      </c>
      <c r="T527" s="168"/>
    </row>
    <row r="528" spans="1:20" ht="57.6" x14ac:dyDescent="0.3">
      <c r="A528" s="96">
        <f t="shared" si="20"/>
        <v>525</v>
      </c>
      <c r="B528" s="170" t="s">
        <v>2714</v>
      </c>
      <c r="C528" s="132">
        <v>45796</v>
      </c>
      <c r="D528" s="331"/>
      <c r="E528" s="271" t="s">
        <v>2720</v>
      </c>
      <c r="F528" s="179" t="s">
        <v>1314</v>
      </c>
      <c r="G528" s="376" t="s">
        <v>10</v>
      </c>
      <c r="H528" s="106">
        <v>45796</v>
      </c>
      <c r="I528" s="173"/>
      <c r="J528" s="125" t="s">
        <v>99</v>
      </c>
      <c r="K528" s="128"/>
      <c r="L528" s="128"/>
      <c r="M528" s="129"/>
      <c r="N528" s="130"/>
      <c r="O528" s="130"/>
      <c r="P528" s="131"/>
      <c r="Q528" s="132">
        <v>45798</v>
      </c>
      <c r="R528" s="89">
        <f t="shared" si="19"/>
        <v>1.0000436719364136</v>
      </c>
      <c r="S528" s="101" t="s">
        <v>2716</v>
      </c>
      <c r="T528" s="168"/>
    </row>
    <row r="529" spans="1:20" ht="57.6" x14ac:dyDescent="0.3">
      <c r="A529" s="96">
        <f t="shared" si="20"/>
        <v>526</v>
      </c>
      <c r="B529" s="170" t="s">
        <v>2714</v>
      </c>
      <c r="C529" s="132">
        <v>45796</v>
      </c>
      <c r="D529" s="331"/>
      <c r="E529" s="271" t="s">
        <v>2721</v>
      </c>
      <c r="F529" s="179" t="s">
        <v>1314</v>
      </c>
      <c r="G529" s="376" t="s">
        <v>10</v>
      </c>
      <c r="H529" s="106">
        <v>45796</v>
      </c>
      <c r="I529" s="173"/>
      <c r="J529" s="125" t="s">
        <v>99</v>
      </c>
      <c r="K529" s="128"/>
      <c r="L529" s="128"/>
      <c r="M529" s="129"/>
      <c r="N529" s="130"/>
      <c r="O529" s="130"/>
      <c r="P529" s="131"/>
      <c r="Q529" s="132">
        <v>45798</v>
      </c>
      <c r="R529" s="89">
        <f t="shared" si="19"/>
        <v>1.0000436719364136</v>
      </c>
      <c r="S529" s="101" t="s">
        <v>2716</v>
      </c>
      <c r="T529" s="168"/>
    </row>
    <row r="530" spans="1:20" ht="57.6" x14ac:dyDescent="0.3">
      <c r="A530" s="96">
        <f t="shared" si="20"/>
        <v>527</v>
      </c>
      <c r="B530" s="170" t="s">
        <v>2714</v>
      </c>
      <c r="C530" s="132">
        <v>45796</v>
      </c>
      <c r="D530" s="331"/>
      <c r="E530" s="271" t="s">
        <v>2722</v>
      </c>
      <c r="F530" s="179" t="s">
        <v>1314</v>
      </c>
      <c r="G530" s="376" t="s">
        <v>10</v>
      </c>
      <c r="H530" s="106">
        <v>45796</v>
      </c>
      <c r="I530" s="173"/>
      <c r="J530" s="125" t="s">
        <v>99</v>
      </c>
      <c r="K530" s="128"/>
      <c r="L530" s="128"/>
      <c r="M530" s="129"/>
      <c r="N530" s="130"/>
      <c r="O530" s="130"/>
      <c r="P530" s="131"/>
      <c r="Q530" s="132">
        <v>45798</v>
      </c>
      <c r="R530" s="89">
        <f t="shared" si="19"/>
        <v>1.0000436719364136</v>
      </c>
      <c r="S530" s="101" t="s">
        <v>2716</v>
      </c>
      <c r="T530" s="168"/>
    </row>
    <row r="531" spans="1:20" ht="57.6" x14ac:dyDescent="0.3">
      <c r="A531" s="96">
        <f t="shared" si="20"/>
        <v>528</v>
      </c>
      <c r="B531" s="170" t="s">
        <v>2714</v>
      </c>
      <c r="C531" s="132">
        <v>45796</v>
      </c>
      <c r="D531" s="331"/>
      <c r="E531" s="271" t="s">
        <v>2723</v>
      </c>
      <c r="F531" s="179" t="s">
        <v>1314</v>
      </c>
      <c r="G531" s="376" t="s">
        <v>10</v>
      </c>
      <c r="H531" s="106">
        <v>45796</v>
      </c>
      <c r="I531" s="173"/>
      <c r="J531" s="125" t="s">
        <v>99</v>
      </c>
      <c r="K531" s="128"/>
      <c r="L531" s="128"/>
      <c r="M531" s="129"/>
      <c r="N531" s="130"/>
      <c r="O531" s="130"/>
      <c r="P531" s="131"/>
      <c r="Q531" s="132">
        <v>45798</v>
      </c>
      <c r="R531" s="89">
        <f t="shared" si="19"/>
        <v>1.0000436719364136</v>
      </c>
      <c r="S531" s="101" t="s">
        <v>2716</v>
      </c>
      <c r="T531" s="168"/>
    </row>
    <row r="532" spans="1:20" ht="57.6" x14ac:dyDescent="0.3">
      <c r="A532" s="96">
        <f t="shared" si="20"/>
        <v>529</v>
      </c>
      <c r="B532" s="170" t="s">
        <v>2714</v>
      </c>
      <c r="C532" s="132">
        <v>45796</v>
      </c>
      <c r="D532" s="331"/>
      <c r="E532" s="271" t="s">
        <v>2724</v>
      </c>
      <c r="F532" s="179" t="s">
        <v>1314</v>
      </c>
      <c r="G532" s="376" t="s">
        <v>10</v>
      </c>
      <c r="H532" s="106">
        <v>45796</v>
      </c>
      <c r="I532" s="173"/>
      <c r="J532" s="125" t="s">
        <v>99</v>
      </c>
      <c r="K532" s="128"/>
      <c r="L532" s="128"/>
      <c r="M532" s="129"/>
      <c r="N532" s="130"/>
      <c r="O532" s="130"/>
      <c r="P532" s="131"/>
      <c r="Q532" s="132">
        <v>45798</v>
      </c>
      <c r="R532" s="89">
        <f t="shared" si="19"/>
        <v>1.0000436719364136</v>
      </c>
      <c r="S532" s="101" t="s">
        <v>2716</v>
      </c>
      <c r="T532" s="168"/>
    </row>
    <row r="533" spans="1:20" ht="57.6" x14ac:dyDescent="0.3">
      <c r="A533" s="96">
        <f t="shared" si="20"/>
        <v>530</v>
      </c>
      <c r="B533" s="170" t="s">
        <v>2714</v>
      </c>
      <c r="C533" s="132">
        <v>45796</v>
      </c>
      <c r="D533" s="331"/>
      <c r="E533" s="271" t="s">
        <v>2725</v>
      </c>
      <c r="F533" s="179" t="s">
        <v>1314</v>
      </c>
      <c r="G533" s="376" t="s">
        <v>10</v>
      </c>
      <c r="H533" s="106">
        <v>45796</v>
      </c>
      <c r="I533" s="173"/>
      <c r="J533" s="125" t="s">
        <v>99</v>
      </c>
      <c r="K533" s="128"/>
      <c r="L533" s="128"/>
      <c r="M533" s="129"/>
      <c r="N533" s="130"/>
      <c r="O533" s="130"/>
      <c r="P533" s="131"/>
      <c r="Q533" s="132">
        <v>45798</v>
      </c>
      <c r="R533" s="89">
        <f t="shared" si="19"/>
        <v>1.0000436719364136</v>
      </c>
      <c r="S533" s="101" t="s">
        <v>2716</v>
      </c>
      <c r="T533" s="168"/>
    </row>
    <row r="534" spans="1:20" ht="57.6" x14ac:dyDescent="0.3">
      <c r="A534" s="96">
        <f t="shared" si="20"/>
        <v>531</v>
      </c>
      <c r="B534" s="170" t="s">
        <v>2714</v>
      </c>
      <c r="C534" s="132">
        <v>45796</v>
      </c>
      <c r="D534" s="331"/>
      <c r="E534" s="271" t="s">
        <v>2726</v>
      </c>
      <c r="F534" s="179" t="s">
        <v>1314</v>
      </c>
      <c r="G534" s="376" t="s">
        <v>10</v>
      </c>
      <c r="H534" s="106">
        <v>45796</v>
      </c>
      <c r="I534" s="173"/>
      <c r="J534" s="125" t="s">
        <v>99</v>
      </c>
      <c r="K534" s="128"/>
      <c r="L534" s="128"/>
      <c r="M534" s="129"/>
      <c r="N534" s="130"/>
      <c r="O534" s="130"/>
      <c r="P534" s="131"/>
      <c r="Q534" s="132">
        <v>45798</v>
      </c>
      <c r="R534" s="89">
        <f t="shared" si="19"/>
        <v>1.0000436719364136</v>
      </c>
      <c r="S534" s="101" t="s">
        <v>2716</v>
      </c>
      <c r="T534" s="168"/>
    </row>
    <row r="535" spans="1:20" ht="57.6" x14ac:dyDescent="0.3">
      <c r="A535" s="96">
        <f t="shared" si="20"/>
        <v>532</v>
      </c>
      <c r="B535" s="170" t="s">
        <v>2714</v>
      </c>
      <c r="C535" s="132">
        <v>45796</v>
      </c>
      <c r="D535" s="331"/>
      <c r="E535" s="271" t="s">
        <v>2727</v>
      </c>
      <c r="F535" s="179" t="s">
        <v>1314</v>
      </c>
      <c r="G535" s="376" t="s">
        <v>10</v>
      </c>
      <c r="H535" s="106">
        <v>45796</v>
      </c>
      <c r="I535" s="173"/>
      <c r="J535" s="125" t="s">
        <v>99</v>
      </c>
      <c r="K535" s="128"/>
      <c r="L535" s="128"/>
      <c r="M535" s="129"/>
      <c r="N535" s="130"/>
      <c r="O535" s="130"/>
      <c r="P535" s="131"/>
      <c r="Q535" s="132">
        <v>45798</v>
      </c>
      <c r="R535" s="89">
        <f t="shared" si="19"/>
        <v>1.0000436719364136</v>
      </c>
      <c r="S535" s="101" t="s">
        <v>2716</v>
      </c>
      <c r="T535" s="168"/>
    </row>
    <row r="536" spans="1:20" ht="57.6" x14ac:dyDescent="0.3">
      <c r="A536" s="96">
        <f t="shared" si="20"/>
        <v>533</v>
      </c>
      <c r="B536" s="170" t="s">
        <v>2714</v>
      </c>
      <c r="C536" s="132">
        <v>45796</v>
      </c>
      <c r="D536" s="331"/>
      <c r="E536" s="271" t="s">
        <v>2728</v>
      </c>
      <c r="F536" s="179" t="s">
        <v>1314</v>
      </c>
      <c r="G536" s="376" t="s">
        <v>10</v>
      </c>
      <c r="H536" s="106">
        <v>45796</v>
      </c>
      <c r="I536" s="173"/>
      <c r="J536" s="125" t="s">
        <v>99</v>
      </c>
      <c r="K536" s="128"/>
      <c r="L536" s="128"/>
      <c r="M536" s="129"/>
      <c r="N536" s="130"/>
      <c r="O536" s="130"/>
      <c r="P536" s="131"/>
      <c r="Q536" s="132">
        <v>45798</v>
      </c>
      <c r="R536" s="89">
        <f t="shared" si="19"/>
        <v>1.0000436719364136</v>
      </c>
      <c r="S536" s="101" t="s">
        <v>2716</v>
      </c>
      <c r="T536" s="168"/>
    </row>
    <row r="537" spans="1:20" ht="57.6" x14ac:dyDescent="0.3">
      <c r="A537" s="96">
        <f t="shared" si="20"/>
        <v>534</v>
      </c>
      <c r="B537" s="170" t="s">
        <v>2714</v>
      </c>
      <c r="C537" s="132">
        <v>45796</v>
      </c>
      <c r="D537" s="331"/>
      <c r="E537" s="271" t="s">
        <v>2729</v>
      </c>
      <c r="F537" s="179" t="s">
        <v>1314</v>
      </c>
      <c r="G537" s="376" t="s">
        <v>10</v>
      </c>
      <c r="H537" s="106">
        <v>45796</v>
      </c>
      <c r="I537" s="173"/>
      <c r="J537" s="125" t="s">
        <v>99</v>
      </c>
      <c r="K537" s="128"/>
      <c r="L537" s="128"/>
      <c r="M537" s="129"/>
      <c r="N537" s="130"/>
      <c r="O537" s="130"/>
      <c r="P537" s="131"/>
      <c r="Q537" s="132">
        <v>45798</v>
      </c>
      <c r="R537" s="89">
        <f t="shared" si="19"/>
        <v>1.0000436719364136</v>
      </c>
      <c r="S537" s="101" t="s">
        <v>1319</v>
      </c>
      <c r="T537" s="168"/>
    </row>
    <row r="538" spans="1:20" ht="57.6" x14ac:dyDescent="0.3">
      <c r="A538" s="96">
        <f t="shared" si="20"/>
        <v>535</v>
      </c>
      <c r="B538" s="170" t="s">
        <v>2714</v>
      </c>
      <c r="C538" s="132">
        <v>45796</v>
      </c>
      <c r="D538" s="331"/>
      <c r="E538" s="271" t="s">
        <v>2730</v>
      </c>
      <c r="F538" s="179" t="s">
        <v>1314</v>
      </c>
      <c r="G538" s="376" t="s">
        <v>10</v>
      </c>
      <c r="H538" s="106">
        <v>45796</v>
      </c>
      <c r="I538" s="173"/>
      <c r="J538" s="125" t="s">
        <v>99</v>
      </c>
      <c r="K538" s="128"/>
      <c r="L538" s="128"/>
      <c r="M538" s="129"/>
      <c r="N538" s="130"/>
      <c r="O538" s="130"/>
      <c r="P538" s="131"/>
      <c r="Q538" s="132">
        <v>45798</v>
      </c>
      <c r="R538" s="89">
        <f t="shared" si="19"/>
        <v>1.0000436719364136</v>
      </c>
      <c r="S538" s="101" t="s">
        <v>1319</v>
      </c>
      <c r="T538" s="168"/>
    </row>
    <row r="539" spans="1:20" ht="57.6" x14ac:dyDescent="0.3">
      <c r="A539" s="96">
        <f t="shared" si="20"/>
        <v>536</v>
      </c>
      <c r="B539" s="170" t="s">
        <v>2714</v>
      </c>
      <c r="C539" s="132">
        <v>45796</v>
      </c>
      <c r="D539" s="331"/>
      <c r="E539" s="271" t="s">
        <v>2731</v>
      </c>
      <c r="F539" s="179" t="s">
        <v>1314</v>
      </c>
      <c r="G539" s="376" t="s">
        <v>10</v>
      </c>
      <c r="H539" s="106">
        <v>45796</v>
      </c>
      <c r="I539" s="173"/>
      <c r="J539" s="125" t="s">
        <v>99</v>
      </c>
      <c r="K539" s="128"/>
      <c r="L539" s="128"/>
      <c r="M539" s="129"/>
      <c r="N539" s="130"/>
      <c r="O539" s="130"/>
      <c r="P539" s="131"/>
      <c r="Q539" s="132">
        <v>45798</v>
      </c>
      <c r="R539" s="89">
        <f t="shared" si="19"/>
        <v>1.0000436719364136</v>
      </c>
      <c r="S539" s="101" t="s">
        <v>1319</v>
      </c>
      <c r="T539" s="168"/>
    </row>
    <row r="540" spans="1:20" ht="57.6" x14ac:dyDescent="0.3">
      <c r="A540" s="96">
        <f t="shared" si="20"/>
        <v>537</v>
      </c>
      <c r="B540" s="170" t="s">
        <v>2714</v>
      </c>
      <c r="C540" s="132">
        <v>45796</v>
      </c>
      <c r="D540" s="331"/>
      <c r="E540" s="271" t="s">
        <v>2732</v>
      </c>
      <c r="F540" s="179" t="s">
        <v>1314</v>
      </c>
      <c r="G540" s="376" t="s">
        <v>10</v>
      </c>
      <c r="H540" s="106">
        <v>45796</v>
      </c>
      <c r="I540" s="173"/>
      <c r="J540" s="125" t="s">
        <v>99</v>
      </c>
      <c r="K540" s="128"/>
      <c r="L540" s="128"/>
      <c r="M540" s="129"/>
      <c r="N540" s="130"/>
      <c r="O540" s="130"/>
      <c r="P540" s="131"/>
      <c r="Q540" s="132">
        <v>45798</v>
      </c>
      <c r="R540" s="89">
        <f t="shared" si="19"/>
        <v>1.0000436719364136</v>
      </c>
      <c r="S540" s="101" t="s">
        <v>1319</v>
      </c>
      <c r="T540" s="168"/>
    </row>
    <row r="541" spans="1:20" ht="57.6" x14ac:dyDescent="0.3">
      <c r="A541" s="96">
        <f t="shared" si="20"/>
        <v>538</v>
      </c>
      <c r="B541" s="170" t="s">
        <v>2714</v>
      </c>
      <c r="C541" s="132">
        <v>45796</v>
      </c>
      <c r="D541" s="331"/>
      <c r="E541" s="271" t="s">
        <v>2733</v>
      </c>
      <c r="F541" s="179" t="s">
        <v>1314</v>
      </c>
      <c r="G541" s="376" t="s">
        <v>10</v>
      </c>
      <c r="H541" s="106">
        <v>45796</v>
      </c>
      <c r="I541" s="173"/>
      <c r="J541" s="125" t="s">
        <v>99</v>
      </c>
      <c r="K541" s="128"/>
      <c r="L541" s="128"/>
      <c r="M541" s="129"/>
      <c r="N541" s="130"/>
      <c r="O541" s="130"/>
      <c r="P541" s="131"/>
      <c r="Q541" s="132">
        <v>45798</v>
      </c>
      <c r="R541" s="89">
        <f t="shared" si="19"/>
        <v>1.0000436719364136</v>
      </c>
      <c r="S541" s="101" t="s">
        <v>1319</v>
      </c>
      <c r="T541" s="168"/>
    </row>
    <row r="542" spans="1:20" ht="57.6" x14ac:dyDescent="0.3">
      <c r="A542" s="96">
        <f t="shared" si="20"/>
        <v>539</v>
      </c>
      <c r="B542" s="170" t="s">
        <v>2714</v>
      </c>
      <c r="C542" s="132">
        <v>45796</v>
      </c>
      <c r="D542" s="331"/>
      <c r="E542" s="271" t="s">
        <v>2734</v>
      </c>
      <c r="F542" s="179" t="s">
        <v>1314</v>
      </c>
      <c r="G542" s="376" t="s">
        <v>10</v>
      </c>
      <c r="H542" s="106">
        <v>45796</v>
      </c>
      <c r="I542" s="173"/>
      <c r="J542" s="125" t="s">
        <v>99</v>
      </c>
      <c r="K542" s="128"/>
      <c r="L542" s="128"/>
      <c r="M542" s="129"/>
      <c r="N542" s="130"/>
      <c r="O542" s="130"/>
      <c r="P542" s="131"/>
      <c r="Q542" s="132">
        <v>45798</v>
      </c>
      <c r="R542" s="89">
        <f t="shared" si="19"/>
        <v>1.0000436719364136</v>
      </c>
      <c r="S542" s="101" t="s">
        <v>1319</v>
      </c>
      <c r="T542" s="168"/>
    </row>
    <row r="543" spans="1:20" ht="57.6" x14ac:dyDescent="0.3">
      <c r="A543" s="96">
        <f t="shared" si="20"/>
        <v>540</v>
      </c>
      <c r="B543" s="170" t="s">
        <v>2714</v>
      </c>
      <c r="C543" s="132">
        <v>45796</v>
      </c>
      <c r="D543" s="331"/>
      <c r="E543" s="271" t="s">
        <v>2735</v>
      </c>
      <c r="F543" s="179" t="s">
        <v>1314</v>
      </c>
      <c r="G543" s="376" t="s">
        <v>10</v>
      </c>
      <c r="H543" s="106">
        <v>45796</v>
      </c>
      <c r="I543" s="173"/>
      <c r="J543" s="125" t="s">
        <v>99</v>
      </c>
      <c r="K543" s="128"/>
      <c r="L543" s="128"/>
      <c r="M543" s="129"/>
      <c r="N543" s="130"/>
      <c r="O543" s="130"/>
      <c r="P543" s="131"/>
      <c r="Q543" s="132">
        <v>45798</v>
      </c>
      <c r="R543" s="89">
        <f t="shared" si="19"/>
        <v>1.0000436719364136</v>
      </c>
      <c r="S543" s="101" t="s">
        <v>1319</v>
      </c>
      <c r="T543" s="168"/>
    </row>
    <row r="544" spans="1:20" ht="100.8" x14ac:dyDescent="0.3">
      <c r="A544" s="96">
        <f t="shared" si="20"/>
        <v>541</v>
      </c>
      <c r="B544" s="170" t="s">
        <v>2714</v>
      </c>
      <c r="C544" s="132">
        <v>45796</v>
      </c>
      <c r="D544" s="331">
        <v>41742656</v>
      </c>
      <c r="E544" s="271" t="s">
        <v>2736</v>
      </c>
      <c r="F544" s="179" t="s">
        <v>15</v>
      </c>
      <c r="G544" s="376" t="s">
        <v>10</v>
      </c>
      <c r="H544" s="106">
        <v>45796</v>
      </c>
      <c r="I544" s="173"/>
      <c r="J544" s="100" t="s">
        <v>99</v>
      </c>
      <c r="K544" s="128"/>
      <c r="L544" s="128"/>
      <c r="M544" s="129"/>
      <c r="N544" s="130"/>
      <c r="O544" s="130"/>
      <c r="P544" s="131"/>
      <c r="Q544" s="132">
        <v>45807</v>
      </c>
      <c r="R544" s="89">
        <f t="shared" si="19"/>
        <v>1.0002401956502751</v>
      </c>
      <c r="S544" s="101" t="s">
        <v>1319</v>
      </c>
      <c r="T544" s="168"/>
    </row>
    <row r="545" spans="1:20" ht="57.6" x14ac:dyDescent="0.3">
      <c r="A545" s="96">
        <f t="shared" si="20"/>
        <v>542</v>
      </c>
      <c r="B545" s="170" t="s">
        <v>301</v>
      </c>
      <c r="C545" s="132">
        <v>45797</v>
      </c>
      <c r="D545" s="331"/>
      <c r="E545" s="271" t="s">
        <v>2737</v>
      </c>
      <c r="F545" s="179" t="s">
        <v>1314</v>
      </c>
      <c r="G545" s="172" t="s">
        <v>6</v>
      </c>
      <c r="H545" s="106">
        <v>45797</v>
      </c>
      <c r="I545" s="173"/>
      <c r="J545" s="125" t="s">
        <v>99</v>
      </c>
      <c r="K545" s="128"/>
      <c r="L545" s="128"/>
      <c r="M545" s="129"/>
      <c r="N545" s="130"/>
      <c r="O545" s="130"/>
      <c r="P545" s="131"/>
      <c r="Q545" s="132">
        <v>45798</v>
      </c>
      <c r="R545" s="89">
        <f t="shared" si="19"/>
        <v>1.0000218354914077</v>
      </c>
      <c r="S545" s="101" t="s">
        <v>1860</v>
      </c>
      <c r="T545" s="168"/>
    </row>
    <row r="546" spans="1:20" ht="57.6" x14ac:dyDescent="0.3">
      <c r="A546" s="96">
        <f t="shared" si="20"/>
        <v>543</v>
      </c>
      <c r="B546" s="170">
        <v>1550</v>
      </c>
      <c r="C546" s="132">
        <v>45797</v>
      </c>
      <c r="D546" s="331"/>
      <c r="E546" s="271" t="s">
        <v>2738</v>
      </c>
      <c r="F546" s="179" t="s">
        <v>1314</v>
      </c>
      <c r="G546" s="172" t="s">
        <v>6</v>
      </c>
      <c r="H546" s="106">
        <v>45797</v>
      </c>
      <c r="I546" s="173"/>
      <c r="J546" s="125" t="s">
        <v>99</v>
      </c>
      <c r="K546" s="128"/>
      <c r="L546" s="128"/>
      <c r="M546" s="129"/>
      <c r="N546" s="130"/>
      <c r="O546" s="130"/>
      <c r="P546" s="131"/>
      <c r="Q546" s="132">
        <v>45798</v>
      </c>
      <c r="R546" s="89">
        <f t="shared" si="19"/>
        <v>1.0000218354914077</v>
      </c>
      <c r="S546" s="101" t="s">
        <v>1813</v>
      </c>
      <c r="T546" s="168"/>
    </row>
    <row r="547" spans="1:20" ht="72" x14ac:dyDescent="0.3">
      <c r="A547" s="96">
        <f t="shared" si="20"/>
        <v>544</v>
      </c>
      <c r="B547" s="170">
        <v>1550</v>
      </c>
      <c r="C547" s="132">
        <v>45797</v>
      </c>
      <c r="D547" s="331"/>
      <c r="E547" s="271" t="s">
        <v>2739</v>
      </c>
      <c r="F547" s="179" t="s">
        <v>1314</v>
      </c>
      <c r="G547" s="172" t="s">
        <v>8</v>
      </c>
      <c r="H547" s="106">
        <v>45797</v>
      </c>
      <c r="I547" s="173"/>
      <c r="J547" s="125" t="s">
        <v>99</v>
      </c>
      <c r="K547" s="128"/>
      <c r="L547" s="128"/>
      <c r="M547" s="129"/>
      <c r="N547" s="130"/>
      <c r="O547" s="130"/>
      <c r="P547" s="131"/>
      <c r="Q547" s="132">
        <v>45798</v>
      </c>
      <c r="R547" s="89">
        <f t="shared" si="19"/>
        <v>1.0000218354914077</v>
      </c>
      <c r="S547" s="101" t="s">
        <v>758</v>
      </c>
      <c r="T547" s="168"/>
    </row>
    <row r="548" spans="1:20" ht="86.4" x14ac:dyDescent="0.3">
      <c r="A548" s="96">
        <f t="shared" si="20"/>
        <v>545</v>
      </c>
      <c r="B548" s="170">
        <v>1550</v>
      </c>
      <c r="C548" s="132">
        <v>45797</v>
      </c>
      <c r="D548" s="331">
        <v>38217082</v>
      </c>
      <c r="E548" s="271" t="s">
        <v>2740</v>
      </c>
      <c r="F548" s="179" t="s">
        <v>39</v>
      </c>
      <c r="G548" s="172" t="s">
        <v>6</v>
      </c>
      <c r="H548" s="106">
        <v>45797</v>
      </c>
      <c r="I548" s="173"/>
      <c r="J548" s="125" t="s">
        <v>22</v>
      </c>
      <c r="K548" s="128"/>
      <c r="L548" s="128"/>
      <c r="M548" s="129"/>
      <c r="N548" s="130"/>
      <c r="O548" s="130"/>
      <c r="P548" s="131"/>
      <c r="Q548" s="132">
        <v>45800</v>
      </c>
      <c r="R548" s="89">
        <f t="shared" si="19"/>
        <v>1.0000655064742232</v>
      </c>
      <c r="S548" s="101" t="s">
        <v>1927</v>
      </c>
      <c r="T548" s="168"/>
    </row>
    <row r="549" spans="1:20" ht="28.8" x14ac:dyDescent="0.3">
      <c r="A549" s="96">
        <f t="shared" si="20"/>
        <v>546</v>
      </c>
      <c r="B549" s="170">
        <v>1550</v>
      </c>
      <c r="C549" s="132">
        <v>45797</v>
      </c>
      <c r="D549" s="331">
        <v>92717837</v>
      </c>
      <c r="E549" s="271" t="s">
        <v>2741</v>
      </c>
      <c r="F549" s="179" t="s">
        <v>32</v>
      </c>
      <c r="G549" s="172" t="s">
        <v>8</v>
      </c>
      <c r="H549" s="106">
        <v>45797</v>
      </c>
      <c r="I549" s="173"/>
      <c r="J549" s="125" t="s">
        <v>106</v>
      </c>
      <c r="K549" s="128"/>
      <c r="L549" s="128"/>
      <c r="M549" s="129"/>
      <c r="N549" s="130"/>
      <c r="O549" s="130"/>
      <c r="P549" s="131"/>
      <c r="Q549" s="132">
        <v>45805</v>
      </c>
      <c r="R549" s="89">
        <f t="shared" si="19"/>
        <v>1.000174683931262</v>
      </c>
      <c r="S549" s="101" t="s">
        <v>2712</v>
      </c>
      <c r="T549" s="168"/>
    </row>
    <row r="550" spans="1:20" ht="72" x14ac:dyDescent="0.3">
      <c r="A550" s="96">
        <f t="shared" si="20"/>
        <v>547</v>
      </c>
      <c r="B550" s="170">
        <v>1550</v>
      </c>
      <c r="C550" s="132">
        <v>45797</v>
      </c>
      <c r="D550" s="331"/>
      <c r="E550" s="271" t="s">
        <v>2742</v>
      </c>
      <c r="F550" s="179" t="s">
        <v>1314</v>
      </c>
      <c r="G550" s="172" t="s">
        <v>8</v>
      </c>
      <c r="H550" s="106">
        <v>45797</v>
      </c>
      <c r="I550" s="173"/>
      <c r="J550" s="125" t="s">
        <v>99</v>
      </c>
      <c r="K550" s="128"/>
      <c r="L550" s="128"/>
      <c r="M550" s="129"/>
      <c r="N550" s="130"/>
      <c r="O550" s="130"/>
      <c r="P550" s="131"/>
      <c r="Q550" s="132">
        <v>45798</v>
      </c>
      <c r="R550" s="89">
        <f t="shared" si="19"/>
        <v>1.0000218354914077</v>
      </c>
      <c r="S550" s="101" t="s">
        <v>1916</v>
      </c>
      <c r="T550" s="168"/>
    </row>
    <row r="551" spans="1:20" ht="28.8" x14ac:dyDescent="0.3">
      <c r="A551" s="96">
        <f t="shared" si="20"/>
        <v>548</v>
      </c>
      <c r="B551" s="170">
        <v>1550</v>
      </c>
      <c r="C551" s="449">
        <v>45797</v>
      </c>
      <c r="D551" s="367">
        <v>86614215</v>
      </c>
      <c r="E551" s="467" t="s">
        <v>2743</v>
      </c>
      <c r="F551" s="468" t="s">
        <v>7</v>
      </c>
      <c r="G551" s="178" t="s">
        <v>4</v>
      </c>
      <c r="H551" s="106">
        <v>45797</v>
      </c>
      <c r="I551" s="173"/>
      <c r="J551" s="100" t="s">
        <v>2513</v>
      </c>
      <c r="K551" s="128"/>
      <c r="L551" s="128"/>
      <c r="M551" s="129"/>
      <c r="N551" s="130"/>
      <c r="O551" s="130"/>
      <c r="P551" s="131"/>
      <c r="Q551" s="132">
        <v>45797</v>
      </c>
      <c r="R551" s="89">
        <f t="shared" si="19"/>
        <v>1</v>
      </c>
      <c r="S551" s="101"/>
      <c r="T551" s="168"/>
    </row>
    <row r="552" spans="1:20" ht="57.6" x14ac:dyDescent="0.3">
      <c r="A552" s="96">
        <f t="shared" si="20"/>
        <v>549</v>
      </c>
      <c r="B552" s="464" t="s">
        <v>301</v>
      </c>
      <c r="C552" s="124">
        <v>45797</v>
      </c>
      <c r="D552" s="411"/>
      <c r="E552" s="175" t="s">
        <v>2744</v>
      </c>
      <c r="F552" s="111" t="s">
        <v>1314</v>
      </c>
      <c r="G552" s="125" t="s">
        <v>6</v>
      </c>
      <c r="H552" s="106">
        <v>45797</v>
      </c>
      <c r="I552" s="137"/>
      <c r="J552" s="102" t="s">
        <v>99</v>
      </c>
      <c r="K552" s="27"/>
      <c r="L552" s="50"/>
      <c r="M552" s="51"/>
      <c r="N552" s="29"/>
      <c r="O552" s="30"/>
      <c r="P552" s="54"/>
      <c r="Q552" s="83">
        <v>45798</v>
      </c>
      <c r="R552" s="89">
        <f t="shared" si="19"/>
        <v>1.0000218354914077</v>
      </c>
      <c r="S552" s="101" t="s">
        <v>1860</v>
      </c>
      <c r="T552" s="56"/>
    </row>
    <row r="553" spans="1:20" ht="57.6" x14ac:dyDescent="0.3">
      <c r="A553" s="96">
        <f t="shared" si="20"/>
        <v>550</v>
      </c>
      <c r="B553" s="464">
        <v>1550</v>
      </c>
      <c r="C553" s="124">
        <v>45797</v>
      </c>
      <c r="D553" s="411"/>
      <c r="E553" s="36" t="s">
        <v>2745</v>
      </c>
      <c r="F553" s="111" t="s">
        <v>1314</v>
      </c>
      <c r="G553" s="125" t="s">
        <v>4</v>
      </c>
      <c r="H553" s="106">
        <v>45797</v>
      </c>
      <c r="I553" s="137"/>
      <c r="J553" s="125" t="s">
        <v>99</v>
      </c>
      <c r="K553" s="27"/>
      <c r="L553" s="50"/>
      <c r="M553" s="51"/>
      <c r="N553" s="29"/>
      <c r="O553" s="30"/>
      <c r="P553" s="54"/>
      <c r="Q553" s="106">
        <v>45798</v>
      </c>
      <c r="R553" s="89">
        <f t="shared" si="19"/>
        <v>1.0000218354914077</v>
      </c>
      <c r="S553" s="101"/>
      <c r="T553" s="234"/>
    </row>
    <row r="554" spans="1:20" ht="57.6" x14ac:dyDescent="0.3">
      <c r="A554" s="96">
        <f t="shared" si="20"/>
        <v>551</v>
      </c>
      <c r="B554" s="464" t="s">
        <v>301</v>
      </c>
      <c r="C554" s="124">
        <v>45797</v>
      </c>
      <c r="D554" s="411">
        <v>66580617</v>
      </c>
      <c r="E554" s="175" t="s">
        <v>2746</v>
      </c>
      <c r="F554" s="111" t="s">
        <v>24</v>
      </c>
      <c r="G554" s="125" t="s">
        <v>6</v>
      </c>
      <c r="H554" s="106">
        <v>45797</v>
      </c>
      <c r="I554" s="137"/>
      <c r="J554" s="107" t="s">
        <v>253</v>
      </c>
      <c r="K554" s="27"/>
      <c r="L554" s="50"/>
      <c r="M554" s="51"/>
      <c r="N554" s="29"/>
      <c r="O554" s="30"/>
      <c r="P554" s="54"/>
      <c r="Q554" s="83">
        <v>45798</v>
      </c>
      <c r="R554" s="89">
        <f t="shared" si="19"/>
        <v>1.0000218354914077</v>
      </c>
      <c r="S554" s="101" t="s">
        <v>2747</v>
      </c>
      <c r="T554" s="234"/>
    </row>
    <row r="555" spans="1:20" ht="57.6" x14ac:dyDescent="0.3">
      <c r="A555" s="96">
        <f t="shared" si="20"/>
        <v>552</v>
      </c>
      <c r="B555" s="464">
        <v>1550</v>
      </c>
      <c r="C555" s="124">
        <v>45797</v>
      </c>
      <c r="D555" s="411"/>
      <c r="E555" s="36" t="s">
        <v>2748</v>
      </c>
      <c r="F555" s="111" t="s">
        <v>1314</v>
      </c>
      <c r="G555" s="125" t="s">
        <v>4</v>
      </c>
      <c r="H555" s="106">
        <v>45797</v>
      </c>
      <c r="I555" s="137"/>
      <c r="J555" s="125" t="s">
        <v>99</v>
      </c>
      <c r="K555" s="27"/>
      <c r="L555" s="50"/>
      <c r="M555" s="51"/>
      <c r="N555" s="29"/>
      <c r="O555" s="30"/>
      <c r="P555" s="54"/>
      <c r="Q555" s="106">
        <v>45798</v>
      </c>
      <c r="R555" s="89">
        <f t="shared" si="19"/>
        <v>1.0000218354914077</v>
      </c>
      <c r="S555" s="101"/>
      <c r="T555" s="234"/>
    </row>
    <row r="556" spans="1:20" ht="86.4" x14ac:dyDescent="0.3">
      <c r="A556" s="96">
        <f t="shared" si="20"/>
        <v>553</v>
      </c>
      <c r="B556" s="464">
        <v>1550</v>
      </c>
      <c r="C556" s="124">
        <v>45797</v>
      </c>
      <c r="D556" s="411">
        <v>4771249</v>
      </c>
      <c r="E556" s="175" t="s">
        <v>2749</v>
      </c>
      <c r="F556" s="111" t="s">
        <v>1</v>
      </c>
      <c r="G556" s="125" t="s">
        <v>6</v>
      </c>
      <c r="H556" s="106">
        <v>45797</v>
      </c>
      <c r="I556" s="137"/>
      <c r="J556" s="107" t="s">
        <v>99</v>
      </c>
      <c r="K556" s="27"/>
      <c r="L556" s="50"/>
      <c r="M556" s="51"/>
      <c r="N556" s="29"/>
      <c r="O556" s="30"/>
      <c r="P556" s="54"/>
      <c r="Q556" s="83">
        <v>45798</v>
      </c>
      <c r="R556" s="89">
        <f t="shared" si="19"/>
        <v>1.0000218354914077</v>
      </c>
      <c r="S556" s="101" t="s">
        <v>1816</v>
      </c>
      <c r="T556" s="234"/>
    </row>
    <row r="557" spans="1:20" ht="57.6" x14ac:dyDescent="0.3">
      <c r="A557" s="96">
        <f t="shared" si="20"/>
        <v>554</v>
      </c>
      <c r="B557" s="170">
        <v>1550</v>
      </c>
      <c r="C557" s="132">
        <v>45797</v>
      </c>
      <c r="D557" s="331"/>
      <c r="E557" s="452" t="s">
        <v>2750</v>
      </c>
      <c r="F557" s="466" t="s">
        <v>1314</v>
      </c>
      <c r="G557" s="461" t="s">
        <v>6</v>
      </c>
      <c r="H557" s="106">
        <v>45797</v>
      </c>
      <c r="I557" s="137"/>
      <c r="J557" s="102" t="s">
        <v>99</v>
      </c>
      <c r="K557" s="27"/>
      <c r="L557" s="50"/>
      <c r="M557" s="51"/>
      <c r="N557" s="29"/>
      <c r="O557" s="30"/>
      <c r="P557" s="54"/>
      <c r="Q557" s="83">
        <v>45798</v>
      </c>
      <c r="R557" s="89">
        <f t="shared" si="19"/>
        <v>1.0000218354914077</v>
      </c>
      <c r="S557" s="101" t="s">
        <v>1936</v>
      </c>
      <c r="T557" s="234"/>
    </row>
    <row r="558" spans="1:20" ht="57.6" x14ac:dyDescent="0.3">
      <c r="A558" s="96">
        <f t="shared" si="20"/>
        <v>555</v>
      </c>
      <c r="B558" s="170">
        <v>1550</v>
      </c>
      <c r="C558" s="449">
        <v>45797</v>
      </c>
      <c r="D558" s="367"/>
      <c r="E558" s="467" t="s">
        <v>2751</v>
      </c>
      <c r="F558" s="283" t="s">
        <v>1314</v>
      </c>
      <c r="G558" s="456" t="s">
        <v>6</v>
      </c>
      <c r="H558" s="106">
        <v>45797</v>
      </c>
      <c r="I558" s="137"/>
      <c r="J558" s="102" t="s">
        <v>99</v>
      </c>
      <c r="K558" s="27"/>
      <c r="L558" s="50"/>
      <c r="M558" s="51"/>
      <c r="N558" s="29"/>
      <c r="O558" s="30"/>
      <c r="P558" s="54"/>
      <c r="Q558" s="83">
        <v>45798</v>
      </c>
      <c r="R558" s="89">
        <f t="shared" si="19"/>
        <v>1.0000218354914077</v>
      </c>
      <c r="S558" s="101" t="s">
        <v>1312</v>
      </c>
      <c r="T558" s="234"/>
    </row>
    <row r="559" spans="1:20" ht="57.6" x14ac:dyDescent="0.3">
      <c r="A559" s="96">
        <f t="shared" si="20"/>
        <v>556</v>
      </c>
      <c r="B559" s="464">
        <v>1550</v>
      </c>
      <c r="C559" s="124">
        <v>45797</v>
      </c>
      <c r="D559" s="411"/>
      <c r="E559" s="175" t="s">
        <v>2752</v>
      </c>
      <c r="F559" s="111" t="s">
        <v>1314</v>
      </c>
      <c r="G559" s="125" t="s">
        <v>6</v>
      </c>
      <c r="H559" s="106">
        <v>45797</v>
      </c>
      <c r="I559" s="137"/>
      <c r="J559" s="102" t="s">
        <v>99</v>
      </c>
      <c r="K559" s="27"/>
      <c r="L559" s="50"/>
      <c r="M559" s="51"/>
      <c r="N559" s="29"/>
      <c r="O559" s="30"/>
      <c r="P559" s="54"/>
      <c r="Q559" s="83">
        <v>45798</v>
      </c>
      <c r="R559" s="89">
        <f t="shared" si="19"/>
        <v>1.0000218354914077</v>
      </c>
      <c r="S559" s="101" t="s">
        <v>1813</v>
      </c>
      <c r="T559" s="234"/>
    </row>
    <row r="560" spans="1:20" ht="57.6" x14ac:dyDescent="0.3">
      <c r="A560" s="96">
        <f t="shared" si="20"/>
        <v>557</v>
      </c>
      <c r="B560" s="464">
        <v>1550</v>
      </c>
      <c r="C560" s="124">
        <v>45797</v>
      </c>
      <c r="D560" s="411"/>
      <c r="E560" s="36" t="s">
        <v>2753</v>
      </c>
      <c r="F560" s="111" t="s">
        <v>1314</v>
      </c>
      <c r="G560" s="125" t="s">
        <v>4</v>
      </c>
      <c r="H560" s="106">
        <v>45797</v>
      </c>
      <c r="I560" s="137"/>
      <c r="J560" s="102" t="s">
        <v>99</v>
      </c>
      <c r="K560" s="27"/>
      <c r="L560" s="50"/>
      <c r="M560" s="51"/>
      <c r="N560" s="29"/>
      <c r="O560" s="30"/>
      <c r="P560" s="54"/>
      <c r="Q560" s="106">
        <v>45798</v>
      </c>
      <c r="R560" s="89">
        <f t="shared" si="19"/>
        <v>1.0000218354914077</v>
      </c>
      <c r="S560" s="101"/>
      <c r="T560" s="234"/>
    </row>
    <row r="561" spans="1:20" ht="86.4" x14ac:dyDescent="0.3">
      <c r="A561" s="96">
        <f t="shared" si="20"/>
        <v>558</v>
      </c>
      <c r="B561" s="464">
        <v>1550</v>
      </c>
      <c r="C561" s="124">
        <v>45797</v>
      </c>
      <c r="D561" s="411"/>
      <c r="E561" s="175" t="s">
        <v>2754</v>
      </c>
      <c r="F561" s="111" t="s">
        <v>1</v>
      </c>
      <c r="G561" s="125" t="s">
        <v>6</v>
      </c>
      <c r="H561" s="106">
        <v>45797</v>
      </c>
      <c r="I561" s="137"/>
      <c r="J561" s="107" t="s">
        <v>99</v>
      </c>
      <c r="K561" s="27"/>
      <c r="L561" s="50"/>
      <c r="M561" s="51"/>
      <c r="N561" s="29"/>
      <c r="O561" s="30"/>
      <c r="P561" s="54"/>
      <c r="Q561" s="83">
        <v>45798</v>
      </c>
      <c r="R561" s="89">
        <f t="shared" si="19"/>
        <v>1.0000218354914077</v>
      </c>
      <c r="S561" s="101" t="s">
        <v>2597</v>
      </c>
      <c r="T561" s="234"/>
    </row>
    <row r="562" spans="1:20" ht="72" x14ac:dyDescent="0.3">
      <c r="A562" s="96">
        <f t="shared" si="20"/>
        <v>559</v>
      </c>
      <c r="B562" s="170">
        <v>1550</v>
      </c>
      <c r="C562" s="132">
        <v>45797</v>
      </c>
      <c r="D562" s="331"/>
      <c r="E562" s="452" t="s">
        <v>2755</v>
      </c>
      <c r="F562" s="466" t="s">
        <v>1314</v>
      </c>
      <c r="G562" s="461" t="s">
        <v>8</v>
      </c>
      <c r="H562" s="106">
        <v>45797</v>
      </c>
      <c r="I562" s="137"/>
      <c r="J562" s="102" t="s">
        <v>99</v>
      </c>
      <c r="K562" s="27"/>
      <c r="L562" s="50"/>
      <c r="M562" s="51"/>
      <c r="N562" s="29"/>
      <c r="O562" s="30"/>
      <c r="P562" s="54"/>
      <c r="Q562" s="83">
        <v>45798</v>
      </c>
      <c r="R562" s="89">
        <f t="shared" si="19"/>
        <v>1.0000218354914077</v>
      </c>
      <c r="S562" s="101" t="s">
        <v>758</v>
      </c>
      <c r="T562" s="234"/>
    </row>
    <row r="563" spans="1:20" ht="129.6" x14ac:dyDescent="0.3">
      <c r="A563" s="96">
        <f t="shared" si="20"/>
        <v>560</v>
      </c>
      <c r="B563" s="170">
        <v>1550</v>
      </c>
      <c r="C563" s="132">
        <v>45797</v>
      </c>
      <c r="D563" s="331">
        <v>29986915</v>
      </c>
      <c r="E563" s="271" t="s">
        <v>2756</v>
      </c>
      <c r="F563" s="179" t="s">
        <v>1</v>
      </c>
      <c r="G563" s="125" t="s">
        <v>6</v>
      </c>
      <c r="H563" s="106">
        <v>45797</v>
      </c>
      <c r="I563" s="137"/>
      <c r="J563" s="38" t="s">
        <v>2544</v>
      </c>
      <c r="K563" s="27"/>
      <c r="L563" s="50"/>
      <c r="M563" s="51"/>
      <c r="N563" s="29"/>
      <c r="O563" s="30"/>
      <c r="P563" s="54"/>
      <c r="Q563" s="83">
        <v>45798</v>
      </c>
      <c r="R563" s="89">
        <f t="shared" si="19"/>
        <v>1.0000218354914077</v>
      </c>
      <c r="S563" s="101" t="s">
        <v>1927</v>
      </c>
      <c r="T563" s="234"/>
    </row>
    <row r="564" spans="1:20" ht="57.6" x14ac:dyDescent="0.3">
      <c r="A564" s="96">
        <f t="shared" si="20"/>
        <v>561</v>
      </c>
      <c r="B564" s="170">
        <v>1550</v>
      </c>
      <c r="C564" s="132">
        <v>45797</v>
      </c>
      <c r="D564" s="331"/>
      <c r="E564" s="271" t="s">
        <v>2757</v>
      </c>
      <c r="F564" s="179" t="s">
        <v>1314</v>
      </c>
      <c r="G564" s="125" t="s">
        <v>6</v>
      </c>
      <c r="H564" s="106">
        <v>45797</v>
      </c>
      <c r="I564" s="137"/>
      <c r="J564" s="102" t="s">
        <v>99</v>
      </c>
      <c r="K564" s="27"/>
      <c r="L564" s="50"/>
      <c r="M564" s="51"/>
      <c r="N564" s="29"/>
      <c r="O564" s="30"/>
      <c r="P564" s="54"/>
      <c r="Q564" s="83">
        <v>45798</v>
      </c>
      <c r="R564" s="89">
        <f t="shared" si="19"/>
        <v>1.0000218354914077</v>
      </c>
      <c r="S564" s="101" t="s">
        <v>1927</v>
      </c>
      <c r="T564" s="234"/>
    </row>
    <row r="565" spans="1:20" ht="57.6" x14ac:dyDescent="0.3">
      <c r="A565" s="96">
        <f t="shared" si="20"/>
        <v>562</v>
      </c>
      <c r="B565" s="170">
        <v>1550</v>
      </c>
      <c r="C565" s="132">
        <v>45797</v>
      </c>
      <c r="D565" s="331"/>
      <c r="E565" s="271" t="s">
        <v>2758</v>
      </c>
      <c r="F565" s="179" t="s">
        <v>1314</v>
      </c>
      <c r="G565" s="125" t="s">
        <v>6</v>
      </c>
      <c r="H565" s="106">
        <v>45797</v>
      </c>
      <c r="I565" s="137"/>
      <c r="J565" s="102" t="s">
        <v>99</v>
      </c>
      <c r="K565" s="27"/>
      <c r="L565" s="50"/>
      <c r="M565" s="51"/>
      <c r="N565" s="29"/>
      <c r="O565" s="30"/>
      <c r="P565" s="54"/>
      <c r="Q565" s="83">
        <v>45798</v>
      </c>
      <c r="R565" s="89">
        <f t="shared" si="19"/>
        <v>1.0000218354914077</v>
      </c>
      <c r="S565" s="101" t="s">
        <v>2597</v>
      </c>
      <c r="T565" s="234"/>
    </row>
    <row r="566" spans="1:20" ht="49.5" customHeight="1" x14ac:dyDescent="0.3">
      <c r="A566" s="96">
        <f t="shared" si="20"/>
        <v>563</v>
      </c>
      <c r="B566" s="170" t="s">
        <v>80</v>
      </c>
      <c r="C566" s="132">
        <v>45797</v>
      </c>
      <c r="D566" s="331"/>
      <c r="E566" s="271" t="s">
        <v>2759</v>
      </c>
      <c r="F566" s="179" t="s">
        <v>1314</v>
      </c>
      <c r="G566" s="125" t="s">
        <v>10</v>
      </c>
      <c r="H566" s="106">
        <v>45797</v>
      </c>
      <c r="I566" s="137"/>
      <c r="J566" s="102" t="s">
        <v>99</v>
      </c>
      <c r="K566" s="27"/>
      <c r="L566" s="50"/>
      <c r="M566" s="51"/>
      <c r="N566" s="29"/>
      <c r="O566" s="30"/>
      <c r="P566" s="54"/>
      <c r="Q566" s="83">
        <v>45798</v>
      </c>
      <c r="R566" s="89">
        <f t="shared" si="19"/>
        <v>1.0000218354914077</v>
      </c>
      <c r="S566" s="101" t="s">
        <v>1319</v>
      </c>
      <c r="T566" s="234"/>
    </row>
    <row r="567" spans="1:20" ht="49.5" customHeight="1" x14ac:dyDescent="0.3">
      <c r="A567" s="96">
        <f t="shared" si="20"/>
        <v>564</v>
      </c>
      <c r="B567" s="170">
        <v>1550</v>
      </c>
      <c r="C567" s="132">
        <v>45797</v>
      </c>
      <c r="D567" s="331"/>
      <c r="E567" s="271" t="s">
        <v>2760</v>
      </c>
      <c r="F567" s="179" t="s">
        <v>39</v>
      </c>
      <c r="G567" s="125" t="s">
        <v>10</v>
      </c>
      <c r="H567" s="106">
        <v>45797</v>
      </c>
      <c r="I567" s="137"/>
      <c r="J567" s="102" t="s">
        <v>2467</v>
      </c>
      <c r="K567" s="27"/>
      <c r="L567" s="50"/>
      <c r="M567" s="51"/>
      <c r="N567" s="29"/>
      <c r="O567" s="30"/>
      <c r="P567" s="54"/>
      <c r="Q567" s="83">
        <v>45799</v>
      </c>
      <c r="R567" s="89">
        <f t="shared" si="19"/>
        <v>1.0000436709828155</v>
      </c>
      <c r="S567" s="101" t="s">
        <v>1366</v>
      </c>
      <c r="T567" s="234"/>
    </row>
    <row r="568" spans="1:20" ht="49.5" customHeight="1" x14ac:dyDescent="0.3">
      <c r="A568" s="96">
        <f t="shared" si="20"/>
        <v>565</v>
      </c>
      <c r="B568" s="170" t="s">
        <v>80</v>
      </c>
      <c r="C568" s="132">
        <v>45797</v>
      </c>
      <c r="D568" s="331">
        <v>93793510</v>
      </c>
      <c r="E568" s="271" t="s">
        <v>2761</v>
      </c>
      <c r="F568" s="179" t="s">
        <v>1314</v>
      </c>
      <c r="G568" s="125" t="s">
        <v>10</v>
      </c>
      <c r="H568" s="106">
        <v>45797</v>
      </c>
      <c r="I568" s="137"/>
      <c r="J568" s="102" t="s">
        <v>99</v>
      </c>
      <c r="K568" s="27"/>
      <c r="L568" s="50"/>
      <c r="M568" s="51"/>
      <c r="N568" s="29"/>
      <c r="O568" s="30"/>
      <c r="P568" s="54"/>
      <c r="Q568" s="83">
        <v>45798</v>
      </c>
      <c r="R568" s="89">
        <f t="shared" si="19"/>
        <v>1.0000218354914077</v>
      </c>
      <c r="S568" s="101" t="s">
        <v>1319</v>
      </c>
      <c r="T568" s="234"/>
    </row>
    <row r="569" spans="1:20" ht="49.5" customHeight="1" x14ac:dyDescent="0.3">
      <c r="A569" s="96">
        <f t="shared" si="20"/>
        <v>566</v>
      </c>
      <c r="B569" s="170" t="s">
        <v>80</v>
      </c>
      <c r="C569" s="132">
        <v>45797</v>
      </c>
      <c r="D569" s="331"/>
      <c r="E569" s="271" t="s">
        <v>2762</v>
      </c>
      <c r="F569" s="179" t="s">
        <v>1314</v>
      </c>
      <c r="G569" s="125" t="s">
        <v>10</v>
      </c>
      <c r="H569" s="106">
        <v>45797</v>
      </c>
      <c r="I569" s="137"/>
      <c r="J569" s="102" t="s">
        <v>99</v>
      </c>
      <c r="K569" s="27"/>
      <c r="L569" s="50"/>
      <c r="M569" s="51"/>
      <c r="N569" s="29"/>
      <c r="O569" s="30"/>
      <c r="P569" s="54"/>
      <c r="Q569" s="83">
        <v>45798</v>
      </c>
      <c r="R569" s="89">
        <f t="shared" si="19"/>
        <v>1.0000218354914077</v>
      </c>
      <c r="S569" s="101" t="s">
        <v>1319</v>
      </c>
      <c r="T569" s="234"/>
    </row>
    <row r="570" spans="1:20" ht="49.5" customHeight="1" x14ac:dyDescent="0.3">
      <c r="A570" s="96">
        <f t="shared" si="20"/>
        <v>567</v>
      </c>
      <c r="B570" s="170">
        <v>1550</v>
      </c>
      <c r="C570" s="132">
        <v>45797</v>
      </c>
      <c r="D570" s="331">
        <v>29060370</v>
      </c>
      <c r="E570" s="271" t="s">
        <v>2763</v>
      </c>
      <c r="F570" s="179" t="s">
        <v>3</v>
      </c>
      <c r="G570" s="125" t="s">
        <v>10</v>
      </c>
      <c r="H570" s="106">
        <v>45797</v>
      </c>
      <c r="I570" s="137"/>
      <c r="J570" s="100" t="s">
        <v>82</v>
      </c>
      <c r="K570" s="27"/>
      <c r="L570" s="50"/>
      <c r="M570" s="51"/>
      <c r="N570" s="29"/>
      <c r="O570" s="30"/>
      <c r="P570" s="54"/>
      <c r="Q570" s="83">
        <v>45798</v>
      </c>
      <c r="R570" s="89">
        <f t="shared" si="19"/>
        <v>1.0000218354914077</v>
      </c>
      <c r="S570" s="101" t="s">
        <v>1769</v>
      </c>
      <c r="T570" s="234"/>
    </row>
    <row r="571" spans="1:20" ht="49.5" customHeight="1" x14ac:dyDescent="0.3">
      <c r="A571" s="96">
        <f t="shared" si="20"/>
        <v>568</v>
      </c>
      <c r="B571" s="170" t="s">
        <v>80</v>
      </c>
      <c r="C571" s="132">
        <v>45797</v>
      </c>
      <c r="D571" s="331"/>
      <c r="E571" s="271" t="s">
        <v>2764</v>
      </c>
      <c r="F571" s="179" t="s">
        <v>9</v>
      </c>
      <c r="G571" s="125" t="s">
        <v>10</v>
      </c>
      <c r="H571" s="106">
        <v>45797</v>
      </c>
      <c r="I571" s="137"/>
      <c r="J571" s="102" t="s">
        <v>2765</v>
      </c>
      <c r="K571" s="27"/>
      <c r="L571" s="50"/>
      <c r="M571" s="51"/>
      <c r="N571" s="29"/>
      <c r="O571" s="30"/>
      <c r="P571" s="54"/>
      <c r="Q571" s="83">
        <v>45799</v>
      </c>
      <c r="R571" s="89">
        <f t="shared" si="19"/>
        <v>1.0000436709828155</v>
      </c>
      <c r="S571" s="101" t="s">
        <v>2716</v>
      </c>
      <c r="T571" s="234"/>
    </row>
    <row r="572" spans="1:20" ht="49.5" customHeight="1" thickBot="1" x14ac:dyDescent="0.35">
      <c r="A572" s="96">
        <f t="shared" si="20"/>
        <v>569</v>
      </c>
      <c r="B572" s="170" t="s">
        <v>80</v>
      </c>
      <c r="C572" s="132">
        <v>45797</v>
      </c>
      <c r="D572" s="331"/>
      <c r="E572" s="271" t="s">
        <v>2766</v>
      </c>
      <c r="F572" s="179" t="s">
        <v>9</v>
      </c>
      <c r="G572" s="125" t="s">
        <v>10</v>
      </c>
      <c r="H572" s="106">
        <v>45797</v>
      </c>
      <c r="I572" s="137"/>
      <c r="J572" s="102" t="s">
        <v>2765</v>
      </c>
      <c r="K572" s="27"/>
      <c r="L572" s="50"/>
      <c r="M572" s="51"/>
      <c r="N572" s="29"/>
      <c r="O572" s="30"/>
      <c r="P572" s="54"/>
      <c r="Q572" s="83">
        <v>45799</v>
      </c>
      <c r="R572" s="89">
        <f t="shared" si="19"/>
        <v>1.0000436709828155</v>
      </c>
      <c r="S572" s="101" t="s">
        <v>2716</v>
      </c>
      <c r="T572" s="234"/>
    </row>
    <row r="573" spans="1:20" ht="49.5" customHeight="1" thickBot="1" x14ac:dyDescent="0.35">
      <c r="A573" s="96">
        <f t="shared" si="20"/>
        <v>570</v>
      </c>
      <c r="B573" s="170" t="s">
        <v>80</v>
      </c>
      <c r="C573" s="132">
        <v>45797</v>
      </c>
      <c r="D573" s="331">
        <v>120223376</v>
      </c>
      <c r="E573" s="271" t="s">
        <v>2767</v>
      </c>
      <c r="F573" s="179" t="s">
        <v>23</v>
      </c>
      <c r="G573" s="125" t="s">
        <v>10</v>
      </c>
      <c r="H573" s="106">
        <v>45797</v>
      </c>
      <c r="I573" s="137">
        <v>10000296113</v>
      </c>
      <c r="J573" s="102" t="s">
        <v>135</v>
      </c>
      <c r="K573" s="27"/>
      <c r="L573" s="50"/>
      <c r="M573" s="51"/>
      <c r="N573" s="29"/>
      <c r="O573" s="30"/>
      <c r="P573" s="54"/>
      <c r="Q573" s="83">
        <v>45825</v>
      </c>
      <c r="R573" s="89">
        <f t="shared" si="19"/>
        <v>1.0006113937594165</v>
      </c>
      <c r="S573" s="93" t="s">
        <v>1319</v>
      </c>
      <c r="T573" s="490" t="s">
        <v>2768</v>
      </c>
    </row>
    <row r="574" spans="1:20" ht="49.5" customHeight="1" x14ac:dyDescent="0.3">
      <c r="A574" s="96">
        <f t="shared" si="20"/>
        <v>571</v>
      </c>
      <c r="B574" s="170" t="s">
        <v>80</v>
      </c>
      <c r="C574" s="132">
        <v>45797</v>
      </c>
      <c r="D574" s="331"/>
      <c r="E574" s="271" t="s">
        <v>2769</v>
      </c>
      <c r="F574" s="179" t="s">
        <v>1314</v>
      </c>
      <c r="G574" s="125" t="s">
        <v>10</v>
      </c>
      <c r="H574" s="106">
        <v>45797</v>
      </c>
      <c r="I574" s="137"/>
      <c r="J574" s="102" t="s">
        <v>99</v>
      </c>
      <c r="K574" s="27"/>
      <c r="L574" s="50"/>
      <c r="M574" s="51"/>
      <c r="N574" s="29"/>
      <c r="O574" s="30"/>
      <c r="P574" s="54"/>
      <c r="Q574" s="83">
        <v>45798</v>
      </c>
      <c r="R574" s="89">
        <f t="shared" si="19"/>
        <v>1.0000218354914077</v>
      </c>
      <c r="S574" s="101" t="s">
        <v>1319</v>
      </c>
      <c r="T574" s="234"/>
    </row>
    <row r="575" spans="1:20" ht="49.5" customHeight="1" x14ac:dyDescent="0.3">
      <c r="A575" s="96">
        <f t="shared" si="20"/>
        <v>572</v>
      </c>
      <c r="B575" s="170" t="s">
        <v>80</v>
      </c>
      <c r="C575" s="132">
        <v>45797</v>
      </c>
      <c r="D575" s="331"/>
      <c r="E575" s="271" t="s">
        <v>2770</v>
      </c>
      <c r="F575" s="179" t="s">
        <v>1314</v>
      </c>
      <c r="G575" s="125" t="s">
        <v>10</v>
      </c>
      <c r="H575" s="106">
        <v>45797</v>
      </c>
      <c r="I575" s="137"/>
      <c r="J575" s="102" t="s">
        <v>99</v>
      </c>
      <c r="K575" s="27"/>
      <c r="L575" s="50"/>
      <c r="M575" s="51"/>
      <c r="N575" s="29"/>
      <c r="O575" s="30"/>
      <c r="P575" s="54"/>
      <c r="Q575" s="83">
        <v>45798</v>
      </c>
      <c r="R575" s="89">
        <f t="shared" si="19"/>
        <v>1.0000218354914077</v>
      </c>
      <c r="S575" s="101" t="s">
        <v>1319</v>
      </c>
      <c r="T575" s="234"/>
    </row>
    <row r="576" spans="1:20" ht="49.5" customHeight="1" x14ac:dyDescent="0.3">
      <c r="A576" s="96">
        <f t="shared" si="20"/>
        <v>573</v>
      </c>
      <c r="B576" s="170" t="s">
        <v>80</v>
      </c>
      <c r="C576" s="132">
        <v>45797</v>
      </c>
      <c r="D576" s="331">
        <v>88673383</v>
      </c>
      <c r="E576" s="271" t="s">
        <v>2771</v>
      </c>
      <c r="F576" s="179" t="s">
        <v>17</v>
      </c>
      <c r="G576" s="125" t="s">
        <v>10</v>
      </c>
      <c r="H576" s="106">
        <v>45797</v>
      </c>
      <c r="I576" s="137"/>
      <c r="J576" s="100" t="s">
        <v>82</v>
      </c>
      <c r="K576" s="27"/>
      <c r="L576" s="50"/>
      <c r="M576" s="51"/>
      <c r="N576" s="29"/>
      <c r="O576" s="30"/>
      <c r="P576" s="54"/>
      <c r="Q576" s="83">
        <v>45797</v>
      </c>
      <c r="R576" s="89">
        <f t="shared" si="19"/>
        <v>1</v>
      </c>
      <c r="S576" s="101" t="s">
        <v>1319</v>
      </c>
      <c r="T576" s="234"/>
    </row>
    <row r="577" spans="1:20" ht="57.6" x14ac:dyDescent="0.3">
      <c r="A577" s="96">
        <f t="shared" si="20"/>
        <v>574</v>
      </c>
      <c r="B577" s="170" t="s">
        <v>80</v>
      </c>
      <c r="C577" s="132">
        <v>45797</v>
      </c>
      <c r="D577" s="331"/>
      <c r="E577" s="271" t="s">
        <v>2772</v>
      </c>
      <c r="F577" s="179" t="s">
        <v>1314</v>
      </c>
      <c r="G577" s="125" t="s">
        <v>10</v>
      </c>
      <c r="H577" s="106">
        <v>45797</v>
      </c>
      <c r="I577" s="137"/>
      <c r="J577" s="102" t="s">
        <v>99</v>
      </c>
      <c r="K577" s="27"/>
      <c r="L577" s="50"/>
      <c r="M577" s="51"/>
      <c r="N577" s="29"/>
      <c r="O577" s="30"/>
      <c r="P577" s="54"/>
      <c r="Q577" s="83">
        <v>45798</v>
      </c>
      <c r="R577" s="89">
        <f t="shared" si="19"/>
        <v>1.0000218354914077</v>
      </c>
      <c r="S577" s="101" t="s">
        <v>1319</v>
      </c>
      <c r="T577" s="234"/>
    </row>
    <row r="578" spans="1:20" ht="57.6" x14ac:dyDescent="0.3">
      <c r="A578" s="96">
        <f t="shared" si="20"/>
        <v>575</v>
      </c>
      <c r="B578" s="170" t="s">
        <v>80</v>
      </c>
      <c r="C578" s="132">
        <v>45797</v>
      </c>
      <c r="D578" s="331"/>
      <c r="E578" s="271" t="s">
        <v>2773</v>
      </c>
      <c r="F578" s="179" t="s">
        <v>1314</v>
      </c>
      <c r="G578" s="125" t="s">
        <v>10</v>
      </c>
      <c r="H578" s="106">
        <v>45797</v>
      </c>
      <c r="I578" s="137"/>
      <c r="J578" s="102" t="s">
        <v>99</v>
      </c>
      <c r="K578" s="27"/>
      <c r="L578" s="50"/>
      <c r="M578" s="51"/>
      <c r="N578" s="29"/>
      <c r="O578" s="30"/>
      <c r="P578" s="54"/>
      <c r="Q578" s="83">
        <v>45798</v>
      </c>
      <c r="R578" s="89">
        <f t="shared" si="19"/>
        <v>1.0000218354914077</v>
      </c>
      <c r="S578" s="101" t="s">
        <v>1319</v>
      </c>
      <c r="T578" s="234"/>
    </row>
    <row r="579" spans="1:20" ht="57.6" x14ac:dyDescent="0.3">
      <c r="A579" s="96">
        <f t="shared" si="20"/>
        <v>576</v>
      </c>
      <c r="B579" s="170">
        <v>1550</v>
      </c>
      <c r="C579" s="132">
        <v>45797</v>
      </c>
      <c r="D579" s="331"/>
      <c r="E579" s="271" t="s">
        <v>2774</v>
      </c>
      <c r="F579" s="179" t="s">
        <v>1314</v>
      </c>
      <c r="G579" s="125" t="s">
        <v>6</v>
      </c>
      <c r="H579" s="106">
        <v>45797</v>
      </c>
      <c r="I579" s="137"/>
      <c r="J579" s="102" t="s">
        <v>99</v>
      </c>
      <c r="K579" s="27"/>
      <c r="L579" s="50"/>
      <c r="M579" s="51"/>
      <c r="N579" s="29"/>
      <c r="O579" s="30"/>
      <c r="P579" s="54"/>
      <c r="Q579" s="83">
        <v>45798</v>
      </c>
      <c r="R579" s="89">
        <f t="shared" si="19"/>
        <v>1.0000218354914077</v>
      </c>
      <c r="S579" s="101" t="s">
        <v>1927</v>
      </c>
      <c r="T579" s="234"/>
    </row>
    <row r="580" spans="1:20" ht="57.6" x14ac:dyDescent="0.3">
      <c r="A580" s="96">
        <f t="shared" si="20"/>
        <v>577</v>
      </c>
      <c r="B580" s="170">
        <v>1550</v>
      </c>
      <c r="C580" s="132">
        <v>45797</v>
      </c>
      <c r="D580" s="331"/>
      <c r="E580" s="271" t="s">
        <v>2775</v>
      </c>
      <c r="F580" s="179" t="s">
        <v>1314</v>
      </c>
      <c r="G580" s="125" t="s">
        <v>6</v>
      </c>
      <c r="H580" s="106">
        <v>45797</v>
      </c>
      <c r="I580" s="137"/>
      <c r="J580" s="102" t="s">
        <v>99</v>
      </c>
      <c r="K580" s="27"/>
      <c r="L580" s="50"/>
      <c r="M580" s="51"/>
      <c r="N580" s="29"/>
      <c r="O580" s="30"/>
      <c r="P580" s="54"/>
      <c r="Q580" s="83">
        <v>45799</v>
      </c>
      <c r="R580" s="89">
        <f t="shared" ref="R580:R643" si="21">Q580/H580</f>
        <v>1.0000436709828155</v>
      </c>
      <c r="S580" s="101" t="s">
        <v>1811</v>
      </c>
      <c r="T580" s="234"/>
    </row>
    <row r="581" spans="1:20" ht="57.6" x14ac:dyDescent="0.3">
      <c r="A581" s="96">
        <f t="shared" si="20"/>
        <v>578</v>
      </c>
      <c r="B581" s="170">
        <v>1550</v>
      </c>
      <c r="C581" s="132">
        <v>45797</v>
      </c>
      <c r="D581" s="331"/>
      <c r="E581" s="271" t="s">
        <v>2776</v>
      </c>
      <c r="F581" s="179" t="s">
        <v>1314</v>
      </c>
      <c r="G581" s="125" t="s">
        <v>6</v>
      </c>
      <c r="H581" s="106">
        <v>45797</v>
      </c>
      <c r="I581" s="137"/>
      <c r="J581" s="102" t="s">
        <v>99</v>
      </c>
      <c r="K581" s="27"/>
      <c r="L581" s="50"/>
      <c r="M581" s="51"/>
      <c r="N581" s="29"/>
      <c r="O581" s="30"/>
      <c r="P581" s="54"/>
      <c r="Q581" s="83">
        <v>45798</v>
      </c>
      <c r="R581" s="89">
        <f t="shared" si="21"/>
        <v>1.0000218354914077</v>
      </c>
      <c r="S581" s="101" t="s">
        <v>1936</v>
      </c>
      <c r="T581" s="234"/>
    </row>
    <row r="582" spans="1:20" ht="86.4" x14ac:dyDescent="0.3">
      <c r="A582" s="96">
        <f t="shared" si="20"/>
        <v>579</v>
      </c>
      <c r="B582" s="170">
        <v>1550</v>
      </c>
      <c r="C582" s="132">
        <v>45797</v>
      </c>
      <c r="D582" s="331">
        <v>120406772</v>
      </c>
      <c r="E582" s="271" t="s">
        <v>2777</v>
      </c>
      <c r="F582" s="179" t="s">
        <v>1</v>
      </c>
      <c r="G582" s="125" t="s">
        <v>6</v>
      </c>
      <c r="H582" s="106">
        <v>45797</v>
      </c>
      <c r="I582" s="137"/>
      <c r="J582" s="102" t="s">
        <v>2367</v>
      </c>
      <c r="K582" s="27"/>
      <c r="L582" s="50"/>
      <c r="M582" s="51"/>
      <c r="N582" s="29"/>
      <c r="O582" s="30"/>
      <c r="P582" s="54"/>
      <c r="Q582" s="83">
        <v>45798</v>
      </c>
      <c r="R582" s="89">
        <f t="shared" si="21"/>
        <v>1.0000218354914077</v>
      </c>
      <c r="S582" s="101" t="s">
        <v>1813</v>
      </c>
      <c r="T582" s="234"/>
    </row>
    <row r="583" spans="1:20" ht="43.2" x14ac:dyDescent="0.3">
      <c r="A583" s="96">
        <f t="shared" si="20"/>
        <v>580</v>
      </c>
      <c r="B583" s="170" t="s">
        <v>80</v>
      </c>
      <c r="C583" s="132">
        <v>45797</v>
      </c>
      <c r="D583" s="331">
        <v>36772399</v>
      </c>
      <c r="E583" s="271" t="s">
        <v>2778</v>
      </c>
      <c r="F583" s="179" t="s">
        <v>23</v>
      </c>
      <c r="G583" s="125" t="s">
        <v>10</v>
      </c>
      <c r="H583" s="106">
        <v>45797</v>
      </c>
      <c r="I583" s="137"/>
      <c r="J583" s="102" t="s">
        <v>135</v>
      </c>
      <c r="K583" s="27"/>
      <c r="L583" s="50"/>
      <c r="M583" s="51"/>
      <c r="N583" s="29"/>
      <c r="O583" s="30"/>
      <c r="P583" s="54"/>
      <c r="Q583" s="83">
        <v>45799</v>
      </c>
      <c r="R583" s="89">
        <f t="shared" si="21"/>
        <v>1.0000436709828155</v>
      </c>
      <c r="S583" s="101" t="s">
        <v>1366</v>
      </c>
      <c r="T583" s="234"/>
    </row>
    <row r="584" spans="1:20" ht="72" x14ac:dyDescent="0.3">
      <c r="A584" s="96">
        <f t="shared" si="20"/>
        <v>581</v>
      </c>
      <c r="B584" s="170">
        <v>1550</v>
      </c>
      <c r="C584" s="132">
        <v>45798</v>
      </c>
      <c r="D584" s="331"/>
      <c r="E584" s="271" t="s">
        <v>2779</v>
      </c>
      <c r="F584" s="179" t="s">
        <v>1314</v>
      </c>
      <c r="G584" s="125" t="s">
        <v>8</v>
      </c>
      <c r="H584" s="106">
        <v>45798</v>
      </c>
      <c r="I584" s="137"/>
      <c r="J584" s="102" t="s">
        <v>99</v>
      </c>
      <c r="K584" s="27"/>
      <c r="L584" s="50"/>
      <c r="M584" s="51"/>
      <c r="N584" s="29"/>
      <c r="O584" s="30"/>
      <c r="P584" s="54"/>
      <c r="Q584" s="83">
        <v>45804</v>
      </c>
      <c r="R584" s="89">
        <f t="shared" si="21"/>
        <v>1.0001310100877767</v>
      </c>
      <c r="S584" s="101" t="s">
        <v>528</v>
      </c>
      <c r="T584" s="234"/>
    </row>
    <row r="585" spans="1:20" ht="72" x14ac:dyDescent="0.3">
      <c r="A585" s="96">
        <f t="shared" si="20"/>
        <v>582</v>
      </c>
      <c r="B585" s="170">
        <v>1550</v>
      </c>
      <c r="C585" s="132">
        <v>45798</v>
      </c>
      <c r="D585" s="331"/>
      <c r="E585" s="271" t="s">
        <v>2780</v>
      </c>
      <c r="F585" s="179" t="s">
        <v>1314</v>
      </c>
      <c r="G585" s="125" t="s">
        <v>8</v>
      </c>
      <c r="H585" s="106">
        <v>45798</v>
      </c>
      <c r="I585" s="137"/>
      <c r="J585" s="102" t="s">
        <v>99</v>
      </c>
      <c r="K585" s="27"/>
      <c r="L585" s="50"/>
      <c r="M585" s="51"/>
      <c r="N585" s="29"/>
      <c r="O585" s="30"/>
      <c r="P585" s="54"/>
      <c r="Q585" s="83">
        <v>45804</v>
      </c>
      <c r="R585" s="89">
        <f t="shared" si="21"/>
        <v>1.0001310100877767</v>
      </c>
      <c r="S585" s="101" t="s">
        <v>528</v>
      </c>
      <c r="T585" s="234"/>
    </row>
    <row r="586" spans="1:20" ht="72" x14ac:dyDescent="0.3">
      <c r="A586" s="96">
        <f t="shared" si="20"/>
        <v>583</v>
      </c>
      <c r="B586" s="170">
        <v>1550</v>
      </c>
      <c r="C586" s="132">
        <v>45798</v>
      </c>
      <c r="D586" s="331"/>
      <c r="E586" s="271" t="s">
        <v>2781</v>
      </c>
      <c r="F586" s="179" t="s">
        <v>1314</v>
      </c>
      <c r="G586" s="125" t="s">
        <v>8</v>
      </c>
      <c r="H586" s="106">
        <v>45798</v>
      </c>
      <c r="I586" s="137"/>
      <c r="J586" s="102" t="s">
        <v>99</v>
      </c>
      <c r="K586" s="27"/>
      <c r="L586" s="50"/>
      <c r="M586" s="51"/>
      <c r="N586" s="29"/>
      <c r="O586" s="30"/>
      <c r="P586" s="54"/>
      <c r="Q586" s="83">
        <v>45804</v>
      </c>
      <c r="R586" s="89">
        <f t="shared" si="21"/>
        <v>1.0001310100877767</v>
      </c>
      <c r="S586" s="101" t="s">
        <v>758</v>
      </c>
      <c r="T586" s="234"/>
    </row>
    <row r="587" spans="1:20" ht="57.6" x14ac:dyDescent="0.3">
      <c r="A587" s="96">
        <f t="shared" si="20"/>
        <v>584</v>
      </c>
      <c r="B587" s="170">
        <v>1550</v>
      </c>
      <c r="C587" s="132">
        <v>45798</v>
      </c>
      <c r="D587" s="367"/>
      <c r="E587" s="467" t="s">
        <v>2782</v>
      </c>
      <c r="F587" s="283" t="s">
        <v>1314</v>
      </c>
      <c r="G587" s="125" t="s">
        <v>6</v>
      </c>
      <c r="H587" s="106">
        <v>45798</v>
      </c>
      <c r="I587" s="137"/>
      <c r="J587" s="102" t="s">
        <v>99</v>
      </c>
      <c r="K587" s="27"/>
      <c r="L587" s="50"/>
      <c r="M587" s="51"/>
      <c r="N587" s="29"/>
      <c r="O587" s="30"/>
      <c r="P587" s="54"/>
      <c r="Q587" s="83">
        <v>45799</v>
      </c>
      <c r="R587" s="89">
        <f t="shared" si="21"/>
        <v>1.0000218350146295</v>
      </c>
      <c r="S587" s="101" t="s">
        <v>1936</v>
      </c>
      <c r="T587" s="234"/>
    </row>
    <row r="588" spans="1:20" ht="57.6" x14ac:dyDescent="0.3">
      <c r="A588" s="96">
        <f t="shared" si="20"/>
        <v>585</v>
      </c>
      <c r="B588" s="170">
        <v>1550</v>
      </c>
      <c r="C588" s="132">
        <v>45798</v>
      </c>
      <c r="D588" s="411"/>
      <c r="E588" s="175" t="s">
        <v>2783</v>
      </c>
      <c r="F588" s="111" t="s">
        <v>1314</v>
      </c>
      <c r="G588" s="376" t="s">
        <v>6</v>
      </c>
      <c r="H588" s="106">
        <v>45798</v>
      </c>
      <c r="I588" s="137"/>
      <c r="J588" s="102" t="s">
        <v>99</v>
      </c>
      <c r="K588" s="27"/>
      <c r="L588" s="50"/>
      <c r="M588" s="51"/>
      <c r="N588" s="29"/>
      <c r="O588" s="30"/>
      <c r="P588" s="54"/>
      <c r="Q588" s="83">
        <v>45798</v>
      </c>
      <c r="R588" s="89">
        <f t="shared" si="21"/>
        <v>1</v>
      </c>
      <c r="S588" s="101" t="s">
        <v>1934</v>
      </c>
      <c r="T588" s="234"/>
    </row>
    <row r="589" spans="1:20" ht="57.6" x14ac:dyDescent="0.3">
      <c r="A589" s="96">
        <f t="shared" si="20"/>
        <v>586</v>
      </c>
      <c r="B589" s="170">
        <v>1550</v>
      </c>
      <c r="C589" s="132">
        <v>45798</v>
      </c>
      <c r="D589" s="411"/>
      <c r="E589" s="36" t="s">
        <v>2784</v>
      </c>
      <c r="F589" s="111" t="s">
        <v>1314</v>
      </c>
      <c r="G589" s="376" t="s">
        <v>4</v>
      </c>
      <c r="H589" s="106">
        <v>45798</v>
      </c>
      <c r="I589" s="137"/>
      <c r="J589" s="102" t="s">
        <v>99</v>
      </c>
      <c r="K589" s="27"/>
      <c r="L589" s="50"/>
      <c r="M589" s="51"/>
      <c r="N589" s="29"/>
      <c r="O589" s="30"/>
      <c r="P589" s="54"/>
      <c r="Q589" s="83">
        <v>45799</v>
      </c>
      <c r="R589" s="89">
        <f t="shared" si="21"/>
        <v>1.0000218350146295</v>
      </c>
      <c r="S589" s="101"/>
      <c r="T589" s="234"/>
    </row>
    <row r="590" spans="1:20" ht="43.2" x14ac:dyDescent="0.3">
      <c r="A590" s="96">
        <f t="shared" si="20"/>
        <v>587</v>
      </c>
      <c r="B590" s="170">
        <v>1550</v>
      </c>
      <c r="C590" s="132">
        <v>45798</v>
      </c>
      <c r="D590" s="331">
        <v>66580617</v>
      </c>
      <c r="E590" s="452" t="s">
        <v>2785</v>
      </c>
      <c r="F590" s="466" t="s">
        <v>24</v>
      </c>
      <c r="G590" s="125" t="s">
        <v>8</v>
      </c>
      <c r="H590" s="106">
        <v>45798</v>
      </c>
      <c r="I590" s="137"/>
      <c r="J590" s="102" t="s">
        <v>253</v>
      </c>
      <c r="K590" s="27"/>
      <c r="L590" s="50"/>
      <c r="M590" s="51"/>
      <c r="N590" s="29"/>
      <c r="O590" s="30"/>
      <c r="P590" s="54"/>
      <c r="Q590" s="83">
        <v>45798</v>
      </c>
      <c r="R590" s="89">
        <f t="shared" si="21"/>
        <v>1</v>
      </c>
      <c r="S590" s="101" t="s">
        <v>758</v>
      </c>
      <c r="T590" s="234"/>
    </row>
    <row r="591" spans="1:20" ht="72" x14ac:dyDescent="0.3">
      <c r="A591" s="96">
        <f t="shared" si="20"/>
        <v>588</v>
      </c>
      <c r="B591" s="170">
        <v>1550</v>
      </c>
      <c r="C591" s="449">
        <v>45798</v>
      </c>
      <c r="D591" s="367"/>
      <c r="E591" s="467" t="s">
        <v>2786</v>
      </c>
      <c r="F591" s="283" t="s">
        <v>1314</v>
      </c>
      <c r="G591" s="456" t="s">
        <v>8</v>
      </c>
      <c r="H591" s="106">
        <v>45798</v>
      </c>
      <c r="I591" s="137"/>
      <c r="J591" s="102" t="s">
        <v>99</v>
      </c>
      <c r="K591" s="27"/>
      <c r="L591" s="50"/>
      <c r="M591" s="51"/>
      <c r="N591" s="29"/>
      <c r="O591" s="30"/>
      <c r="P591" s="54"/>
      <c r="Q591" s="83">
        <v>45799</v>
      </c>
      <c r="R591" s="89">
        <f t="shared" si="21"/>
        <v>1.0000218350146295</v>
      </c>
      <c r="S591" s="101" t="s">
        <v>2712</v>
      </c>
      <c r="T591" s="234"/>
    </row>
    <row r="592" spans="1:20" ht="72" x14ac:dyDescent="0.3">
      <c r="A592" s="96">
        <f t="shared" si="20"/>
        <v>589</v>
      </c>
      <c r="B592" s="464">
        <v>1550</v>
      </c>
      <c r="C592" s="124">
        <v>45798</v>
      </c>
      <c r="D592" s="411"/>
      <c r="E592" s="175" t="s">
        <v>2787</v>
      </c>
      <c r="F592" s="111" t="s">
        <v>1314</v>
      </c>
      <c r="G592" s="125" t="s">
        <v>8</v>
      </c>
      <c r="H592" s="106">
        <v>45798</v>
      </c>
      <c r="I592" s="137"/>
      <c r="J592" s="102" t="s">
        <v>99</v>
      </c>
      <c r="K592" s="27"/>
      <c r="L592" s="50"/>
      <c r="M592" s="51"/>
      <c r="N592" s="29"/>
      <c r="O592" s="30"/>
      <c r="P592" s="54"/>
      <c r="Q592" s="83">
        <v>45799</v>
      </c>
      <c r="R592" s="89">
        <f t="shared" si="21"/>
        <v>1.0000218350146295</v>
      </c>
      <c r="S592" s="101" t="s">
        <v>2712</v>
      </c>
      <c r="T592" s="234"/>
    </row>
    <row r="593" spans="1:20" ht="57.6" x14ac:dyDescent="0.3">
      <c r="A593" s="96">
        <f t="shared" si="20"/>
        <v>590</v>
      </c>
      <c r="B593" s="464">
        <v>1550</v>
      </c>
      <c r="C593" s="124">
        <v>45798</v>
      </c>
      <c r="D593" s="411"/>
      <c r="E593" s="36" t="s">
        <v>2788</v>
      </c>
      <c r="F593" s="111" t="s">
        <v>1314</v>
      </c>
      <c r="G593" s="125" t="s">
        <v>4</v>
      </c>
      <c r="H593" s="106">
        <v>45798</v>
      </c>
      <c r="I593" s="137"/>
      <c r="J593" s="102" t="s">
        <v>99</v>
      </c>
      <c r="K593" s="27"/>
      <c r="L593" s="50"/>
      <c r="M593" s="51"/>
      <c r="N593" s="29"/>
      <c r="O593" s="30"/>
      <c r="P593" s="54"/>
      <c r="Q593" s="83">
        <v>45799</v>
      </c>
      <c r="R593" s="89">
        <f t="shared" si="21"/>
        <v>1.0000218350146295</v>
      </c>
      <c r="S593" s="101"/>
      <c r="T593" s="234"/>
    </row>
    <row r="594" spans="1:20" ht="57.6" x14ac:dyDescent="0.3">
      <c r="A594" s="96">
        <f t="shared" si="20"/>
        <v>591</v>
      </c>
      <c r="B594" s="464">
        <v>1550</v>
      </c>
      <c r="C594" s="124">
        <v>45798</v>
      </c>
      <c r="D594" s="411"/>
      <c r="E594" s="36" t="s">
        <v>2789</v>
      </c>
      <c r="F594" s="111" t="s">
        <v>1314</v>
      </c>
      <c r="G594" s="125" t="s">
        <v>4</v>
      </c>
      <c r="H594" s="106">
        <v>45798</v>
      </c>
      <c r="I594" s="137"/>
      <c r="J594" s="102" t="s">
        <v>99</v>
      </c>
      <c r="K594" s="27"/>
      <c r="L594" s="50"/>
      <c r="M594" s="51"/>
      <c r="N594" s="29"/>
      <c r="O594" s="30"/>
      <c r="P594" s="54"/>
      <c r="Q594" s="83">
        <v>45799</v>
      </c>
      <c r="R594" s="89">
        <f t="shared" si="21"/>
        <v>1.0000218350146295</v>
      </c>
      <c r="S594" s="101"/>
      <c r="T594" s="234"/>
    </row>
    <row r="595" spans="1:20" ht="28.8" x14ac:dyDescent="0.3">
      <c r="A595" s="96">
        <f t="shared" si="20"/>
        <v>592</v>
      </c>
      <c r="B595" s="464">
        <v>1550</v>
      </c>
      <c r="C595" s="124">
        <v>45798</v>
      </c>
      <c r="D595" s="411">
        <v>72020628</v>
      </c>
      <c r="E595" s="175" t="s">
        <v>2790</v>
      </c>
      <c r="F595" s="111" t="s">
        <v>31</v>
      </c>
      <c r="G595" s="125" t="s">
        <v>8</v>
      </c>
      <c r="H595" s="106">
        <v>45798</v>
      </c>
      <c r="I595" s="137"/>
      <c r="J595" s="102" t="s">
        <v>31</v>
      </c>
      <c r="K595" s="27"/>
      <c r="L595" s="50"/>
      <c r="M595" s="51"/>
      <c r="N595" s="29"/>
      <c r="O595" s="30"/>
      <c r="P595" s="54"/>
      <c r="Q595" s="83">
        <v>45800</v>
      </c>
      <c r="R595" s="89">
        <f t="shared" si="21"/>
        <v>1.000043670029259</v>
      </c>
      <c r="S595" s="101" t="s">
        <v>205</v>
      </c>
      <c r="T595" s="234"/>
    </row>
    <row r="596" spans="1:20" ht="43.2" x14ac:dyDescent="0.3">
      <c r="A596" s="96">
        <f t="shared" si="20"/>
        <v>593</v>
      </c>
      <c r="B596" s="170">
        <v>1550</v>
      </c>
      <c r="C596" s="132">
        <v>45798</v>
      </c>
      <c r="D596" s="331">
        <v>120168529</v>
      </c>
      <c r="E596" s="452" t="s">
        <v>2791</v>
      </c>
      <c r="F596" s="466" t="s">
        <v>15</v>
      </c>
      <c r="G596" s="461" t="s">
        <v>8</v>
      </c>
      <c r="H596" s="106">
        <v>45798</v>
      </c>
      <c r="I596" s="137"/>
      <c r="J596" s="102" t="s">
        <v>99</v>
      </c>
      <c r="K596" s="27"/>
      <c r="L596" s="50"/>
      <c r="M596" s="51"/>
      <c r="N596" s="29"/>
      <c r="O596" s="30"/>
      <c r="P596" s="54"/>
      <c r="Q596" s="83">
        <v>45800</v>
      </c>
      <c r="R596" s="89">
        <f t="shared" si="21"/>
        <v>1.000043670029259</v>
      </c>
      <c r="S596" s="101" t="s">
        <v>151</v>
      </c>
      <c r="T596" s="234"/>
    </row>
    <row r="597" spans="1:20" ht="72" x14ac:dyDescent="0.3">
      <c r="A597" s="96">
        <f t="shared" si="20"/>
        <v>594</v>
      </c>
      <c r="B597" s="170">
        <v>1550</v>
      </c>
      <c r="C597" s="132">
        <v>45798</v>
      </c>
      <c r="D597" s="331"/>
      <c r="E597" s="271" t="s">
        <v>2792</v>
      </c>
      <c r="F597" s="179" t="s">
        <v>1314</v>
      </c>
      <c r="G597" s="125" t="s">
        <v>8</v>
      </c>
      <c r="H597" s="106">
        <v>45798</v>
      </c>
      <c r="I597" s="137"/>
      <c r="J597" s="102" t="s">
        <v>99</v>
      </c>
      <c r="K597" s="27"/>
      <c r="L597" s="50"/>
      <c r="M597" s="51"/>
      <c r="N597" s="29"/>
      <c r="O597" s="30"/>
      <c r="P597" s="54"/>
      <c r="Q597" s="83">
        <v>45799</v>
      </c>
      <c r="R597" s="89">
        <f t="shared" si="21"/>
        <v>1.0000218350146295</v>
      </c>
      <c r="S597" s="101" t="s">
        <v>2712</v>
      </c>
      <c r="T597" s="234"/>
    </row>
    <row r="598" spans="1:20" ht="72" x14ac:dyDescent="0.3">
      <c r="A598" s="96">
        <f t="shared" si="20"/>
        <v>595</v>
      </c>
      <c r="B598" s="170" t="s">
        <v>301</v>
      </c>
      <c r="C598" s="132">
        <v>45798</v>
      </c>
      <c r="D598" s="331"/>
      <c r="E598" s="271" t="s">
        <v>2793</v>
      </c>
      <c r="F598" s="179" t="s">
        <v>1314</v>
      </c>
      <c r="G598" s="125" t="s">
        <v>8</v>
      </c>
      <c r="H598" s="106">
        <v>45798</v>
      </c>
      <c r="I598" s="137"/>
      <c r="J598" s="102" t="s">
        <v>99</v>
      </c>
      <c r="K598" s="27"/>
      <c r="L598" s="50"/>
      <c r="M598" s="51"/>
      <c r="N598" s="29"/>
      <c r="O598" s="30"/>
      <c r="P598" s="54"/>
      <c r="Q598" s="83">
        <v>45799</v>
      </c>
      <c r="R598" s="89">
        <f t="shared" si="21"/>
        <v>1.0000218350146295</v>
      </c>
      <c r="S598" s="101" t="s">
        <v>1916</v>
      </c>
      <c r="T598" s="234"/>
    </row>
    <row r="599" spans="1:20" ht="57.6" x14ac:dyDescent="0.3">
      <c r="A599" s="96">
        <f t="shared" si="20"/>
        <v>596</v>
      </c>
      <c r="B599" s="170">
        <v>1550</v>
      </c>
      <c r="C599" s="132">
        <v>45798</v>
      </c>
      <c r="D599" s="331"/>
      <c r="E599" s="271" t="s">
        <v>2794</v>
      </c>
      <c r="F599" s="179" t="s">
        <v>1314</v>
      </c>
      <c r="G599" s="125" t="s">
        <v>6</v>
      </c>
      <c r="H599" s="106">
        <v>45798</v>
      </c>
      <c r="I599" s="137"/>
      <c r="J599" s="102" t="s">
        <v>99</v>
      </c>
      <c r="K599" s="27"/>
      <c r="L599" s="50"/>
      <c r="M599" s="51"/>
      <c r="N599" s="29"/>
      <c r="O599" s="30"/>
      <c r="P599" s="54"/>
      <c r="Q599" s="83">
        <v>45799</v>
      </c>
      <c r="R599" s="89">
        <f t="shared" si="21"/>
        <v>1.0000218350146295</v>
      </c>
      <c r="S599" s="101" t="s">
        <v>1936</v>
      </c>
      <c r="T599" s="234"/>
    </row>
    <row r="600" spans="1:20" ht="57.6" x14ac:dyDescent="0.3">
      <c r="A600" s="96">
        <f t="shared" si="20"/>
        <v>597</v>
      </c>
      <c r="B600" s="170" t="s">
        <v>301</v>
      </c>
      <c r="C600" s="132">
        <v>45798</v>
      </c>
      <c r="D600" s="331"/>
      <c r="E600" s="271" t="s">
        <v>2795</v>
      </c>
      <c r="F600" s="179" t="s">
        <v>1314</v>
      </c>
      <c r="G600" s="125" t="s">
        <v>6</v>
      </c>
      <c r="H600" s="106">
        <v>45798</v>
      </c>
      <c r="I600" s="137"/>
      <c r="J600" s="102" t="s">
        <v>99</v>
      </c>
      <c r="K600" s="27"/>
      <c r="L600" s="50"/>
      <c r="M600" s="51"/>
      <c r="N600" s="29"/>
      <c r="O600" s="30"/>
      <c r="P600" s="54"/>
      <c r="Q600" s="83">
        <v>45799</v>
      </c>
      <c r="R600" s="89">
        <f t="shared" si="21"/>
        <v>1.0000218350146295</v>
      </c>
      <c r="S600" s="101" t="s">
        <v>1860</v>
      </c>
      <c r="T600" s="234"/>
    </row>
    <row r="601" spans="1:20" ht="72" x14ac:dyDescent="0.3">
      <c r="A601" s="96">
        <f t="shared" si="20"/>
        <v>598</v>
      </c>
      <c r="B601" s="170" t="s">
        <v>301</v>
      </c>
      <c r="C601" s="132">
        <v>45798</v>
      </c>
      <c r="D601" s="331">
        <v>74613863</v>
      </c>
      <c r="E601" s="271" t="s">
        <v>2796</v>
      </c>
      <c r="F601" s="179" t="s">
        <v>39</v>
      </c>
      <c r="G601" s="125" t="s">
        <v>6</v>
      </c>
      <c r="H601" s="106">
        <v>45798</v>
      </c>
      <c r="I601" s="137"/>
      <c r="J601" s="102" t="s">
        <v>22</v>
      </c>
      <c r="K601" s="27"/>
      <c r="L601" s="50"/>
      <c r="M601" s="51"/>
      <c r="N601" s="29"/>
      <c r="O601" s="30"/>
      <c r="P601" s="54"/>
      <c r="Q601" s="83">
        <v>45799</v>
      </c>
      <c r="R601" s="89">
        <f t="shared" si="21"/>
        <v>1.0000218350146295</v>
      </c>
      <c r="S601" s="101" t="s">
        <v>1860</v>
      </c>
      <c r="T601" s="234"/>
    </row>
    <row r="602" spans="1:20" ht="57.6" x14ac:dyDescent="0.3">
      <c r="A602" s="96">
        <f t="shared" si="20"/>
        <v>599</v>
      </c>
      <c r="B602" s="170">
        <v>1550</v>
      </c>
      <c r="C602" s="132">
        <v>45798</v>
      </c>
      <c r="D602" s="331">
        <v>120527308</v>
      </c>
      <c r="E602" s="271" t="s">
        <v>2797</v>
      </c>
      <c r="F602" s="179" t="s">
        <v>23</v>
      </c>
      <c r="G602" s="125" t="s">
        <v>8</v>
      </c>
      <c r="H602" s="106">
        <v>45798</v>
      </c>
      <c r="I602" s="137"/>
      <c r="J602" s="102" t="s">
        <v>135</v>
      </c>
      <c r="K602" s="27"/>
      <c r="L602" s="50"/>
      <c r="M602" s="51"/>
      <c r="N602" s="29"/>
      <c r="O602" s="30"/>
      <c r="P602" s="54"/>
      <c r="Q602" s="83">
        <v>45799</v>
      </c>
      <c r="R602" s="89">
        <f t="shared" si="21"/>
        <v>1.0000218350146295</v>
      </c>
      <c r="S602" s="101" t="s">
        <v>151</v>
      </c>
      <c r="T602" s="234"/>
    </row>
    <row r="603" spans="1:20" ht="72" x14ac:dyDescent="0.3">
      <c r="A603" s="96">
        <f t="shared" si="20"/>
        <v>600</v>
      </c>
      <c r="B603" s="170">
        <v>1550</v>
      </c>
      <c r="C603" s="132">
        <v>45798</v>
      </c>
      <c r="D603" s="331">
        <v>78554152</v>
      </c>
      <c r="E603" s="271" t="s">
        <v>2798</v>
      </c>
      <c r="F603" s="179" t="s">
        <v>7</v>
      </c>
      <c r="G603" s="125" t="s">
        <v>6</v>
      </c>
      <c r="H603" s="106">
        <v>45798</v>
      </c>
      <c r="I603" s="137"/>
      <c r="J603" s="102" t="s">
        <v>2513</v>
      </c>
      <c r="K603" s="27"/>
      <c r="L603" s="50"/>
      <c r="M603" s="51"/>
      <c r="N603" s="29"/>
      <c r="O603" s="30"/>
      <c r="P603" s="54"/>
      <c r="Q603" s="83">
        <v>45799</v>
      </c>
      <c r="R603" s="89">
        <f t="shared" si="21"/>
        <v>1.0000218350146295</v>
      </c>
      <c r="S603" s="101" t="s">
        <v>1813</v>
      </c>
      <c r="T603" s="234"/>
    </row>
    <row r="604" spans="1:20" ht="100.8" x14ac:dyDescent="0.3">
      <c r="A604" s="96">
        <f t="shared" si="20"/>
        <v>601</v>
      </c>
      <c r="B604" s="170">
        <v>1550</v>
      </c>
      <c r="C604" s="132">
        <v>45798</v>
      </c>
      <c r="D604" s="331">
        <v>22820914</v>
      </c>
      <c r="E604" s="271" t="s">
        <v>2799</v>
      </c>
      <c r="F604" s="179" t="s">
        <v>1</v>
      </c>
      <c r="G604" s="125" t="s">
        <v>6</v>
      </c>
      <c r="H604" s="106">
        <v>45798</v>
      </c>
      <c r="I604" s="137"/>
      <c r="J604" s="102" t="s">
        <v>2367</v>
      </c>
      <c r="K604" s="27"/>
      <c r="L604" s="50"/>
      <c r="M604" s="51"/>
      <c r="N604" s="29"/>
      <c r="O604" s="30"/>
      <c r="P604" s="54"/>
      <c r="Q604" s="83">
        <v>45798</v>
      </c>
      <c r="R604" s="89">
        <f t="shared" si="21"/>
        <v>1</v>
      </c>
      <c r="S604" s="101" t="s">
        <v>1927</v>
      </c>
      <c r="T604" s="234"/>
    </row>
    <row r="605" spans="1:20" ht="57.6" x14ac:dyDescent="0.3">
      <c r="A605" s="96">
        <f t="shared" si="20"/>
        <v>602</v>
      </c>
      <c r="B605" s="170">
        <v>1550</v>
      </c>
      <c r="C605" s="132">
        <v>45798</v>
      </c>
      <c r="D605" s="331"/>
      <c r="E605" s="271" t="s">
        <v>2800</v>
      </c>
      <c r="F605" s="179" t="s">
        <v>1314</v>
      </c>
      <c r="G605" s="125" t="s">
        <v>6</v>
      </c>
      <c r="H605" s="106">
        <v>45798</v>
      </c>
      <c r="I605" s="137"/>
      <c r="J605" s="102" t="s">
        <v>99</v>
      </c>
      <c r="K605" s="27"/>
      <c r="L605" s="50"/>
      <c r="M605" s="51"/>
      <c r="N605" s="29"/>
      <c r="O605" s="30"/>
      <c r="P605" s="54"/>
      <c r="Q605" s="83">
        <v>45799</v>
      </c>
      <c r="R605" s="89">
        <f t="shared" si="21"/>
        <v>1.0000218350146295</v>
      </c>
      <c r="S605" s="101" t="s">
        <v>1934</v>
      </c>
      <c r="T605" s="234"/>
    </row>
    <row r="606" spans="1:20" ht="57.6" x14ac:dyDescent="0.3">
      <c r="A606" s="96">
        <f t="shared" si="20"/>
        <v>603</v>
      </c>
      <c r="B606" s="170">
        <v>1550</v>
      </c>
      <c r="C606" s="132">
        <v>45798</v>
      </c>
      <c r="D606" s="331"/>
      <c r="E606" s="271" t="s">
        <v>2751</v>
      </c>
      <c r="F606" s="179" t="s">
        <v>1314</v>
      </c>
      <c r="G606" s="125" t="s">
        <v>6</v>
      </c>
      <c r="H606" s="106">
        <v>45798</v>
      </c>
      <c r="I606" s="137"/>
      <c r="J606" s="102" t="s">
        <v>99</v>
      </c>
      <c r="K606" s="27"/>
      <c r="L606" s="50"/>
      <c r="M606" s="51"/>
      <c r="N606" s="29"/>
      <c r="O606" s="30"/>
      <c r="P606" s="54"/>
      <c r="Q606" s="83">
        <v>45799</v>
      </c>
      <c r="R606" s="89">
        <f t="shared" si="21"/>
        <v>1.0000218350146295</v>
      </c>
      <c r="S606" s="101" t="s">
        <v>1312</v>
      </c>
      <c r="T606" s="234"/>
    </row>
    <row r="607" spans="1:20" ht="57.6" x14ac:dyDescent="0.3">
      <c r="A607" s="96">
        <f t="shared" si="20"/>
        <v>604</v>
      </c>
      <c r="B607" s="170">
        <v>1550</v>
      </c>
      <c r="C607" s="132">
        <v>45798</v>
      </c>
      <c r="D607" s="331"/>
      <c r="E607" s="271" t="s">
        <v>2801</v>
      </c>
      <c r="F607" s="179" t="s">
        <v>1314</v>
      </c>
      <c r="G607" s="125" t="s">
        <v>6</v>
      </c>
      <c r="H607" s="106">
        <v>45798</v>
      </c>
      <c r="I607" s="137"/>
      <c r="J607" s="102" t="s">
        <v>99</v>
      </c>
      <c r="K607" s="27"/>
      <c r="L607" s="50"/>
      <c r="M607" s="51"/>
      <c r="N607" s="29"/>
      <c r="O607" s="30"/>
      <c r="P607" s="54"/>
      <c r="Q607" s="83">
        <v>45799</v>
      </c>
      <c r="R607" s="89">
        <f t="shared" si="21"/>
        <v>1.0000218350146295</v>
      </c>
      <c r="S607" s="101" t="s">
        <v>2597</v>
      </c>
      <c r="T607" s="234"/>
    </row>
    <row r="608" spans="1:20" x14ac:dyDescent="0.3">
      <c r="A608" s="96">
        <f t="shared" si="20"/>
        <v>605</v>
      </c>
      <c r="B608" s="170">
        <v>1550</v>
      </c>
      <c r="C608" s="132">
        <v>45798</v>
      </c>
      <c r="D608" t="s">
        <v>2802</v>
      </c>
      <c r="E608" s="271" t="s">
        <v>2803</v>
      </c>
      <c r="F608" s="179" t="s">
        <v>23</v>
      </c>
      <c r="G608" s="125" t="s">
        <v>4</v>
      </c>
      <c r="H608" s="106">
        <v>45798</v>
      </c>
      <c r="I608" s="137"/>
      <c r="J608" s="102" t="s">
        <v>135</v>
      </c>
      <c r="K608" s="27"/>
      <c r="L608" s="50"/>
      <c r="M608" s="51"/>
      <c r="N608" s="29"/>
      <c r="O608" s="30"/>
      <c r="P608" s="54"/>
      <c r="Q608" s="83">
        <v>45799</v>
      </c>
      <c r="R608" s="89">
        <f t="shared" si="21"/>
        <v>1.0000218350146295</v>
      </c>
      <c r="S608" s="101"/>
      <c r="T608" s="234"/>
    </row>
    <row r="609" spans="1:20" ht="57.6" x14ac:dyDescent="0.3">
      <c r="A609" s="96">
        <f t="shared" si="20"/>
        <v>606</v>
      </c>
      <c r="B609" s="170">
        <v>1550</v>
      </c>
      <c r="C609" s="132">
        <v>45798</v>
      </c>
      <c r="D609" s="331">
        <v>120538555</v>
      </c>
      <c r="E609" s="271" t="s">
        <v>2804</v>
      </c>
      <c r="F609" s="179" t="s">
        <v>23</v>
      </c>
      <c r="G609" s="125" t="s">
        <v>8</v>
      </c>
      <c r="H609" s="106">
        <v>45798</v>
      </c>
      <c r="I609" s="137"/>
      <c r="J609" s="102" t="s">
        <v>135</v>
      </c>
      <c r="K609" s="27"/>
      <c r="L609" s="50"/>
      <c r="M609" s="51"/>
      <c r="N609" s="29"/>
      <c r="O609" s="30"/>
      <c r="P609" s="54"/>
      <c r="Q609" s="83">
        <v>45799</v>
      </c>
      <c r="R609" s="89">
        <f t="shared" si="21"/>
        <v>1.0000218350146295</v>
      </c>
      <c r="S609" s="101" t="s">
        <v>151</v>
      </c>
      <c r="T609" s="234"/>
    </row>
    <row r="610" spans="1:20" ht="86.4" x14ac:dyDescent="0.3">
      <c r="A610" s="96">
        <f t="shared" si="20"/>
        <v>607</v>
      </c>
      <c r="B610" s="170">
        <v>1550</v>
      </c>
      <c r="C610" s="132">
        <v>45798</v>
      </c>
      <c r="D610" s="331">
        <v>82978387</v>
      </c>
      <c r="E610" s="271" t="s">
        <v>2805</v>
      </c>
      <c r="F610" s="179" t="s">
        <v>23</v>
      </c>
      <c r="G610" s="125" t="s">
        <v>8</v>
      </c>
      <c r="H610" s="106">
        <v>45798</v>
      </c>
      <c r="I610" s="137"/>
      <c r="J610" s="102" t="s">
        <v>135</v>
      </c>
      <c r="K610" s="27"/>
      <c r="L610" s="50"/>
      <c r="M610" s="51"/>
      <c r="N610" s="29"/>
      <c r="O610" s="30"/>
      <c r="P610" s="54"/>
      <c r="Q610" s="83">
        <v>45799</v>
      </c>
      <c r="R610" s="89">
        <f t="shared" si="21"/>
        <v>1.0000218350146295</v>
      </c>
      <c r="S610" s="101" t="s">
        <v>1246</v>
      </c>
      <c r="T610" s="234"/>
    </row>
    <row r="611" spans="1:20" ht="43.2" x14ac:dyDescent="0.3">
      <c r="A611" s="96">
        <f t="shared" si="20"/>
        <v>608</v>
      </c>
      <c r="B611" s="170">
        <v>1550</v>
      </c>
      <c r="C611" s="132">
        <v>45798</v>
      </c>
      <c r="D611" s="331"/>
      <c r="E611" t="s">
        <v>2806</v>
      </c>
      <c r="F611" s="179" t="s">
        <v>21</v>
      </c>
      <c r="G611" s="125" t="s">
        <v>4</v>
      </c>
      <c r="H611" s="106">
        <v>45798</v>
      </c>
      <c r="I611" s="137"/>
      <c r="J611" s="102" t="s">
        <v>99</v>
      </c>
      <c r="K611" s="27"/>
      <c r="L611" s="50"/>
      <c r="M611" s="51"/>
      <c r="N611" s="29"/>
      <c r="O611" s="30"/>
      <c r="P611" s="54"/>
      <c r="Q611" s="83">
        <v>45803</v>
      </c>
      <c r="R611" s="89">
        <f t="shared" si="21"/>
        <v>1.0001091750731472</v>
      </c>
      <c r="S611" s="101"/>
      <c r="T611" s="234"/>
    </row>
    <row r="612" spans="1:20" ht="57.6" x14ac:dyDescent="0.3">
      <c r="A612" s="96">
        <f t="shared" si="20"/>
        <v>609</v>
      </c>
      <c r="B612" s="170">
        <v>1550</v>
      </c>
      <c r="C612" s="132">
        <v>45798</v>
      </c>
      <c r="D612" s="331">
        <v>288732502</v>
      </c>
      <c r="E612" s="271" t="s">
        <v>2807</v>
      </c>
      <c r="F612" s="179" t="s">
        <v>23</v>
      </c>
      <c r="G612" s="125" t="s">
        <v>6</v>
      </c>
      <c r="H612" s="106">
        <v>45798</v>
      </c>
      <c r="I612" s="137"/>
      <c r="J612" s="102" t="s">
        <v>135</v>
      </c>
      <c r="K612" s="27"/>
      <c r="L612" s="50"/>
      <c r="M612" s="51"/>
      <c r="N612" s="29"/>
      <c r="O612" s="30"/>
      <c r="P612" s="54"/>
      <c r="Q612" s="83">
        <v>45799</v>
      </c>
      <c r="R612" s="89">
        <f t="shared" si="21"/>
        <v>1.0000218350146295</v>
      </c>
      <c r="S612" s="101" t="s">
        <v>2808</v>
      </c>
      <c r="T612" s="234"/>
    </row>
    <row r="613" spans="1:20" ht="57.6" x14ac:dyDescent="0.3">
      <c r="A613" s="96">
        <f t="shared" si="20"/>
        <v>610</v>
      </c>
      <c r="B613" s="170">
        <v>1550</v>
      </c>
      <c r="C613" s="132">
        <v>45798</v>
      </c>
      <c r="D613" s="331">
        <v>207100926</v>
      </c>
      <c r="E613" s="271" t="s">
        <v>2809</v>
      </c>
      <c r="F613" s="179" t="s">
        <v>23</v>
      </c>
      <c r="G613" s="125" t="s">
        <v>8</v>
      </c>
      <c r="H613" s="106">
        <v>45798</v>
      </c>
      <c r="I613" s="137"/>
      <c r="J613" s="102" t="s">
        <v>135</v>
      </c>
      <c r="K613" s="27"/>
      <c r="L613" s="50"/>
      <c r="M613" s="51"/>
      <c r="N613" s="29"/>
      <c r="O613" s="30"/>
      <c r="P613" s="54"/>
      <c r="Q613" s="83">
        <v>45799</v>
      </c>
      <c r="R613" s="89">
        <f t="shared" si="21"/>
        <v>1.0000218350146295</v>
      </c>
      <c r="S613" s="101" t="s">
        <v>151</v>
      </c>
      <c r="T613" s="234"/>
    </row>
    <row r="614" spans="1:20" ht="244.8" x14ac:dyDescent="0.3">
      <c r="A614" s="96">
        <f t="shared" si="20"/>
        <v>611</v>
      </c>
      <c r="B614" s="170" t="s">
        <v>80</v>
      </c>
      <c r="C614" s="132">
        <v>45798</v>
      </c>
      <c r="D614" s="331">
        <v>34161376</v>
      </c>
      <c r="E614" s="271" t="s">
        <v>2810</v>
      </c>
      <c r="F614" s="179" t="s">
        <v>17</v>
      </c>
      <c r="G614" s="125" t="s">
        <v>10</v>
      </c>
      <c r="H614" s="106">
        <v>45798</v>
      </c>
      <c r="I614" s="137"/>
      <c r="J614" s="100" t="s">
        <v>82</v>
      </c>
      <c r="K614" s="27"/>
      <c r="L614" s="50"/>
      <c r="M614" s="51"/>
      <c r="N614" s="29"/>
      <c r="O614" s="30"/>
      <c r="P614" s="54"/>
      <c r="Q614" s="83">
        <v>45804</v>
      </c>
      <c r="R614" s="89">
        <f t="shared" si="21"/>
        <v>1.0001310100877767</v>
      </c>
      <c r="S614" s="101" t="s">
        <v>1319</v>
      </c>
      <c r="T614" s="234"/>
    </row>
    <row r="615" spans="1:20" ht="57.6" x14ac:dyDescent="0.3">
      <c r="A615" s="96">
        <f t="shared" si="20"/>
        <v>612</v>
      </c>
      <c r="B615" s="170" t="s">
        <v>80</v>
      </c>
      <c r="C615" s="132">
        <v>45798</v>
      </c>
      <c r="D615" s="331"/>
      <c r="E615" s="271" t="s">
        <v>2811</v>
      </c>
      <c r="F615" s="179" t="s">
        <v>1314</v>
      </c>
      <c r="G615" s="125" t="s">
        <v>10</v>
      </c>
      <c r="H615" s="106">
        <v>45798</v>
      </c>
      <c r="I615" s="137"/>
      <c r="J615" s="102" t="s">
        <v>99</v>
      </c>
      <c r="K615" s="27"/>
      <c r="L615" s="50"/>
      <c r="M615" s="51"/>
      <c r="N615" s="29"/>
      <c r="O615" s="30"/>
      <c r="P615" s="54"/>
      <c r="Q615" s="83">
        <v>45799</v>
      </c>
      <c r="R615" s="89">
        <f t="shared" si="21"/>
        <v>1.0000218350146295</v>
      </c>
      <c r="S615" s="101" t="s">
        <v>1319</v>
      </c>
      <c r="T615" s="234"/>
    </row>
    <row r="616" spans="1:20" ht="57.6" x14ac:dyDescent="0.3">
      <c r="A616" s="96">
        <f t="shared" si="20"/>
        <v>613</v>
      </c>
      <c r="B616" s="170" t="s">
        <v>80</v>
      </c>
      <c r="C616" s="132">
        <v>45798</v>
      </c>
      <c r="D616" s="331"/>
      <c r="E616" s="271" t="s">
        <v>2812</v>
      </c>
      <c r="F616" s="179" t="s">
        <v>1314</v>
      </c>
      <c r="G616" s="125" t="s">
        <v>10</v>
      </c>
      <c r="H616" s="106">
        <v>45798</v>
      </c>
      <c r="I616" s="137"/>
      <c r="J616" s="102" t="s">
        <v>99</v>
      </c>
      <c r="K616" s="27"/>
      <c r="L616" s="50"/>
      <c r="M616" s="51"/>
      <c r="N616" s="29"/>
      <c r="O616" s="30"/>
      <c r="P616" s="54"/>
      <c r="Q616" s="83">
        <v>45799</v>
      </c>
      <c r="R616" s="89">
        <f t="shared" si="21"/>
        <v>1.0000218350146295</v>
      </c>
      <c r="S616" s="101" t="s">
        <v>1319</v>
      </c>
      <c r="T616" s="234"/>
    </row>
    <row r="617" spans="1:20" ht="57.6" x14ac:dyDescent="0.3">
      <c r="A617" s="96">
        <f t="shared" si="20"/>
        <v>614</v>
      </c>
      <c r="B617" s="170" t="s">
        <v>80</v>
      </c>
      <c r="C617" s="132">
        <v>45798</v>
      </c>
      <c r="D617" s="331"/>
      <c r="E617" s="271" t="s">
        <v>2813</v>
      </c>
      <c r="F617" s="179" t="s">
        <v>1314</v>
      </c>
      <c r="G617" s="125" t="s">
        <v>10</v>
      </c>
      <c r="H617" s="106">
        <v>45798</v>
      </c>
      <c r="I617" s="137"/>
      <c r="J617" s="102" t="s">
        <v>99</v>
      </c>
      <c r="K617" s="27"/>
      <c r="L617" s="50"/>
      <c r="M617" s="51"/>
      <c r="N617" s="29"/>
      <c r="O617" s="30"/>
      <c r="P617" s="54"/>
      <c r="Q617" s="83">
        <v>45799</v>
      </c>
      <c r="R617" s="89">
        <f t="shared" si="21"/>
        <v>1.0000218350146295</v>
      </c>
      <c r="S617" s="101" t="s">
        <v>1319</v>
      </c>
      <c r="T617" s="234"/>
    </row>
    <row r="618" spans="1:20" ht="57.6" x14ac:dyDescent="0.3">
      <c r="A618" s="96">
        <f t="shared" si="20"/>
        <v>615</v>
      </c>
      <c r="B618" s="170" t="s">
        <v>80</v>
      </c>
      <c r="C618" s="132">
        <v>45798</v>
      </c>
      <c r="D618" s="331"/>
      <c r="E618" s="271" t="s">
        <v>2814</v>
      </c>
      <c r="F618" s="179" t="s">
        <v>1314</v>
      </c>
      <c r="G618" s="125" t="s">
        <v>10</v>
      </c>
      <c r="H618" s="106">
        <v>45798</v>
      </c>
      <c r="I618" s="137"/>
      <c r="J618" s="102" t="s">
        <v>99</v>
      </c>
      <c r="K618" s="27"/>
      <c r="L618" s="50"/>
      <c r="M618" s="51"/>
      <c r="N618" s="29"/>
      <c r="O618" s="30"/>
      <c r="P618" s="54"/>
      <c r="Q618" s="83">
        <v>45799</v>
      </c>
      <c r="R618" s="89">
        <f t="shared" si="21"/>
        <v>1.0000218350146295</v>
      </c>
      <c r="S618" s="101" t="s">
        <v>1319</v>
      </c>
      <c r="T618" s="234"/>
    </row>
    <row r="619" spans="1:20" ht="57.6" x14ac:dyDescent="0.3">
      <c r="A619" s="96">
        <f t="shared" si="20"/>
        <v>616</v>
      </c>
      <c r="B619" s="170" t="s">
        <v>80</v>
      </c>
      <c r="C619" s="132">
        <v>45798</v>
      </c>
      <c r="D619" s="331"/>
      <c r="E619" s="271" t="s">
        <v>2815</v>
      </c>
      <c r="F619" s="179" t="s">
        <v>1314</v>
      </c>
      <c r="G619" s="125" t="s">
        <v>10</v>
      </c>
      <c r="H619" s="106">
        <v>45798</v>
      </c>
      <c r="I619" s="137"/>
      <c r="J619" s="102" t="s">
        <v>99</v>
      </c>
      <c r="K619" s="27"/>
      <c r="L619" s="50"/>
      <c r="M619" s="51"/>
      <c r="N619" s="29"/>
      <c r="O619" s="30"/>
      <c r="P619" s="54"/>
      <c r="Q619" s="83">
        <v>45799</v>
      </c>
      <c r="R619" s="89">
        <f t="shared" si="21"/>
        <v>1.0000218350146295</v>
      </c>
      <c r="S619" s="101" t="s">
        <v>1319</v>
      </c>
      <c r="T619" s="234"/>
    </row>
    <row r="620" spans="1:20" ht="57.6" x14ac:dyDescent="0.3">
      <c r="A620" s="96">
        <f t="shared" si="20"/>
        <v>617</v>
      </c>
      <c r="B620" s="170" t="s">
        <v>80</v>
      </c>
      <c r="C620" s="132">
        <v>45798</v>
      </c>
      <c r="D620" s="331"/>
      <c r="E620" s="271" t="s">
        <v>2816</v>
      </c>
      <c r="F620" s="179" t="s">
        <v>1314</v>
      </c>
      <c r="G620" s="125" t="s">
        <v>10</v>
      </c>
      <c r="H620" s="106">
        <v>45798</v>
      </c>
      <c r="I620" s="137"/>
      <c r="J620" s="102" t="s">
        <v>99</v>
      </c>
      <c r="K620" s="27"/>
      <c r="L620" s="50"/>
      <c r="M620" s="51"/>
      <c r="N620" s="29"/>
      <c r="O620" s="30"/>
      <c r="P620" s="54"/>
      <c r="Q620" s="83">
        <v>45799</v>
      </c>
      <c r="R620" s="89">
        <f t="shared" si="21"/>
        <v>1.0000218350146295</v>
      </c>
      <c r="S620" s="101" t="s">
        <v>1319</v>
      </c>
      <c r="T620" s="234"/>
    </row>
    <row r="621" spans="1:20" ht="72" x14ac:dyDescent="0.3">
      <c r="A621" s="96">
        <f t="shared" si="20"/>
        <v>618</v>
      </c>
      <c r="B621" s="170" t="s">
        <v>80</v>
      </c>
      <c r="C621" s="132">
        <v>45798</v>
      </c>
      <c r="D621" s="331">
        <v>41155580</v>
      </c>
      <c r="E621" s="271" t="s">
        <v>2817</v>
      </c>
      <c r="F621" s="179" t="s">
        <v>23</v>
      </c>
      <c r="G621" s="125" t="s">
        <v>10</v>
      </c>
      <c r="H621" s="106">
        <v>45798</v>
      </c>
      <c r="I621" s="137"/>
      <c r="J621" s="102" t="s">
        <v>135</v>
      </c>
      <c r="K621" s="27"/>
      <c r="L621" s="50"/>
      <c r="M621" s="51"/>
      <c r="N621" s="29"/>
      <c r="O621" s="30"/>
      <c r="P621" s="54"/>
      <c r="Q621" s="83">
        <v>45810</v>
      </c>
      <c r="R621" s="89">
        <f t="shared" si="21"/>
        <v>1.0002620201755534</v>
      </c>
      <c r="S621" s="101" t="s">
        <v>2213</v>
      </c>
      <c r="T621" s="234"/>
    </row>
    <row r="622" spans="1:20" ht="331.2" x14ac:dyDescent="0.3">
      <c r="A622" s="96">
        <f t="shared" si="20"/>
        <v>619</v>
      </c>
      <c r="B622" s="170">
        <v>1550</v>
      </c>
      <c r="C622" s="132">
        <v>45798</v>
      </c>
      <c r="D622" s="331"/>
      <c r="E622" s="271" t="s">
        <v>2818</v>
      </c>
      <c r="F622" s="179" t="s">
        <v>21</v>
      </c>
      <c r="G622" s="125" t="s">
        <v>10</v>
      </c>
      <c r="H622" s="106">
        <v>45798</v>
      </c>
      <c r="I622" s="137"/>
      <c r="J622" s="100" t="s">
        <v>2411</v>
      </c>
      <c r="K622" s="27"/>
      <c r="L622" s="50"/>
      <c r="M622" s="51"/>
      <c r="N622" s="29"/>
      <c r="O622" s="30"/>
      <c r="P622" s="54"/>
      <c r="Q622" s="83">
        <v>45798</v>
      </c>
      <c r="R622" s="89">
        <f t="shared" si="21"/>
        <v>1</v>
      </c>
      <c r="S622" s="101" t="s">
        <v>1806</v>
      </c>
      <c r="T622" s="234"/>
    </row>
    <row r="623" spans="1:20" ht="28.8" x14ac:dyDescent="0.3">
      <c r="A623" s="96">
        <f t="shared" si="20"/>
        <v>620</v>
      </c>
      <c r="B623" s="170">
        <v>1550</v>
      </c>
      <c r="C623" s="132">
        <v>45798</v>
      </c>
      <c r="D623" s="331">
        <v>311756727</v>
      </c>
      <c r="E623" s="271" t="s">
        <v>2819</v>
      </c>
      <c r="F623" s="179" t="s">
        <v>23</v>
      </c>
      <c r="G623" s="125" t="s">
        <v>10</v>
      </c>
      <c r="H623" s="106">
        <v>45798</v>
      </c>
      <c r="I623" s="137"/>
      <c r="J623" s="102" t="s">
        <v>135</v>
      </c>
      <c r="K623" s="27"/>
      <c r="L623" s="50"/>
      <c r="M623" s="51"/>
      <c r="N623" s="29"/>
      <c r="O623" s="30"/>
      <c r="P623" s="54"/>
      <c r="Q623" s="83">
        <v>45799</v>
      </c>
      <c r="R623" s="89">
        <f t="shared" si="21"/>
        <v>1.0000218350146295</v>
      </c>
      <c r="S623" s="101" t="s">
        <v>1806</v>
      </c>
      <c r="T623" s="234"/>
    </row>
    <row r="624" spans="1:20" ht="43.2" x14ac:dyDescent="0.3">
      <c r="A624" s="96">
        <f t="shared" si="20"/>
        <v>621</v>
      </c>
      <c r="B624" s="170" t="s">
        <v>301</v>
      </c>
      <c r="C624" s="132">
        <v>45799</v>
      </c>
      <c r="D624" s="331">
        <v>69278075</v>
      </c>
      <c r="E624" s="271" t="s">
        <v>2820</v>
      </c>
      <c r="F624" s="179" t="s">
        <v>49</v>
      </c>
      <c r="G624" s="125" t="s">
        <v>4</v>
      </c>
      <c r="H624" s="106">
        <v>45799</v>
      </c>
      <c r="I624" s="137"/>
      <c r="J624" s="102" t="s">
        <v>266</v>
      </c>
      <c r="K624" s="27"/>
      <c r="L624" s="50"/>
      <c r="M624" s="51"/>
      <c r="N624" s="29"/>
      <c r="O624" s="30"/>
      <c r="P624" s="54"/>
      <c r="Q624" s="83">
        <v>45799</v>
      </c>
      <c r="R624" s="89">
        <f t="shared" si="21"/>
        <v>1</v>
      </c>
      <c r="S624" s="101"/>
      <c r="T624" s="234"/>
    </row>
    <row r="625" spans="1:20" ht="57.6" x14ac:dyDescent="0.3">
      <c r="A625" s="96">
        <f t="shared" si="20"/>
        <v>622</v>
      </c>
      <c r="B625" s="170">
        <v>1550</v>
      </c>
      <c r="C625" s="132">
        <v>45799</v>
      </c>
      <c r="D625" s="331">
        <v>64079147</v>
      </c>
      <c r="E625" s="271" t="s">
        <v>2821</v>
      </c>
      <c r="F625" s="179" t="s">
        <v>12</v>
      </c>
      <c r="G625" s="125" t="s">
        <v>8</v>
      </c>
      <c r="H625" s="106">
        <v>45799</v>
      </c>
      <c r="I625" s="137"/>
      <c r="J625" s="729" t="s">
        <v>159</v>
      </c>
      <c r="K625" s="27"/>
      <c r="L625" s="50"/>
      <c r="M625" s="51"/>
      <c r="N625" s="29"/>
      <c r="O625" s="30"/>
      <c r="P625" s="54"/>
      <c r="Q625" s="83">
        <v>45805</v>
      </c>
      <c r="R625" s="89">
        <f t="shared" si="21"/>
        <v>1.000131007227232</v>
      </c>
      <c r="S625" s="101" t="s">
        <v>151</v>
      </c>
      <c r="T625" s="234"/>
    </row>
    <row r="626" spans="1:20" ht="57.6" x14ac:dyDescent="0.3">
      <c r="A626" s="96">
        <f t="shared" si="20"/>
        <v>623</v>
      </c>
      <c r="B626" s="170">
        <v>1550</v>
      </c>
      <c r="C626" s="132">
        <v>45799</v>
      </c>
      <c r="D626" s="331">
        <v>300714335</v>
      </c>
      <c r="E626" s="271" t="s">
        <v>2822</v>
      </c>
      <c r="F626" s="179" t="s">
        <v>23</v>
      </c>
      <c r="G626" s="125" t="s">
        <v>8</v>
      </c>
      <c r="H626" s="106">
        <v>45799</v>
      </c>
      <c r="I626" s="137"/>
      <c r="J626" s="102" t="s">
        <v>135</v>
      </c>
      <c r="K626" s="27"/>
      <c r="L626" s="50"/>
      <c r="M626" s="51"/>
      <c r="N626" s="29"/>
      <c r="O626" s="30"/>
      <c r="P626" s="54"/>
      <c r="Q626" s="83">
        <v>45800</v>
      </c>
      <c r="R626" s="89">
        <f t="shared" si="21"/>
        <v>1.000021834537872</v>
      </c>
      <c r="S626" s="101" t="s">
        <v>270</v>
      </c>
      <c r="T626" s="234"/>
    </row>
    <row r="627" spans="1:20" ht="28.8" x14ac:dyDescent="0.3">
      <c r="A627" s="96">
        <f t="shared" si="20"/>
        <v>624</v>
      </c>
      <c r="B627" s="170">
        <v>1550</v>
      </c>
      <c r="C627" s="132">
        <v>45799</v>
      </c>
      <c r="D627" s="331">
        <v>50894544</v>
      </c>
      <c r="E627" s="271" t="s">
        <v>2823</v>
      </c>
      <c r="F627" s="179" t="s">
        <v>50</v>
      </c>
      <c r="G627" s="125" t="s">
        <v>8</v>
      </c>
      <c r="H627" s="106">
        <v>45799</v>
      </c>
      <c r="I627" s="137"/>
      <c r="J627" s="102" t="s">
        <v>31</v>
      </c>
      <c r="K627" s="27" t="s">
        <v>262</v>
      </c>
      <c r="L627" s="356">
        <v>45799</v>
      </c>
      <c r="M627" s="259" t="s">
        <v>1357</v>
      </c>
      <c r="N627" s="29"/>
      <c r="O627" s="30"/>
      <c r="P627" s="54"/>
      <c r="Q627" s="83">
        <v>45800</v>
      </c>
      <c r="R627" s="89">
        <f t="shared" si="21"/>
        <v>1.000021834537872</v>
      </c>
      <c r="S627" s="101" t="s">
        <v>1727</v>
      </c>
      <c r="T627" s="234"/>
    </row>
    <row r="628" spans="1:20" ht="57.6" x14ac:dyDescent="0.3">
      <c r="A628" s="96">
        <f t="shared" si="20"/>
        <v>625</v>
      </c>
      <c r="B628" s="170">
        <v>1550</v>
      </c>
      <c r="C628" s="132">
        <v>45799</v>
      </c>
      <c r="D628" s="331"/>
      <c r="E628" s="271" t="s">
        <v>2824</v>
      </c>
      <c r="F628" s="179" t="s">
        <v>1314</v>
      </c>
      <c r="G628" s="125" t="s">
        <v>6</v>
      </c>
      <c r="H628" s="106">
        <v>45799</v>
      </c>
      <c r="I628" s="137"/>
      <c r="J628" s="102" t="s">
        <v>99</v>
      </c>
      <c r="K628" s="27"/>
      <c r="L628" s="356"/>
      <c r="M628" s="259"/>
      <c r="N628" s="29"/>
      <c r="O628" s="30"/>
      <c r="P628" s="54"/>
      <c r="Q628" s="83">
        <v>45803</v>
      </c>
      <c r="R628" s="89">
        <f t="shared" si="21"/>
        <v>1.0000873381514881</v>
      </c>
      <c r="S628" s="101" t="s">
        <v>1860</v>
      </c>
      <c r="T628" s="234"/>
    </row>
    <row r="629" spans="1:20" ht="57.6" x14ac:dyDescent="0.3">
      <c r="A629" s="96">
        <f t="shared" ref="A629:A660" si="22">A628+1</f>
        <v>626</v>
      </c>
      <c r="B629" s="170">
        <v>1550</v>
      </c>
      <c r="C629" s="132">
        <v>45799</v>
      </c>
      <c r="D629" s="331"/>
      <c r="E629" s="271" t="s">
        <v>2825</v>
      </c>
      <c r="F629" s="179" t="s">
        <v>23</v>
      </c>
      <c r="G629" s="125" t="s">
        <v>6</v>
      </c>
      <c r="H629" s="106">
        <v>45799</v>
      </c>
      <c r="I629" s="137"/>
      <c r="J629" s="102" t="s">
        <v>135</v>
      </c>
      <c r="K629" s="27"/>
      <c r="L629" s="356"/>
      <c r="M629" s="259"/>
      <c r="N629" s="29"/>
      <c r="O629" s="30"/>
      <c r="P629" s="54"/>
      <c r="Q629" s="83">
        <v>45799</v>
      </c>
      <c r="R629" s="89">
        <f t="shared" si="21"/>
        <v>1</v>
      </c>
      <c r="S629" s="101" t="s">
        <v>1934</v>
      </c>
      <c r="T629" s="234"/>
    </row>
    <row r="630" spans="1:20" ht="57.6" x14ac:dyDescent="0.3">
      <c r="A630" s="96">
        <f t="shared" si="22"/>
        <v>627</v>
      </c>
      <c r="B630" s="170">
        <v>1550</v>
      </c>
      <c r="C630" s="449">
        <v>45799</v>
      </c>
      <c r="D630" s="367"/>
      <c r="E630" s="467" t="s">
        <v>2826</v>
      </c>
      <c r="F630" s="283" t="s">
        <v>23</v>
      </c>
      <c r="G630" s="456" t="s">
        <v>6</v>
      </c>
      <c r="H630" s="106">
        <v>45799</v>
      </c>
      <c r="I630" s="137"/>
      <c r="J630" s="102" t="s">
        <v>135</v>
      </c>
      <c r="K630" s="27"/>
      <c r="L630" s="356"/>
      <c r="M630" s="259"/>
      <c r="N630" s="29"/>
      <c r="O630" s="30"/>
      <c r="P630" s="54"/>
      <c r="Q630" s="83">
        <v>45799</v>
      </c>
      <c r="R630" s="89">
        <f t="shared" si="21"/>
        <v>1</v>
      </c>
      <c r="S630" s="101" t="s">
        <v>1312</v>
      </c>
      <c r="T630" s="234"/>
    </row>
    <row r="631" spans="1:20" ht="57.6" x14ac:dyDescent="0.3">
      <c r="A631" s="96">
        <f t="shared" si="22"/>
        <v>628</v>
      </c>
      <c r="B631" s="464">
        <v>1550</v>
      </c>
      <c r="C631" s="124">
        <v>45799</v>
      </c>
      <c r="D631" s="411"/>
      <c r="E631" s="175" t="s">
        <v>2827</v>
      </c>
      <c r="F631" s="111" t="s">
        <v>23</v>
      </c>
      <c r="G631" s="125" t="s">
        <v>6</v>
      </c>
      <c r="H631" s="106">
        <v>45799</v>
      </c>
      <c r="I631" s="137"/>
      <c r="J631" s="102" t="s">
        <v>135</v>
      </c>
      <c r="K631" s="27"/>
      <c r="L631" s="356"/>
      <c r="M631" s="259"/>
      <c r="N631" s="29"/>
      <c r="O631" s="30"/>
      <c r="P631" s="54"/>
      <c r="Q631" s="83">
        <v>45799</v>
      </c>
      <c r="R631" s="89">
        <f t="shared" si="21"/>
        <v>1</v>
      </c>
      <c r="S631" s="101" t="s">
        <v>2747</v>
      </c>
      <c r="T631" s="234"/>
    </row>
    <row r="632" spans="1:20" ht="57.6" x14ac:dyDescent="0.3">
      <c r="A632" s="96">
        <f t="shared" si="22"/>
        <v>629</v>
      </c>
      <c r="B632" s="469">
        <v>1550</v>
      </c>
      <c r="C632" s="177">
        <v>45799</v>
      </c>
      <c r="D632" s="470"/>
      <c r="E632" s="288" t="s">
        <v>2828</v>
      </c>
      <c r="F632" s="150" t="s">
        <v>1314</v>
      </c>
      <c r="G632" s="456" t="s">
        <v>4</v>
      </c>
      <c r="H632" s="106">
        <v>45799</v>
      </c>
      <c r="I632" s="137"/>
      <c r="J632" s="102" t="s">
        <v>99</v>
      </c>
      <c r="K632" s="27"/>
      <c r="L632" s="356"/>
      <c r="M632" s="259"/>
      <c r="N632" s="29"/>
      <c r="O632" s="30"/>
      <c r="P632" s="54"/>
      <c r="Q632" s="83">
        <v>45803</v>
      </c>
      <c r="R632" s="89">
        <f t="shared" si="21"/>
        <v>1.0000873381514881</v>
      </c>
      <c r="S632" s="101"/>
      <c r="T632" s="234"/>
    </row>
    <row r="633" spans="1:20" ht="57.6" x14ac:dyDescent="0.3">
      <c r="A633" s="96">
        <f t="shared" si="22"/>
        <v>630</v>
      </c>
      <c r="B633" s="123">
        <v>1550</v>
      </c>
      <c r="C633" s="124">
        <v>45799</v>
      </c>
      <c r="D633" s="411"/>
      <c r="E633" s="175" t="s">
        <v>2829</v>
      </c>
      <c r="F633" s="111" t="s">
        <v>1314</v>
      </c>
      <c r="G633" s="125" t="s">
        <v>6</v>
      </c>
      <c r="H633" s="106">
        <v>45799</v>
      </c>
      <c r="I633" s="137"/>
      <c r="J633" s="102" t="s">
        <v>99</v>
      </c>
      <c r="K633" s="27"/>
      <c r="L633" s="356"/>
      <c r="M633" s="259"/>
      <c r="N633" s="29"/>
      <c r="O633" s="30"/>
      <c r="P633" s="54"/>
      <c r="Q633" s="83">
        <v>45803</v>
      </c>
      <c r="R633" s="89">
        <f t="shared" si="21"/>
        <v>1.0000873381514881</v>
      </c>
      <c r="S633" s="101" t="s">
        <v>1936</v>
      </c>
      <c r="T633" s="234"/>
    </row>
    <row r="634" spans="1:20" ht="57.6" x14ac:dyDescent="0.3">
      <c r="A634" s="96">
        <f t="shared" si="22"/>
        <v>631</v>
      </c>
      <c r="B634" s="123">
        <v>1550</v>
      </c>
      <c r="C634" s="124">
        <v>45799</v>
      </c>
      <c r="D634" s="411"/>
      <c r="E634" s="36" t="s">
        <v>2830</v>
      </c>
      <c r="F634" s="111" t="s">
        <v>1314</v>
      </c>
      <c r="G634" s="125" t="s">
        <v>4</v>
      </c>
      <c r="H634" s="106">
        <v>45799</v>
      </c>
      <c r="I634" s="137"/>
      <c r="J634" s="102" t="s">
        <v>99</v>
      </c>
      <c r="K634" s="27"/>
      <c r="L634" s="356"/>
      <c r="M634" s="259"/>
      <c r="N634" s="29"/>
      <c r="O634" s="30"/>
      <c r="P634" s="54"/>
      <c r="Q634" s="83">
        <v>45803</v>
      </c>
      <c r="R634" s="89">
        <f t="shared" si="21"/>
        <v>1.0000873381514881</v>
      </c>
      <c r="S634" s="101"/>
      <c r="T634" s="234"/>
    </row>
    <row r="635" spans="1:20" ht="28.8" x14ac:dyDescent="0.3">
      <c r="A635" s="96">
        <f t="shared" si="22"/>
        <v>632</v>
      </c>
      <c r="B635" s="123" t="s">
        <v>1044</v>
      </c>
      <c r="C635" s="124">
        <v>45799</v>
      </c>
      <c r="D635" s="411">
        <v>26567199</v>
      </c>
      <c r="E635" s="175" t="s">
        <v>2831</v>
      </c>
      <c r="F635" s="111" t="s">
        <v>32</v>
      </c>
      <c r="G635" s="125" t="s">
        <v>4</v>
      </c>
      <c r="H635" s="106">
        <v>45799</v>
      </c>
      <c r="I635" s="137"/>
      <c r="J635" s="102"/>
      <c r="K635" s="27" t="s">
        <v>393</v>
      </c>
      <c r="L635" s="356"/>
      <c r="M635" s="259"/>
      <c r="N635" s="29"/>
      <c r="O635" s="30"/>
      <c r="P635" s="54"/>
      <c r="Q635" s="83">
        <v>45821</v>
      </c>
      <c r="R635" s="89">
        <f t="shared" si="21"/>
        <v>1.0004803598331842</v>
      </c>
      <c r="S635" s="101"/>
      <c r="T635" s="234"/>
    </row>
    <row r="636" spans="1:20" ht="57.6" x14ac:dyDescent="0.3">
      <c r="A636" s="96">
        <f t="shared" si="22"/>
        <v>633</v>
      </c>
      <c r="B636" s="170">
        <v>1550</v>
      </c>
      <c r="C636" s="132">
        <v>45799</v>
      </c>
      <c r="D636" s="331">
        <v>244023689</v>
      </c>
      <c r="E636" s="452" t="s">
        <v>2832</v>
      </c>
      <c r="F636" s="466" t="s">
        <v>23</v>
      </c>
      <c r="G636" s="461" t="s">
        <v>6</v>
      </c>
      <c r="H636" s="106">
        <v>45799</v>
      </c>
      <c r="I636" s="137"/>
      <c r="J636" s="102" t="s">
        <v>135</v>
      </c>
      <c r="K636" s="27"/>
      <c r="L636" s="356"/>
      <c r="M636" s="259"/>
      <c r="N636" s="29"/>
      <c r="O636" s="30"/>
      <c r="P636" s="54"/>
      <c r="Q636" s="83">
        <v>45799</v>
      </c>
      <c r="R636" s="89">
        <f t="shared" si="21"/>
        <v>1</v>
      </c>
      <c r="S636" s="101" t="s">
        <v>1813</v>
      </c>
      <c r="T636" s="234"/>
    </row>
    <row r="637" spans="1:20" x14ac:dyDescent="0.3">
      <c r="A637" s="96">
        <f t="shared" si="22"/>
        <v>634</v>
      </c>
      <c r="B637" s="170" t="s">
        <v>1826</v>
      </c>
      <c r="C637" s="132">
        <v>45799</v>
      </c>
      <c r="D637" t="s">
        <v>2833</v>
      </c>
      <c r="E637" s="271" t="s">
        <v>2834</v>
      </c>
      <c r="F637" s="179" t="s">
        <v>23</v>
      </c>
      <c r="G637" s="125" t="s">
        <v>4</v>
      </c>
      <c r="H637" s="106">
        <v>45799</v>
      </c>
      <c r="I637" s="137"/>
      <c r="J637" s="102" t="s">
        <v>135</v>
      </c>
      <c r="K637" s="27"/>
      <c r="L637" s="356"/>
      <c r="M637" s="259"/>
      <c r="N637" s="29"/>
      <c r="O637" s="30"/>
      <c r="P637" s="54"/>
      <c r="Q637" s="83">
        <v>45799</v>
      </c>
      <c r="R637" s="89">
        <f t="shared" si="21"/>
        <v>1</v>
      </c>
      <c r="S637" s="101"/>
      <c r="T637" s="234"/>
    </row>
    <row r="638" spans="1:20" ht="57.6" x14ac:dyDescent="0.3">
      <c r="A638" s="96">
        <f t="shared" si="22"/>
        <v>635</v>
      </c>
      <c r="B638" s="170">
        <v>1550</v>
      </c>
      <c r="C638" s="132">
        <v>45799</v>
      </c>
      <c r="D638" s="331">
        <v>340024372</v>
      </c>
      <c r="E638" s="271" t="s">
        <v>2835</v>
      </c>
      <c r="F638" s="466" t="s">
        <v>23</v>
      </c>
      <c r="G638" s="461" t="s">
        <v>6</v>
      </c>
      <c r="H638" s="106">
        <v>45799</v>
      </c>
      <c r="I638" s="137"/>
      <c r="J638" s="102" t="s">
        <v>135</v>
      </c>
      <c r="K638" s="27"/>
      <c r="L638" s="356"/>
      <c r="M638" s="259"/>
      <c r="N638" s="29"/>
      <c r="O638" s="30"/>
      <c r="P638" s="54"/>
      <c r="Q638" s="83">
        <v>45799</v>
      </c>
      <c r="R638" s="89">
        <f t="shared" si="21"/>
        <v>1</v>
      </c>
      <c r="S638" s="101" t="s">
        <v>1860</v>
      </c>
      <c r="T638" s="234"/>
    </row>
    <row r="639" spans="1:20" x14ac:dyDescent="0.3">
      <c r="A639" s="96">
        <f t="shared" si="22"/>
        <v>636</v>
      </c>
      <c r="B639" s="170" t="s">
        <v>301</v>
      </c>
      <c r="C639" s="132">
        <v>45799</v>
      </c>
      <c r="D639" s="331">
        <v>259429961</v>
      </c>
      <c r="E639" s="271" t="s">
        <v>2836</v>
      </c>
      <c r="F639" s="179" t="s">
        <v>23</v>
      </c>
      <c r="G639" s="125" t="s">
        <v>4</v>
      </c>
      <c r="H639" s="106">
        <v>45799</v>
      </c>
      <c r="I639" s="137"/>
      <c r="J639" s="102" t="s">
        <v>135</v>
      </c>
      <c r="K639" s="27"/>
      <c r="L639" s="356"/>
      <c r="M639" s="259"/>
      <c r="N639" s="29"/>
      <c r="O639" s="30"/>
      <c r="P639" s="54"/>
      <c r="Q639" s="83">
        <v>45799</v>
      </c>
      <c r="R639" s="89">
        <f t="shared" si="21"/>
        <v>1</v>
      </c>
      <c r="S639" s="101"/>
      <c r="T639" s="234"/>
    </row>
    <row r="640" spans="1:20" ht="57.6" x14ac:dyDescent="0.3">
      <c r="A640" s="96">
        <f t="shared" si="22"/>
        <v>637</v>
      </c>
      <c r="B640" s="170">
        <v>1550</v>
      </c>
      <c r="C640" s="132">
        <v>45799</v>
      </c>
      <c r="D640" s="331">
        <v>335126006</v>
      </c>
      <c r="E640" s="271" t="s">
        <v>2837</v>
      </c>
      <c r="F640" s="466" t="s">
        <v>23</v>
      </c>
      <c r="G640" s="461" t="s">
        <v>6</v>
      </c>
      <c r="H640" s="106">
        <v>45799</v>
      </c>
      <c r="I640" s="137"/>
      <c r="J640" s="102" t="s">
        <v>135</v>
      </c>
      <c r="K640" s="27"/>
      <c r="L640" s="356"/>
      <c r="M640" s="259"/>
      <c r="N640" s="29"/>
      <c r="O640" s="30"/>
      <c r="P640" s="54"/>
      <c r="Q640" s="83">
        <v>45799</v>
      </c>
      <c r="R640" s="89">
        <f t="shared" si="21"/>
        <v>1</v>
      </c>
      <c r="S640" s="101" t="s">
        <v>1813</v>
      </c>
      <c r="T640" s="234"/>
    </row>
    <row r="641" spans="1:20" ht="57.6" x14ac:dyDescent="0.3">
      <c r="A641" s="96">
        <f t="shared" si="22"/>
        <v>638</v>
      </c>
      <c r="B641" s="170">
        <v>1550</v>
      </c>
      <c r="C641" s="132">
        <v>45799</v>
      </c>
      <c r="D641" s="331"/>
      <c r="E641" s="271" t="s">
        <v>2838</v>
      </c>
      <c r="F641" s="111" t="s">
        <v>1314</v>
      </c>
      <c r="G641" s="125" t="s">
        <v>6</v>
      </c>
      <c r="H641" s="106">
        <v>45799</v>
      </c>
      <c r="I641" s="137"/>
      <c r="J641" s="102" t="s">
        <v>99</v>
      </c>
      <c r="K641" s="27"/>
      <c r="L641" s="356"/>
      <c r="M641" s="259"/>
      <c r="N641" s="29"/>
      <c r="O641" s="30"/>
      <c r="P641" s="54"/>
      <c r="Q641" s="83">
        <v>45803</v>
      </c>
      <c r="R641" s="89">
        <f t="shared" si="21"/>
        <v>1.0000873381514881</v>
      </c>
      <c r="S641" s="101" t="s">
        <v>2808</v>
      </c>
      <c r="T641" s="234"/>
    </row>
    <row r="642" spans="1:20" ht="43.2" x14ac:dyDescent="0.3">
      <c r="A642" s="96">
        <f t="shared" si="22"/>
        <v>639</v>
      </c>
      <c r="B642" s="170" t="s">
        <v>80</v>
      </c>
      <c r="C642" s="132">
        <v>45799</v>
      </c>
      <c r="D642" s="331"/>
      <c r="E642" s="271" t="s">
        <v>2839</v>
      </c>
      <c r="F642" s="179" t="s">
        <v>25</v>
      </c>
      <c r="G642" s="125" t="s">
        <v>4</v>
      </c>
      <c r="H642" s="106">
        <v>45799</v>
      </c>
      <c r="I642" s="137"/>
      <c r="J642" s="102" t="s">
        <v>22</v>
      </c>
      <c r="K642" s="27"/>
      <c r="L642" s="356"/>
      <c r="M642" s="259"/>
      <c r="N642" s="29"/>
      <c r="O642" s="30"/>
      <c r="P642" s="54"/>
      <c r="Q642" s="83">
        <v>45813</v>
      </c>
      <c r="R642" s="89">
        <f t="shared" si="21"/>
        <v>1.000305683530208</v>
      </c>
      <c r="S642" s="101"/>
      <c r="T642" s="234"/>
    </row>
    <row r="643" spans="1:20" ht="57.6" x14ac:dyDescent="0.3">
      <c r="A643" s="96">
        <f t="shared" si="22"/>
        <v>640</v>
      </c>
      <c r="B643" s="170">
        <v>1550</v>
      </c>
      <c r="C643" s="132">
        <v>45799</v>
      </c>
      <c r="D643" s="331">
        <v>22339655</v>
      </c>
      <c r="E643" s="467" t="s">
        <v>2840</v>
      </c>
      <c r="F643" s="179" t="s">
        <v>24</v>
      </c>
      <c r="G643" s="125" t="s">
        <v>4</v>
      </c>
      <c r="H643" s="106">
        <v>45799</v>
      </c>
      <c r="I643" s="137"/>
      <c r="J643" s="102" t="s">
        <v>1260</v>
      </c>
      <c r="K643" s="27"/>
      <c r="L643" s="356"/>
      <c r="M643" s="259"/>
      <c r="N643" s="29"/>
      <c r="O643" s="30"/>
      <c r="P643" s="54"/>
      <c r="Q643" s="83">
        <v>45800</v>
      </c>
      <c r="R643" s="89">
        <f t="shared" si="21"/>
        <v>1.000021834537872</v>
      </c>
      <c r="S643" s="101"/>
      <c r="T643" s="234"/>
    </row>
    <row r="644" spans="1:20" ht="57.6" x14ac:dyDescent="0.3">
      <c r="A644" s="96">
        <f t="shared" si="22"/>
        <v>641</v>
      </c>
      <c r="B644" s="170">
        <v>1550</v>
      </c>
      <c r="C644" s="132">
        <v>45799</v>
      </c>
      <c r="D644" s="331"/>
      <c r="E644" s="36" t="s">
        <v>2841</v>
      </c>
      <c r="F644" s="179" t="s">
        <v>1314</v>
      </c>
      <c r="G644" s="125" t="s">
        <v>4</v>
      </c>
      <c r="H644" s="106">
        <v>45799</v>
      </c>
      <c r="I644" s="137"/>
      <c r="J644" s="102" t="s">
        <v>99</v>
      </c>
      <c r="K644" s="27"/>
      <c r="L644" s="356"/>
      <c r="M644" s="259"/>
      <c r="N644" s="29"/>
      <c r="O644" s="30"/>
      <c r="P644" s="54"/>
      <c r="Q644" s="83">
        <v>45803</v>
      </c>
      <c r="R644" s="89">
        <f t="shared" ref="R644:R706" si="23">Q644/H644</f>
        <v>1.0000873381514881</v>
      </c>
      <c r="S644" s="101"/>
      <c r="T644" s="234"/>
    </row>
    <row r="645" spans="1:20" ht="57.6" x14ac:dyDescent="0.3">
      <c r="A645" s="96">
        <f t="shared" si="22"/>
        <v>642</v>
      </c>
      <c r="B645" s="170">
        <v>1550</v>
      </c>
      <c r="C645" s="132">
        <v>45799</v>
      </c>
      <c r="D645" s="331"/>
      <c r="E645" s="36" t="s">
        <v>2842</v>
      </c>
      <c r="F645" s="179" t="s">
        <v>1314</v>
      </c>
      <c r="G645" s="125" t="s">
        <v>4</v>
      </c>
      <c r="H645" s="106">
        <v>45799</v>
      </c>
      <c r="I645" s="137"/>
      <c r="J645" s="102" t="s">
        <v>99</v>
      </c>
      <c r="K645" s="27"/>
      <c r="L645" s="356"/>
      <c r="M645" s="259"/>
      <c r="N645" s="29"/>
      <c r="O645" s="30"/>
      <c r="P645" s="54"/>
      <c r="Q645" s="83">
        <v>45803</v>
      </c>
      <c r="R645" s="89">
        <f t="shared" si="23"/>
        <v>1.0000873381514881</v>
      </c>
      <c r="S645" s="101"/>
      <c r="T645" s="234"/>
    </row>
    <row r="646" spans="1:20" ht="57.6" x14ac:dyDescent="0.3">
      <c r="A646" s="96">
        <f t="shared" si="22"/>
        <v>643</v>
      </c>
      <c r="B646" s="170">
        <v>1550</v>
      </c>
      <c r="C646" s="132">
        <v>45799</v>
      </c>
      <c r="D646" s="331"/>
      <c r="E646" s="36" t="s">
        <v>2843</v>
      </c>
      <c r="F646" s="179" t="s">
        <v>1314</v>
      </c>
      <c r="G646" s="125" t="s">
        <v>4</v>
      </c>
      <c r="H646" s="106">
        <v>45799</v>
      </c>
      <c r="I646" s="137"/>
      <c r="J646" s="102" t="s">
        <v>99</v>
      </c>
      <c r="K646" s="27"/>
      <c r="L646" s="356"/>
      <c r="M646" s="259"/>
      <c r="N646" s="29"/>
      <c r="O646" s="30"/>
      <c r="P646" s="54"/>
      <c r="Q646" s="83">
        <v>45803</v>
      </c>
      <c r="R646" s="89">
        <f t="shared" si="23"/>
        <v>1.0000873381514881</v>
      </c>
      <c r="S646" s="101"/>
      <c r="T646" s="234"/>
    </row>
    <row r="647" spans="1:20" x14ac:dyDescent="0.3">
      <c r="A647" s="96">
        <f t="shared" si="22"/>
        <v>644</v>
      </c>
      <c r="B647" s="170" t="s">
        <v>301</v>
      </c>
      <c r="C647" s="132">
        <v>45799</v>
      </c>
      <c r="D647" t="s">
        <v>2844</v>
      </c>
      <c r="E647" s="452" t="s">
        <v>2845</v>
      </c>
      <c r="F647" s="179" t="s">
        <v>23</v>
      </c>
      <c r="G647" s="125" t="s">
        <v>4</v>
      </c>
      <c r="H647" s="106">
        <v>45799</v>
      </c>
      <c r="I647" s="137"/>
      <c r="J647" s="102" t="s">
        <v>135</v>
      </c>
      <c r="K647" s="27"/>
      <c r="L647" s="356"/>
      <c r="M647" s="259"/>
      <c r="N647" s="29"/>
      <c r="O647" s="30"/>
      <c r="P647" s="54"/>
      <c r="Q647" s="83">
        <v>45799</v>
      </c>
      <c r="R647" s="89">
        <f t="shared" si="23"/>
        <v>1</v>
      </c>
      <c r="S647" s="101"/>
      <c r="T647" s="234"/>
    </row>
    <row r="648" spans="1:20" ht="72" x14ac:dyDescent="0.3">
      <c r="A648" s="96">
        <f t="shared" si="22"/>
        <v>645</v>
      </c>
      <c r="B648" s="170">
        <v>1550</v>
      </c>
      <c r="C648" s="132">
        <v>45799</v>
      </c>
      <c r="D648" s="331"/>
      <c r="E648" s="271" t="s">
        <v>2846</v>
      </c>
      <c r="F648" s="179" t="s">
        <v>1314</v>
      </c>
      <c r="G648" s="125" t="s">
        <v>8</v>
      </c>
      <c r="H648" s="106">
        <v>45799</v>
      </c>
      <c r="I648" s="137"/>
      <c r="J648" s="102" t="s">
        <v>99</v>
      </c>
      <c r="K648" s="27"/>
      <c r="L648" s="356"/>
      <c r="M648" s="259"/>
      <c r="N648" s="29"/>
      <c r="O648" s="30"/>
      <c r="P648" s="54"/>
      <c r="Q648" s="83">
        <v>45800</v>
      </c>
      <c r="R648" s="89">
        <f t="shared" si="23"/>
        <v>1.000021834537872</v>
      </c>
      <c r="S648" s="101" t="s">
        <v>151</v>
      </c>
      <c r="T648" s="234"/>
    </row>
    <row r="649" spans="1:20" ht="28.8" x14ac:dyDescent="0.3">
      <c r="A649" s="96">
        <f t="shared" si="22"/>
        <v>646</v>
      </c>
      <c r="B649" s="170" t="s">
        <v>301</v>
      </c>
      <c r="C649" s="132">
        <v>45799</v>
      </c>
      <c r="D649" s="331">
        <v>22267298</v>
      </c>
      <c r="E649" s="271" t="s">
        <v>2847</v>
      </c>
      <c r="F649" s="179" t="s">
        <v>1</v>
      </c>
      <c r="G649" s="125" t="s">
        <v>4</v>
      </c>
      <c r="H649" s="106">
        <v>45799</v>
      </c>
      <c r="I649" s="137"/>
      <c r="J649" s="102" t="s">
        <v>2544</v>
      </c>
      <c r="K649" s="27"/>
      <c r="L649" s="356"/>
      <c r="M649" s="259"/>
      <c r="N649" s="29"/>
      <c r="O649" s="30"/>
      <c r="P649" s="54"/>
      <c r="Q649" s="83">
        <v>45800</v>
      </c>
      <c r="R649" s="89">
        <f t="shared" si="23"/>
        <v>1.000021834537872</v>
      </c>
      <c r="S649" s="101"/>
      <c r="T649" s="234"/>
    </row>
    <row r="650" spans="1:20" ht="57.6" x14ac:dyDescent="0.3">
      <c r="A650" s="96">
        <f t="shared" si="22"/>
        <v>647</v>
      </c>
      <c r="B650" s="170">
        <v>1550</v>
      </c>
      <c r="C650" s="132">
        <v>45799</v>
      </c>
      <c r="D650" s="331"/>
      <c r="E650" s="263" t="s">
        <v>2848</v>
      </c>
      <c r="F650" s="179" t="s">
        <v>1314</v>
      </c>
      <c r="G650" s="125" t="s">
        <v>6</v>
      </c>
      <c r="H650" s="106">
        <v>45799</v>
      </c>
      <c r="I650" s="137"/>
      <c r="J650" s="102" t="s">
        <v>99</v>
      </c>
      <c r="K650" s="27"/>
      <c r="L650" s="356"/>
      <c r="M650" s="259"/>
      <c r="N650" s="29"/>
      <c r="O650" s="30"/>
      <c r="P650" s="54"/>
      <c r="Q650" s="83">
        <v>45803</v>
      </c>
      <c r="R650" s="89">
        <f t="shared" si="23"/>
        <v>1.0000873381514881</v>
      </c>
      <c r="S650" s="101" t="s">
        <v>1860</v>
      </c>
      <c r="T650" s="234"/>
    </row>
    <row r="651" spans="1:20" ht="57.6" x14ac:dyDescent="0.3">
      <c r="A651" s="96">
        <f t="shared" si="22"/>
        <v>648</v>
      </c>
      <c r="B651" s="170">
        <v>1550</v>
      </c>
      <c r="C651" s="132">
        <v>45799</v>
      </c>
      <c r="D651" s="331"/>
      <c r="E651" s="264" t="s">
        <v>2849</v>
      </c>
      <c r="F651" s="179" t="s">
        <v>1314</v>
      </c>
      <c r="G651" s="125" t="s">
        <v>6</v>
      </c>
      <c r="H651" s="106">
        <v>45799</v>
      </c>
      <c r="I651" s="137"/>
      <c r="J651" s="102" t="s">
        <v>99</v>
      </c>
      <c r="K651" s="27"/>
      <c r="L651" s="356"/>
      <c r="M651" s="259"/>
      <c r="N651" s="29"/>
      <c r="O651" s="30"/>
      <c r="P651" s="54"/>
      <c r="Q651" s="83">
        <v>45803</v>
      </c>
      <c r="R651" s="89">
        <f t="shared" si="23"/>
        <v>1.0000873381514881</v>
      </c>
      <c r="S651" s="101" t="s">
        <v>1936</v>
      </c>
      <c r="T651" s="234"/>
    </row>
    <row r="652" spans="1:20" ht="72" x14ac:dyDescent="0.3">
      <c r="A652" s="96">
        <f t="shared" si="22"/>
        <v>649</v>
      </c>
      <c r="B652" s="170">
        <v>1550</v>
      </c>
      <c r="C652" s="132">
        <v>45799</v>
      </c>
      <c r="D652" s="331"/>
      <c r="E652" s="271" t="s">
        <v>2850</v>
      </c>
      <c r="F652" s="179" t="s">
        <v>1314</v>
      </c>
      <c r="G652" s="125" t="s">
        <v>8</v>
      </c>
      <c r="H652" s="106">
        <v>45799</v>
      </c>
      <c r="I652" s="137"/>
      <c r="J652" s="102" t="s">
        <v>99</v>
      </c>
      <c r="K652" s="27"/>
      <c r="L652" s="356"/>
      <c r="M652" s="259"/>
      <c r="N652" s="29"/>
      <c r="O652" s="30"/>
      <c r="P652" s="54"/>
      <c r="Q652" s="83">
        <v>45800</v>
      </c>
      <c r="R652" s="89">
        <f t="shared" si="23"/>
        <v>1.000021834537872</v>
      </c>
      <c r="S652" s="101" t="s">
        <v>758</v>
      </c>
      <c r="T652" s="234"/>
    </row>
    <row r="653" spans="1:20" ht="57.6" x14ac:dyDescent="0.3">
      <c r="A653" s="96">
        <f t="shared" si="22"/>
        <v>650</v>
      </c>
      <c r="B653" s="170">
        <v>1550</v>
      </c>
      <c r="C653" s="132">
        <v>45799</v>
      </c>
      <c r="D653" s="331"/>
      <c r="E653" s="271" t="s">
        <v>2851</v>
      </c>
      <c r="F653" s="179" t="s">
        <v>1314</v>
      </c>
      <c r="G653" s="125" t="s">
        <v>6</v>
      </c>
      <c r="H653" s="106">
        <v>45799</v>
      </c>
      <c r="I653" s="137"/>
      <c r="J653" s="102" t="s">
        <v>99</v>
      </c>
      <c r="K653" s="27"/>
      <c r="L653" s="356"/>
      <c r="M653" s="259"/>
      <c r="N653" s="29"/>
      <c r="O653" s="30"/>
      <c r="P653" s="54"/>
      <c r="Q653" s="83">
        <v>45803</v>
      </c>
      <c r="R653" s="89">
        <f t="shared" si="23"/>
        <v>1.0000873381514881</v>
      </c>
      <c r="S653" s="101" t="s">
        <v>1936</v>
      </c>
      <c r="T653" s="234"/>
    </row>
    <row r="654" spans="1:20" ht="57.6" x14ac:dyDescent="0.3">
      <c r="A654" s="96">
        <f t="shared" si="22"/>
        <v>651</v>
      </c>
      <c r="B654" s="471">
        <v>1550</v>
      </c>
      <c r="C654" s="449">
        <v>45799</v>
      </c>
      <c r="D654" s="367"/>
      <c r="E654" s="467" t="s">
        <v>2852</v>
      </c>
      <c r="F654" s="283" t="s">
        <v>1314</v>
      </c>
      <c r="G654" s="125" t="s">
        <v>6</v>
      </c>
      <c r="H654" s="106">
        <v>45799</v>
      </c>
      <c r="I654" s="137"/>
      <c r="J654" s="102" t="s">
        <v>99</v>
      </c>
      <c r="K654" s="27"/>
      <c r="L654" s="356"/>
      <c r="M654" s="259"/>
      <c r="N654" s="29"/>
      <c r="O654" s="30"/>
      <c r="P654" s="54"/>
      <c r="Q654" s="83">
        <v>45803</v>
      </c>
      <c r="R654" s="89">
        <f t="shared" si="23"/>
        <v>1.0000873381514881</v>
      </c>
      <c r="S654" s="101" t="s">
        <v>1936</v>
      </c>
      <c r="T654" s="234"/>
    </row>
    <row r="655" spans="1:20" ht="129.6" x14ac:dyDescent="0.3">
      <c r="A655" s="96">
        <f t="shared" si="22"/>
        <v>652</v>
      </c>
      <c r="B655" s="123">
        <v>1550</v>
      </c>
      <c r="C655" s="124">
        <v>45799</v>
      </c>
      <c r="D655" s="411">
        <v>79085121</v>
      </c>
      <c r="E655" s="175" t="s">
        <v>2853</v>
      </c>
      <c r="F655" s="111" t="s">
        <v>1</v>
      </c>
      <c r="G655" s="376" t="s">
        <v>6</v>
      </c>
      <c r="H655" s="106">
        <v>45799</v>
      </c>
      <c r="I655" s="137"/>
      <c r="J655" s="102" t="s">
        <v>2367</v>
      </c>
      <c r="K655" s="27"/>
      <c r="L655" s="356"/>
      <c r="M655" s="259"/>
      <c r="N655" s="29"/>
      <c r="O655" s="30"/>
      <c r="P655" s="54"/>
      <c r="Q655" s="83">
        <v>45799</v>
      </c>
      <c r="R655" s="89">
        <f t="shared" si="23"/>
        <v>1</v>
      </c>
      <c r="S655" s="101" t="s">
        <v>1811</v>
      </c>
      <c r="T655" s="234"/>
    </row>
    <row r="656" spans="1:20" ht="57.6" x14ac:dyDescent="0.3">
      <c r="A656" s="96">
        <f t="shared" si="22"/>
        <v>653</v>
      </c>
      <c r="B656" s="123">
        <v>1550</v>
      </c>
      <c r="C656" s="124">
        <v>45799</v>
      </c>
      <c r="D656" s="411"/>
      <c r="E656" s="36" t="s">
        <v>2854</v>
      </c>
      <c r="F656" s="111" t="s">
        <v>1314</v>
      </c>
      <c r="G656" s="376" t="s">
        <v>4</v>
      </c>
      <c r="H656" s="106">
        <v>45799</v>
      </c>
      <c r="I656" s="137"/>
      <c r="J656" s="102" t="s">
        <v>99</v>
      </c>
      <c r="K656" s="27"/>
      <c r="L656" s="356"/>
      <c r="M656" s="259"/>
      <c r="N656" s="29"/>
      <c r="O656" s="30"/>
      <c r="P656" s="54"/>
      <c r="Q656" s="83">
        <v>45803</v>
      </c>
      <c r="R656" s="89">
        <f t="shared" si="23"/>
        <v>1.0000873381514881</v>
      </c>
      <c r="S656" s="101"/>
      <c r="T656" s="234"/>
    </row>
    <row r="657" spans="1:20" ht="57.6" x14ac:dyDescent="0.3">
      <c r="A657" s="96">
        <f t="shared" si="22"/>
        <v>654</v>
      </c>
      <c r="B657" s="123">
        <v>1550</v>
      </c>
      <c r="C657" s="124">
        <v>45799</v>
      </c>
      <c r="D657" s="411"/>
      <c r="E657" s="36" t="s">
        <v>2855</v>
      </c>
      <c r="F657" s="111" t="s">
        <v>1314</v>
      </c>
      <c r="G657" s="376" t="s">
        <v>4</v>
      </c>
      <c r="H657" s="106">
        <v>45799</v>
      </c>
      <c r="I657" s="137"/>
      <c r="J657" s="102" t="s">
        <v>99</v>
      </c>
      <c r="K657" s="27"/>
      <c r="L657" s="356"/>
      <c r="M657" s="259"/>
      <c r="N657" s="29"/>
      <c r="O657" s="30"/>
      <c r="P657" s="54"/>
      <c r="Q657" s="83">
        <v>45803</v>
      </c>
      <c r="R657" s="89">
        <f t="shared" si="23"/>
        <v>1.0000873381514881</v>
      </c>
      <c r="S657" s="101"/>
      <c r="T657" s="234"/>
    </row>
    <row r="658" spans="1:20" ht="57.6" x14ac:dyDescent="0.3">
      <c r="A658" s="96">
        <f t="shared" si="22"/>
        <v>655</v>
      </c>
      <c r="B658" s="123">
        <v>1550</v>
      </c>
      <c r="C658" s="124">
        <v>45799</v>
      </c>
      <c r="D658" s="411"/>
      <c r="E658" s="175" t="s">
        <v>2737</v>
      </c>
      <c r="F658" s="111" t="s">
        <v>1314</v>
      </c>
      <c r="G658" s="376" t="s">
        <v>6</v>
      </c>
      <c r="H658" s="106">
        <v>45799</v>
      </c>
      <c r="I658" s="137"/>
      <c r="J658" s="102" t="s">
        <v>99</v>
      </c>
      <c r="K658" s="27"/>
      <c r="L658" s="356"/>
      <c r="M658" s="259"/>
      <c r="N658" s="29"/>
      <c r="O658" s="30"/>
      <c r="P658" s="54"/>
      <c r="Q658" s="83">
        <v>45803</v>
      </c>
      <c r="R658" s="89">
        <f t="shared" si="23"/>
        <v>1.0000873381514881</v>
      </c>
      <c r="S658" s="101" t="s">
        <v>1860</v>
      </c>
      <c r="T658" s="234"/>
    </row>
    <row r="659" spans="1:20" ht="57.6" x14ac:dyDescent="0.3">
      <c r="A659" s="96">
        <f t="shared" si="22"/>
        <v>656</v>
      </c>
      <c r="B659" s="170">
        <v>1550</v>
      </c>
      <c r="C659" s="132">
        <v>45799</v>
      </c>
      <c r="D659" s="331">
        <v>37824228</v>
      </c>
      <c r="E659" s="452" t="s">
        <v>2856</v>
      </c>
      <c r="F659" s="466" t="s">
        <v>23</v>
      </c>
      <c r="G659" s="125" t="s">
        <v>8</v>
      </c>
      <c r="H659" s="106">
        <v>45799</v>
      </c>
      <c r="I659" s="137"/>
      <c r="J659" s="102" t="s">
        <v>135</v>
      </c>
      <c r="K659" s="27"/>
      <c r="L659" s="356"/>
      <c r="M659" s="259"/>
      <c r="N659" s="29"/>
      <c r="O659" s="30"/>
      <c r="P659" s="54"/>
      <c r="Q659" s="83">
        <v>45799</v>
      </c>
      <c r="R659" s="89">
        <f t="shared" si="23"/>
        <v>1</v>
      </c>
      <c r="S659" s="101" t="s">
        <v>1246</v>
      </c>
      <c r="T659" s="234"/>
    </row>
    <row r="660" spans="1:20" ht="72" x14ac:dyDescent="0.3">
      <c r="A660" s="96">
        <f t="shared" si="22"/>
        <v>657</v>
      </c>
      <c r="B660" s="170">
        <v>1550</v>
      </c>
      <c r="C660" s="132">
        <v>45799</v>
      </c>
      <c r="D660" s="331"/>
      <c r="E660" s="271" t="s">
        <v>2857</v>
      </c>
      <c r="F660" s="179" t="s">
        <v>1314</v>
      </c>
      <c r="G660" s="125" t="s">
        <v>8</v>
      </c>
      <c r="H660" s="106">
        <v>45799</v>
      </c>
      <c r="I660" s="137"/>
      <c r="J660" s="102" t="s">
        <v>99</v>
      </c>
      <c r="K660" s="27"/>
      <c r="L660" s="356"/>
      <c r="M660" s="259"/>
      <c r="N660" s="29"/>
      <c r="O660" s="30"/>
      <c r="P660" s="54"/>
      <c r="Q660" s="83">
        <v>45800</v>
      </c>
      <c r="R660" s="89">
        <f t="shared" si="23"/>
        <v>1.000021834537872</v>
      </c>
      <c r="S660" s="101" t="s">
        <v>528</v>
      </c>
      <c r="T660" s="234"/>
    </row>
    <row r="661" spans="1:20" ht="57.6" x14ac:dyDescent="0.3">
      <c r="A661" s="96">
        <f t="shared" ref="A661:A692" si="24">A660+1</f>
        <v>658</v>
      </c>
      <c r="B661" s="170" t="s">
        <v>301</v>
      </c>
      <c r="C661" s="132">
        <v>45799</v>
      </c>
      <c r="D661" s="331">
        <v>43149065</v>
      </c>
      <c r="E661" s="271" t="s">
        <v>2858</v>
      </c>
      <c r="F661" s="179" t="s">
        <v>23</v>
      </c>
      <c r="G661" s="125" t="s">
        <v>8</v>
      </c>
      <c r="H661" s="106">
        <v>45799</v>
      </c>
      <c r="I661" s="137"/>
      <c r="J661" s="102" t="s">
        <v>135</v>
      </c>
      <c r="K661" s="27"/>
      <c r="L661" s="356"/>
      <c r="M661" s="259"/>
      <c r="N661" s="29"/>
      <c r="O661" s="30"/>
      <c r="P661" s="54"/>
      <c r="Q661" s="83">
        <v>45799</v>
      </c>
      <c r="R661" s="89">
        <f t="shared" si="23"/>
        <v>1</v>
      </c>
      <c r="S661" s="101" t="s">
        <v>1916</v>
      </c>
      <c r="T661" s="234"/>
    </row>
    <row r="662" spans="1:20" ht="57.6" x14ac:dyDescent="0.3">
      <c r="A662" s="96">
        <f t="shared" si="24"/>
        <v>659</v>
      </c>
      <c r="B662" s="170">
        <v>1550</v>
      </c>
      <c r="C662" s="132">
        <v>45799</v>
      </c>
      <c r="D662" s="331"/>
      <c r="E662" s="271" t="s">
        <v>2859</v>
      </c>
      <c r="F662" s="111" t="s">
        <v>1314</v>
      </c>
      <c r="G662" s="376" t="s">
        <v>6</v>
      </c>
      <c r="H662" s="106">
        <v>45799</v>
      </c>
      <c r="I662" s="137"/>
      <c r="J662" s="102" t="s">
        <v>99</v>
      </c>
      <c r="K662" s="27"/>
      <c r="L662" s="356"/>
      <c r="M662" s="259"/>
      <c r="N662" s="29"/>
      <c r="O662" s="30"/>
      <c r="P662" s="54"/>
      <c r="Q662" s="83">
        <v>45803</v>
      </c>
      <c r="R662" s="89">
        <f t="shared" si="23"/>
        <v>1.0000873381514881</v>
      </c>
      <c r="S662" s="101" t="s">
        <v>1312</v>
      </c>
      <c r="T662" s="234"/>
    </row>
    <row r="663" spans="1:20" ht="57.6" x14ac:dyDescent="0.3">
      <c r="A663" s="96">
        <f t="shared" si="24"/>
        <v>660</v>
      </c>
      <c r="B663" s="170">
        <v>1550</v>
      </c>
      <c r="C663" s="132">
        <v>45799</v>
      </c>
      <c r="D663" s="331">
        <v>5956021</v>
      </c>
      <c r="E663" s="271" t="s">
        <v>2860</v>
      </c>
      <c r="F663" s="179" t="s">
        <v>1</v>
      </c>
      <c r="G663" s="125" t="s">
        <v>6</v>
      </c>
      <c r="H663" s="106">
        <v>45799</v>
      </c>
      <c r="I663" s="137"/>
      <c r="J663" s="107" t="s">
        <v>99</v>
      </c>
      <c r="K663" s="27"/>
      <c r="L663" s="356"/>
      <c r="M663" s="259"/>
      <c r="N663" s="29"/>
      <c r="O663" s="30"/>
      <c r="P663" s="54"/>
      <c r="Q663" s="83">
        <v>45807</v>
      </c>
      <c r="R663" s="89">
        <f t="shared" si="23"/>
        <v>1.000174676302976</v>
      </c>
      <c r="S663" s="101" t="s">
        <v>2597</v>
      </c>
      <c r="T663" s="234" t="s">
        <v>2861</v>
      </c>
    </row>
    <row r="664" spans="1:20" ht="57.6" x14ac:dyDescent="0.3">
      <c r="A664" s="96">
        <f t="shared" si="24"/>
        <v>661</v>
      </c>
      <c r="B664" s="170">
        <v>1550</v>
      </c>
      <c r="C664" s="132">
        <v>45799</v>
      </c>
      <c r="D664" s="331"/>
      <c r="E664" s="271" t="s">
        <v>2862</v>
      </c>
      <c r="F664" s="111" t="s">
        <v>1314</v>
      </c>
      <c r="G664" s="376" t="s">
        <v>6</v>
      </c>
      <c r="H664" s="106">
        <v>45799</v>
      </c>
      <c r="I664" s="137"/>
      <c r="J664" s="102" t="s">
        <v>99</v>
      </c>
      <c r="K664" s="27"/>
      <c r="L664" s="356"/>
      <c r="M664" s="259"/>
      <c r="N664" s="29"/>
      <c r="O664" s="30"/>
      <c r="P664" s="54"/>
      <c r="Q664" s="83">
        <v>45803</v>
      </c>
      <c r="R664" s="89">
        <f t="shared" si="23"/>
        <v>1.0000873381514881</v>
      </c>
      <c r="S664" s="101" t="s">
        <v>1312</v>
      </c>
      <c r="T664" s="234"/>
    </row>
    <row r="665" spans="1:20" ht="57.6" x14ac:dyDescent="0.3">
      <c r="A665" s="96">
        <f t="shared" si="24"/>
        <v>662</v>
      </c>
      <c r="B665" s="170">
        <v>1550</v>
      </c>
      <c r="C665" s="132">
        <v>45799</v>
      </c>
      <c r="D665" s="331"/>
      <c r="E665" s="271" t="s">
        <v>2800</v>
      </c>
      <c r="F665" s="111" t="s">
        <v>1314</v>
      </c>
      <c r="G665" s="376" t="s">
        <v>6</v>
      </c>
      <c r="H665" s="106">
        <v>45799</v>
      </c>
      <c r="I665" s="137"/>
      <c r="J665" s="102" t="s">
        <v>99</v>
      </c>
      <c r="K665" s="27"/>
      <c r="L665" s="356"/>
      <c r="M665" s="259"/>
      <c r="N665" s="29"/>
      <c r="O665" s="30"/>
      <c r="P665" s="54"/>
      <c r="Q665" s="83">
        <v>45803</v>
      </c>
      <c r="R665" s="89">
        <f t="shared" si="23"/>
        <v>1.0000873381514881</v>
      </c>
      <c r="S665" s="101" t="s">
        <v>1934</v>
      </c>
      <c r="T665" s="234"/>
    </row>
    <row r="666" spans="1:20" ht="115.2" x14ac:dyDescent="0.3">
      <c r="A666" s="96">
        <f t="shared" si="24"/>
        <v>663</v>
      </c>
      <c r="B666" s="170" t="s">
        <v>301</v>
      </c>
      <c r="C666" s="132">
        <v>45799</v>
      </c>
      <c r="D666" s="331"/>
      <c r="E666" s="271" t="s">
        <v>2863</v>
      </c>
      <c r="F666" s="179" t="s">
        <v>21</v>
      </c>
      <c r="G666" s="125" t="s">
        <v>6</v>
      </c>
      <c r="H666" s="106">
        <v>45799</v>
      </c>
      <c r="I666" s="137"/>
      <c r="J666" s="102" t="s">
        <v>2306</v>
      </c>
      <c r="K666" s="27"/>
      <c r="L666" s="356"/>
      <c r="M666" s="259"/>
      <c r="N666" s="29"/>
      <c r="O666" s="30"/>
      <c r="P666" s="54"/>
      <c r="Q666" s="83">
        <v>45800</v>
      </c>
      <c r="R666" s="89">
        <f t="shared" si="23"/>
        <v>1.000021834537872</v>
      </c>
      <c r="S666" s="101" t="s">
        <v>1860</v>
      </c>
      <c r="T666" s="234"/>
    </row>
    <row r="667" spans="1:20" ht="57.6" x14ac:dyDescent="0.3">
      <c r="A667" s="96">
        <f t="shared" si="24"/>
        <v>664</v>
      </c>
      <c r="B667" s="170" t="s">
        <v>301</v>
      </c>
      <c r="C667" s="132">
        <v>45799</v>
      </c>
      <c r="D667" s="331">
        <v>91034175</v>
      </c>
      <c r="E667" s="271" t="s">
        <v>2856</v>
      </c>
      <c r="F667" s="179" t="s">
        <v>23</v>
      </c>
      <c r="G667" s="125" t="s">
        <v>8</v>
      </c>
      <c r="H667" s="106">
        <v>45799</v>
      </c>
      <c r="I667" s="137"/>
      <c r="J667" s="102" t="s">
        <v>135</v>
      </c>
      <c r="K667" s="27"/>
      <c r="L667" s="356"/>
      <c r="M667" s="259"/>
      <c r="N667" s="29"/>
      <c r="O667" s="30"/>
      <c r="P667" s="54"/>
      <c r="Q667" s="83">
        <v>45800</v>
      </c>
      <c r="R667" s="89">
        <f t="shared" si="23"/>
        <v>1.000021834537872</v>
      </c>
      <c r="S667" s="101" t="s">
        <v>1916</v>
      </c>
      <c r="T667" s="234"/>
    </row>
    <row r="668" spans="1:20" ht="57.6" x14ac:dyDescent="0.3">
      <c r="A668" s="96">
        <f t="shared" si="24"/>
        <v>665</v>
      </c>
      <c r="B668" s="170" t="s">
        <v>80</v>
      </c>
      <c r="C668" s="132">
        <v>45799</v>
      </c>
      <c r="D668" s="331"/>
      <c r="E668" s="271" t="s">
        <v>2864</v>
      </c>
      <c r="F668" s="179" t="s">
        <v>1314</v>
      </c>
      <c r="G668" s="125" t="s">
        <v>10</v>
      </c>
      <c r="H668" s="106">
        <v>45799</v>
      </c>
      <c r="I668" s="137"/>
      <c r="J668" s="102" t="s">
        <v>99</v>
      </c>
      <c r="K668" s="27"/>
      <c r="L668" s="356"/>
      <c r="M668" s="259"/>
      <c r="N668" s="29"/>
      <c r="O668" s="30"/>
      <c r="P668" s="54"/>
      <c r="Q668" s="83">
        <v>45803</v>
      </c>
      <c r="R668" s="89">
        <f t="shared" si="23"/>
        <v>1.0000873381514881</v>
      </c>
      <c r="S668" s="101" t="s">
        <v>1319</v>
      </c>
      <c r="T668" s="234"/>
    </row>
    <row r="669" spans="1:20" ht="28.8" x14ac:dyDescent="0.3">
      <c r="A669" s="96">
        <f t="shared" si="24"/>
        <v>666</v>
      </c>
      <c r="B669" s="170" t="s">
        <v>80</v>
      </c>
      <c r="C669" s="132">
        <v>45799</v>
      </c>
      <c r="D669" s="331">
        <v>340577886</v>
      </c>
      <c r="E669" s="271" t="s">
        <v>2865</v>
      </c>
      <c r="F669" s="179" t="s">
        <v>23</v>
      </c>
      <c r="G669" s="125" t="s">
        <v>10</v>
      </c>
      <c r="H669" s="106">
        <v>45799</v>
      </c>
      <c r="I669" s="137"/>
      <c r="J669" s="102" t="s">
        <v>135</v>
      </c>
      <c r="K669" s="27"/>
      <c r="L669" s="356"/>
      <c r="M669" s="259"/>
      <c r="N669" s="29"/>
      <c r="O669" s="30"/>
      <c r="P669" s="54"/>
      <c r="Q669" s="83">
        <v>45799</v>
      </c>
      <c r="R669" s="89">
        <f t="shared" si="23"/>
        <v>1</v>
      </c>
      <c r="S669" s="101" t="s">
        <v>1806</v>
      </c>
      <c r="T669" s="234"/>
    </row>
    <row r="670" spans="1:20" ht="43.2" x14ac:dyDescent="0.3">
      <c r="A670" s="96">
        <f t="shared" si="24"/>
        <v>667</v>
      </c>
      <c r="B670" s="170"/>
      <c r="C670" s="132">
        <v>45799</v>
      </c>
      <c r="D670" s="331">
        <v>311533515</v>
      </c>
      <c r="E670" s="271" t="s">
        <v>2866</v>
      </c>
      <c r="F670" s="179" t="s">
        <v>23</v>
      </c>
      <c r="G670" s="125" t="s">
        <v>10</v>
      </c>
      <c r="H670" s="106">
        <v>45799</v>
      </c>
      <c r="I670" s="137"/>
      <c r="J670" s="102" t="s">
        <v>135</v>
      </c>
      <c r="K670" s="27"/>
      <c r="L670" s="356"/>
      <c r="M670" s="259"/>
      <c r="N670" s="29"/>
      <c r="O670" s="30"/>
      <c r="P670" s="54"/>
      <c r="Q670" s="83">
        <v>45799</v>
      </c>
      <c r="R670" s="89">
        <f t="shared" si="23"/>
        <v>1</v>
      </c>
      <c r="S670" s="101" t="s">
        <v>2209</v>
      </c>
      <c r="T670" s="234"/>
    </row>
    <row r="671" spans="1:20" ht="115.2" x14ac:dyDescent="0.3">
      <c r="A671" s="96">
        <f t="shared" si="24"/>
        <v>668</v>
      </c>
      <c r="B671" s="170" t="s">
        <v>80</v>
      </c>
      <c r="C671" s="132">
        <v>45799</v>
      </c>
      <c r="D671" s="331">
        <v>358278392</v>
      </c>
      <c r="E671" s="271" t="s">
        <v>2867</v>
      </c>
      <c r="F671" s="179" t="s">
        <v>15</v>
      </c>
      <c r="G671" s="125" t="s">
        <v>10</v>
      </c>
      <c r="H671" s="106">
        <v>45799</v>
      </c>
      <c r="I671" s="137"/>
      <c r="J671" s="100" t="s">
        <v>99</v>
      </c>
      <c r="K671" s="27"/>
      <c r="L671" s="356"/>
      <c r="M671" s="259"/>
      <c r="N671" s="29"/>
      <c r="O671" s="30"/>
      <c r="P671" s="54"/>
      <c r="Q671" s="83">
        <v>45807</v>
      </c>
      <c r="R671" s="89">
        <f t="shared" si="23"/>
        <v>1.000174676302976</v>
      </c>
      <c r="S671" s="101" t="s">
        <v>1319</v>
      </c>
      <c r="T671" s="234"/>
    </row>
    <row r="672" spans="1:20" ht="57.6" x14ac:dyDescent="0.3">
      <c r="A672" s="96">
        <f t="shared" si="24"/>
        <v>669</v>
      </c>
      <c r="B672" s="170" t="s">
        <v>80</v>
      </c>
      <c r="C672" s="132">
        <v>45799</v>
      </c>
      <c r="D672" s="331"/>
      <c r="E672" s="271" t="s">
        <v>2868</v>
      </c>
      <c r="F672" s="179" t="s">
        <v>1314</v>
      </c>
      <c r="G672" s="125" t="s">
        <v>10</v>
      </c>
      <c r="H672" s="106">
        <v>45799</v>
      </c>
      <c r="I672" s="137"/>
      <c r="J672" s="102" t="s">
        <v>99</v>
      </c>
      <c r="K672" s="27"/>
      <c r="L672" s="356"/>
      <c r="M672" s="259"/>
      <c r="N672" s="29"/>
      <c r="O672" s="30"/>
      <c r="P672" s="54"/>
      <c r="Q672" s="83">
        <v>45803</v>
      </c>
      <c r="R672" s="89">
        <f t="shared" si="23"/>
        <v>1.0000873381514881</v>
      </c>
      <c r="S672" s="101" t="s">
        <v>1319</v>
      </c>
      <c r="T672" s="234"/>
    </row>
    <row r="673" spans="1:20" ht="28.8" x14ac:dyDescent="0.3">
      <c r="A673" s="96">
        <f t="shared" si="24"/>
        <v>670</v>
      </c>
      <c r="B673" s="170" t="s">
        <v>80</v>
      </c>
      <c r="C673" s="132">
        <v>45799</v>
      </c>
      <c r="D673" s="331">
        <v>321723708</v>
      </c>
      <c r="E673" s="271" t="s">
        <v>2869</v>
      </c>
      <c r="F673" s="179" t="s">
        <v>23</v>
      </c>
      <c r="G673" s="125" t="s">
        <v>10</v>
      </c>
      <c r="H673" s="106">
        <v>45799</v>
      </c>
      <c r="I673" s="137"/>
      <c r="J673" s="102" t="s">
        <v>135</v>
      </c>
      <c r="K673" s="27"/>
      <c r="L673" s="356"/>
      <c r="M673" s="259"/>
      <c r="N673" s="29"/>
      <c r="O673" s="30"/>
      <c r="P673" s="54"/>
      <c r="Q673" s="83">
        <v>45799</v>
      </c>
      <c r="R673" s="89">
        <f t="shared" si="23"/>
        <v>1</v>
      </c>
      <c r="S673" s="101" t="s">
        <v>1806</v>
      </c>
      <c r="T673" s="234"/>
    </row>
    <row r="674" spans="1:20" ht="57.6" x14ac:dyDescent="0.3">
      <c r="A674" s="96">
        <f t="shared" si="24"/>
        <v>671</v>
      </c>
      <c r="B674" s="170" t="s">
        <v>80</v>
      </c>
      <c r="C674" s="132">
        <v>45799</v>
      </c>
      <c r="D674" s="331"/>
      <c r="E674" s="271" t="s">
        <v>2870</v>
      </c>
      <c r="F674" s="179" t="s">
        <v>1314</v>
      </c>
      <c r="G674" s="125" t="s">
        <v>10</v>
      </c>
      <c r="H674" s="106">
        <v>45799</v>
      </c>
      <c r="I674" s="137"/>
      <c r="J674" s="102" t="s">
        <v>99</v>
      </c>
      <c r="K674" s="27"/>
      <c r="L674" s="356"/>
      <c r="M674" s="259"/>
      <c r="N674" s="29"/>
      <c r="O674" s="30"/>
      <c r="P674" s="54"/>
      <c r="Q674" s="83">
        <v>45803</v>
      </c>
      <c r="R674" s="89">
        <f t="shared" si="23"/>
        <v>1.0000873381514881</v>
      </c>
      <c r="S674" s="101" t="s">
        <v>1319</v>
      </c>
      <c r="T674" s="234"/>
    </row>
    <row r="675" spans="1:20" ht="57.6" x14ac:dyDescent="0.3">
      <c r="A675" s="96">
        <f t="shared" si="24"/>
        <v>672</v>
      </c>
      <c r="B675" s="170" t="s">
        <v>80</v>
      </c>
      <c r="C675" s="132">
        <v>45799</v>
      </c>
      <c r="D675" s="331"/>
      <c r="E675" s="271" t="s">
        <v>2871</v>
      </c>
      <c r="F675" s="179" t="s">
        <v>1314</v>
      </c>
      <c r="G675" s="125" t="s">
        <v>10</v>
      </c>
      <c r="H675" s="106">
        <v>45799</v>
      </c>
      <c r="I675" s="137"/>
      <c r="J675" s="102" t="s">
        <v>99</v>
      </c>
      <c r="K675" s="27"/>
      <c r="L675" s="356"/>
      <c r="M675" s="259"/>
      <c r="N675" s="29"/>
      <c r="O675" s="30"/>
      <c r="P675" s="54"/>
      <c r="Q675" s="83">
        <v>45803</v>
      </c>
      <c r="R675" s="89">
        <f t="shared" si="23"/>
        <v>1.0000873381514881</v>
      </c>
      <c r="S675" s="101" t="s">
        <v>1319</v>
      </c>
      <c r="T675" s="234"/>
    </row>
    <row r="676" spans="1:20" ht="57.6" x14ac:dyDescent="0.3">
      <c r="A676" s="96">
        <f t="shared" si="24"/>
        <v>673</v>
      </c>
      <c r="B676" s="170" t="s">
        <v>80</v>
      </c>
      <c r="C676" s="132">
        <v>45799</v>
      </c>
      <c r="D676" s="331"/>
      <c r="E676" s="271" t="s">
        <v>2872</v>
      </c>
      <c r="F676" s="179" t="s">
        <v>1314</v>
      </c>
      <c r="G676" s="125" t="s">
        <v>10</v>
      </c>
      <c r="H676" s="106">
        <v>45799</v>
      </c>
      <c r="I676" s="137"/>
      <c r="J676" s="102" t="s">
        <v>99</v>
      </c>
      <c r="K676" s="27"/>
      <c r="L676" s="356"/>
      <c r="M676" s="259"/>
      <c r="N676" s="29"/>
      <c r="O676" s="30"/>
      <c r="P676" s="54"/>
      <c r="Q676" s="83">
        <v>45803</v>
      </c>
      <c r="R676" s="89">
        <f t="shared" si="23"/>
        <v>1.0000873381514881</v>
      </c>
      <c r="S676" s="101" t="s">
        <v>1319</v>
      </c>
      <c r="T676" s="234"/>
    </row>
    <row r="677" spans="1:20" ht="28.8" x14ac:dyDescent="0.3">
      <c r="A677" s="96">
        <f t="shared" si="24"/>
        <v>674</v>
      </c>
      <c r="B677" s="170" t="s">
        <v>80</v>
      </c>
      <c r="C677" s="132">
        <v>45799</v>
      </c>
      <c r="D677" s="331">
        <v>83101195</v>
      </c>
      <c r="E677" s="271" t="s">
        <v>2873</v>
      </c>
      <c r="F677" s="179" t="s">
        <v>23</v>
      </c>
      <c r="G677" s="125" t="s">
        <v>10</v>
      </c>
      <c r="H677" s="106">
        <v>45799</v>
      </c>
      <c r="I677" s="137"/>
      <c r="J677" s="102" t="s">
        <v>135</v>
      </c>
      <c r="K677" s="27"/>
      <c r="L677" s="356"/>
      <c r="M677" s="259"/>
      <c r="N677" s="29"/>
      <c r="O677" s="30"/>
      <c r="P677" s="54"/>
      <c r="Q677" s="83">
        <v>45799</v>
      </c>
      <c r="R677" s="89">
        <f t="shared" si="23"/>
        <v>1</v>
      </c>
      <c r="S677" s="101" t="s">
        <v>1319</v>
      </c>
      <c r="T677" s="234"/>
    </row>
    <row r="678" spans="1:20" ht="57.6" x14ac:dyDescent="0.3">
      <c r="A678" s="96">
        <f t="shared" si="24"/>
        <v>675</v>
      </c>
      <c r="B678" s="170" t="s">
        <v>80</v>
      </c>
      <c r="C678" s="132">
        <v>45799</v>
      </c>
      <c r="D678" s="331"/>
      <c r="E678" s="271" t="s">
        <v>2874</v>
      </c>
      <c r="F678" s="179" t="s">
        <v>1314</v>
      </c>
      <c r="G678" s="125" t="s">
        <v>10</v>
      </c>
      <c r="H678" s="106">
        <v>45799</v>
      </c>
      <c r="I678" s="137"/>
      <c r="J678" s="102" t="s">
        <v>99</v>
      </c>
      <c r="K678" s="27"/>
      <c r="L678" s="356"/>
      <c r="M678" s="259"/>
      <c r="N678" s="29"/>
      <c r="O678" s="30"/>
      <c r="P678" s="54"/>
      <c r="Q678" s="83">
        <v>45803</v>
      </c>
      <c r="R678" s="89">
        <f t="shared" si="23"/>
        <v>1.0000873381514881</v>
      </c>
      <c r="S678" s="101" t="s">
        <v>1319</v>
      </c>
      <c r="T678" s="234"/>
    </row>
    <row r="679" spans="1:20" ht="28.8" x14ac:dyDescent="0.3">
      <c r="A679" s="96">
        <f t="shared" si="24"/>
        <v>676</v>
      </c>
      <c r="B679" s="170" t="s">
        <v>80</v>
      </c>
      <c r="C679" s="132">
        <v>45799</v>
      </c>
      <c r="D679" s="331">
        <v>321700872</v>
      </c>
      <c r="E679" s="271" t="s">
        <v>2875</v>
      </c>
      <c r="F679" s="179" t="s">
        <v>23</v>
      </c>
      <c r="G679" s="125" t="s">
        <v>10</v>
      </c>
      <c r="H679" s="106">
        <v>45799</v>
      </c>
      <c r="I679" s="137"/>
      <c r="J679" s="102" t="s">
        <v>135</v>
      </c>
      <c r="K679" s="27"/>
      <c r="L679" s="356"/>
      <c r="M679" s="259"/>
      <c r="N679" s="29"/>
      <c r="O679" s="30"/>
      <c r="P679" s="54"/>
      <c r="Q679" s="83">
        <v>45799</v>
      </c>
      <c r="R679" s="89">
        <f t="shared" si="23"/>
        <v>1</v>
      </c>
      <c r="S679" s="101" t="s">
        <v>1319</v>
      </c>
      <c r="T679" s="234"/>
    </row>
    <row r="680" spans="1:20" ht="57.6" x14ac:dyDescent="0.3">
      <c r="A680" s="96">
        <f t="shared" si="24"/>
        <v>677</v>
      </c>
      <c r="B680" s="170" t="s">
        <v>80</v>
      </c>
      <c r="C680" s="132">
        <v>45799</v>
      </c>
      <c r="D680" s="331"/>
      <c r="E680" s="271" t="s">
        <v>2876</v>
      </c>
      <c r="F680" s="179" t="s">
        <v>1314</v>
      </c>
      <c r="G680" s="125" t="s">
        <v>10</v>
      </c>
      <c r="H680" s="106">
        <v>45799</v>
      </c>
      <c r="I680" s="137"/>
      <c r="J680" s="102" t="s">
        <v>99</v>
      </c>
      <c r="K680" s="27"/>
      <c r="L680" s="356"/>
      <c r="M680" s="259"/>
      <c r="N680" s="29"/>
      <c r="O680" s="30"/>
      <c r="P680" s="54"/>
      <c r="Q680" s="83">
        <v>45803</v>
      </c>
      <c r="R680" s="89">
        <f t="shared" si="23"/>
        <v>1.0000873381514881</v>
      </c>
      <c r="S680" s="101" t="s">
        <v>1319</v>
      </c>
      <c r="T680" s="234"/>
    </row>
    <row r="681" spans="1:20" ht="57.6" x14ac:dyDescent="0.3">
      <c r="A681" s="96">
        <f t="shared" si="24"/>
        <v>678</v>
      </c>
      <c r="B681" s="170" t="s">
        <v>80</v>
      </c>
      <c r="C681" s="132">
        <v>45799</v>
      </c>
      <c r="D681" s="331"/>
      <c r="E681" s="271" t="s">
        <v>2877</v>
      </c>
      <c r="F681" s="179" t="s">
        <v>1314</v>
      </c>
      <c r="G681" s="125" t="s">
        <v>10</v>
      </c>
      <c r="H681" s="106">
        <v>45799</v>
      </c>
      <c r="I681" s="137"/>
      <c r="J681" s="102" t="s">
        <v>99</v>
      </c>
      <c r="K681" s="27"/>
      <c r="L681" s="356"/>
      <c r="M681" s="259"/>
      <c r="N681" s="29"/>
      <c r="O681" s="30"/>
      <c r="P681" s="54"/>
      <c r="Q681" s="83">
        <v>45803</v>
      </c>
      <c r="R681" s="89">
        <f t="shared" si="23"/>
        <v>1.0000873381514881</v>
      </c>
      <c r="S681" s="101" t="s">
        <v>1319</v>
      </c>
      <c r="T681" s="234"/>
    </row>
    <row r="682" spans="1:20" ht="57.6" x14ac:dyDescent="0.3">
      <c r="A682" s="96">
        <f t="shared" si="24"/>
        <v>679</v>
      </c>
      <c r="B682" s="170" t="s">
        <v>80</v>
      </c>
      <c r="C682" s="132">
        <v>45799</v>
      </c>
      <c r="D682" s="331"/>
      <c r="E682" s="271" t="s">
        <v>2878</v>
      </c>
      <c r="F682" s="179" t="s">
        <v>1314</v>
      </c>
      <c r="G682" s="125" t="s">
        <v>10</v>
      </c>
      <c r="H682" s="106">
        <v>45799</v>
      </c>
      <c r="I682" s="137"/>
      <c r="J682" s="102" t="s">
        <v>99</v>
      </c>
      <c r="K682" s="27"/>
      <c r="L682" s="356"/>
      <c r="M682" s="259"/>
      <c r="N682" s="29"/>
      <c r="O682" s="30"/>
      <c r="P682" s="54"/>
      <c r="Q682" s="83">
        <v>45803</v>
      </c>
      <c r="R682" s="89">
        <f t="shared" si="23"/>
        <v>1.0000873381514881</v>
      </c>
      <c r="S682" s="101" t="s">
        <v>1319</v>
      </c>
      <c r="T682" s="234"/>
    </row>
    <row r="683" spans="1:20" ht="100.8" x14ac:dyDescent="0.3">
      <c r="A683" s="96">
        <f t="shared" si="24"/>
        <v>680</v>
      </c>
      <c r="B683" s="170" t="s">
        <v>80</v>
      </c>
      <c r="C683" s="132">
        <v>45799</v>
      </c>
      <c r="D683" s="331">
        <v>6253032</v>
      </c>
      <c r="E683" s="271" t="s">
        <v>2879</v>
      </c>
      <c r="F683" s="179" t="s">
        <v>15</v>
      </c>
      <c r="G683" s="125" t="s">
        <v>10</v>
      </c>
      <c r="H683" s="106">
        <v>45799</v>
      </c>
      <c r="I683" s="137"/>
      <c r="J683" s="100" t="s">
        <v>99</v>
      </c>
      <c r="K683" s="27"/>
      <c r="L683" s="356"/>
      <c r="M683" s="259"/>
      <c r="N683" s="29"/>
      <c r="O683" s="30"/>
      <c r="P683" s="54"/>
      <c r="Q683" s="83">
        <v>45807</v>
      </c>
      <c r="R683" s="89">
        <f t="shared" si="23"/>
        <v>1.000174676302976</v>
      </c>
      <c r="S683" s="101" t="s">
        <v>1319</v>
      </c>
      <c r="T683" s="234"/>
    </row>
    <row r="684" spans="1:20" ht="57.6" x14ac:dyDescent="0.3">
      <c r="A684" s="96">
        <f t="shared" si="24"/>
        <v>681</v>
      </c>
      <c r="B684" s="170" t="s">
        <v>301</v>
      </c>
      <c r="C684" s="132">
        <v>45799</v>
      </c>
      <c r="D684" s="331"/>
      <c r="E684" s="271" t="s">
        <v>2880</v>
      </c>
      <c r="F684" s="179" t="s">
        <v>1314</v>
      </c>
      <c r="G684" s="125" t="s">
        <v>10</v>
      </c>
      <c r="H684" s="106">
        <v>45799</v>
      </c>
      <c r="I684" s="137"/>
      <c r="J684" s="102" t="s">
        <v>99</v>
      </c>
      <c r="K684" s="27"/>
      <c r="L684" s="356"/>
      <c r="M684" s="259"/>
      <c r="N684" s="29"/>
      <c r="O684" s="30"/>
      <c r="P684" s="54"/>
      <c r="Q684" s="83">
        <v>45803</v>
      </c>
      <c r="R684" s="89">
        <f t="shared" si="23"/>
        <v>1.0000873381514881</v>
      </c>
      <c r="S684" s="101" t="s">
        <v>214</v>
      </c>
      <c r="T684" s="234"/>
    </row>
    <row r="685" spans="1:20" ht="28.8" x14ac:dyDescent="0.3">
      <c r="A685" s="96">
        <f t="shared" si="24"/>
        <v>682</v>
      </c>
      <c r="B685" s="170">
        <v>1550</v>
      </c>
      <c r="C685" s="132">
        <v>45800</v>
      </c>
      <c r="D685" s="331">
        <v>120513846</v>
      </c>
      <c r="E685" s="271" t="s">
        <v>2881</v>
      </c>
      <c r="F685" s="179" t="s">
        <v>1</v>
      </c>
      <c r="G685" s="125" t="s">
        <v>8</v>
      </c>
      <c r="H685" s="106">
        <v>45800</v>
      </c>
      <c r="I685" s="137"/>
      <c r="J685" s="102" t="s">
        <v>2306</v>
      </c>
      <c r="K685" s="27"/>
      <c r="L685" s="356"/>
      <c r="M685" s="259"/>
      <c r="N685" s="29"/>
      <c r="O685" s="30"/>
      <c r="P685" s="54"/>
      <c r="Q685" s="83">
        <v>45800</v>
      </c>
      <c r="R685" s="89">
        <f t="shared" si="23"/>
        <v>1</v>
      </c>
      <c r="S685" s="101" t="s">
        <v>1246</v>
      </c>
      <c r="T685" s="234"/>
    </row>
    <row r="686" spans="1:20" ht="43.2" x14ac:dyDescent="0.3">
      <c r="A686" s="96">
        <f t="shared" si="24"/>
        <v>683</v>
      </c>
      <c r="B686" s="170">
        <v>1550</v>
      </c>
      <c r="C686" s="132">
        <v>45800</v>
      </c>
      <c r="D686" s="331">
        <v>316026867</v>
      </c>
      <c r="E686" s="271" t="s">
        <v>2882</v>
      </c>
      <c r="F686" s="179" t="s">
        <v>14</v>
      </c>
      <c r="G686" s="125" t="s">
        <v>8</v>
      </c>
      <c r="H686" s="106">
        <v>45800</v>
      </c>
      <c r="I686" s="137"/>
      <c r="J686" s="102" t="s">
        <v>253</v>
      </c>
      <c r="K686" s="27"/>
      <c r="L686" s="356"/>
      <c r="M686" s="259"/>
      <c r="N686" s="29"/>
      <c r="O686" s="30"/>
      <c r="P686" s="54"/>
      <c r="Q686" s="83">
        <v>45803</v>
      </c>
      <c r="R686" s="89">
        <f t="shared" si="23"/>
        <v>1.0000655021834062</v>
      </c>
      <c r="S686" s="101" t="s">
        <v>151</v>
      </c>
      <c r="T686" s="234"/>
    </row>
    <row r="687" spans="1:20" ht="72" x14ac:dyDescent="0.3">
      <c r="A687" s="96">
        <f t="shared" si="24"/>
        <v>684</v>
      </c>
      <c r="B687" s="170">
        <v>1550</v>
      </c>
      <c r="C687" s="132">
        <v>45800</v>
      </c>
      <c r="D687" s="331"/>
      <c r="E687" s="271" t="s">
        <v>2883</v>
      </c>
      <c r="F687" s="179" t="s">
        <v>1314</v>
      </c>
      <c r="G687" s="125" t="s">
        <v>8</v>
      </c>
      <c r="H687" s="106">
        <v>45800</v>
      </c>
      <c r="I687" s="137"/>
      <c r="J687" s="102" t="s">
        <v>99</v>
      </c>
      <c r="K687" s="27"/>
      <c r="L687" s="356"/>
      <c r="M687" s="259"/>
      <c r="N687" s="29"/>
      <c r="O687" s="30"/>
      <c r="P687" s="54"/>
      <c r="Q687" s="83">
        <v>45803</v>
      </c>
      <c r="R687" s="89">
        <f t="shared" si="23"/>
        <v>1.0000655021834062</v>
      </c>
      <c r="S687" s="101" t="s">
        <v>528</v>
      </c>
      <c r="T687" s="234"/>
    </row>
    <row r="688" spans="1:20" ht="43.2" x14ac:dyDescent="0.3">
      <c r="A688" s="96">
        <f t="shared" si="24"/>
        <v>685</v>
      </c>
      <c r="B688" s="170">
        <v>1550</v>
      </c>
      <c r="C688" s="132">
        <v>45800</v>
      </c>
      <c r="D688" s="331">
        <v>70510482</v>
      </c>
      <c r="E688" s="271" t="s">
        <v>2884</v>
      </c>
      <c r="F688" s="179" t="s">
        <v>17</v>
      </c>
      <c r="G688" s="125" t="s">
        <v>8</v>
      </c>
      <c r="H688" s="106">
        <v>45800</v>
      </c>
      <c r="I688" s="137"/>
      <c r="J688" s="100" t="s">
        <v>82</v>
      </c>
      <c r="K688" s="27"/>
      <c r="L688" s="356"/>
      <c r="M688" s="259"/>
      <c r="N688" s="29"/>
      <c r="O688" s="30"/>
      <c r="P688" s="54"/>
      <c r="Q688" s="83">
        <v>45804</v>
      </c>
      <c r="R688" s="89">
        <f t="shared" si="23"/>
        <v>1.0000873362445415</v>
      </c>
      <c r="S688" s="101" t="s">
        <v>2712</v>
      </c>
      <c r="T688" s="234"/>
    </row>
    <row r="689" spans="1:20" ht="57.6" x14ac:dyDescent="0.3">
      <c r="A689" s="96">
        <f t="shared" si="24"/>
        <v>686</v>
      </c>
      <c r="B689" s="170" t="s">
        <v>301</v>
      </c>
      <c r="C689" s="132">
        <v>45800</v>
      </c>
      <c r="D689" s="331"/>
      <c r="E689" s="271" t="s">
        <v>2885</v>
      </c>
      <c r="F689" s="179" t="s">
        <v>1314</v>
      </c>
      <c r="G689" s="125" t="s">
        <v>4</v>
      </c>
      <c r="H689" s="106">
        <v>45800</v>
      </c>
      <c r="I689" s="137"/>
      <c r="J689" s="102" t="s">
        <v>99</v>
      </c>
      <c r="K689" s="27"/>
      <c r="L689" s="356"/>
      <c r="M689" s="259"/>
      <c r="N689" s="29"/>
      <c r="O689" s="30"/>
      <c r="P689" s="54"/>
      <c r="Q689" s="83">
        <v>45803</v>
      </c>
      <c r="R689" s="89">
        <f t="shared" si="23"/>
        <v>1.0000655021834062</v>
      </c>
      <c r="S689" s="101"/>
      <c r="T689" s="234"/>
    </row>
    <row r="690" spans="1:20" ht="57.6" x14ac:dyDescent="0.3">
      <c r="A690" s="96">
        <f t="shared" si="24"/>
        <v>687</v>
      </c>
      <c r="B690" s="170" t="s">
        <v>301</v>
      </c>
      <c r="C690" s="132">
        <v>45800</v>
      </c>
      <c r="D690" s="331"/>
      <c r="E690" s="271" t="s">
        <v>2886</v>
      </c>
      <c r="F690" s="179" t="s">
        <v>1314</v>
      </c>
      <c r="G690" s="125" t="s">
        <v>4</v>
      </c>
      <c r="H690" s="106">
        <v>45800</v>
      </c>
      <c r="I690" s="137"/>
      <c r="J690" s="102" t="s">
        <v>99</v>
      </c>
      <c r="K690" s="27"/>
      <c r="L690" s="356"/>
      <c r="M690" s="259"/>
      <c r="N690" s="29"/>
      <c r="O690" s="30"/>
      <c r="P690" s="54"/>
      <c r="Q690" s="83">
        <v>45803</v>
      </c>
      <c r="R690" s="89">
        <f t="shared" si="23"/>
        <v>1.0000655021834062</v>
      </c>
      <c r="S690" s="101"/>
      <c r="T690" s="234"/>
    </row>
    <row r="691" spans="1:20" ht="28.8" x14ac:dyDescent="0.3">
      <c r="A691" s="96">
        <f t="shared" si="24"/>
        <v>688</v>
      </c>
      <c r="B691" s="170">
        <v>1550</v>
      </c>
      <c r="C691" s="132">
        <v>45800</v>
      </c>
      <c r="D691" s="331">
        <v>92152635</v>
      </c>
      <c r="E691" s="271" t="s">
        <v>2887</v>
      </c>
      <c r="F691" s="179" t="s">
        <v>3</v>
      </c>
      <c r="G691" s="125" t="s">
        <v>8</v>
      </c>
      <c r="H691" s="106">
        <v>45800</v>
      </c>
      <c r="I691" s="140">
        <v>10000286950</v>
      </c>
      <c r="J691" s="100" t="s">
        <v>82</v>
      </c>
      <c r="K691" s="27"/>
      <c r="L691" s="356"/>
      <c r="M691" s="259"/>
      <c r="N691" s="29"/>
      <c r="O691" s="30"/>
      <c r="P691" s="54"/>
      <c r="Q691" s="83">
        <v>45810</v>
      </c>
      <c r="R691" s="89">
        <f t="shared" si="23"/>
        <v>1.0002183406113536</v>
      </c>
      <c r="S691" s="101" t="s">
        <v>151</v>
      </c>
      <c r="T691" s="234"/>
    </row>
    <row r="692" spans="1:20" ht="72" x14ac:dyDescent="0.3">
      <c r="A692" s="96">
        <f t="shared" si="24"/>
        <v>689</v>
      </c>
      <c r="B692" s="170">
        <v>1550</v>
      </c>
      <c r="C692" s="132">
        <v>45800</v>
      </c>
      <c r="D692" s="331"/>
      <c r="E692" s="271" t="s">
        <v>2888</v>
      </c>
      <c r="F692" s="179" t="s">
        <v>1314</v>
      </c>
      <c r="G692" s="125" t="s">
        <v>8</v>
      </c>
      <c r="H692" s="106">
        <v>45800</v>
      </c>
      <c r="I692" s="137"/>
      <c r="J692" s="102" t="s">
        <v>99</v>
      </c>
      <c r="K692" s="27"/>
      <c r="L692" s="356"/>
      <c r="M692" s="259"/>
      <c r="N692" s="29"/>
      <c r="O692" s="30"/>
      <c r="P692" s="54"/>
      <c r="Q692" s="83">
        <v>45803</v>
      </c>
      <c r="R692" s="89">
        <f t="shared" si="23"/>
        <v>1.0000655021834062</v>
      </c>
      <c r="S692" s="101" t="s">
        <v>758</v>
      </c>
      <c r="T692" s="234"/>
    </row>
    <row r="693" spans="1:20" ht="57.6" x14ac:dyDescent="0.3">
      <c r="A693" s="96">
        <f t="shared" ref="A693:A723" si="25">A692+1</f>
        <v>690</v>
      </c>
      <c r="B693" s="170">
        <v>1550</v>
      </c>
      <c r="C693" s="132">
        <v>45800</v>
      </c>
      <c r="D693" s="331"/>
      <c r="E693" s="271" t="s">
        <v>2889</v>
      </c>
      <c r="F693" s="179" t="s">
        <v>1314</v>
      </c>
      <c r="G693" s="125" t="s">
        <v>6</v>
      </c>
      <c r="H693" s="106">
        <v>45800</v>
      </c>
      <c r="I693" s="137"/>
      <c r="J693" s="102" t="s">
        <v>99</v>
      </c>
      <c r="K693" s="27"/>
      <c r="L693" s="356"/>
      <c r="M693" s="259"/>
      <c r="N693" s="29"/>
      <c r="O693" s="30"/>
      <c r="P693" s="54"/>
      <c r="Q693" s="83">
        <v>45803</v>
      </c>
      <c r="R693" s="89">
        <f t="shared" si="23"/>
        <v>1.0000655021834062</v>
      </c>
      <c r="S693" s="101" t="s">
        <v>2747</v>
      </c>
      <c r="T693" s="234"/>
    </row>
    <row r="694" spans="1:20" ht="57.6" x14ac:dyDescent="0.3">
      <c r="A694" s="96">
        <f t="shared" si="25"/>
        <v>691</v>
      </c>
      <c r="B694" s="471">
        <v>1550</v>
      </c>
      <c r="C694" s="449">
        <v>45800</v>
      </c>
      <c r="D694" s="367"/>
      <c r="E694" s="467" t="s">
        <v>2890</v>
      </c>
      <c r="F694" s="283" t="s">
        <v>1314</v>
      </c>
      <c r="G694" s="456" t="s">
        <v>6</v>
      </c>
      <c r="H694" s="474">
        <v>45800</v>
      </c>
      <c r="I694" s="137"/>
      <c r="J694" s="102" t="s">
        <v>99</v>
      </c>
      <c r="K694" s="27"/>
      <c r="L694" s="356"/>
      <c r="M694" s="259"/>
      <c r="N694" s="29"/>
      <c r="O694" s="30"/>
      <c r="P694" s="54"/>
      <c r="Q694" s="83">
        <v>45803</v>
      </c>
      <c r="R694" s="89">
        <f t="shared" si="23"/>
        <v>1.0000655021834062</v>
      </c>
      <c r="S694" s="101" t="s">
        <v>1312</v>
      </c>
      <c r="T694" s="234"/>
    </row>
    <row r="695" spans="1:20" ht="57.6" x14ac:dyDescent="0.3">
      <c r="A695" s="96">
        <f t="shared" si="25"/>
        <v>692</v>
      </c>
      <c r="B695" s="123">
        <v>1550</v>
      </c>
      <c r="C695" s="124">
        <v>45800</v>
      </c>
      <c r="D695" s="411"/>
      <c r="E695" s="175" t="s">
        <v>2891</v>
      </c>
      <c r="F695" s="111" t="s">
        <v>1314</v>
      </c>
      <c r="G695" s="125" t="s">
        <v>6</v>
      </c>
      <c r="H695" s="133">
        <v>45800</v>
      </c>
      <c r="I695" s="473"/>
      <c r="J695" s="102" t="s">
        <v>99</v>
      </c>
      <c r="K695" s="27"/>
      <c r="L695" s="356"/>
      <c r="M695" s="259"/>
      <c r="N695" s="29"/>
      <c r="O695" s="30"/>
      <c r="P695" s="54"/>
      <c r="Q695" s="83">
        <v>45803</v>
      </c>
      <c r="R695" s="89">
        <f t="shared" si="23"/>
        <v>1.0000655021834062</v>
      </c>
      <c r="S695" s="101" t="s">
        <v>1813</v>
      </c>
      <c r="T695" s="234"/>
    </row>
    <row r="696" spans="1:20" ht="57.6" x14ac:dyDescent="0.3">
      <c r="A696" s="96">
        <f t="shared" si="25"/>
        <v>693</v>
      </c>
      <c r="B696" s="123">
        <v>1550</v>
      </c>
      <c r="C696" s="124">
        <v>45800</v>
      </c>
      <c r="D696" s="411"/>
      <c r="E696" s="36" t="s">
        <v>2892</v>
      </c>
      <c r="F696" s="111" t="s">
        <v>1314</v>
      </c>
      <c r="G696" s="125" t="s">
        <v>4</v>
      </c>
      <c r="H696" s="133">
        <v>45800</v>
      </c>
      <c r="I696" s="473"/>
      <c r="J696" s="102" t="s">
        <v>99</v>
      </c>
      <c r="K696" s="27"/>
      <c r="L696" s="356"/>
      <c r="M696" s="259"/>
      <c r="N696" s="29"/>
      <c r="O696" s="30"/>
      <c r="P696" s="54"/>
      <c r="Q696" s="83">
        <v>45803</v>
      </c>
      <c r="R696" s="89">
        <f t="shared" si="23"/>
        <v>1.0000655021834062</v>
      </c>
      <c r="S696" s="101"/>
      <c r="T696" s="234"/>
    </row>
    <row r="697" spans="1:20" ht="57.6" x14ac:dyDescent="0.3">
      <c r="A697" s="96">
        <f t="shared" si="25"/>
        <v>694</v>
      </c>
      <c r="B697" s="123">
        <v>1550</v>
      </c>
      <c r="C697" s="124">
        <v>45800</v>
      </c>
      <c r="D697" s="411">
        <v>40530965</v>
      </c>
      <c r="E697" s="175" t="s">
        <v>2893</v>
      </c>
      <c r="F697" s="111" t="s">
        <v>23</v>
      </c>
      <c r="G697" s="125" t="s">
        <v>8</v>
      </c>
      <c r="H697" s="133">
        <v>45800</v>
      </c>
      <c r="I697" s="473"/>
      <c r="J697" s="102" t="s">
        <v>135</v>
      </c>
      <c r="K697" s="27"/>
      <c r="L697" s="356"/>
      <c r="M697" s="259"/>
      <c r="N697" s="29"/>
      <c r="O697" s="30"/>
      <c r="P697" s="54"/>
      <c r="Q697" s="83">
        <v>45800</v>
      </c>
      <c r="R697" s="89">
        <f t="shared" si="23"/>
        <v>1</v>
      </c>
      <c r="S697" s="101" t="s">
        <v>1246</v>
      </c>
      <c r="T697" s="234"/>
    </row>
    <row r="698" spans="1:20" ht="72" x14ac:dyDescent="0.3">
      <c r="A698" s="96">
        <f t="shared" si="25"/>
        <v>695</v>
      </c>
      <c r="B698" s="123">
        <v>1550</v>
      </c>
      <c r="C698" s="124">
        <v>45800</v>
      </c>
      <c r="D698" s="411"/>
      <c r="E698" s="175" t="s">
        <v>2894</v>
      </c>
      <c r="F698" s="111" t="s">
        <v>1314</v>
      </c>
      <c r="G698" s="125" t="s">
        <v>8</v>
      </c>
      <c r="H698" s="133">
        <v>45800</v>
      </c>
      <c r="I698" s="473"/>
      <c r="J698" s="102" t="s">
        <v>99</v>
      </c>
      <c r="K698" s="27"/>
      <c r="L698" s="356"/>
      <c r="M698" s="259"/>
      <c r="N698" s="29"/>
      <c r="O698" s="30"/>
      <c r="P698" s="54"/>
      <c r="Q698" s="83">
        <v>45803</v>
      </c>
      <c r="R698" s="89">
        <f t="shared" si="23"/>
        <v>1.0000655021834062</v>
      </c>
      <c r="S698" s="101" t="s">
        <v>151</v>
      </c>
      <c r="T698" s="234"/>
    </row>
    <row r="699" spans="1:20" ht="43.2" x14ac:dyDescent="0.3">
      <c r="A699" s="96">
        <f t="shared" si="25"/>
        <v>696</v>
      </c>
      <c r="B699" s="170" t="s">
        <v>80</v>
      </c>
      <c r="C699" s="132">
        <v>45800</v>
      </c>
      <c r="D699" s="331">
        <v>83175407</v>
      </c>
      <c r="E699" s="452" t="s">
        <v>2895</v>
      </c>
      <c r="F699" s="466" t="s">
        <v>7</v>
      </c>
      <c r="G699" s="461" t="s">
        <v>6</v>
      </c>
      <c r="H699" s="106">
        <v>45800</v>
      </c>
      <c r="I699" s="137"/>
      <c r="J699" s="102" t="s">
        <v>2411</v>
      </c>
      <c r="K699" s="27"/>
      <c r="L699" s="356"/>
      <c r="M699" s="259"/>
      <c r="N699" s="29"/>
      <c r="O699" s="30"/>
      <c r="P699" s="54"/>
      <c r="Q699" s="83">
        <v>45800</v>
      </c>
      <c r="R699" s="89">
        <f t="shared" si="23"/>
        <v>1</v>
      </c>
      <c r="S699" s="101" t="s">
        <v>2597</v>
      </c>
      <c r="T699" s="234"/>
    </row>
    <row r="700" spans="1:20" ht="28.8" x14ac:dyDescent="0.3">
      <c r="A700" s="96">
        <f t="shared" si="25"/>
        <v>697</v>
      </c>
      <c r="B700" s="170">
        <v>1550</v>
      </c>
      <c r="C700" s="132">
        <v>45800</v>
      </c>
      <c r="D700" s="331">
        <v>69232873</v>
      </c>
      <c r="E700" s="271" t="s">
        <v>2896</v>
      </c>
      <c r="F700" s="179" t="s">
        <v>23</v>
      </c>
      <c r="G700" s="125" t="s">
        <v>6</v>
      </c>
      <c r="H700" s="106">
        <v>45800</v>
      </c>
      <c r="I700" s="137"/>
      <c r="J700" s="102" t="s">
        <v>135</v>
      </c>
      <c r="K700" s="27"/>
      <c r="L700" s="356"/>
      <c r="M700" s="259"/>
      <c r="N700" s="29"/>
      <c r="O700" s="30"/>
      <c r="P700" s="54"/>
      <c r="Q700" s="83">
        <v>45800</v>
      </c>
      <c r="R700" s="89">
        <f t="shared" si="23"/>
        <v>1</v>
      </c>
      <c r="S700" s="101" t="s">
        <v>1927</v>
      </c>
      <c r="T700" s="234"/>
    </row>
    <row r="701" spans="1:20" ht="57.6" x14ac:dyDescent="0.3">
      <c r="A701" s="96">
        <f t="shared" si="25"/>
        <v>698</v>
      </c>
      <c r="B701" s="471">
        <v>1550</v>
      </c>
      <c r="C701" s="449">
        <v>45800</v>
      </c>
      <c r="D701" s="367">
        <v>80400477</v>
      </c>
      <c r="E701" s="467" t="s">
        <v>2897</v>
      </c>
      <c r="F701" s="283" t="s">
        <v>36</v>
      </c>
      <c r="G701" s="456" t="s">
        <v>6</v>
      </c>
      <c r="H701" s="106">
        <v>45800</v>
      </c>
      <c r="I701" s="137"/>
      <c r="J701" s="102" t="s">
        <v>2352</v>
      </c>
      <c r="K701" s="27"/>
      <c r="L701" s="356"/>
      <c r="M701" s="259"/>
      <c r="N701" s="29"/>
      <c r="O701" s="30"/>
      <c r="P701" s="54"/>
      <c r="Q701" s="83">
        <v>45801</v>
      </c>
      <c r="R701" s="89">
        <f t="shared" si="23"/>
        <v>1.0000218340611353</v>
      </c>
      <c r="S701" s="101" t="s">
        <v>1893</v>
      </c>
      <c r="T701" s="234"/>
    </row>
    <row r="702" spans="1:20" ht="57.6" x14ac:dyDescent="0.3">
      <c r="A702" s="96">
        <f t="shared" si="25"/>
        <v>699</v>
      </c>
      <c r="B702" s="123">
        <v>1550</v>
      </c>
      <c r="C702" s="124">
        <v>45800</v>
      </c>
      <c r="D702" s="411"/>
      <c r="E702" s="175" t="s">
        <v>2898</v>
      </c>
      <c r="F702" s="111" t="s">
        <v>1314</v>
      </c>
      <c r="G702" s="125" t="s">
        <v>6</v>
      </c>
      <c r="H702" s="106">
        <v>45800</v>
      </c>
      <c r="I702" s="137"/>
      <c r="J702" s="102" t="s">
        <v>99</v>
      </c>
      <c r="K702" s="27"/>
      <c r="L702" s="356"/>
      <c r="M702" s="259"/>
      <c r="N702" s="29"/>
      <c r="O702" s="30"/>
      <c r="P702" s="54"/>
      <c r="Q702" s="83">
        <v>45803</v>
      </c>
      <c r="R702" s="89">
        <f t="shared" si="23"/>
        <v>1.0000655021834062</v>
      </c>
      <c r="S702" s="101" t="s">
        <v>2597</v>
      </c>
      <c r="T702" s="234"/>
    </row>
    <row r="703" spans="1:20" ht="28.8" x14ac:dyDescent="0.3">
      <c r="A703" s="96">
        <f t="shared" si="25"/>
        <v>700</v>
      </c>
      <c r="B703" s="123">
        <v>1550</v>
      </c>
      <c r="C703" s="124">
        <v>45800</v>
      </c>
      <c r="D703" s="411">
        <v>86552996</v>
      </c>
      <c r="E703" s="175" t="s">
        <v>2899</v>
      </c>
      <c r="F703" s="111" t="s">
        <v>17</v>
      </c>
      <c r="G703" s="125" t="s">
        <v>4</v>
      </c>
      <c r="H703" s="106">
        <v>45800</v>
      </c>
      <c r="I703" s="137"/>
      <c r="J703" s="100" t="s">
        <v>82</v>
      </c>
      <c r="K703" s="27"/>
      <c r="L703" s="356"/>
      <c r="M703" s="259"/>
      <c r="N703" s="29"/>
      <c r="O703" s="30"/>
      <c r="P703" s="54"/>
      <c r="Q703" s="83">
        <v>45805</v>
      </c>
      <c r="R703" s="89">
        <f t="shared" si="23"/>
        <v>1.0001091703056768</v>
      </c>
      <c r="S703" s="101"/>
      <c r="T703" s="234"/>
    </row>
    <row r="704" spans="1:20" ht="57.6" x14ac:dyDescent="0.3">
      <c r="A704" s="96">
        <f t="shared" si="25"/>
        <v>701</v>
      </c>
      <c r="B704" s="123">
        <v>1550</v>
      </c>
      <c r="C704" s="124">
        <v>45800</v>
      </c>
      <c r="D704" s="411"/>
      <c r="E704" s="36" t="s">
        <v>2900</v>
      </c>
      <c r="F704" s="111" t="s">
        <v>1314</v>
      </c>
      <c r="G704" s="125" t="s">
        <v>4</v>
      </c>
      <c r="H704" s="106">
        <v>45800</v>
      </c>
      <c r="I704" s="137"/>
      <c r="J704" s="102" t="s">
        <v>99</v>
      </c>
      <c r="K704" s="27"/>
      <c r="L704" s="356"/>
      <c r="M704" s="259"/>
      <c r="N704" s="29"/>
      <c r="O704" s="30"/>
      <c r="P704" s="54"/>
      <c r="Q704" s="83">
        <v>45803</v>
      </c>
      <c r="R704" s="89">
        <f t="shared" si="23"/>
        <v>1.0000655021834062</v>
      </c>
      <c r="S704" s="101"/>
      <c r="T704" s="234"/>
    </row>
    <row r="705" spans="1:20" ht="57.6" x14ac:dyDescent="0.3">
      <c r="A705" s="96">
        <f t="shared" si="25"/>
        <v>702</v>
      </c>
      <c r="B705" s="123" t="s">
        <v>301</v>
      </c>
      <c r="C705" s="124">
        <v>45800</v>
      </c>
      <c r="D705" s="411">
        <v>42636914</v>
      </c>
      <c r="E705" s="175" t="s">
        <v>2901</v>
      </c>
      <c r="F705" s="111" t="s">
        <v>12</v>
      </c>
      <c r="G705" s="125" t="s">
        <v>8</v>
      </c>
      <c r="H705" s="106">
        <v>45800</v>
      </c>
      <c r="I705" s="137"/>
      <c r="J705" s="729" t="s">
        <v>159</v>
      </c>
      <c r="K705" s="27"/>
      <c r="L705" s="356"/>
      <c r="M705" s="259"/>
      <c r="N705" s="29"/>
      <c r="O705" s="30"/>
      <c r="P705" s="54"/>
      <c r="Q705" s="83">
        <v>45803</v>
      </c>
      <c r="R705" s="89">
        <f t="shared" si="23"/>
        <v>1.0000655021834062</v>
      </c>
      <c r="S705" s="101" t="s">
        <v>1916</v>
      </c>
      <c r="T705" s="234"/>
    </row>
    <row r="706" spans="1:20" ht="57.6" x14ac:dyDescent="0.3">
      <c r="A706" s="96">
        <f t="shared" si="25"/>
        <v>703</v>
      </c>
      <c r="B706" s="123">
        <v>1550</v>
      </c>
      <c r="C706" s="124">
        <v>45800</v>
      </c>
      <c r="D706" s="411"/>
      <c r="E706" s="36" t="s">
        <v>2902</v>
      </c>
      <c r="F706" s="111" t="s">
        <v>1314</v>
      </c>
      <c r="G706" s="125" t="s">
        <v>4</v>
      </c>
      <c r="H706" s="106">
        <v>45800</v>
      </c>
      <c r="I706" s="137"/>
      <c r="J706" s="102" t="s">
        <v>99</v>
      </c>
      <c r="K706" s="27"/>
      <c r="L706" s="356"/>
      <c r="M706" s="259"/>
      <c r="N706" s="29"/>
      <c r="O706" s="30"/>
      <c r="P706" s="54"/>
      <c r="Q706" s="83">
        <v>45803</v>
      </c>
      <c r="R706" s="89">
        <f t="shared" si="23"/>
        <v>1.0000655021834062</v>
      </c>
      <c r="S706" s="101"/>
      <c r="T706" s="234"/>
    </row>
    <row r="707" spans="1:20" ht="43.2" x14ac:dyDescent="0.3">
      <c r="A707" s="96" t="e">
        <f>#REF!+1</f>
        <v>#REF!</v>
      </c>
      <c r="B707" s="123">
        <v>1550</v>
      </c>
      <c r="C707" s="124">
        <v>45800</v>
      </c>
      <c r="D707" s="411" t="s">
        <v>2903</v>
      </c>
      <c r="E707" s="175" t="s">
        <v>2904</v>
      </c>
      <c r="F707" s="111" t="s">
        <v>36</v>
      </c>
      <c r="G707" s="125" t="s">
        <v>8</v>
      </c>
      <c r="H707" s="106">
        <v>45800</v>
      </c>
      <c r="I707" s="137"/>
      <c r="J707" s="107" t="s">
        <v>99</v>
      </c>
      <c r="K707" s="27"/>
      <c r="L707" s="356"/>
      <c r="M707" s="259"/>
      <c r="N707" s="29"/>
      <c r="O707" s="30"/>
      <c r="P707" s="54"/>
      <c r="Q707" s="83">
        <v>45800</v>
      </c>
      <c r="R707" s="89">
        <f t="shared" ref="R707:R770" si="26">Q707/H707</f>
        <v>1</v>
      </c>
      <c r="S707" s="101" t="s">
        <v>151</v>
      </c>
      <c r="T707" s="234"/>
    </row>
    <row r="708" spans="1:20" ht="57.6" x14ac:dyDescent="0.3">
      <c r="A708" s="96" t="e">
        <f t="shared" si="25"/>
        <v>#REF!</v>
      </c>
      <c r="B708" s="170">
        <v>1550</v>
      </c>
      <c r="C708" s="132">
        <v>45800</v>
      </c>
      <c r="D708" s="331">
        <v>75500256</v>
      </c>
      <c r="E708" s="452" t="s">
        <v>2822</v>
      </c>
      <c r="F708" s="466" t="s">
        <v>23</v>
      </c>
      <c r="G708" s="461" t="s">
        <v>8</v>
      </c>
      <c r="H708" s="106">
        <v>45800</v>
      </c>
      <c r="I708" s="137"/>
      <c r="J708" s="102" t="s">
        <v>135</v>
      </c>
      <c r="K708" s="27"/>
      <c r="L708" s="356"/>
      <c r="M708" s="259"/>
      <c r="N708" s="29"/>
      <c r="O708" s="30"/>
      <c r="P708" s="54"/>
      <c r="Q708" s="83">
        <v>45803</v>
      </c>
      <c r="R708" s="89">
        <f t="shared" si="26"/>
        <v>1.0000655021834062</v>
      </c>
      <c r="S708" s="101" t="s">
        <v>2712</v>
      </c>
      <c r="T708" s="234"/>
    </row>
    <row r="709" spans="1:20" ht="57.6" x14ac:dyDescent="0.3">
      <c r="A709" s="96" t="e">
        <f t="shared" si="25"/>
        <v>#REF!</v>
      </c>
      <c r="B709" s="170">
        <v>1550</v>
      </c>
      <c r="C709" s="132">
        <v>45800</v>
      </c>
      <c r="D709" s="331"/>
      <c r="E709" s="271" t="s">
        <v>2905</v>
      </c>
      <c r="F709" s="179" t="s">
        <v>1314</v>
      </c>
      <c r="G709" s="125" t="s">
        <v>6</v>
      </c>
      <c r="H709" s="106">
        <v>45800</v>
      </c>
      <c r="I709" s="137"/>
      <c r="J709" s="102" t="s">
        <v>99</v>
      </c>
      <c r="K709" s="27"/>
      <c r="L709" s="356"/>
      <c r="M709" s="259"/>
      <c r="N709" s="29"/>
      <c r="O709" s="30"/>
      <c r="P709" s="54"/>
      <c r="Q709" s="83">
        <v>45803</v>
      </c>
      <c r="R709" s="89">
        <f t="shared" si="26"/>
        <v>1.0000655021834062</v>
      </c>
      <c r="S709" s="101" t="s">
        <v>2597</v>
      </c>
      <c r="T709" s="234"/>
    </row>
    <row r="710" spans="1:20" ht="72" x14ac:dyDescent="0.3">
      <c r="A710" s="96" t="e">
        <f t="shared" si="25"/>
        <v>#REF!</v>
      </c>
      <c r="B710" s="170">
        <v>1550</v>
      </c>
      <c r="C710" s="132">
        <v>45800</v>
      </c>
      <c r="D710" s="331"/>
      <c r="E710" s="271" t="s">
        <v>2906</v>
      </c>
      <c r="F710" s="179" t="s">
        <v>1314</v>
      </c>
      <c r="G710" s="125" t="s">
        <v>8</v>
      </c>
      <c r="H710" s="106">
        <v>45800</v>
      </c>
      <c r="I710" s="137"/>
      <c r="J710" s="102" t="s">
        <v>99</v>
      </c>
      <c r="K710" s="27"/>
      <c r="L710" s="356"/>
      <c r="M710" s="259"/>
      <c r="N710" s="29"/>
      <c r="O710" s="30"/>
      <c r="P710" s="54"/>
      <c r="Q710" s="83">
        <v>45803</v>
      </c>
      <c r="R710" s="89">
        <f t="shared" si="26"/>
        <v>1.0000655021834062</v>
      </c>
      <c r="S710" s="101" t="s">
        <v>2712</v>
      </c>
      <c r="T710" s="234"/>
    </row>
    <row r="711" spans="1:20" ht="43.2" x14ac:dyDescent="0.3">
      <c r="A711" s="96" t="e">
        <f t="shared" si="25"/>
        <v>#REF!</v>
      </c>
      <c r="B711" s="170">
        <v>1550</v>
      </c>
      <c r="C711" s="132">
        <v>45800</v>
      </c>
      <c r="D711" s="331">
        <v>26257300</v>
      </c>
      <c r="E711" s="271" t="s">
        <v>2907</v>
      </c>
      <c r="F711" s="179" t="s">
        <v>1</v>
      </c>
      <c r="G711" s="125" t="s">
        <v>8</v>
      </c>
      <c r="H711" s="106">
        <v>45800</v>
      </c>
      <c r="I711" s="137"/>
      <c r="J711" s="100" t="s">
        <v>2352</v>
      </c>
      <c r="K711" s="27"/>
      <c r="L711" s="356"/>
      <c r="M711" s="259"/>
      <c r="N711" s="29"/>
      <c r="O711" s="30"/>
      <c r="P711" s="54"/>
      <c r="Q711" s="83">
        <v>45818</v>
      </c>
      <c r="R711" s="89">
        <f t="shared" si="26"/>
        <v>1.0003930131004366</v>
      </c>
      <c r="S711" s="101" t="s">
        <v>2712</v>
      </c>
      <c r="T711" s="234"/>
    </row>
    <row r="712" spans="1:20" ht="129.6" x14ac:dyDescent="0.3">
      <c r="A712" s="96" t="e">
        <f t="shared" si="25"/>
        <v>#REF!</v>
      </c>
      <c r="B712" s="170">
        <v>1550</v>
      </c>
      <c r="C712" s="132">
        <v>45800</v>
      </c>
      <c r="D712" s="331">
        <v>118560603</v>
      </c>
      <c r="E712" s="467" t="s">
        <v>2908</v>
      </c>
      <c r="F712" s="179" t="s">
        <v>1</v>
      </c>
      <c r="G712" s="125" t="s">
        <v>6</v>
      </c>
      <c r="H712" s="106">
        <v>45800</v>
      </c>
      <c r="I712" s="137"/>
      <c r="J712" s="102" t="s">
        <v>2544</v>
      </c>
      <c r="K712" s="27"/>
      <c r="L712" s="356"/>
      <c r="M712" s="259"/>
      <c r="N712" s="29"/>
      <c r="O712" s="30"/>
      <c r="P712" s="54"/>
      <c r="Q712" s="83">
        <v>45806</v>
      </c>
      <c r="R712" s="89">
        <f t="shared" si="26"/>
        <v>1.0001310043668121</v>
      </c>
      <c r="S712" s="101" t="s">
        <v>1936</v>
      </c>
      <c r="T712" s="234"/>
    </row>
    <row r="713" spans="1:20" ht="57.6" x14ac:dyDescent="0.3">
      <c r="A713" s="96" t="e">
        <f t="shared" si="25"/>
        <v>#REF!</v>
      </c>
      <c r="B713" s="170" t="s">
        <v>301</v>
      </c>
      <c r="C713" s="132">
        <v>45800</v>
      </c>
      <c r="D713" s="331"/>
      <c r="E713" s="36" t="s">
        <v>2909</v>
      </c>
      <c r="F713" s="179" t="s">
        <v>1314</v>
      </c>
      <c r="G713" s="125" t="s">
        <v>4</v>
      </c>
      <c r="H713" s="106">
        <v>45800</v>
      </c>
      <c r="I713" s="137"/>
      <c r="J713" s="102" t="s">
        <v>99</v>
      </c>
      <c r="K713" s="27"/>
      <c r="L713" s="356"/>
      <c r="M713" s="259"/>
      <c r="N713" s="29"/>
      <c r="O713" s="30"/>
      <c r="P713" s="54"/>
      <c r="Q713" s="83">
        <v>45803</v>
      </c>
      <c r="R713" s="89">
        <f t="shared" si="26"/>
        <v>1.0000655021834062</v>
      </c>
      <c r="S713" s="101"/>
      <c r="T713" s="234"/>
    </row>
    <row r="714" spans="1:20" ht="57.6" x14ac:dyDescent="0.3">
      <c r="A714" s="96" t="e">
        <f t="shared" si="25"/>
        <v>#REF!</v>
      </c>
      <c r="B714" s="170" t="s">
        <v>301</v>
      </c>
      <c r="C714" s="132">
        <v>45800</v>
      </c>
      <c r="D714" s="331"/>
      <c r="E714" s="36" t="s">
        <v>2909</v>
      </c>
      <c r="F714" s="179" t="s">
        <v>1314</v>
      </c>
      <c r="G714" s="125" t="s">
        <v>4</v>
      </c>
      <c r="H714" s="106">
        <v>45800</v>
      </c>
      <c r="I714" s="137"/>
      <c r="J714" s="102" t="s">
        <v>99</v>
      </c>
      <c r="K714" s="27"/>
      <c r="L714" s="356"/>
      <c r="M714" s="259"/>
      <c r="N714" s="29"/>
      <c r="O714" s="30"/>
      <c r="P714" s="54"/>
      <c r="Q714" s="83">
        <v>45803</v>
      </c>
      <c r="R714" s="89">
        <f t="shared" si="26"/>
        <v>1.0000655021834062</v>
      </c>
      <c r="S714" s="101"/>
      <c r="T714" s="234"/>
    </row>
    <row r="715" spans="1:20" ht="57.6" x14ac:dyDescent="0.3">
      <c r="A715" s="96" t="e">
        <f t="shared" si="25"/>
        <v>#REF!</v>
      </c>
      <c r="B715" s="170" t="s">
        <v>80</v>
      </c>
      <c r="C715" s="132">
        <v>45800</v>
      </c>
      <c r="D715" s="331"/>
      <c r="E715" s="271" t="s">
        <v>2910</v>
      </c>
      <c r="F715" s="179" t="s">
        <v>1314</v>
      </c>
      <c r="G715" s="125" t="s">
        <v>10</v>
      </c>
      <c r="H715" s="106">
        <v>45800</v>
      </c>
      <c r="I715" s="137"/>
      <c r="J715" s="102" t="s">
        <v>99</v>
      </c>
      <c r="K715" s="27"/>
      <c r="L715" s="356"/>
      <c r="M715" s="259"/>
      <c r="N715" s="29"/>
      <c r="O715" s="30"/>
      <c r="P715" s="54"/>
      <c r="Q715" s="83">
        <v>45803</v>
      </c>
      <c r="R715" s="89">
        <f t="shared" si="26"/>
        <v>1.0000655021834062</v>
      </c>
      <c r="S715" s="101" t="s">
        <v>1319</v>
      </c>
      <c r="T715" s="234"/>
    </row>
    <row r="716" spans="1:20" ht="57.6" x14ac:dyDescent="0.3">
      <c r="A716" s="96" t="e">
        <f t="shared" si="25"/>
        <v>#REF!</v>
      </c>
      <c r="B716" s="170" t="s">
        <v>80</v>
      </c>
      <c r="C716" s="132">
        <v>45800</v>
      </c>
      <c r="D716" s="331"/>
      <c r="E716" s="271" t="s">
        <v>2911</v>
      </c>
      <c r="F716" s="179" t="s">
        <v>1314</v>
      </c>
      <c r="G716" s="125" t="s">
        <v>10</v>
      </c>
      <c r="H716" s="106">
        <v>45800</v>
      </c>
      <c r="I716" s="137"/>
      <c r="J716" s="102" t="s">
        <v>99</v>
      </c>
      <c r="K716" s="27"/>
      <c r="L716" s="356"/>
      <c r="M716" s="259"/>
      <c r="N716" s="29"/>
      <c r="O716" s="30"/>
      <c r="P716" s="54"/>
      <c r="Q716" s="83">
        <v>45803</v>
      </c>
      <c r="R716" s="89">
        <f t="shared" si="26"/>
        <v>1.0000655021834062</v>
      </c>
      <c r="S716" s="101" t="s">
        <v>214</v>
      </c>
      <c r="T716" s="234"/>
    </row>
    <row r="717" spans="1:20" ht="57.6" x14ac:dyDescent="0.3">
      <c r="A717" s="96" t="e">
        <f t="shared" si="25"/>
        <v>#REF!</v>
      </c>
      <c r="B717" s="170" t="s">
        <v>80</v>
      </c>
      <c r="C717" s="132">
        <v>45800</v>
      </c>
      <c r="D717" s="331"/>
      <c r="E717" s="271" t="s">
        <v>2912</v>
      </c>
      <c r="F717" s="179" t="s">
        <v>1314</v>
      </c>
      <c r="G717" s="125" t="s">
        <v>10</v>
      </c>
      <c r="H717" s="106">
        <v>45800</v>
      </c>
      <c r="I717" s="137"/>
      <c r="J717" s="102" t="s">
        <v>99</v>
      </c>
      <c r="K717" s="27"/>
      <c r="L717" s="356"/>
      <c r="M717" s="259"/>
      <c r="N717" s="29"/>
      <c r="O717" s="30"/>
      <c r="P717" s="54"/>
      <c r="Q717" s="83">
        <v>45803</v>
      </c>
      <c r="R717" s="89">
        <f t="shared" si="26"/>
        <v>1.0000655021834062</v>
      </c>
      <c r="S717" s="101" t="s">
        <v>1319</v>
      </c>
      <c r="T717" s="234"/>
    </row>
    <row r="718" spans="1:20" ht="57.6" x14ac:dyDescent="0.3">
      <c r="A718" s="96" t="e">
        <f t="shared" si="25"/>
        <v>#REF!</v>
      </c>
      <c r="B718" s="170" t="s">
        <v>80</v>
      </c>
      <c r="C718" s="132">
        <v>45800</v>
      </c>
      <c r="D718" s="331"/>
      <c r="E718" s="271" t="s">
        <v>2913</v>
      </c>
      <c r="F718" s="179" t="s">
        <v>1314</v>
      </c>
      <c r="G718" s="125" t="s">
        <v>10</v>
      </c>
      <c r="H718" s="106">
        <v>45800</v>
      </c>
      <c r="I718" s="137"/>
      <c r="J718" s="102" t="s">
        <v>99</v>
      </c>
      <c r="K718" s="27"/>
      <c r="L718" s="356"/>
      <c r="M718" s="259"/>
      <c r="N718" s="29"/>
      <c r="O718" s="30"/>
      <c r="P718" s="54"/>
      <c r="Q718" s="83">
        <v>45803</v>
      </c>
      <c r="R718" s="89">
        <f t="shared" si="26"/>
        <v>1.0000655021834062</v>
      </c>
      <c r="S718" s="101" t="s">
        <v>1319</v>
      </c>
      <c r="T718" s="234"/>
    </row>
    <row r="719" spans="1:20" ht="244.8" x14ac:dyDescent="0.3">
      <c r="A719" s="96" t="e">
        <f t="shared" si="25"/>
        <v>#REF!</v>
      </c>
      <c r="B719" s="170" t="s">
        <v>80</v>
      </c>
      <c r="C719" s="132">
        <v>45800</v>
      </c>
      <c r="D719" s="331"/>
      <c r="E719" s="271" t="s">
        <v>2914</v>
      </c>
      <c r="F719" s="179" t="s">
        <v>1</v>
      </c>
      <c r="G719" s="125" t="s">
        <v>10</v>
      </c>
      <c r="H719" s="106">
        <v>45800</v>
      </c>
      <c r="I719" s="137"/>
      <c r="J719" s="102" t="s">
        <v>2544</v>
      </c>
      <c r="K719" s="27"/>
      <c r="L719" s="356"/>
      <c r="M719" s="259"/>
      <c r="N719" s="29"/>
      <c r="O719" s="30"/>
      <c r="P719" s="54"/>
      <c r="Q719" s="83">
        <v>45800</v>
      </c>
      <c r="R719" s="89">
        <f t="shared" si="26"/>
        <v>1</v>
      </c>
      <c r="S719" s="101" t="s">
        <v>1319</v>
      </c>
      <c r="T719" s="234"/>
    </row>
    <row r="720" spans="1:20" ht="57.6" x14ac:dyDescent="0.3">
      <c r="A720" s="96" t="e">
        <f t="shared" si="25"/>
        <v>#REF!</v>
      </c>
      <c r="B720" s="170" t="s">
        <v>80</v>
      </c>
      <c r="C720" s="132">
        <v>45800</v>
      </c>
      <c r="D720" s="331">
        <v>88154572</v>
      </c>
      <c r="E720" s="271" t="s">
        <v>2915</v>
      </c>
      <c r="F720" s="179" t="s">
        <v>33</v>
      </c>
      <c r="G720" s="125" t="s">
        <v>10</v>
      </c>
      <c r="H720" s="106">
        <v>45800</v>
      </c>
      <c r="I720" s="137"/>
      <c r="J720" s="100" t="s">
        <v>99</v>
      </c>
      <c r="K720" s="27"/>
      <c r="L720" s="356"/>
      <c r="M720" s="259"/>
      <c r="N720" s="29"/>
      <c r="O720" s="30"/>
      <c r="P720" s="54"/>
      <c r="Q720" s="83">
        <v>45803</v>
      </c>
      <c r="R720" s="89">
        <f t="shared" si="26"/>
        <v>1.0000655021834062</v>
      </c>
      <c r="S720" s="101" t="s">
        <v>1319</v>
      </c>
      <c r="T720" s="234"/>
    </row>
    <row r="721" spans="1:20" ht="57.6" x14ac:dyDescent="0.3">
      <c r="A721" s="96" t="e">
        <f t="shared" si="25"/>
        <v>#REF!</v>
      </c>
      <c r="B721" s="170" t="s">
        <v>80</v>
      </c>
      <c r="C721" s="132">
        <v>45800</v>
      </c>
      <c r="D721" s="331"/>
      <c r="E721" s="271" t="s">
        <v>2916</v>
      </c>
      <c r="F721" s="179" t="s">
        <v>1314</v>
      </c>
      <c r="G721" s="125" t="s">
        <v>10</v>
      </c>
      <c r="H721" s="106">
        <v>45800</v>
      </c>
      <c r="I721" s="137"/>
      <c r="J721" s="102" t="s">
        <v>99</v>
      </c>
      <c r="K721" s="27"/>
      <c r="L721" s="356"/>
      <c r="M721" s="259"/>
      <c r="N721" s="29"/>
      <c r="O721" s="30"/>
      <c r="P721" s="54"/>
      <c r="Q721" s="83">
        <v>45804</v>
      </c>
      <c r="R721" s="89">
        <f t="shared" si="26"/>
        <v>1.0000873362445415</v>
      </c>
      <c r="S721" s="101" t="s">
        <v>1319</v>
      </c>
      <c r="T721" s="234"/>
    </row>
    <row r="722" spans="1:20" ht="57.6" x14ac:dyDescent="0.3">
      <c r="A722" s="96" t="e">
        <f t="shared" si="25"/>
        <v>#REF!</v>
      </c>
      <c r="B722" s="170" t="s">
        <v>80</v>
      </c>
      <c r="C722" s="132">
        <v>45800</v>
      </c>
      <c r="D722" s="331"/>
      <c r="E722" s="271" t="s">
        <v>2917</v>
      </c>
      <c r="F722" s="179" t="s">
        <v>1314</v>
      </c>
      <c r="G722" s="125" t="s">
        <v>10</v>
      </c>
      <c r="H722" s="106">
        <v>45800</v>
      </c>
      <c r="I722" s="137"/>
      <c r="J722" s="102" t="s">
        <v>99</v>
      </c>
      <c r="K722" s="27"/>
      <c r="L722" s="356"/>
      <c r="M722" s="259"/>
      <c r="N722" s="29"/>
      <c r="O722" s="30"/>
      <c r="P722" s="54"/>
      <c r="Q722" s="83">
        <v>45804</v>
      </c>
      <c r="R722" s="89">
        <f t="shared" si="26"/>
        <v>1.0000873362445415</v>
      </c>
      <c r="S722" s="101" t="s">
        <v>1366</v>
      </c>
      <c r="T722" s="234"/>
    </row>
    <row r="723" spans="1:20" ht="57.6" x14ac:dyDescent="0.3">
      <c r="A723" s="96" t="e">
        <f t="shared" si="25"/>
        <v>#REF!</v>
      </c>
      <c r="B723" s="170" t="s">
        <v>80</v>
      </c>
      <c r="C723" s="132">
        <v>45800</v>
      </c>
      <c r="D723" s="331"/>
      <c r="E723" s="271" t="s">
        <v>2918</v>
      </c>
      <c r="F723" s="179" t="s">
        <v>1314</v>
      </c>
      <c r="G723" s="125" t="s">
        <v>10</v>
      </c>
      <c r="H723" s="106">
        <v>45800</v>
      </c>
      <c r="I723" s="137"/>
      <c r="J723" s="102" t="s">
        <v>99</v>
      </c>
      <c r="K723" s="27"/>
      <c r="L723" s="356"/>
      <c r="M723" s="259"/>
      <c r="N723" s="29"/>
      <c r="O723" s="30"/>
      <c r="P723" s="54"/>
      <c r="Q723" s="83">
        <v>45803</v>
      </c>
      <c r="R723" s="89">
        <f t="shared" si="26"/>
        <v>1.0000655021834062</v>
      </c>
      <c r="S723" s="101" t="s">
        <v>1319</v>
      </c>
      <c r="T723" s="234"/>
    </row>
    <row r="724" spans="1:20" ht="144" x14ac:dyDescent="0.3">
      <c r="A724" s="96" t="e">
        <f t="shared" ref="A724:A751" si="27">A723+1</f>
        <v>#REF!</v>
      </c>
      <c r="B724" s="170" t="s">
        <v>80</v>
      </c>
      <c r="C724" s="132">
        <v>45800</v>
      </c>
      <c r="D724" s="331">
        <v>4405722</v>
      </c>
      <c r="E724" s="271" t="s">
        <v>2919</v>
      </c>
      <c r="F724" s="179" t="s">
        <v>25</v>
      </c>
      <c r="G724" s="125" t="s">
        <v>10</v>
      </c>
      <c r="H724" s="106">
        <v>45800</v>
      </c>
      <c r="I724" s="137"/>
      <c r="J724" s="102" t="s">
        <v>135</v>
      </c>
      <c r="K724" s="27"/>
      <c r="L724" s="356"/>
      <c r="M724" s="259"/>
      <c r="N724" s="29"/>
      <c r="O724" s="30"/>
      <c r="P724" s="54"/>
      <c r="Q724" s="83">
        <v>45800</v>
      </c>
      <c r="R724" s="89">
        <f t="shared" si="26"/>
        <v>1</v>
      </c>
      <c r="S724" s="101" t="s">
        <v>1366</v>
      </c>
      <c r="T724" s="234"/>
    </row>
    <row r="725" spans="1:20" ht="57.6" x14ac:dyDescent="0.3">
      <c r="A725" s="96" t="e">
        <f t="shared" si="27"/>
        <v>#REF!</v>
      </c>
      <c r="B725" s="170" t="s">
        <v>80</v>
      </c>
      <c r="C725" s="132">
        <v>45800</v>
      </c>
      <c r="D725" s="331"/>
      <c r="E725" s="271" t="s">
        <v>2920</v>
      </c>
      <c r="F725" s="179" t="s">
        <v>1314</v>
      </c>
      <c r="G725" s="125" t="s">
        <v>10</v>
      </c>
      <c r="H725" s="106">
        <v>45800</v>
      </c>
      <c r="I725" s="137"/>
      <c r="J725" s="102" t="s">
        <v>99</v>
      </c>
      <c r="K725" s="27"/>
      <c r="L725" s="356"/>
      <c r="M725" s="259"/>
      <c r="N725" s="29"/>
      <c r="O725" s="30"/>
      <c r="P725" s="54"/>
      <c r="Q725" s="83">
        <v>45804</v>
      </c>
      <c r="R725" s="89">
        <f t="shared" si="26"/>
        <v>1.0000873362445415</v>
      </c>
      <c r="S725" s="101" t="s">
        <v>1319</v>
      </c>
      <c r="T725" s="234"/>
    </row>
    <row r="726" spans="1:20" ht="100.8" x14ac:dyDescent="0.3">
      <c r="A726" s="96" t="e">
        <f t="shared" si="27"/>
        <v>#REF!</v>
      </c>
      <c r="B726" s="170" t="s">
        <v>80</v>
      </c>
      <c r="C726" s="132">
        <v>45800</v>
      </c>
      <c r="D726" s="331">
        <v>93054343</v>
      </c>
      <c r="E726" s="271" t="s">
        <v>2921</v>
      </c>
      <c r="F726" s="179" t="s">
        <v>15</v>
      </c>
      <c r="G726" s="125" t="s">
        <v>10</v>
      </c>
      <c r="H726" s="106">
        <v>45800</v>
      </c>
      <c r="I726" s="137"/>
      <c r="J726" s="100" t="s">
        <v>99</v>
      </c>
      <c r="K726" s="27"/>
      <c r="L726" s="356"/>
      <c r="M726" s="259"/>
      <c r="N726" s="29"/>
      <c r="O726" s="30"/>
      <c r="P726" s="54"/>
      <c r="Q726" s="83">
        <v>45807</v>
      </c>
      <c r="R726" s="89">
        <f t="shared" si="26"/>
        <v>1.0001528384279477</v>
      </c>
      <c r="S726" s="101" t="s">
        <v>1319</v>
      </c>
      <c r="T726" s="234"/>
    </row>
    <row r="727" spans="1:20" ht="115.2" x14ac:dyDescent="0.3">
      <c r="A727" s="96" t="e">
        <f t="shared" si="27"/>
        <v>#REF!</v>
      </c>
      <c r="B727" s="170" t="s">
        <v>80</v>
      </c>
      <c r="C727" s="132">
        <v>45800</v>
      </c>
      <c r="D727" s="331">
        <v>115252444</v>
      </c>
      <c r="E727" s="271" t="s">
        <v>2922</v>
      </c>
      <c r="F727" s="179" t="s">
        <v>15</v>
      </c>
      <c r="G727" s="125" t="s">
        <v>10</v>
      </c>
      <c r="H727" s="106">
        <v>45800</v>
      </c>
      <c r="I727" s="137"/>
      <c r="J727" s="100" t="s">
        <v>99</v>
      </c>
      <c r="K727" s="27"/>
      <c r="L727" s="356"/>
      <c r="M727" s="259"/>
      <c r="N727" s="29"/>
      <c r="O727" s="30"/>
      <c r="P727" s="54"/>
      <c r="Q727" s="83">
        <v>45807</v>
      </c>
      <c r="R727" s="89">
        <f t="shared" si="26"/>
        <v>1.0001528384279477</v>
      </c>
      <c r="S727" s="101" t="s">
        <v>1319</v>
      </c>
      <c r="T727" s="234"/>
    </row>
    <row r="728" spans="1:20" ht="72" x14ac:dyDescent="0.3">
      <c r="A728" s="96" t="e">
        <f t="shared" si="27"/>
        <v>#REF!</v>
      </c>
      <c r="B728" s="170" t="s">
        <v>80</v>
      </c>
      <c r="C728" s="132">
        <v>45800</v>
      </c>
      <c r="D728" s="331">
        <v>4092767</v>
      </c>
      <c r="E728" s="271" t="s">
        <v>2923</v>
      </c>
      <c r="F728" s="179" t="s">
        <v>1</v>
      </c>
      <c r="G728" s="125" t="s">
        <v>10</v>
      </c>
      <c r="H728" s="106">
        <v>45800</v>
      </c>
      <c r="I728" s="137"/>
      <c r="J728" s="102" t="s">
        <v>2306</v>
      </c>
      <c r="K728" s="27"/>
      <c r="L728" s="356"/>
      <c r="M728" s="259"/>
      <c r="N728" s="29"/>
      <c r="O728" s="30"/>
      <c r="P728" s="54"/>
      <c r="Q728" s="83">
        <v>45806</v>
      </c>
      <c r="R728" s="89">
        <f t="shared" si="26"/>
        <v>1.0001310043668121</v>
      </c>
      <c r="S728" s="101" t="s">
        <v>1319</v>
      </c>
      <c r="T728" s="234"/>
    </row>
    <row r="729" spans="1:20" ht="244.8" x14ac:dyDescent="0.3">
      <c r="A729" s="96" t="e">
        <f t="shared" si="27"/>
        <v>#REF!</v>
      </c>
      <c r="B729" s="170" t="s">
        <v>80</v>
      </c>
      <c r="C729" s="132">
        <v>45800</v>
      </c>
      <c r="D729" s="331">
        <v>118642855</v>
      </c>
      <c r="E729" s="271" t="s">
        <v>2924</v>
      </c>
      <c r="F729" s="179" t="s">
        <v>1</v>
      </c>
      <c r="G729" s="125" t="s">
        <v>10</v>
      </c>
      <c r="H729" s="106">
        <v>45800</v>
      </c>
      <c r="I729" s="137"/>
      <c r="J729" s="100" t="s">
        <v>2411</v>
      </c>
      <c r="K729" s="27"/>
      <c r="L729" s="356"/>
      <c r="M729" s="259"/>
      <c r="N729" s="29"/>
      <c r="O729" s="30"/>
      <c r="P729" s="54"/>
      <c r="Q729" s="83">
        <v>45807</v>
      </c>
      <c r="R729" s="89">
        <f t="shared" si="26"/>
        <v>1.0001528384279477</v>
      </c>
      <c r="S729" s="101" t="s">
        <v>1319</v>
      </c>
      <c r="T729" s="234"/>
    </row>
    <row r="730" spans="1:20" ht="57.6" x14ac:dyDescent="0.3">
      <c r="A730" s="96" t="e">
        <f t="shared" si="27"/>
        <v>#REF!</v>
      </c>
      <c r="B730" s="170">
        <v>1550</v>
      </c>
      <c r="C730" s="132">
        <v>45803</v>
      </c>
      <c r="D730" s="331">
        <v>100925707</v>
      </c>
      <c r="E730" s="271" t="s">
        <v>2925</v>
      </c>
      <c r="F730" s="179" t="s">
        <v>1</v>
      </c>
      <c r="G730" s="125" t="s">
        <v>8</v>
      </c>
      <c r="H730" s="106">
        <v>45803</v>
      </c>
      <c r="I730" s="137"/>
      <c r="J730" s="102" t="s">
        <v>2306</v>
      </c>
      <c r="K730" s="27"/>
      <c r="L730" s="356"/>
      <c r="M730" s="259"/>
      <c r="N730" s="29"/>
      <c r="O730" s="30"/>
      <c r="P730" s="54"/>
      <c r="Q730" s="83">
        <v>45804</v>
      </c>
      <c r="R730" s="89">
        <f t="shared" si="26"/>
        <v>1.0000218326310504</v>
      </c>
      <c r="S730" s="101" t="s">
        <v>1916</v>
      </c>
      <c r="T730" s="234"/>
    </row>
    <row r="731" spans="1:20" ht="72" x14ac:dyDescent="0.3">
      <c r="A731" s="96" t="e">
        <f t="shared" si="27"/>
        <v>#REF!</v>
      </c>
      <c r="B731" s="170">
        <v>1550</v>
      </c>
      <c r="C731" s="132">
        <v>45803</v>
      </c>
      <c r="D731" s="331"/>
      <c r="E731" s="271" t="s">
        <v>2926</v>
      </c>
      <c r="F731" s="179" t="s">
        <v>1314</v>
      </c>
      <c r="G731" s="125" t="s">
        <v>8</v>
      </c>
      <c r="H731" s="106">
        <v>45803</v>
      </c>
      <c r="I731" s="137"/>
      <c r="J731" s="102" t="s">
        <v>99</v>
      </c>
      <c r="K731" s="27"/>
      <c r="L731" s="356"/>
      <c r="M731" s="259"/>
      <c r="N731" s="29"/>
      <c r="O731" s="30"/>
      <c r="P731" s="54"/>
      <c r="Q731" s="83">
        <v>45804</v>
      </c>
      <c r="R731" s="89">
        <f t="shared" si="26"/>
        <v>1.0000218326310504</v>
      </c>
      <c r="S731" s="101" t="s">
        <v>1916</v>
      </c>
      <c r="T731" s="234"/>
    </row>
    <row r="732" spans="1:20" ht="57.6" x14ac:dyDescent="0.3">
      <c r="A732" s="96" t="e">
        <f t="shared" si="27"/>
        <v>#REF!</v>
      </c>
      <c r="B732" s="170">
        <v>1550</v>
      </c>
      <c r="C732" s="132">
        <v>45803</v>
      </c>
      <c r="D732" s="331"/>
      <c r="E732" s="271" t="s">
        <v>2927</v>
      </c>
      <c r="F732" s="179" t="s">
        <v>1314</v>
      </c>
      <c r="G732" s="125" t="s">
        <v>4</v>
      </c>
      <c r="H732" s="106">
        <v>45803</v>
      </c>
      <c r="I732" s="137"/>
      <c r="J732" s="102" t="s">
        <v>99</v>
      </c>
      <c r="K732" s="27"/>
      <c r="L732" s="356"/>
      <c r="M732" s="259"/>
      <c r="N732" s="29"/>
      <c r="O732" s="30"/>
      <c r="P732" s="54"/>
      <c r="Q732" s="83">
        <v>45803</v>
      </c>
      <c r="R732" s="89">
        <f t="shared" si="26"/>
        <v>1</v>
      </c>
      <c r="S732" s="101"/>
      <c r="T732" s="234"/>
    </row>
    <row r="733" spans="1:20" ht="57.6" x14ac:dyDescent="0.3">
      <c r="A733" s="96" t="e">
        <f t="shared" si="27"/>
        <v>#REF!</v>
      </c>
      <c r="B733" s="170">
        <v>1550</v>
      </c>
      <c r="C733" s="132">
        <v>45803</v>
      </c>
      <c r="D733" s="331"/>
      <c r="E733" s="271" t="s">
        <v>2928</v>
      </c>
      <c r="F733" s="179" t="s">
        <v>1314</v>
      </c>
      <c r="G733" s="125" t="s">
        <v>4</v>
      </c>
      <c r="H733" s="106">
        <v>45803</v>
      </c>
      <c r="I733" s="137"/>
      <c r="J733" s="102" t="s">
        <v>99</v>
      </c>
      <c r="K733" s="27"/>
      <c r="L733" s="356"/>
      <c r="M733" s="259"/>
      <c r="N733" s="29"/>
      <c r="O733" s="30"/>
      <c r="P733" s="54"/>
      <c r="Q733" s="83">
        <v>45803</v>
      </c>
      <c r="R733" s="89">
        <f t="shared" si="26"/>
        <v>1</v>
      </c>
      <c r="S733" s="101"/>
      <c r="T733" s="234"/>
    </row>
    <row r="734" spans="1:20" ht="28.8" x14ac:dyDescent="0.3">
      <c r="A734" s="96" t="e">
        <f t="shared" si="27"/>
        <v>#REF!</v>
      </c>
      <c r="B734" s="170">
        <v>1550</v>
      </c>
      <c r="C734" s="132">
        <v>45803</v>
      </c>
      <c r="D734" s="331">
        <v>75301032</v>
      </c>
      <c r="E734" s="271" t="s">
        <v>2929</v>
      </c>
      <c r="F734" s="179" t="s">
        <v>3</v>
      </c>
      <c r="G734" s="125" t="s">
        <v>8</v>
      </c>
      <c r="H734" s="106">
        <v>45803</v>
      </c>
      <c r="I734" s="137"/>
      <c r="J734" s="100" t="s">
        <v>82</v>
      </c>
      <c r="K734" s="27"/>
      <c r="L734" s="356"/>
      <c r="M734" s="259"/>
      <c r="N734" s="29"/>
      <c r="O734" s="30"/>
      <c r="P734" s="54"/>
      <c r="Q734" s="83">
        <v>45810</v>
      </c>
      <c r="R734" s="89">
        <f t="shared" si="26"/>
        <v>1.0001528284173526</v>
      </c>
      <c r="S734" s="101" t="s">
        <v>205</v>
      </c>
      <c r="T734" s="234"/>
    </row>
    <row r="735" spans="1:20" ht="57.6" x14ac:dyDescent="0.3">
      <c r="A735" s="96" t="e">
        <f t="shared" si="27"/>
        <v>#REF!</v>
      </c>
      <c r="B735" s="170">
        <v>1550</v>
      </c>
      <c r="C735" s="132">
        <v>45803</v>
      </c>
      <c r="D735" s="331"/>
      <c r="E735" s="475" t="s">
        <v>2930</v>
      </c>
      <c r="F735" s="179" t="s">
        <v>1314</v>
      </c>
      <c r="G735" s="125" t="s">
        <v>4</v>
      </c>
      <c r="H735" s="106">
        <v>45803</v>
      </c>
      <c r="I735" s="137"/>
      <c r="J735" s="102" t="s">
        <v>99</v>
      </c>
      <c r="K735" s="27"/>
      <c r="L735" s="356"/>
      <c r="M735" s="259"/>
      <c r="N735" s="29"/>
      <c r="O735" s="30"/>
      <c r="P735" s="54"/>
      <c r="Q735" s="83">
        <v>45804</v>
      </c>
      <c r="R735" s="89">
        <f t="shared" si="26"/>
        <v>1.0000218326310504</v>
      </c>
      <c r="S735" s="101"/>
      <c r="T735" s="234"/>
    </row>
    <row r="736" spans="1:20" ht="57.6" x14ac:dyDescent="0.3">
      <c r="A736" s="96" t="e">
        <f t="shared" si="27"/>
        <v>#REF!</v>
      </c>
      <c r="B736" s="170">
        <v>1550</v>
      </c>
      <c r="C736" s="132">
        <v>45803</v>
      </c>
      <c r="D736" s="331"/>
      <c r="E736" s="261" t="s">
        <v>2931</v>
      </c>
      <c r="F736" s="179" t="s">
        <v>1314</v>
      </c>
      <c r="G736" s="125" t="s">
        <v>6</v>
      </c>
      <c r="H736" s="106">
        <v>45803</v>
      </c>
      <c r="I736" s="137"/>
      <c r="J736" s="102" t="s">
        <v>99</v>
      </c>
      <c r="K736" s="27"/>
      <c r="L736" s="356"/>
      <c r="M736" s="259"/>
      <c r="N736" s="29"/>
      <c r="O736" s="30"/>
      <c r="P736" s="54"/>
      <c r="Q736" s="83">
        <v>45803</v>
      </c>
      <c r="R736" s="89">
        <f t="shared" si="26"/>
        <v>1</v>
      </c>
      <c r="S736" s="476" t="s">
        <v>1813</v>
      </c>
      <c r="T736" s="234"/>
    </row>
    <row r="737" spans="1:20" ht="57.6" x14ac:dyDescent="0.3">
      <c r="A737" s="96" t="e">
        <f t="shared" si="27"/>
        <v>#REF!</v>
      </c>
      <c r="B737" s="170">
        <v>1550</v>
      </c>
      <c r="C737" s="132">
        <v>45803</v>
      </c>
      <c r="D737" s="331"/>
      <c r="E737" s="262" t="s">
        <v>2932</v>
      </c>
      <c r="F737" s="179" t="s">
        <v>1314</v>
      </c>
      <c r="G737" s="125" t="s">
        <v>6</v>
      </c>
      <c r="H737" s="106">
        <v>45803</v>
      </c>
      <c r="I737" s="137"/>
      <c r="J737" s="102" t="s">
        <v>99</v>
      </c>
      <c r="K737" s="27"/>
      <c r="L737" s="356"/>
      <c r="M737" s="259"/>
      <c r="N737" s="29"/>
      <c r="O737" s="30"/>
      <c r="P737" s="54"/>
      <c r="Q737" s="83">
        <v>45803</v>
      </c>
      <c r="R737" s="89">
        <f t="shared" si="26"/>
        <v>1</v>
      </c>
      <c r="S737" s="477" t="s">
        <v>1927</v>
      </c>
      <c r="T737" s="234"/>
    </row>
    <row r="738" spans="1:20" ht="57.6" x14ac:dyDescent="0.3">
      <c r="A738" s="96" t="e">
        <f t="shared" si="27"/>
        <v>#REF!</v>
      </c>
      <c r="B738" s="170">
        <v>1550</v>
      </c>
      <c r="C738" s="132">
        <v>45803</v>
      </c>
      <c r="D738" s="331"/>
      <c r="E738" s="262" t="s">
        <v>2933</v>
      </c>
      <c r="F738" s="179" t="s">
        <v>1314</v>
      </c>
      <c r="G738" s="125" t="s">
        <v>6</v>
      </c>
      <c r="H738" s="106">
        <v>45803</v>
      </c>
      <c r="I738" s="137"/>
      <c r="J738" s="102" t="s">
        <v>99</v>
      </c>
      <c r="K738" s="27"/>
      <c r="L738" s="356"/>
      <c r="M738" s="259"/>
      <c r="N738" s="29"/>
      <c r="O738" s="30"/>
      <c r="P738" s="54"/>
      <c r="Q738" s="83">
        <v>45803</v>
      </c>
      <c r="R738" s="89">
        <f t="shared" si="26"/>
        <v>1</v>
      </c>
      <c r="S738" s="477" t="s">
        <v>1927</v>
      </c>
      <c r="T738" s="234"/>
    </row>
    <row r="739" spans="1:20" ht="57.6" x14ac:dyDescent="0.3">
      <c r="A739" s="96" t="e">
        <f t="shared" si="27"/>
        <v>#REF!</v>
      </c>
      <c r="B739" s="170">
        <v>1550</v>
      </c>
      <c r="C739" s="132">
        <v>45803</v>
      </c>
      <c r="D739" s="331"/>
      <c r="E739" s="262" t="s">
        <v>2934</v>
      </c>
      <c r="F739" s="179" t="s">
        <v>1314</v>
      </c>
      <c r="G739" s="125" t="s">
        <v>6</v>
      </c>
      <c r="H739" s="106">
        <v>45803</v>
      </c>
      <c r="I739" s="137"/>
      <c r="J739" s="102" t="s">
        <v>99</v>
      </c>
      <c r="K739" s="27"/>
      <c r="L739" s="356"/>
      <c r="M739" s="259"/>
      <c r="N739" s="29"/>
      <c r="O739" s="30"/>
      <c r="P739" s="54"/>
      <c r="Q739" s="83">
        <v>45804</v>
      </c>
      <c r="R739" s="89">
        <f t="shared" si="26"/>
        <v>1.0000218326310504</v>
      </c>
      <c r="S739" s="477" t="s">
        <v>1860</v>
      </c>
      <c r="T739" s="234"/>
    </row>
    <row r="740" spans="1:20" ht="57.6" x14ac:dyDescent="0.3">
      <c r="A740" s="96" t="e">
        <f t="shared" si="27"/>
        <v>#REF!</v>
      </c>
      <c r="B740" s="170">
        <v>1550</v>
      </c>
      <c r="C740" s="132">
        <v>45803</v>
      </c>
      <c r="D740" s="331"/>
      <c r="E740" s="262" t="s">
        <v>2935</v>
      </c>
      <c r="F740" s="179" t="s">
        <v>1314</v>
      </c>
      <c r="G740" s="125" t="s">
        <v>6</v>
      </c>
      <c r="H740" s="106">
        <v>45803</v>
      </c>
      <c r="I740" s="137"/>
      <c r="J740" s="102" t="s">
        <v>99</v>
      </c>
      <c r="K740" s="27"/>
      <c r="L740" s="356"/>
      <c r="M740" s="259"/>
      <c r="N740" s="29"/>
      <c r="O740" s="30"/>
      <c r="P740" s="54"/>
      <c r="Q740" s="83">
        <v>45804</v>
      </c>
      <c r="R740" s="89">
        <f t="shared" si="26"/>
        <v>1.0000218326310504</v>
      </c>
      <c r="S740" s="477" t="s">
        <v>1893</v>
      </c>
      <c r="T740" s="234"/>
    </row>
    <row r="741" spans="1:20" ht="100.8" x14ac:dyDescent="0.3">
      <c r="A741" s="96" t="e">
        <f t="shared" si="27"/>
        <v>#REF!</v>
      </c>
      <c r="B741" s="170">
        <v>1550</v>
      </c>
      <c r="C741" s="132">
        <v>45803</v>
      </c>
      <c r="D741" s="331"/>
      <c r="E741" s="271" t="s">
        <v>2936</v>
      </c>
      <c r="F741" s="179" t="s">
        <v>21</v>
      </c>
      <c r="G741" s="125" t="s">
        <v>6</v>
      </c>
      <c r="H741" s="106">
        <v>45803</v>
      </c>
      <c r="I741" s="137"/>
      <c r="J741" s="100" t="s">
        <v>2317</v>
      </c>
      <c r="K741" s="27"/>
      <c r="L741" s="356"/>
      <c r="M741" s="259"/>
      <c r="N741" s="29"/>
      <c r="O741" s="30"/>
      <c r="P741" s="54"/>
      <c r="Q741" s="83">
        <v>45803</v>
      </c>
      <c r="R741" s="89">
        <f t="shared" si="26"/>
        <v>1</v>
      </c>
      <c r="S741" s="101" t="s">
        <v>1860</v>
      </c>
      <c r="T741" s="234"/>
    </row>
    <row r="742" spans="1:20" ht="100.8" x14ac:dyDescent="0.3">
      <c r="A742" s="96" t="e">
        <f t="shared" si="27"/>
        <v>#REF!</v>
      </c>
      <c r="B742" s="170">
        <v>1550</v>
      </c>
      <c r="C742" s="132">
        <v>45803</v>
      </c>
      <c r="D742" s="331">
        <v>45804877</v>
      </c>
      <c r="E742" s="271" t="s">
        <v>2937</v>
      </c>
      <c r="F742" s="179" t="s">
        <v>39</v>
      </c>
      <c r="G742" s="125" t="s">
        <v>6</v>
      </c>
      <c r="H742" s="106">
        <v>45803</v>
      </c>
      <c r="I742" s="137"/>
      <c r="J742" s="102" t="s">
        <v>22</v>
      </c>
      <c r="K742" s="27"/>
      <c r="L742" s="356"/>
      <c r="M742" s="259"/>
      <c r="N742" s="29"/>
      <c r="O742" s="30"/>
      <c r="P742" s="54"/>
      <c r="Q742" s="83">
        <v>45810</v>
      </c>
      <c r="R742" s="89">
        <f t="shared" si="26"/>
        <v>1.0001528284173526</v>
      </c>
      <c r="S742" s="101" t="s">
        <v>2747</v>
      </c>
      <c r="T742" s="234"/>
    </row>
    <row r="743" spans="1:20" ht="86.4" x14ac:dyDescent="0.3">
      <c r="A743" s="96" t="e">
        <f t="shared" si="27"/>
        <v>#REF!</v>
      </c>
      <c r="B743" s="170">
        <v>1550</v>
      </c>
      <c r="C743" s="132">
        <v>45803</v>
      </c>
      <c r="D743" s="367">
        <v>74326511</v>
      </c>
      <c r="E743" s="467" t="s">
        <v>2938</v>
      </c>
      <c r="F743" s="283" t="s">
        <v>39</v>
      </c>
      <c r="G743" s="125" t="s">
        <v>6</v>
      </c>
      <c r="H743" s="106">
        <v>45803</v>
      </c>
      <c r="I743" s="137"/>
      <c r="J743" s="102" t="s">
        <v>22</v>
      </c>
      <c r="K743" s="27"/>
      <c r="L743" s="356"/>
      <c r="M743" s="259"/>
      <c r="N743" s="29"/>
      <c r="O743" s="30"/>
      <c r="P743" s="54"/>
      <c r="Q743" s="83">
        <v>45810</v>
      </c>
      <c r="R743" s="89">
        <f t="shared" si="26"/>
        <v>1.0001528284173526</v>
      </c>
      <c r="S743" s="101" t="s">
        <v>2808</v>
      </c>
      <c r="T743" s="234"/>
    </row>
    <row r="744" spans="1:20" ht="43.2" x14ac:dyDescent="0.3">
      <c r="A744" s="96" t="e">
        <f t="shared" si="27"/>
        <v>#REF!</v>
      </c>
      <c r="B744" s="170">
        <v>1550</v>
      </c>
      <c r="C744" s="132">
        <v>45803</v>
      </c>
      <c r="D744" s="411">
        <v>42884136</v>
      </c>
      <c r="E744" s="175" t="s">
        <v>2939</v>
      </c>
      <c r="F744" s="111" t="s">
        <v>33</v>
      </c>
      <c r="G744" s="376" t="s">
        <v>6</v>
      </c>
      <c r="H744" s="106">
        <v>45803</v>
      </c>
      <c r="I744" s="137"/>
      <c r="J744" s="100" t="s">
        <v>99</v>
      </c>
      <c r="K744" s="27"/>
      <c r="L744" s="356"/>
      <c r="M744" s="259"/>
      <c r="N744" s="29"/>
      <c r="O744" s="30"/>
      <c r="P744" s="54"/>
      <c r="Q744" s="83">
        <v>45803</v>
      </c>
      <c r="R744" s="89">
        <f t="shared" si="26"/>
        <v>1</v>
      </c>
      <c r="S744" s="101" t="s">
        <v>1816</v>
      </c>
      <c r="T744" s="234"/>
    </row>
    <row r="745" spans="1:20" ht="57.6" x14ac:dyDescent="0.3">
      <c r="A745" s="96" t="e">
        <f t="shared" si="27"/>
        <v>#REF!</v>
      </c>
      <c r="B745" s="170">
        <v>1550</v>
      </c>
      <c r="C745" s="132">
        <v>45803</v>
      </c>
      <c r="D745" s="411"/>
      <c r="E745" s="478" t="s">
        <v>2940</v>
      </c>
      <c r="F745" s="111" t="s">
        <v>1314</v>
      </c>
      <c r="G745" s="376" t="s">
        <v>4</v>
      </c>
      <c r="H745" s="106">
        <v>45803</v>
      </c>
      <c r="I745" s="137"/>
      <c r="J745" s="102" t="s">
        <v>99</v>
      </c>
      <c r="K745" s="27"/>
      <c r="L745" s="356"/>
      <c r="M745" s="259"/>
      <c r="N745" s="29"/>
      <c r="O745" s="30"/>
      <c r="P745" s="54"/>
      <c r="Q745" s="83">
        <v>45804</v>
      </c>
      <c r="R745" s="89">
        <f t="shared" si="26"/>
        <v>1.0000218326310504</v>
      </c>
      <c r="S745" s="101"/>
      <c r="T745" s="234"/>
    </row>
    <row r="746" spans="1:20" ht="57.6" x14ac:dyDescent="0.3">
      <c r="A746" s="96" t="e">
        <f t="shared" si="27"/>
        <v>#REF!</v>
      </c>
      <c r="B746" s="170">
        <v>1550</v>
      </c>
      <c r="C746" s="132">
        <v>45803</v>
      </c>
      <c r="D746" s="331"/>
      <c r="E746" s="452" t="s">
        <v>2941</v>
      </c>
      <c r="F746" s="466" t="s">
        <v>1314</v>
      </c>
      <c r="G746" s="125" t="s">
        <v>6</v>
      </c>
      <c r="H746" s="106">
        <v>45803</v>
      </c>
      <c r="I746" s="137"/>
      <c r="J746" s="102" t="s">
        <v>99</v>
      </c>
      <c r="K746" s="27"/>
      <c r="L746" s="356"/>
      <c r="M746" s="259"/>
      <c r="N746" s="29"/>
      <c r="O746" s="30"/>
      <c r="P746" s="54"/>
      <c r="Q746" s="83">
        <v>45804</v>
      </c>
      <c r="R746" s="89">
        <f t="shared" si="26"/>
        <v>1.0000218326310504</v>
      </c>
      <c r="S746" s="101" t="s">
        <v>1860</v>
      </c>
      <c r="T746" s="234"/>
    </row>
    <row r="747" spans="1:20" ht="86.4" x14ac:dyDescent="0.3">
      <c r="A747" s="96" t="e">
        <f t="shared" si="27"/>
        <v>#REF!</v>
      </c>
      <c r="B747" s="170">
        <v>1550</v>
      </c>
      <c r="C747" s="132">
        <v>45803</v>
      </c>
      <c r="D747" s="331">
        <v>25584316</v>
      </c>
      <c r="E747" s="271" t="s">
        <v>2942</v>
      </c>
      <c r="F747" s="179" t="s">
        <v>7</v>
      </c>
      <c r="G747" s="125" t="s">
        <v>6</v>
      </c>
      <c r="H747" s="106">
        <v>45803</v>
      </c>
      <c r="I747" s="137"/>
      <c r="J747" s="102" t="s">
        <v>2367</v>
      </c>
      <c r="K747" s="27"/>
      <c r="L747" s="356"/>
      <c r="M747" s="259"/>
      <c r="N747" s="29"/>
      <c r="O747" s="30"/>
      <c r="P747" s="54"/>
      <c r="Q747" s="83">
        <v>45804</v>
      </c>
      <c r="R747" s="89">
        <f t="shared" si="26"/>
        <v>1.0000218326310504</v>
      </c>
      <c r="S747" s="101" t="s">
        <v>1893</v>
      </c>
      <c r="T747" s="234"/>
    </row>
    <row r="748" spans="1:20" ht="43.2" x14ac:dyDescent="0.3">
      <c r="A748" s="96" t="e">
        <f t="shared" si="27"/>
        <v>#REF!</v>
      </c>
      <c r="B748" s="170">
        <v>1550</v>
      </c>
      <c r="C748" s="132">
        <v>45803</v>
      </c>
      <c r="D748" s="331">
        <v>61865591</v>
      </c>
      <c r="E748" s="271" t="s">
        <v>2943</v>
      </c>
      <c r="F748" s="179" t="s">
        <v>3</v>
      </c>
      <c r="G748" s="125" t="s">
        <v>6</v>
      </c>
      <c r="H748" s="106">
        <v>45803</v>
      </c>
      <c r="I748" s="137"/>
      <c r="J748" s="100" t="s">
        <v>82</v>
      </c>
      <c r="K748" s="27"/>
      <c r="L748" s="356"/>
      <c r="M748" s="259"/>
      <c r="N748" s="29"/>
      <c r="O748" s="30"/>
      <c r="P748" s="54"/>
      <c r="Q748" s="83">
        <v>45804</v>
      </c>
      <c r="R748" s="89">
        <f t="shared" si="26"/>
        <v>1.0000218326310504</v>
      </c>
      <c r="S748" s="101" t="s">
        <v>1860</v>
      </c>
      <c r="T748" s="234"/>
    </row>
    <row r="749" spans="1:20" ht="43.2" x14ac:dyDescent="0.3">
      <c r="A749" s="96" t="e">
        <f t="shared" si="27"/>
        <v>#REF!</v>
      </c>
      <c r="B749" s="170" t="s">
        <v>301</v>
      </c>
      <c r="C749" s="132">
        <v>45803</v>
      </c>
      <c r="D749" s="331">
        <v>5771536</v>
      </c>
      <c r="E749" s="271" t="s">
        <v>2944</v>
      </c>
      <c r="F749" s="179" t="s">
        <v>36</v>
      </c>
      <c r="G749" s="125" t="s">
        <v>4</v>
      </c>
      <c r="H749" s="106">
        <v>45803</v>
      </c>
      <c r="I749" s="137">
        <v>10000292762</v>
      </c>
      <c r="J749" s="102" t="s">
        <v>99</v>
      </c>
      <c r="K749" s="27"/>
      <c r="L749" s="356"/>
      <c r="M749" s="259"/>
      <c r="N749" s="29"/>
      <c r="O749" s="30"/>
      <c r="P749" s="54"/>
      <c r="Q749" s="83">
        <v>45813</v>
      </c>
      <c r="R749" s="89">
        <f t="shared" si="26"/>
        <v>1.0002183263105038</v>
      </c>
      <c r="S749" s="101"/>
      <c r="T749" s="234" t="s">
        <v>2945</v>
      </c>
    </row>
    <row r="750" spans="1:20" ht="57.6" x14ac:dyDescent="0.3">
      <c r="A750" s="96" t="e">
        <f t="shared" si="27"/>
        <v>#REF!</v>
      </c>
      <c r="B750" s="170" t="s">
        <v>80</v>
      </c>
      <c r="C750" s="132">
        <v>45803</v>
      </c>
      <c r="D750" s="331"/>
      <c r="E750" s="271" t="s">
        <v>2946</v>
      </c>
      <c r="F750" s="179" t="s">
        <v>1314</v>
      </c>
      <c r="G750" s="125" t="s">
        <v>10</v>
      </c>
      <c r="H750" s="106">
        <v>45803</v>
      </c>
      <c r="I750" s="137"/>
      <c r="J750" s="102" t="s">
        <v>99</v>
      </c>
      <c r="K750" s="27"/>
      <c r="L750" s="356"/>
      <c r="M750" s="259"/>
      <c r="N750" s="29"/>
      <c r="O750" s="30"/>
      <c r="P750" s="54"/>
      <c r="Q750" s="83">
        <v>45803</v>
      </c>
      <c r="R750" s="89">
        <f t="shared" si="26"/>
        <v>1</v>
      </c>
      <c r="S750" s="101" t="s">
        <v>85</v>
      </c>
      <c r="T750" s="234"/>
    </row>
    <row r="751" spans="1:20" ht="57.6" x14ac:dyDescent="0.3">
      <c r="A751" s="96" t="e">
        <f t="shared" si="27"/>
        <v>#REF!</v>
      </c>
      <c r="B751" s="170" t="s">
        <v>80</v>
      </c>
      <c r="C751" s="132">
        <v>45803</v>
      </c>
      <c r="D751" s="331"/>
      <c r="E751" s="271" t="s">
        <v>2947</v>
      </c>
      <c r="F751" s="179" t="s">
        <v>1314</v>
      </c>
      <c r="G751" s="125" t="s">
        <v>10</v>
      </c>
      <c r="H751" s="106">
        <v>45803</v>
      </c>
      <c r="I751" s="137"/>
      <c r="J751" s="102" t="s">
        <v>99</v>
      </c>
      <c r="K751" s="27"/>
      <c r="L751" s="356"/>
      <c r="M751" s="259"/>
      <c r="N751" s="29"/>
      <c r="O751" s="30"/>
      <c r="P751" s="54"/>
      <c r="Q751" s="83">
        <v>45803</v>
      </c>
      <c r="R751" s="89">
        <f t="shared" si="26"/>
        <v>1</v>
      </c>
      <c r="S751" s="101" t="s">
        <v>85</v>
      </c>
      <c r="T751" s="234"/>
    </row>
    <row r="752" spans="1:20" ht="57.6" x14ac:dyDescent="0.3">
      <c r="A752" s="96" t="e">
        <f t="shared" si="20"/>
        <v>#REF!</v>
      </c>
      <c r="B752" s="170" t="s">
        <v>80</v>
      </c>
      <c r="C752" s="132">
        <v>45803</v>
      </c>
      <c r="D752" s="331"/>
      <c r="E752" s="271" t="s">
        <v>2948</v>
      </c>
      <c r="F752" s="179" t="s">
        <v>1314</v>
      </c>
      <c r="G752" s="125" t="s">
        <v>10</v>
      </c>
      <c r="H752" s="106">
        <v>45803</v>
      </c>
      <c r="I752" s="137"/>
      <c r="J752" s="102" t="s">
        <v>99</v>
      </c>
      <c r="K752" s="27"/>
      <c r="L752" s="356"/>
      <c r="M752" s="259"/>
      <c r="N752" s="29"/>
      <c r="O752" s="30"/>
      <c r="P752" s="54"/>
      <c r="Q752" s="83">
        <v>45803</v>
      </c>
      <c r="R752" s="89">
        <f t="shared" si="26"/>
        <v>1</v>
      </c>
      <c r="S752" s="101" t="s">
        <v>85</v>
      </c>
      <c r="T752" s="234"/>
    </row>
    <row r="753" spans="1:20" ht="57.6" x14ac:dyDescent="0.3">
      <c r="A753" s="96" t="e">
        <f t="shared" si="20"/>
        <v>#REF!</v>
      </c>
      <c r="B753" s="170" t="s">
        <v>80</v>
      </c>
      <c r="C753" s="132">
        <v>45803</v>
      </c>
      <c r="D753" s="331"/>
      <c r="E753" s="271" t="s">
        <v>2949</v>
      </c>
      <c r="F753" s="179" t="s">
        <v>1314</v>
      </c>
      <c r="G753" s="125" t="s">
        <v>10</v>
      </c>
      <c r="H753" s="106">
        <v>45803</v>
      </c>
      <c r="I753" s="137"/>
      <c r="J753" s="102" t="s">
        <v>99</v>
      </c>
      <c r="K753" s="27"/>
      <c r="L753" s="356"/>
      <c r="M753" s="259"/>
      <c r="N753" s="29"/>
      <c r="O753" s="30"/>
      <c r="P753" s="54"/>
      <c r="Q753" s="83">
        <v>45803</v>
      </c>
      <c r="R753" s="89">
        <f t="shared" si="26"/>
        <v>1</v>
      </c>
      <c r="S753" s="101" t="s">
        <v>85</v>
      </c>
      <c r="T753" s="234"/>
    </row>
    <row r="754" spans="1:20" ht="28.8" x14ac:dyDescent="0.3">
      <c r="A754" s="96" t="e">
        <f t="shared" si="20"/>
        <v>#REF!</v>
      </c>
      <c r="B754" s="170" t="s">
        <v>80</v>
      </c>
      <c r="C754" s="132">
        <v>45803</v>
      </c>
      <c r="D754" s="331">
        <v>76889416</v>
      </c>
      <c r="E754" s="271" t="s">
        <v>2950</v>
      </c>
      <c r="F754" s="179" t="s">
        <v>23</v>
      </c>
      <c r="G754" s="125" t="s">
        <v>10</v>
      </c>
      <c r="H754" s="106">
        <v>45803</v>
      </c>
      <c r="I754" s="137"/>
      <c r="J754" s="102" t="s">
        <v>135</v>
      </c>
      <c r="K754" s="27"/>
      <c r="L754" s="356"/>
      <c r="M754" s="259"/>
      <c r="N754" s="29"/>
      <c r="O754" s="30"/>
      <c r="P754" s="54"/>
      <c r="Q754" s="83">
        <v>45803</v>
      </c>
      <c r="R754" s="89">
        <f t="shared" si="26"/>
        <v>1</v>
      </c>
      <c r="S754" s="101" t="s">
        <v>85</v>
      </c>
      <c r="T754" s="234"/>
    </row>
    <row r="755" spans="1:20" ht="86.4" x14ac:dyDescent="0.3">
      <c r="A755" s="96" t="e">
        <f t="shared" si="20"/>
        <v>#REF!</v>
      </c>
      <c r="B755" s="170" t="s">
        <v>80</v>
      </c>
      <c r="C755" s="132">
        <v>45803</v>
      </c>
      <c r="D755" s="331">
        <v>35297972</v>
      </c>
      <c r="E755" s="271" t="s">
        <v>2951</v>
      </c>
      <c r="F755" s="179" t="s">
        <v>3</v>
      </c>
      <c r="G755" s="125" t="s">
        <v>10</v>
      </c>
      <c r="H755" s="106">
        <v>45803</v>
      </c>
      <c r="I755" s="137"/>
      <c r="J755" s="100" t="s">
        <v>82</v>
      </c>
      <c r="K755" s="27"/>
      <c r="L755" s="356"/>
      <c r="M755" s="259"/>
      <c r="N755" s="29"/>
      <c r="O755" s="30"/>
      <c r="P755" s="54"/>
      <c r="Q755" s="83">
        <v>45813</v>
      </c>
      <c r="R755" s="89">
        <f t="shared" si="26"/>
        <v>1.0002183263105038</v>
      </c>
      <c r="S755" s="101" t="s">
        <v>85</v>
      </c>
      <c r="T755" s="234"/>
    </row>
    <row r="756" spans="1:20" ht="57.6" x14ac:dyDescent="0.3">
      <c r="A756" s="96" t="e">
        <f t="shared" si="20"/>
        <v>#REF!</v>
      </c>
      <c r="B756" s="170" t="s">
        <v>80</v>
      </c>
      <c r="C756" s="132">
        <v>45803</v>
      </c>
      <c r="D756" s="331"/>
      <c r="E756" s="271" t="s">
        <v>2952</v>
      </c>
      <c r="F756" s="179" t="s">
        <v>1314</v>
      </c>
      <c r="G756" s="125" t="s">
        <v>10</v>
      </c>
      <c r="H756" s="106">
        <v>45803</v>
      </c>
      <c r="I756" s="137"/>
      <c r="J756" s="102" t="s">
        <v>99</v>
      </c>
      <c r="K756" s="27"/>
      <c r="L756" s="356"/>
      <c r="M756" s="259"/>
      <c r="N756" s="29"/>
      <c r="O756" s="30"/>
      <c r="P756" s="54"/>
      <c r="Q756" s="83">
        <v>45803</v>
      </c>
      <c r="R756" s="89">
        <f t="shared" si="26"/>
        <v>1</v>
      </c>
      <c r="S756" s="101" t="s">
        <v>214</v>
      </c>
      <c r="T756" s="234"/>
    </row>
    <row r="757" spans="1:20" ht="57.6" x14ac:dyDescent="0.3">
      <c r="A757" s="96" t="e">
        <f t="shared" si="20"/>
        <v>#REF!</v>
      </c>
      <c r="B757" s="170" t="s">
        <v>80</v>
      </c>
      <c r="C757" s="132">
        <v>45803</v>
      </c>
      <c r="D757" s="331"/>
      <c r="E757" s="271" t="s">
        <v>2953</v>
      </c>
      <c r="F757" s="179" t="s">
        <v>1314</v>
      </c>
      <c r="G757" s="125" t="s">
        <v>10</v>
      </c>
      <c r="H757" s="106">
        <v>45803</v>
      </c>
      <c r="I757" s="137"/>
      <c r="J757" s="102" t="s">
        <v>99</v>
      </c>
      <c r="K757" s="27"/>
      <c r="L757" s="356"/>
      <c r="M757" s="259"/>
      <c r="N757" s="29"/>
      <c r="O757" s="30"/>
      <c r="P757" s="54"/>
      <c r="Q757" s="83">
        <v>45803</v>
      </c>
      <c r="R757" s="89">
        <f t="shared" si="26"/>
        <v>1</v>
      </c>
      <c r="S757" s="101" t="s">
        <v>1319</v>
      </c>
      <c r="T757" s="234"/>
    </row>
    <row r="758" spans="1:20" ht="57.6" x14ac:dyDescent="0.3">
      <c r="A758" s="96" t="e">
        <f t="shared" si="20"/>
        <v>#REF!</v>
      </c>
      <c r="B758" s="170" t="s">
        <v>80</v>
      </c>
      <c r="C758" s="132">
        <v>45803</v>
      </c>
      <c r="D758" s="331"/>
      <c r="E758" s="271" t="s">
        <v>2954</v>
      </c>
      <c r="F758" s="179" t="s">
        <v>1314</v>
      </c>
      <c r="G758" s="125" t="s">
        <v>10</v>
      </c>
      <c r="H758" s="106">
        <v>45803</v>
      </c>
      <c r="I758" s="137"/>
      <c r="J758" s="102" t="s">
        <v>99</v>
      </c>
      <c r="K758" s="27"/>
      <c r="L758" s="356"/>
      <c r="M758" s="259"/>
      <c r="N758" s="29"/>
      <c r="O758" s="30"/>
      <c r="P758" s="54"/>
      <c r="Q758" s="83">
        <v>45803</v>
      </c>
      <c r="R758" s="89">
        <f t="shared" si="26"/>
        <v>1</v>
      </c>
      <c r="S758" s="101" t="s">
        <v>1319</v>
      </c>
      <c r="T758" s="234"/>
    </row>
    <row r="759" spans="1:20" ht="57.6" x14ac:dyDescent="0.3">
      <c r="A759" s="96" t="e">
        <f t="shared" si="20"/>
        <v>#REF!</v>
      </c>
      <c r="B759" s="170" t="s">
        <v>80</v>
      </c>
      <c r="C759" s="132">
        <v>45803</v>
      </c>
      <c r="D759" s="331"/>
      <c r="E759" s="271" t="s">
        <v>2955</v>
      </c>
      <c r="F759" s="179" t="s">
        <v>1314</v>
      </c>
      <c r="G759" s="125" t="s">
        <v>10</v>
      </c>
      <c r="H759" s="106">
        <v>45803</v>
      </c>
      <c r="I759" s="137"/>
      <c r="J759" s="102" t="s">
        <v>99</v>
      </c>
      <c r="K759" s="27"/>
      <c r="L759" s="356"/>
      <c r="M759" s="259"/>
      <c r="N759" s="29"/>
      <c r="O759" s="30"/>
      <c r="P759" s="54"/>
      <c r="Q759" s="83">
        <v>45803</v>
      </c>
      <c r="R759" s="89">
        <f t="shared" si="26"/>
        <v>1</v>
      </c>
      <c r="S759" s="101" t="s">
        <v>1319</v>
      </c>
      <c r="T759" s="234"/>
    </row>
    <row r="760" spans="1:20" ht="57.6" x14ac:dyDescent="0.3">
      <c r="A760" s="96" t="e">
        <f t="shared" si="20"/>
        <v>#REF!</v>
      </c>
      <c r="B760" s="170" t="s">
        <v>80</v>
      </c>
      <c r="C760" s="132">
        <v>45803</v>
      </c>
      <c r="D760" s="331"/>
      <c r="E760" s="271" t="s">
        <v>2956</v>
      </c>
      <c r="F760" s="179" t="s">
        <v>1314</v>
      </c>
      <c r="G760" s="125" t="s">
        <v>10</v>
      </c>
      <c r="H760" s="106">
        <v>45803</v>
      </c>
      <c r="I760" s="137"/>
      <c r="J760" s="102" t="s">
        <v>99</v>
      </c>
      <c r="K760" s="27"/>
      <c r="L760" s="356"/>
      <c r="M760" s="259"/>
      <c r="N760" s="29"/>
      <c r="O760" s="30"/>
      <c r="P760" s="54"/>
      <c r="Q760" s="83">
        <v>45803</v>
      </c>
      <c r="R760" s="89">
        <f t="shared" si="26"/>
        <v>1</v>
      </c>
      <c r="S760" s="101" t="s">
        <v>1319</v>
      </c>
      <c r="T760" s="234"/>
    </row>
    <row r="761" spans="1:20" ht="57.6" x14ac:dyDescent="0.3">
      <c r="A761" s="96" t="e">
        <f t="shared" si="20"/>
        <v>#REF!</v>
      </c>
      <c r="B761" s="170" t="s">
        <v>80</v>
      </c>
      <c r="C761" s="132">
        <v>45803</v>
      </c>
      <c r="D761" s="331"/>
      <c r="E761" s="271" t="s">
        <v>2957</v>
      </c>
      <c r="F761" s="179" t="s">
        <v>1314</v>
      </c>
      <c r="G761" s="125" t="s">
        <v>10</v>
      </c>
      <c r="H761" s="106">
        <v>45803</v>
      </c>
      <c r="I761" s="137"/>
      <c r="J761" s="102" t="s">
        <v>99</v>
      </c>
      <c r="K761" s="27"/>
      <c r="L761" s="356"/>
      <c r="M761" s="259"/>
      <c r="N761" s="29"/>
      <c r="O761" s="30"/>
      <c r="P761" s="54"/>
      <c r="Q761" s="83">
        <v>45804</v>
      </c>
      <c r="R761" s="89">
        <f t="shared" si="26"/>
        <v>1.0000218326310504</v>
      </c>
      <c r="S761" s="101" t="s">
        <v>1319</v>
      </c>
      <c r="T761" s="234"/>
    </row>
    <row r="762" spans="1:20" ht="115.2" x14ac:dyDescent="0.3">
      <c r="A762" s="96" t="e">
        <f t="shared" si="20"/>
        <v>#REF!</v>
      </c>
      <c r="B762" s="170" t="s">
        <v>80</v>
      </c>
      <c r="C762" s="132">
        <v>45803</v>
      </c>
      <c r="D762" s="331">
        <v>109526937</v>
      </c>
      <c r="E762" s="271" t="s">
        <v>2958</v>
      </c>
      <c r="F762" s="179" t="s">
        <v>15</v>
      </c>
      <c r="G762" s="125" t="s">
        <v>10</v>
      </c>
      <c r="H762" s="106">
        <v>45803</v>
      </c>
      <c r="I762" s="137"/>
      <c r="J762" s="100" t="s">
        <v>99</v>
      </c>
      <c r="K762" s="27"/>
      <c r="L762" s="356"/>
      <c r="M762" s="259"/>
      <c r="N762" s="29"/>
      <c r="O762" s="30"/>
      <c r="P762" s="54"/>
      <c r="Q762" s="83">
        <v>45805</v>
      </c>
      <c r="R762" s="89">
        <f t="shared" si="26"/>
        <v>1.0000436652621008</v>
      </c>
      <c r="S762" s="101" t="s">
        <v>1319</v>
      </c>
      <c r="T762" s="234"/>
    </row>
    <row r="763" spans="1:20" ht="57.6" x14ac:dyDescent="0.3">
      <c r="A763" s="96" t="e">
        <f t="shared" si="20"/>
        <v>#REF!</v>
      </c>
      <c r="B763" s="170" t="s">
        <v>80</v>
      </c>
      <c r="C763" s="132">
        <v>45803</v>
      </c>
      <c r="D763" s="331"/>
      <c r="E763" s="271" t="s">
        <v>2959</v>
      </c>
      <c r="F763" s="179" t="s">
        <v>1314</v>
      </c>
      <c r="G763" s="125" t="s">
        <v>10</v>
      </c>
      <c r="H763" s="106">
        <v>45803</v>
      </c>
      <c r="I763" s="137"/>
      <c r="J763" s="102" t="s">
        <v>99</v>
      </c>
      <c r="K763" s="27"/>
      <c r="L763" s="356"/>
      <c r="M763" s="259"/>
      <c r="N763" s="29"/>
      <c r="O763" s="30"/>
      <c r="P763" s="54"/>
      <c r="Q763" s="83">
        <v>45804</v>
      </c>
      <c r="R763" s="89">
        <f t="shared" si="26"/>
        <v>1.0000218326310504</v>
      </c>
      <c r="S763" s="101" t="s">
        <v>1319</v>
      </c>
      <c r="T763" s="234"/>
    </row>
    <row r="764" spans="1:20" ht="57.6" x14ac:dyDescent="0.3">
      <c r="A764" s="96" t="e">
        <f t="shared" si="20"/>
        <v>#REF!</v>
      </c>
      <c r="B764" s="170" t="s">
        <v>80</v>
      </c>
      <c r="C764" s="132">
        <v>45803</v>
      </c>
      <c r="D764" s="331"/>
      <c r="E764" s="271" t="s">
        <v>2960</v>
      </c>
      <c r="F764" s="179" t="s">
        <v>1314</v>
      </c>
      <c r="G764" s="125" t="s">
        <v>10</v>
      </c>
      <c r="H764" s="106">
        <v>45803</v>
      </c>
      <c r="I764" s="137"/>
      <c r="J764" s="102" t="s">
        <v>99</v>
      </c>
      <c r="K764" s="27"/>
      <c r="L764" s="356"/>
      <c r="M764" s="259"/>
      <c r="N764" s="29"/>
      <c r="O764" s="30"/>
      <c r="P764" s="54"/>
      <c r="Q764" s="83">
        <v>45804</v>
      </c>
      <c r="R764" s="89">
        <f t="shared" si="26"/>
        <v>1.0000218326310504</v>
      </c>
      <c r="S764" s="101" t="s">
        <v>1319</v>
      </c>
      <c r="T764" s="234"/>
    </row>
    <row r="765" spans="1:20" ht="57.6" x14ac:dyDescent="0.3">
      <c r="A765" s="96" t="e">
        <f t="shared" si="20"/>
        <v>#REF!</v>
      </c>
      <c r="B765" s="170" t="s">
        <v>80</v>
      </c>
      <c r="C765" s="132">
        <v>45803</v>
      </c>
      <c r="D765" s="331"/>
      <c r="E765" s="271" t="s">
        <v>2961</v>
      </c>
      <c r="F765" s="179" t="s">
        <v>1314</v>
      </c>
      <c r="G765" s="125" t="s">
        <v>10</v>
      </c>
      <c r="H765" s="106">
        <v>45803</v>
      </c>
      <c r="I765" s="137"/>
      <c r="J765" s="102" t="s">
        <v>99</v>
      </c>
      <c r="K765" s="27"/>
      <c r="L765" s="356"/>
      <c r="M765" s="259"/>
      <c r="N765" s="29"/>
      <c r="O765" s="30"/>
      <c r="P765" s="54"/>
      <c r="Q765" s="83">
        <v>45804</v>
      </c>
      <c r="R765" s="89">
        <f t="shared" si="26"/>
        <v>1.0000218326310504</v>
      </c>
      <c r="S765" s="101" t="s">
        <v>1319</v>
      </c>
      <c r="T765" s="234"/>
    </row>
    <row r="766" spans="1:20" ht="115.2" x14ac:dyDescent="0.3">
      <c r="A766" s="96" t="e">
        <f t="shared" si="20"/>
        <v>#REF!</v>
      </c>
      <c r="B766" s="170" t="s">
        <v>80</v>
      </c>
      <c r="C766" s="132">
        <v>45803</v>
      </c>
      <c r="D766" s="331">
        <v>43317669</v>
      </c>
      <c r="E766" s="271" t="s">
        <v>2962</v>
      </c>
      <c r="F766" s="179" t="s">
        <v>39</v>
      </c>
      <c r="G766" s="125" t="s">
        <v>10</v>
      </c>
      <c r="H766" s="106">
        <v>45803</v>
      </c>
      <c r="I766" s="137"/>
      <c r="J766" s="102" t="s">
        <v>22</v>
      </c>
      <c r="K766" s="27"/>
      <c r="L766" s="356"/>
      <c r="M766" s="259"/>
      <c r="N766" s="29"/>
      <c r="O766" s="30"/>
      <c r="P766" s="54"/>
      <c r="Q766" s="83">
        <v>45804</v>
      </c>
      <c r="R766" s="89">
        <f t="shared" si="26"/>
        <v>1.0000218326310504</v>
      </c>
      <c r="S766" s="101" t="s">
        <v>1835</v>
      </c>
      <c r="T766" s="234"/>
    </row>
    <row r="767" spans="1:20" ht="57.6" x14ac:dyDescent="0.3">
      <c r="A767" s="96" t="e">
        <f t="shared" si="20"/>
        <v>#REF!</v>
      </c>
      <c r="B767" s="170" t="s">
        <v>80</v>
      </c>
      <c r="C767" s="132">
        <v>45803</v>
      </c>
      <c r="D767" s="331">
        <v>76272591</v>
      </c>
      <c r="E767" s="271" t="s">
        <v>2963</v>
      </c>
      <c r="F767" s="179" t="s">
        <v>17</v>
      </c>
      <c r="G767" s="125" t="s">
        <v>10</v>
      </c>
      <c r="H767" s="106">
        <v>45803</v>
      </c>
      <c r="I767" s="137"/>
      <c r="J767" s="100" t="s">
        <v>82</v>
      </c>
      <c r="K767" s="27"/>
      <c r="L767" s="356"/>
      <c r="M767" s="259"/>
      <c r="N767" s="29"/>
      <c r="O767" s="30"/>
      <c r="P767" s="54"/>
      <c r="Q767" s="83">
        <v>45804</v>
      </c>
      <c r="R767" s="89">
        <f t="shared" si="26"/>
        <v>1.0000218326310504</v>
      </c>
      <c r="S767" s="101" t="s">
        <v>1319</v>
      </c>
      <c r="T767" s="234"/>
    </row>
    <row r="768" spans="1:20" ht="43.2" x14ac:dyDescent="0.3">
      <c r="A768" s="96" t="e">
        <f t="shared" si="20"/>
        <v>#REF!</v>
      </c>
      <c r="B768" s="170" t="s">
        <v>80</v>
      </c>
      <c r="C768" s="132">
        <v>45803</v>
      </c>
      <c r="D768" s="331">
        <v>54679427</v>
      </c>
      <c r="E768" s="271" t="s">
        <v>2964</v>
      </c>
      <c r="F768" s="179" t="s">
        <v>25</v>
      </c>
      <c r="G768" s="125" t="s">
        <v>10</v>
      </c>
      <c r="H768" s="106">
        <v>45803</v>
      </c>
      <c r="I768" s="137">
        <v>10000292474</v>
      </c>
      <c r="J768" s="102" t="s">
        <v>135</v>
      </c>
      <c r="K768" s="27"/>
      <c r="L768" s="356"/>
      <c r="M768" s="259"/>
      <c r="N768" s="29"/>
      <c r="O768" s="30"/>
      <c r="P768" s="54"/>
      <c r="Q768" s="83">
        <v>45806</v>
      </c>
      <c r="R768" s="89">
        <f t="shared" si="26"/>
        <v>1.0000654978931511</v>
      </c>
      <c r="S768" s="101" t="s">
        <v>1319</v>
      </c>
      <c r="T768" s="234"/>
    </row>
    <row r="769" spans="1:20" ht="28.8" x14ac:dyDescent="0.3">
      <c r="A769" s="96" t="e">
        <f t="shared" si="20"/>
        <v>#REF!</v>
      </c>
      <c r="B769" s="170">
        <v>1550</v>
      </c>
      <c r="C769" s="132">
        <v>45804</v>
      </c>
      <c r="D769" s="331">
        <v>51998963</v>
      </c>
      <c r="E769" s="271" t="s">
        <v>2965</v>
      </c>
      <c r="F769" s="179" t="s">
        <v>3</v>
      </c>
      <c r="G769" s="125" t="s">
        <v>4</v>
      </c>
      <c r="H769" s="106">
        <v>45804</v>
      </c>
      <c r="I769" s="137"/>
      <c r="J769" s="100" t="s">
        <v>82</v>
      </c>
      <c r="K769" s="27"/>
      <c r="L769" s="356"/>
      <c r="M769" s="259"/>
      <c r="N769" s="29"/>
      <c r="O769" s="30"/>
      <c r="P769" s="54"/>
      <c r="Q769" s="83">
        <v>45804</v>
      </c>
      <c r="R769" s="89">
        <f t="shared" si="26"/>
        <v>1</v>
      </c>
      <c r="S769" s="101"/>
      <c r="T769" s="234"/>
    </row>
    <row r="770" spans="1:20" ht="57.6" x14ac:dyDescent="0.3">
      <c r="A770" s="96" t="e">
        <f t="shared" si="20"/>
        <v>#REF!</v>
      </c>
      <c r="B770" s="170">
        <v>1550</v>
      </c>
      <c r="C770" s="132">
        <v>45804</v>
      </c>
      <c r="D770" s="331"/>
      <c r="E770" s="271" t="s">
        <v>2966</v>
      </c>
      <c r="F770" s="179" t="s">
        <v>1314</v>
      </c>
      <c r="G770" s="125" t="s">
        <v>4</v>
      </c>
      <c r="H770" s="106">
        <v>45804</v>
      </c>
      <c r="I770" s="137"/>
      <c r="J770" s="102" t="s">
        <v>99</v>
      </c>
      <c r="K770" s="27"/>
      <c r="L770" s="356"/>
      <c r="M770" s="259"/>
      <c r="N770" s="29"/>
      <c r="O770" s="30"/>
      <c r="P770" s="54"/>
      <c r="Q770" s="83">
        <v>45804</v>
      </c>
      <c r="R770" s="89">
        <f t="shared" si="26"/>
        <v>1</v>
      </c>
      <c r="S770" s="101"/>
      <c r="T770" s="234"/>
    </row>
    <row r="771" spans="1:20" ht="43.2" x14ac:dyDescent="0.3">
      <c r="A771" s="96" t="e">
        <f t="shared" si="20"/>
        <v>#REF!</v>
      </c>
      <c r="B771" s="170">
        <v>1550</v>
      </c>
      <c r="C771" s="132">
        <v>45804</v>
      </c>
      <c r="D771" s="331">
        <v>63187191</v>
      </c>
      <c r="E771" s="271" t="s">
        <v>2967</v>
      </c>
      <c r="F771" s="179" t="s">
        <v>32</v>
      </c>
      <c r="G771" s="125" t="s">
        <v>4</v>
      </c>
      <c r="H771" s="106">
        <v>45804</v>
      </c>
      <c r="I771" s="137"/>
      <c r="J771" s="102" t="s">
        <v>106</v>
      </c>
      <c r="K771" s="27"/>
      <c r="L771" s="356"/>
      <c r="M771" s="259"/>
      <c r="N771" s="29"/>
      <c r="O771" s="30"/>
      <c r="P771" s="54"/>
      <c r="Q771" s="83">
        <v>45807</v>
      </c>
      <c r="R771" s="89">
        <f t="shared" ref="R771:R834" si="28">Q771/H771</f>
        <v>1.000065496463191</v>
      </c>
      <c r="S771" s="101"/>
      <c r="T771" s="234"/>
    </row>
    <row r="772" spans="1:20" ht="57.6" x14ac:dyDescent="0.3">
      <c r="A772" s="96" t="e">
        <f t="shared" si="20"/>
        <v>#REF!</v>
      </c>
      <c r="B772" s="170">
        <v>1550</v>
      </c>
      <c r="C772" s="132">
        <v>45804</v>
      </c>
      <c r="D772" s="331"/>
      <c r="E772" s="271" t="s">
        <v>2968</v>
      </c>
      <c r="F772" s="179" t="s">
        <v>1314</v>
      </c>
      <c r="G772" s="125" t="s">
        <v>4</v>
      </c>
      <c r="H772" s="106">
        <v>45804</v>
      </c>
      <c r="I772" s="137"/>
      <c r="J772" s="102" t="s">
        <v>99</v>
      </c>
      <c r="K772" s="27"/>
      <c r="L772" s="356"/>
      <c r="M772" s="259"/>
      <c r="N772" s="29"/>
      <c r="O772" s="30"/>
      <c r="P772" s="54"/>
      <c r="Q772" s="83">
        <v>45806</v>
      </c>
      <c r="R772" s="89">
        <f t="shared" si="28"/>
        <v>1.000043664308794</v>
      </c>
      <c r="S772" s="101"/>
      <c r="T772" s="234"/>
    </row>
    <row r="773" spans="1:20" ht="57.6" x14ac:dyDescent="0.3">
      <c r="A773" s="96" t="e">
        <f t="shared" si="20"/>
        <v>#REF!</v>
      </c>
      <c r="B773" s="170">
        <v>1550</v>
      </c>
      <c r="C773" s="132">
        <v>45804</v>
      </c>
      <c r="D773" s="331"/>
      <c r="E773" s="271" t="s">
        <v>2969</v>
      </c>
      <c r="F773" s="179" t="s">
        <v>1314</v>
      </c>
      <c r="G773" s="125" t="s">
        <v>4</v>
      </c>
      <c r="H773" s="106">
        <v>45804</v>
      </c>
      <c r="I773" s="137"/>
      <c r="J773" s="102" t="s">
        <v>99</v>
      </c>
      <c r="K773" s="27"/>
      <c r="L773" s="356"/>
      <c r="M773" s="259"/>
      <c r="N773" s="29"/>
      <c r="O773" s="30"/>
      <c r="P773" s="54"/>
      <c r="Q773" s="83">
        <v>45806</v>
      </c>
      <c r="R773" s="89">
        <f t="shared" si="28"/>
        <v>1.000043664308794</v>
      </c>
      <c r="S773" s="101" t="s">
        <v>2970</v>
      </c>
      <c r="T773" s="234"/>
    </row>
    <row r="774" spans="1:20" ht="57.6" x14ac:dyDescent="0.3">
      <c r="A774" s="96" t="e">
        <f t="shared" si="20"/>
        <v>#REF!</v>
      </c>
      <c r="B774" s="170">
        <v>1550</v>
      </c>
      <c r="C774" s="132">
        <v>45804</v>
      </c>
      <c r="D774" s="331"/>
      <c r="E774" s="271" t="s">
        <v>2971</v>
      </c>
      <c r="F774" s="179" t="s">
        <v>1314</v>
      </c>
      <c r="G774" s="125" t="s">
        <v>8</v>
      </c>
      <c r="H774" s="106">
        <v>45804</v>
      </c>
      <c r="I774" s="137"/>
      <c r="J774" s="102" t="s">
        <v>99</v>
      </c>
      <c r="K774" s="27"/>
      <c r="L774" s="356"/>
      <c r="M774" s="259"/>
      <c r="N774" s="29"/>
      <c r="O774" s="30"/>
      <c r="P774" s="54"/>
      <c r="Q774" s="83">
        <v>45804</v>
      </c>
      <c r="R774" s="89">
        <f t="shared" si="28"/>
        <v>1</v>
      </c>
      <c r="S774" s="101" t="s">
        <v>2972</v>
      </c>
      <c r="T774" s="234"/>
    </row>
    <row r="775" spans="1:20" ht="43.2" x14ac:dyDescent="0.3">
      <c r="A775" s="96" t="e">
        <f t="shared" si="20"/>
        <v>#REF!</v>
      </c>
      <c r="B775" s="170">
        <v>1550</v>
      </c>
      <c r="C775" s="132">
        <v>45804</v>
      </c>
      <c r="D775" s="331">
        <v>115749632</v>
      </c>
      <c r="E775" s="271" t="s">
        <v>2973</v>
      </c>
      <c r="F775" s="179" t="s">
        <v>48</v>
      </c>
      <c r="G775" s="125" t="s">
        <v>4</v>
      </c>
      <c r="H775" s="106">
        <v>45804</v>
      </c>
      <c r="I775" s="137"/>
      <c r="J775" s="102" t="s">
        <v>99</v>
      </c>
      <c r="K775" s="27"/>
      <c r="L775" s="356"/>
      <c r="M775" s="259"/>
      <c r="N775" s="29"/>
      <c r="O775" s="30"/>
      <c r="P775" s="54"/>
      <c r="Q775" s="83">
        <v>45813</v>
      </c>
      <c r="R775" s="89">
        <f t="shared" si="28"/>
        <v>1.000196489389573</v>
      </c>
      <c r="S775" s="101" t="s">
        <v>2974</v>
      </c>
      <c r="T775" s="234" t="s">
        <v>2975</v>
      </c>
    </row>
    <row r="776" spans="1:20" ht="57.6" x14ac:dyDescent="0.3">
      <c r="A776" s="96" t="e">
        <f t="shared" si="20"/>
        <v>#REF!</v>
      </c>
      <c r="B776" s="170">
        <v>1550</v>
      </c>
      <c r="C776" s="132">
        <v>45804</v>
      </c>
      <c r="D776" s="331"/>
      <c r="E776" s="271" t="s">
        <v>2976</v>
      </c>
      <c r="F776" s="179" t="s">
        <v>1314</v>
      </c>
      <c r="G776" s="125" t="s">
        <v>4</v>
      </c>
      <c r="H776" s="106">
        <v>45804</v>
      </c>
      <c r="I776" s="137"/>
      <c r="J776" s="102" t="s">
        <v>99</v>
      </c>
      <c r="K776" s="27"/>
      <c r="L776" s="356"/>
      <c r="M776" s="259"/>
      <c r="N776" s="29"/>
      <c r="O776" s="30"/>
      <c r="P776" s="54"/>
      <c r="Q776" s="83">
        <v>45806</v>
      </c>
      <c r="R776" s="89">
        <f t="shared" si="28"/>
        <v>1.000043664308794</v>
      </c>
      <c r="S776" s="101" t="s">
        <v>720</v>
      </c>
      <c r="T776" s="234"/>
    </row>
    <row r="777" spans="1:20" ht="43.2" x14ac:dyDescent="0.3">
      <c r="A777" s="96" t="e">
        <f t="shared" si="20"/>
        <v>#REF!</v>
      </c>
      <c r="B777" s="170" t="s">
        <v>1826</v>
      </c>
      <c r="C777" s="132">
        <v>45804</v>
      </c>
      <c r="D777" s="331">
        <v>4724313</v>
      </c>
      <c r="E777" s="271" t="s">
        <v>2977</v>
      </c>
      <c r="F777" s="179" t="s">
        <v>36</v>
      </c>
      <c r="G777" s="125" t="s">
        <v>4</v>
      </c>
      <c r="H777" s="106">
        <v>45804</v>
      </c>
      <c r="I777" s="137"/>
      <c r="J777" s="102" t="s">
        <v>99</v>
      </c>
      <c r="K777" s="27"/>
      <c r="L777" s="356"/>
      <c r="M777" s="259"/>
      <c r="N777" s="29"/>
      <c r="O777" s="30"/>
      <c r="P777" s="54"/>
      <c r="Q777" s="83">
        <v>45813</v>
      </c>
      <c r="R777" s="89">
        <f t="shared" si="28"/>
        <v>1.000196489389573</v>
      </c>
      <c r="S777" s="101" t="s">
        <v>720</v>
      </c>
      <c r="T777" s="234"/>
    </row>
    <row r="778" spans="1:20" ht="57.6" x14ac:dyDescent="0.3">
      <c r="A778" s="96" t="e">
        <f t="shared" si="20"/>
        <v>#REF!</v>
      </c>
      <c r="B778" s="170" t="s">
        <v>1826</v>
      </c>
      <c r="C778" s="132">
        <v>45804</v>
      </c>
      <c r="D778" s="331"/>
      <c r="E778" s="271" t="s">
        <v>2978</v>
      </c>
      <c r="F778" s="179" t="s">
        <v>1314</v>
      </c>
      <c r="G778" s="125" t="s">
        <v>4</v>
      </c>
      <c r="H778" s="106">
        <v>45804</v>
      </c>
      <c r="I778" s="137"/>
      <c r="J778" s="102" t="s">
        <v>99</v>
      </c>
      <c r="K778" s="27"/>
      <c r="L778" s="356"/>
      <c r="M778" s="259"/>
      <c r="N778" s="29"/>
      <c r="O778" s="30"/>
      <c r="P778" s="54"/>
      <c r="Q778" s="83">
        <v>45806</v>
      </c>
      <c r="R778" s="89">
        <f t="shared" si="28"/>
        <v>1.000043664308794</v>
      </c>
      <c r="S778" s="101" t="s">
        <v>2979</v>
      </c>
      <c r="T778" s="234"/>
    </row>
    <row r="779" spans="1:20" ht="57.6" x14ac:dyDescent="0.3">
      <c r="A779" s="96" t="e">
        <f t="shared" si="20"/>
        <v>#REF!</v>
      </c>
      <c r="B779" s="170" t="s">
        <v>1826</v>
      </c>
      <c r="C779" s="132">
        <v>45804</v>
      </c>
      <c r="D779" s="331"/>
      <c r="E779" s="271" t="s">
        <v>2980</v>
      </c>
      <c r="F779" s="179" t="s">
        <v>1314</v>
      </c>
      <c r="G779" s="125" t="s">
        <v>4</v>
      </c>
      <c r="H779" s="106">
        <v>45804</v>
      </c>
      <c r="I779" s="137"/>
      <c r="J779" s="102" t="s">
        <v>99</v>
      </c>
      <c r="K779" s="27"/>
      <c r="L779" s="356"/>
      <c r="M779" s="259"/>
      <c r="N779" s="29"/>
      <c r="O779" s="30"/>
      <c r="P779" s="54"/>
      <c r="Q779" s="83">
        <v>45806</v>
      </c>
      <c r="R779" s="89">
        <f t="shared" si="28"/>
        <v>1.000043664308794</v>
      </c>
      <c r="S779" s="101" t="s">
        <v>2979</v>
      </c>
      <c r="T779" s="234"/>
    </row>
    <row r="780" spans="1:20" ht="43.2" x14ac:dyDescent="0.3">
      <c r="A780" s="96" t="e">
        <f t="shared" si="20"/>
        <v>#REF!</v>
      </c>
      <c r="B780" s="170">
        <v>1550</v>
      </c>
      <c r="C780" s="132">
        <v>45804</v>
      </c>
      <c r="D780" s="331">
        <v>105971162</v>
      </c>
      <c r="E780" s="271" t="s">
        <v>2981</v>
      </c>
      <c r="F780" s="179" t="s">
        <v>15</v>
      </c>
      <c r="G780" s="125" t="s">
        <v>8</v>
      </c>
      <c r="H780" s="106">
        <v>45804</v>
      </c>
      <c r="I780" s="137"/>
      <c r="J780" s="102" t="s">
        <v>99</v>
      </c>
      <c r="K780" s="27"/>
      <c r="L780" s="356"/>
      <c r="M780" s="259"/>
      <c r="N780" s="29"/>
      <c r="O780" s="30"/>
      <c r="P780" s="54"/>
      <c r="Q780" s="83">
        <v>45817</v>
      </c>
      <c r="R780" s="89">
        <f t="shared" si="28"/>
        <v>1.0002838180071609</v>
      </c>
      <c r="S780" s="101" t="s">
        <v>205</v>
      </c>
      <c r="T780" s="234"/>
    </row>
    <row r="781" spans="1:20" ht="129.6" x14ac:dyDescent="0.3">
      <c r="A781" s="96" t="e">
        <f t="shared" si="20"/>
        <v>#REF!</v>
      </c>
      <c r="B781" s="170">
        <v>1550</v>
      </c>
      <c r="C781" s="132">
        <v>45804</v>
      </c>
      <c r="D781" s="331">
        <v>120279290</v>
      </c>
      <c r="E781" s="271" t="s">
        <v>2982</v>
      </c>
      <c r="F781" s="179" t="s">
        <v>1</v>
      </c>
      <c r="G781" s="125" t="s">
        <v>6</v>
      </c>
      <c r="H781" s="106">
        <v>45804</v>
      </c>
      <c r="I781" s="137"/>
      <c r="J781" s="102" t="s">
        <v>2271</v>
      </c>
      <c r="K781" s="27"/>
      <c r="L781" s="356"/>
      <c r="M781" s="259"/>
      <c r="N781" s="29"/>
      <c r="O781" s="30"/>
      <c r="P781" s="54"/>
      <c r="Q781" s="83">
        <v>45806</v>
      </c>
      <c r="R781" s="89">
        <f t="shared" si="28"/>
        <v>1.000043664308794</v>
      </c>
      <c r="S781" s="101" t="s">
        <v>1813</v>
      </c>
      <c r="T781" s="234"/>
    </row>
    <row r="782" spans="1:20" ht="29.25" customHeight="1" x14ac:dyDescent="0.3">
      <c r="A782" s="96" t="e">
        <f t="shared" si="20"/>
        <v>#REF!</v>
      </c>
      <c r="B782" s="170">
        <v>1550</v>
      </c>
      <c r="C782" s="132">
        <v>45804</v>
      </c>
      <c r="D782" s="331">
        <v>107900092</v>
      </c>
      <c r="E782" s="271" t="s">
        <v>2983</v>
      </c>
      <c r="F782" s="179" t="s">
        <v>49</v>
      </c>
      <c r="G782" s="125" t="s">
        <v>8</v>
      </c>
      <c r="H782" s="106">
        <v>45804</v>
      </c>
      <c r="I782" s="137"/>
      <c r="J782" s="102" t="s">
        <v>266</v>
      </c>
      <c r="K782" s="27"/>
      <c r="L782" s="356"/>
      <c r="M782" s="259"/>
      <c r="N782" s="29"/>
      <c r="O782" s="30"/>
      <c r="P782" s="54"/>
      <c r="Q782" s="83">
        <v>45804</v>
      </c>
      <c r="R782" s="89">
        <f t="shared" si="28"/>
        <v>1</v>
      </c>
      <c r="S782" s="101" t="s">
        <v>528</v>
      </c>
      <c r="T782" s="234"/>
    </row>
    <row r="783" spans="1:20" ht="29.25" customHeight="1" x14ac:dyDescent="0.3">
      <c r="A783" s="96" t="e">
        <f t="shared" si="20"/>
        <v>#REF!</v>
      </c>
      <c r="B783" s="170">
        <v>1550</v>
      </c>
      <c r="C783" s="132">
        <v>45804</v>
      </c>
      <c r="D783" s="331"/>
      <c r="E783" s="271" t="s">
        <v>2984</v>
      </c>
      <c r="F783" s="179" t="s">
        <v>1314</v>
      </c>
      <c r="G783" s="125" t="s">
        <v>4</v>
      </c>
      <c r="H783" s="106">
        <v>45804</v>
      </c>
      <c r="I783" s="137"/>
      <c r="J783" s="102" t="s">
        <v>99</v>
      </c>
      <c r="K783" s="27"/>
      <c r="L783" s="356"/>
      <c r="M783" s="259"/>
      <c r="N783" s="29"/>
      <c r="O783" s="30"/>
      <c r="P783" s="54"/>
      <c r="Q783" s="83">
        <v>45806</v>
      </c>
      <c r="R783" s="89">
        <f t="shared" si="28"/>
        <v>1.000043664308794</v>
      </c>
      <c r="S783" s="101" t="s">
        <v>2974</v>
      </c>
      <c r="T783" s="234"/>
    </row>
    <row r="784" spans="1:20" ht="29.25" customHeight="1" x14ac:dyDescent="0.3">
      <c r="A784" s="96" t="e">
        <f t="shared" si="20"/>
        <v>#REF!</v>
      </c>
      <c r="B784" s="170">
        <v>1550</v>
      </c>
      <c r="C784" s="132">
        <v>45804</v>
      </c>
      <c r="D784" s="331"/>
      <c r="E784" s="271" t="s">
        <v>2985</v>
      </c>
      <c r="F784" s="179" t="s">
        <v>1314</v>
      </c>
      <c r="G784" s="125" t="s">
        <v>4</v>
      </c>
      <c r="H784" s="106">
        <v>45804</v>
      </c>
      <c r="I784" s="137"/>
      <c r="J784" s="102" t="s">
        <v>99</v>
      </c>
      <c r="K784" s="27"/>
      <c r="L784" s="356"/>
      <c r="M784" s="259"/>
      <c r="N784" s="29"/>
      <c r="O784" s="30"/>
      <c r="P784" s="54"/>
      <c r="Q784" s="83">
        <v>45806</v>
      </c>
      <c r="R784" s="89">
        <f t="shared" si="28"/>
        <v>1.000043664308794</v>
      </c>
      <c r="S784" s="101" t="s">
        <v>2974</v>
      </c>
      <c r="T784" s="234"/>
    </row>
    <row r="785" spans="1:20" ht="29.25" customHeight="1" x14ac:dyDescent="0.3">
      <c r="A785" s="96" t="e">
        <f t="shared" si="20"/>
        <v>#REF!</v>
      </c>
      <c r="B785" s="170">
        <v>1550</v>
      </c>
      <c r="C785" s="132">
        <v>45804</v>
      </c>
      <c r="D785" s="331"/>
      <c r="E785" s="271" t="s">
        <v>2986</v>
      </c>
      <c r="F785" s="179" t="s">
        <v>1314</v>
      </c>
      <c r="G785" s="125" t="s">
        <v>4</v>
      </c>
      <c r="H785" s="106">
        <v>45804</v>
      </c>
      <c r="I785" s="137"/>
      <c r="J785" s="102" t="s">
        <v>99</v>
      </c>
      <c r="K785" s="27"/>
      <c r="L785" s="356"/>
      <c r="M785" s="259"/>
      <c r="N785" s="29"/>
      <c r="O785" s="30"/>
      <c r="P785" s="54"/>
      <c r="Q785" s="83">
        <v>45806</v>
      </c>
      <c r="R785" s="89">
        <f t="shared" si="28"/>
        <v>1.000043664308794</v>
      </c>
      <c r="S785" s="101" t="s">
        <v>2974</v>
      </c>
      <c r="T785" s="234"/>
    </row>
    <row r="786" spans="1:20" ht="29.25" customHeight="1" x14ac:dyDescent="0.3">
      <c r="A786" s="96" t="e">
        <f t="shared" si="20"/>
        <v>#REF!</v>
      </c>
      <c r="B786" s="170">
        <v>1550</v>
      </c>
      <c r="C786" s="132">
        <v>45804</v>
      </c>
      <c r="D786" s="331"/>
      <c r="E786" s="271" t="s">
        <v>2987</v>
      </c>
      <c r="F786" s="179" t="s">
        <v>1314</v>
      </c>
      <c r="G786" s="125" t="s">
        <v>8</v>
      </c>
      <c r="H786" s="106">
        <v>45804</v>
      </c>
      <c r="I786" s="137"/>
      <c r="J786" s="102" t="s">
        <v>99</v>
      </c>
      <c r="K786" s="27"/>
      <c r="L786" s="356"/>
      <c r="M786" s="259"/>
      <c r="N786" s="29"/>
      <c r="O786" s="30"/>
      <c r="P786" s="54"/>
      <c r="Q786" s="83">
        <v>45805</v>
      </c>
      <c r="R786" s="89">
        <f t="shared" si="28"/>
        <v>1.000021832154397</v>
      </c>
      <c r="S786" s="101" t="s">
        <v>138</v>
      </c>
      <c r="T786" s="234"/>
    </row>
    <row r="787" spans="1:20" ht="29.25" customHeight="1" x14ac:dyDescent="0.3">
      <c r="A787" s="96" t="e">
        <f t="shared" si="20"/>
        <v>#REF!</v>
      </c>
      <c r="B787" s="170">
        <v>1550</v>
      </c>
      <c r="C787" s="132">
        <v>45804</v>
      </c>
      <c r="D787" s="331"/>
      <c r="E787" s="271" t="s">
        <v>2988</v>
      </c>
      <c r="F787" s="179" t="s">
        <v>1314</v>
      </c>
      <c r="G787" s="125" t="s">
        <v>6</v>
      </c>
      <c r="H787" s="106">
        <v>45804</v>
      </c>
      <c r="I787" s="137"/>
      <c r="J787" s="102" t="s">
        <v>99</v>
      </c>
      <c r="K787" s="27"/>
      <c r="L787" s="356"/>
      <c r="M787" s="259"/>
      <c r="N787" s="29"/>
      <c r="O787" s="30"/>
      <c r="P787" s="54"/>
      <c r="Q787" s="83">
        <v>45805</v>
      </c>
      <c r="R787" s="89">
        <f t="shared" si="28"/>
        <v>1.000021832154397</v>
      </c>
      <c r="S787" s="101" t="s">
        <v>1312</v>
      </c>
      <c r="T787" s="234"/>
    </row>
    <row r="788" spans="1:20" ht="29.25" customHeight="1" x14ac:dyDescent="0.3">
      <c r="A788" s="96" t="e">
        <f t="shared" si="20"/>
        <v>#REF!</v>
      </c>
      <c r="B788" s="170">
        <v>1550</v>
      </c>
      <c r="C788" s="132">
        <v>45804</v>
      </c>
      <c r="D788" s="331"/>
      <c r="E788" s="271" t="s">
        <v>2989</v>
      </c>
      <c r="F788" s="179" t="s">
        <v>1314</v>
      </c>
      <c r="G788" s="125" t="s">
        <v>6</v>
      </c>
      <c r="H788" s="106">
        <v>45804</v>
      </c>
      <c r="I788" s="137"/>
      <c r="J788" s="102" t="s">
        <v>99</v>
      </c>
      <c r="K788" s="27"/>
      <c r="L788" s="356"/>
      <c r="M788" s="259"/>
      <c r="N788" s="29"/>
      <c r="O788" s="30"/>
      <c r="P788" s="54"/>
      <c r="Q788" s="83">
        <v>45805</v>
      </c>
      <c r="R788" s="89">
        <f t="shared" si="28"/>
        <v>1.000021832154397</v>
      </c>
      <c r="S788" s="101" t="s">
        <v>2808</v>
      </c>
      <c r="T788" s="234"/>
    </row>
    <row r="789" spans="1:20" ht="29.25" customHeight="1" x14ac:dyDescent="0.3">
      <c r="A789" s="96" t="e">
        <f t="shared" si="20"/>
        <v>#REF!</v>
      </c>
      <c r="B789" s="170">
        <v>1550</v>
      </c>
      <c r="C789" s="132">
        <v>45804</v>
      </c>
      <c r="D789" s="331"/>
      <c r="E789" s="271" t="s">
        <v>2990</v>
      </c>
      <c r="F789" s="179" t="s">
        <v>1314</v>
      </c>
      <c r="G789" s="125" t="s">
        <v>6</v>
      </c>
      <c r="H789" s="106">
        <v>45804</v>
      </c>
      <c r="I789" s="137"/>
      <c r="J789" s="102" t="s">
        <v>99</v>
      </c>
      <c r="K789" s="27"/>
      <c r="L789" s="356"/>
      <c r="M789" s="259"/>
      <c r="N789" s="29"/>
      <c r="O789" s="30"/>
      <c r="P789" s="54"/>
      <c r="Q789" s="83">
        <v>45805</v>
      </c>
      <c r="R789" s="89">
        <f t="shared" si="28"/>
        <v>1.000021832154397</v>
      </c>
      <c r="S789" s="101" t="s">
        <v>2808</v>
      </c>
      <c r="T789" s="234"/>
    </row>
    <row r="790" spans="1:20" ht="29.25" customHeight="1" x14ac:dyDescent="0.3">
      <c r="A790" s="96" t="e">
        <f t="shared" si="20"/>
        <v>#REF!</v>
      </c>
      <c r="B790" s="170">
        <v>1550</v>
      </c>
      <c r="C790" s="132">
        <v>45804</v>
      </c>
      <c r="D790" s="331">
        <v>72054506</v>
      </c>
      <c r="E790" s="271" t="s">
        <v>2991</v>
      </c>
      <c r="F790" s="179" t="s">
        <v>3</v>
      </c>
      <c r="G790" s="125" t="s">
        <v>4</v>
      </c>
      <c r="H790" s="106">
        <v>45804</v>
      </c>
      <c r="I790" s="137"/>
      <c r="J790" s="102" t="s">
        <v>2992</v>
      </c>
      <c r="K790" s="27"/>
      <c r="L790" s="356"/>
      <c r="M790" s="259"/>
      <c r="N790" s="29"/>
      <c r="O790" s="30"/>
      <c r="P790" s="54"/>
      <c r="Q790" s="83">
        <v>45805</v>
      </c>
      <c r="R790" s="89">
        <f t="shared" si="28"/>
        <v>1.000021832154397</v>
      </c>
      <c r="S790" s="101" t="s">
        <v>2993</v>
      </c>
      <c r="T790" s="234"/>
    </row>
    <row r="791" spans="1:20" ht="29.25" customHeight="1" x14ac:dyDescent="0.3">
      <c r="A791" s="96" t="e">
        <f t="shared" si="20"/>
        <v>#REF!</v>
      </c>
      <c r="B791" s="170">
        <v>1550</v>
      </c>
      <c r="C791" s="132">
        <v>45804</v>
      </c>
      <c r="D791" s="331"/>
      <c r="E791" s="271" t="s">
        <v>2994</v>
      </c>
      <c r="F791" s="179" t="s">
        <v>1314</v>
      </c>
      <c r="G791" s="125" t="s">
        <v>10</v>
      </c>
      <c r="H791" s="106">
        <v>45804</v>
      </c>
      <c r="I791" s="137"/>
      <c r="J791" s="102" t="s">
        <v>99</v>
      </c>
      <c r="K791" s="27"/>
      <c r="L791" s="356"/>
      <c r="M791" s="259"/>
      <c r="N791" s="29"/>
      <c r="O791" s="30"/>
      <c r="P791" s="54"/>
      <c r="Q791" s="83">
        <v>45805</v>
      </c>
      <c r="R791" s="89">
        <f t="shared" si="28"/>
        <v>1.000021832154397</v>
      </c>
      <c r="S791" s="101" t="s">
        <v>214</v>
      </c>
      <c r="T791" s="234"/>
    </row>
    <row r="792" spans="1:20" ht="29.25" customHeight="1" x14ac:dyDescent="0.3">
      <c r="A792" s="96" t="e">
        <f t="shared" si="20"/>
        <v>#REF!</v>
      </c>
      <c r="B792" s="170">
        <v>1550</v>
      </c>
      <c r="C792" s="132">
        <v>45804</v>
      </c>
      <c r="D792" s="331"/>
      <c r="E792" s="271" t="s">
        <v>2995</v>
      </c>
      <c r="F792" s="179" t="s">
        <v>1314</v>
      </c>
      <c r="G792" s="125" t="s">
        <v>10</v>
      </c>
      <c r="H792" s="106">
        <v>45804</v>
      </c>
      <c r="I792" s="137"/>
      <c r="J792" s="102" t="s">
        <v>99</v>
      </c>
      <c r="K792" s="27"/>
      <c r="L792" s="356"/>
      <c r="M792" s="259"/>
      <c r="N792" s="29"/>
      <c r="O792" s="30"/>
      <c r="P792" s="54"/>
      <c r="Q792" s="83">
        <v>45805</v>
      </c>
      <c r="R792" s="89">
        <f t="shared" si="28"/>
        <v>1.000021832154397</v>
      </c>
      <c r="S792" s="101" t="s">
        <v>214</v>
      </c>
      <c r="T792" s="234"/>
    </row>
    <row r="793" spans="1:20" ht="29.25" customHeight="1" x14ac:dyDescent="0.3">
      <c r="A793" s="96" t="e">
        <f t="shared" si="20"/>
        <v>#REF!</v>
      </c>
      <c r="B793" s="170" t="s">
        <v>80</v>
      </c>
      <c r="C793" s="132">
        <v>45804</v>
      </c>
      <c r="D793" s="331"/>
      <c r="E793" s="271" t="s">
        <v>2996</v>
      </c>
      <c r="F793" s="179" t="s">
        <v>1314</v>
      </c>
      <c r="G793" s="125" t="s">
        <v>10</v>
      </c>
      <c r="H793" s="106">
        <v>45804</v>
      </c>
      <c r="I793" s="137"/>
      <c r="J793" s="102" t="s">
        <v>99</v>
      </c>
      <c r="K793" s="27"/>
      <c r="L793" s="356"/>
      <c r="M793" s="259"/>
      <c r="N793" s="29"/>
      <c r="O793" s="30"/>
      <c r="P793" s="54"/>
      <c r="Q793" s="83">
        <v>45805</v>
      </c>
      <c r="R793" s="89">
        <f t="shared" si="28"/>
        <v>1.000021832154397</v>
      </c>
      <c r="S793" s="101" t="s">
        <v>85</v>
      </c>
      <c r="T793" s="234"/>
    </row>
    <row r="794" spans="1:20" ht="29.25" customHeight="1" x14ac:dyDescent="0.3">
      <c r="A794" s="96" t="e">
        <f t="shared" si="20"/>
        <v>#REF!</v>
      </c>
      <c r="B794" s="170" t="s">
        <v>80</v>
      </c>
      <c r="C794" s="132">
        <v>45804</v>
      </c>
      <c r="D794" s="331"/>
      <c r="E794" s="271" t="s">
        <v>2997</v>
      </c>
      <c r="F794" s="179" t="s">
        <v>1314</v>
      </c>
      <c r="G794" s="125" t="s">
        <v>10</v>
      </c>
      <c r="H794" s="106">
        <v>45804</v>
      </c>
      <c r="I794" s="137"/>
      <c r="J794" s="102" t="s">
        <v>99</v>
      </c>
      <c r="K794" s="27"/>
      <c r="L794" s="356"/>
      <c r="M794" s="259"/>
      <c r="N794" s="29"/>
      <c r="O794" s="30"/>
      <c r="P794" s="54"/>
      <c r="Q794" s="83">
        <v>45805</v>
      </c>
      <c r="R794" s="89">
        <f t="shared" si="28"/>
        <v>1.000021832154397</v>
      </c>
      <c r="S794" s="101" t="s">
        <v>1319</v>
      </c>
      <c r="T794" s="234"/>
    </row>
    <row r="795" spans="1:20" ht="29.25" customHeight="1" x14ac:dyDescent="0.3">
      <c r="A795" s="96" t="e">
        <f t="shared" si="20"/>
        <v>#REF!</v>
      </c>
      <c r="B795" s="170">
        <v>1550</v>
      </c>
      <c r="C795" s="132">
        <v>45804</v>
      </c>
      <c r="D795" s="331">
        <v>107900092</v>
      </c>
      <c r="E795" s="271" t="s">
        <v>2998</v>
      </c>
      <c r="F795" s="179" t="s">
        <v>49</v>
      </c>
      <c r="G795" s="125" t="s">
        <v>10</v>
      </c>
      <c r="H795" s="106">
        <v>45804</v>
      </c>
      <c r="I795" s="137"/>
      <c r="J795" s="102" t="s">
        <v>266</v>
      </c>
      <c r="K795" s="27"/>
      <c r="L795" s="356"/>
      <c r="M795" s="259"/>
      <c r="N795" s="29"/>
      <c r="O795" s="30"/>
      <c r="P795" s="54"/>
      <c r="Q795" s="83">
        <v>45804</v>
      </c>
      <c r="R795" s="89">
        <f t="shared" si="28"/>
        <v>1</v>
      </c>
      <c r="S795" s="101" t="s">
        <v>2999</v>
      </c>
      <c r="T795" s="234"/>
    </row>
    <row r="796" spans="1:20" ht="29.25" customHeight="1" x14ac:dyDescent="0.3">
      <c r="A796" s="96" t="e">
        <f t="shared" si="20"/>
        <v>#REF!</v>
      </c>
      <c r="B796" s="170" t="s">
        <v>80</v>
      </c>
      <c r="C796" s="132">
        <v>45804</v>
      </c>
      <c r="D796" s="331"/>
      <c r="E796" s="271" t="s">
        <v>3000</v>
      </c>
      <c r="F796" s="179" t="s">
        <v>1314</v>
      </c>
      <c r="G796" s="125" t="s">
        <v>10</v>
      </c>
      <c r="H796" s="106">
        <v>45804</v>
      </c>
      <c r="I796" s="137"/>
      <c r="J796" s="102" t="s">
        <v>99</v>
      </c>
      <c r="K796" s="27"/>
      <c r="L796" s="356"/>
      <c r="M796" s="259"/>
      <c r="N796" s="29"/>
      <c r="O796" s="30"/>
      <c r="P796" s="54"/>
      <c r="Q796" s="83">
        <v>45805</v>
      </c>
      <c r="R796" s="89">
        <f t="shared" si="28"/>
        <v>1.000021832154397</v>
      </c>
      <c r="S796" s="101" t="s">
        <v>1319</v>
      </c>
      <c r="T796" s="234"/>
    </row>
    <row r="797" spans="1:20" ht="29.25" customHeight="1" x14ac:dyDescent="0.3">
      <c r="A797" s="96" t="e">
        <f t="shared" si="20"/>
        <v>#REF!</v>
      </c>
      <c r="B797" s="170" t="s">
        <v>80</v>
      </c>
      <c r="C797" s="132">
        <v>45804</v>
      </c>
      <c r="D797" s="331"/>
      <c r="E797" s="271" t="s">
        <v>3001</v>
      </c>
      <c r="F797" s="179" t="s">
        <v>1314</v>
      </c>
      <c r="G797" s="125" t="s">
        <v>10</v>
      </c>
      <c r="H797" s="106">
        <v>45804</v>
      </c>
      <c r="I797" s="137"/>
      <c r="J797" s="102" t="s">
        <v>99</v>
      </c>
      <c r="K797" s="27"/>
      <c r="L797" s="356"/>
      <c r="M797" s="259"/>
      <c r="N797" s="29"/>
      <c r="O797" s="30"/>
      <c r="P797" s="54"/>
      <c r="Q797" s="83">
        <v>45805</v>
      </c>
      <c r="R797" s="89">
        <f t="shared" si="28"/>
        <v>1.000021832154397</v>
      </c>
      <c r="S797" s="101" t="s">
        <v>1319</v>
      </c>
      <c r="T797" s="234"/>
    </row>
    <row r="798" spans="1:20" ht="29.25" customHeight="1" x14ac:dyDescent="0.3">
      <c r="A798" s="96" t="e">
        <f t="shared" si="20"/>
        <v>#REF!</v>
      </c>
      <c r="B798" s="170" t="s">
        <v>80</v>
      </c>
      <c r="C798" s="132">
        <v>45804</v>
      </c>
      <c r="D798" s="331"/>
      <c r="E798" s="271" t="s">
        <v>3002</v>
      </c>
      <c r="F798" s="179" t="s">
        <v>1314</v>
      </c>
      <c r="G798" s="125" t="s">
        <v>10</v>
      </c>
      <c r="H798" s="106">
        <v>45804</v>
      </c>
      <c r="I798" s="137"/>
      <c r="J798" s="102" t="s">
        <v>99</v>
      </c>
      <c r="K798" s="27"/>
      <c r="L798" s="356"/>
      <c r="M798" s="259"/>
      <c r="N798" s="29"/>
      <c r="O798" s="30"/>
      <c r="P798" s="54"/>
      <c r="Q798" s="83">
        <v>45805</v>
      </c>
      <c r="R798" s="89">
        <f t="shared" si="28"/>
        <v>1.000021832154397</v>
      </c>
      <c r="S798" s="101" t="s">
        <v>1319</v>
      </c>
      <c r="T798" s="234"/>
    </row>
    <row r="799" spans="1:20" ht="29.25" customHeight="1" x14ac:dyDescent="0.3">
      <c r="A799" s="96" t="e">
        <f t="shared" si="20"/>
        <v>#REF!</v>
      </c>
      <c r="B799" s="170" t="s">
        <v>80</v>
      </c>
      <c r="C799" s="132">
        <v>45804</v>
      </c>
      <c r="D799" s="331"/>
      <c r="E799" s="271" t="s">
        <v>3003</v>
      </c>
      <c r="F799" s="179" t="s">
        <v>1314</v>
      </c>
      <c r="G799" s="125" t="s">
        <v>10</v>
      </c>
      <c r="H799" s="106">
        <v>45804</v>
      </c>
      <c r="I799" s="137"/>
      <c r="J799" s="102" t="s">
        <v>99</v>
      </c>
      <c r="K799" s="27"/>
      <c r="L799" s="356"/>
      <c r="M799" s="259"/>
      <c r="N799" s="29"/>
      <c r="O799" s="30"/>
      <c r="P799" s="54"/>
      <c r="Q799" s="83">
        <v>45805</v>
      </c>
      <c r="R799" s="89">
        <f t="shared" si="28"/>
        <v>1.000021832154397</v>
      </c>
      <c r="S799" s="101" t="s">
        <v>1319</v>
      </c>
      <c r="T799" s="234"/>
    </row>
    <row r="800" spans="1:20" ht="29.25" customHeight="1" x14ac:dyDescent="0.3">
      <c r="A800" s="96" t="e">
        <f t="shared" si="20"/>
        <v>#REF!</v>
      </c>
      <c r="B800" s="170">
        <v>1550</v>
      </c>
      <c r="C800" s="132">
        <v>45804</v>
      </c>
      <c r="D800" s="331">
        <v>44378653</v>
      </c>
      <c r="E800" s="271" t="s">
        <v>3004</v>
      </c>
      <c r="F800" s="179" t="s">
        <v>36</v>
      </c>
      <c r="G800" s="125" t="s">
        <v>10</v>
      </c>
      <c r="H800" s="106">
        <v>45804</v>
      </c>
      <c r="I800" s="137"/>
      <c r="J800" s="102" t="s">
        <v>99</v>
      </c>
      <c r="K800" s="27"/>
      <c r="L800" s="356"/>
      <c r="M800" s="259"/>
      <c r="N800" s="29"/>
      <c r="O800" s="30"/>
      <c r="P800" s="54"/>
      <c r="Q800" s="83">
        <v>45806</v>
      </c>
      <c r="R800" s="89">
        <f t="shared" si="28"/>
        <v>1.000043664308794</v>
      </c>
      <c r="S800" s="101" t="s">
        <v>1319</v>
      </c>
      <c r="T800" s="234"/>
    </row>
    <row r="801" spans="1:20" ht="29.25" customHeight="1" x14ac:dyDescent="0.3">
      <c r="A801" s="96" t="e">
        <f t="shared" si="20"/>
        <v>#REF!</v>
      </c>
      <c r="B801" s="170">
        <v>1550</v>
      </c>
      <c r="C801" s="132">
        <v>45804</v>
      </c>
      <c r="D801" s="331">
        <v>80383955</v>
      </c>
      <c r="E801" s="271" t="s">
        <v>3005</v>
      </c>
      <c r="F801" s="179" t="s">
        <v>1</v>
      </c>
      <c r="G801" s="125" t="s">
        <v>10</v>
      </c>
      <c r="H801" s="106">
        <v>45804</v>
      </c>
      <c r="I801" s="137"/>
      <c r="J801" s="102" t="s">
        <v>2367</v>
      </c>
      <c r="K801" s="27"/>
      <c r="L801" s="356"/>
      <c r="M801" s="259"/>
      <c r="N801" s="29"/>
      <c r="O801" s="30"/>
      <c r="P801" s="54"/>
      <c r="Q801" s="83">
        <v>45805</v>
      </c>
      <c r="R801" s="89">
        <f t="shared" si="28"/>
        <v>1.000021832154397</v>
      </c>
      <c r="S801" s="101" t="s">
        <v>214</v>
      </c>
      <c r="T801" s="234"/>
    </row>
    <row r="802" spans="1:20" ht="57.6" x14ac:dyDescent="0.3">
      <c r="A802" s="96" t="e">
        <f t="shared" si="20"/>
        <v>#REF!</v>
      </c>
      <c r="B802" s="170">
        <v>1550</v>
      </c>
      <c r="C802" s="132">
        <v>45805</v>
      </c>
      <c r="D802" s="331"/>
      <c r="E802" s="271" t="s">
        <v>3006</v>
      </c>
      <c r="F802" s="179" t="s">
        <v>1314</v>
      </c>
      <c r="G802" s="125" t="s">
        <v>8</v>
      </c>
      <c r="H802" s="106">
        <v>45805</v>
      </c>
      <c r="I802" s="137"/>
      <c r="J802" s="102" t="s">
        <v>99</v>
      </c>
      <c r="K802" s="27"/>
      <c r="L802" s="356"/>
      <c r="M802" s="259"/>
      <c r="N802" s="29"/>
      <c r="O802" s="30"/>
      <c r="P802" s="54"/>
      <c r="Q802" s="83">
        <v>45805</v>
      </c>
      <c r="R802" s="89">
        <f t="shared" si="28"/>
        <v>1</v>
      </c>
      <c r="S802" s="101" t="s">
        <v>2712</v>
      </c>
      <c r="T802" s="234"/>
    </row>
    <row r="803" spans="1:20" ht="43.2" x14ac:dyDescent="0.3">
      <c r="A803" s="96" t="e">
        <f t="shared" si="20"/>
        <v>#REF!</v>
      </c>
      <c r="B803" s="170" t="s">
        <v>301</v>
      </c>
      <c r="C803" s="132">
        <v>45805</v>
      </c>
      <c r="D803" s="331">
        <v>7903642</v>
      </c>
      <c r="E803" s="271" t="s">
        <v>3007</v>
      </c>
      <c r="F803" s="179" t="s">
        <v>7</v>
      </c>
      <c r="G803" s="125" t="s">
        <v>8</v>
      </c>
      <c r="H803" s="106">
        <v>45805</v>
      </c>
      <c r="I803" s="137"/>
      <c r="J803" s="102" t="s">
        <v>99</v>
      </c>
      <c r="K803" s="27"/>
      <c r="L803" s="356"/>
      <c r="M803" s="259"/>
      <c r="N803" s="29"/>
      <c r="O803" s="30"/>
      <c r="P803" s="54"/>
      <c r="Q803" s="83">
        <v>45805</v>
      </c>
      <c r="R803" s="89">
        <f t="shared" si="28"/>
        <v>1</v>
      </c>
      <c r="S803" s="101" t="s">
        <v>1677</v>
      </c>
      <c r="T803" s="234"/>
    </row>
    <row r="804" spans="1:20" ht="43.2" x14ac:dyDescent="0.3">
      <c r="A804" s="96" t="e">
        <f t="shared" si="20"/>
        <v>#REF!</v>
      </c>
      <c r="B804" s="170">
        <v>1550</v>
      </c>
      <c r="C804" s="132">
        <v>45805</v>
      </c>
      <c r="D804" s="331">
        <v>57214271</v>
      </c>
      <c r="E804" s="271" t="s">
        <v>3008</v>
      </c>
      <c r="F804" s="179" t="s">
        <v>32</v>
      </c>
      <c r="G804" s="125" t="s">
        <v>4</v>
      </c>
      <c r="H804" s="106">
        <v>45805</v>
      </c>
      <c r="I804" s="137"/>
      <c r="J804" s="102" t="s">
        <v>106</v>
      </c>
      <c r="K804" s="27"/>
      <c r="L804" s="356"/>
      <c r="M804" s="259"/>
      <c r="N804" s="29"/>
      <c r="O804" s="30"/>
      <c r="P804" s="54"/>
      <c r="Q804" s="83">
        <v>45810</v>
      </c>
      <c r="R804" s="89">
        <f t="shared" si="28"/>
        <v>1.0001091583888222</v>
      </c>
      <c r="S804" s="101" t="s">
        <v>2970</v>
      </c>
      <c r="T804" s="234"/>
    </row>
    <row r="805" spans="1:20" ht="57.6" x14ac:dyDescent="0.3">
      <c r="A805" s="96" t="e">
        <f t="shared" si="20"/>
        <v>#REF!</v>
      </c>
      <c r="B805" s="170">
        <v>1550</v>
      </c>
      <c r="C805" s="132">
        <v>45805</v>
      </c>
      <c r="D805" s="331"/>
      <c r="E805" s="271" t="s">
        <v>3009</v>
      </c>
      <c r="F805" s="179" t="s">
        <v>1314</v>
      </c>
      <c r="G805" s="125" t="s">
        <v>4</v>
      </c>
      <c r="H805" s="106">
        <v>45805</v>
      </c>
      <c r="I805" s="137"/>
      <c r="J805" s="102" t="s">
        <v>99</v>
      </c>
      <c r="K805" s="27"/>
      <c r="L805" s="356"/>
      <c r="M805" s="259"/>
      <c r="N805" s="29"/>
      <c r="O805" s="30"/>
      <c r="P805" s="54"/>
      <c r="Q805" s="83">
        <v>45806</v>
      </c>
      <c r="R805" s="89">
        <f t="shared" si="28"/>
        <v>1.0000218316777645</v>
      </c>
      <c r="S805" s="101" t="s">
        <v>2974</v>
      </c>
      <c r="T805" s="234"/>
    </row>
    <row r="806" spans="1:20" ht="57.6" x14ac:dyDescent="0.3">
      <c r="A806" s="96" t="e">
        <f t="shared" si="20"/>
        <v>#REF!</v>
      </c>
      <c r="B806" s="170">
        <v>1550</v>
      </c>
      <c r="C806" s="132">
        <v>45805</v>
      </c>
      <c r="D806" s="331"/>
      <c r="E806" s="261" t="s">
        <v>3010</v>
      </c>
      <c r="F806" s="179" t="s">
        <v>1314</v>
      </c>
      <c r="G806" s="125" t="s">
        <v>6</v>
      </c>
      <c r="H806" s="106">
        <v>45805</v>
      </c>
      <c r="I806" s="137"/>
      <c r="J806" s="102" t="s">
        <v>99</v>
      </c>
      <c r="K806" s="27"/>
      <c r="L806" s="356"/>
      <c r="M806" s="259"/>
      <c r="N806" s="29"/>
      <c r="O806" s="30"/>
      <c r="P806" s="54"/>
      <c r="Q806" s="83">
        <v>45806</v>
      </c>
      <c r="R806" s="89">
        <f t="shared" si="28"/>
        <v>1.0000218316777645</v>
      </c>
      <c r="S806" s="476" t="s">
        <v>1936</v>
      </c>
      <c r="T806" s="234"/>
    </row>
    <row r="807" spans="1:20" ht="57.6" x14ac:dyDescent="0.3">
      <c r="A807" s="96" t="e">
        <f t="shared" si="20"/>
        <v>#REF!</v>
      </c>
      <c r="B807" s="170">
        <v>1550</v>
      </c>
      <c r="C807" s="132">
        <v>45805</v>
      </c>
      <c r="D807" s="331"/>
      <c r="E807" s="262" t="s">
        <v>3011</v>
      </c>
      <c r="F807" s="179" t="s">
        <v>1314</v>
      </c>
      <c r="G807" s="125" t="s">
        <v>6</v>
      </c>
      <c r="H807" s="106">
        <v>45805</v>
      </c>
      <c r="I807" s="137"/>
      <c r="J807" s="102" t="s">
        <v>99</v>
      </c>
      <c r="K807" s="27"/>
      <c r="L807" s="356"/>
      <c r="M807" s="259"/>
      <c r="N807" s="29"/>
      <c r="O807" s="30"/>
      <c r="P807" s="54"/>
      <c r="Q807" s="83">
        <v>45806</v>
      </c>
      <c r="R807" s="89">
        <f t="shared" si="28"/>
        <v>1.0000218316777645</v>
      </c>
      <c r="S807" s="477" t="s">
        <v>1936</v>
      </c>
      <c r="T807" s="234"/>
    </row>
    <row r="808" spans="1:20" ht="57.6" x14ac:dyDescent="0.3">
      <c r="A808" s="96" t="e">
        <f t="shared" si="20"/>
        <v>#REF!</v>
      </c>
      <c r="B808" s="170">
        <v>1550</v>
      </c>
      <c r="C808" s="132">
        <v>45805</v>
      </c>
      <c r="D808" s="331"/>
      <c r="E808" s="262" t="s">
        <v>3012</v>
      </c>
      <c r="F808" s="179" t="s">
        <v>1314</v>
      </c>
      <c r="G808" s="125" t="s">
        <v>6</v>
      </c>
      <c r="H808" s="106">
        <v>45805</v>
      </c>
      <c r="I808" s="137"/>
      <c r="J808" s="102" t="s">
        <v>99</v>
      </c>
      <c r="K808" s="27"/>
      <c r="L808" s="356"/>
      <c r="M808" s="259"/>
      <c r="N808" s="29"/>
      <c r="O808" s="30"/>
      <c r="P808" s="54"/>
      <c r="Q808" s="83">
        <v>45806</v>
      </c>
      <c r="R808" s="89">
        <f t="shared" si="28"/>
        <v>1.0000218316777645</v>
      </c>
      <c r="S808" s="477" t="s">
        <v>1936</v>
      </c>
      <c r="T808" s="234"/>
    </row>
    <row r="809" spans="1:20" ht="57.6" x14ac:dyDescent="0.3">
      <c r="A809" s="96" t="e">
        <f t="shared" si="20"/>
        <v>#REF!</v>
      </c>
      <c r="B809" s="170" t="s">
        <v>301</v>
      </c>
      <c r="C809" s="132">
        <v>45805</v>
      </c>
      <c r="D809" s="331"/>
      <c r="E809" s="262" t="s">
        <v>2851</v>
      </c>
      <c r="F809" s="179" t="s">
        <v>1314</v>
      </c>
      <c r="G809" s="125" t="s">
        <v>6</v>
      </c>
      <c r="H809" s="106">
        <v>45805</v>
      </c>
      <c r="I809" s="137"/>
      <c r="J809" s="102" t="s">
        <v>99</v>
      </c>
      <c r="K809" s="27"/>
      <c r="L809" s="356"/>
      <c r="M809" s="259"/>
      <c r="N809" s="29"/>
      <c r="O809" s="30"/>
      <c r="P809" s="54"/>
      <c r="Q809" s="83">
        <v>45806</v>
      </c>
      <c r="R809" s="89">
        <f t="shared" si="28"/>
        <v>1.0000218316777645</v>
      </c>
      <c r="S809" s="477" t="s">
        <v>1860</v>
      </c>
      <c r="T809" s="234"/>
    </row>
    <row r="810" spans="1:20" ht="57.6" x14ac:dyDescent="0.3">
      <c r="A810" s="96" t="e">
        <f t="shared" si="20"/>
        <v>#REF!</v>
      </c>
      <c r="B810" s="170">
        <v>1550</v>
      </c>
      <c r="C810" s="132">
        <v>45805</v>
      </c>
      <c r="D810" s="331"/>
      <c r="E810" s="262" t="s">
        <v>3013</v>
      </c>
      <c r="F810" s="179" t="s">
        <v>1314</v>
      </c>
      <c r="G810" s="125" t="s">
        <v>6</v>
      </c>
      <c r="H810" s="106">
        <v>45805</v>
      </c>
      <c r="I810" s="137"/>
      <c r="J810" s="102" t="s">
        <v>99</v>
      </c>
      <c r="K810" s="27"/>
      <c r="L810" s="356"/>
      <c r="M810" s="259"/>
      <c r="N810" s="29"/>
      <c r="O810" s="30"/>
      <c r="P810" s="54"/>
      <c r="Q810" s="83">
        <v>45806</v>
      </c>
      <c r="R810" s="89">
        <f t="shared" si="28"/>
        <v>1.0000218316777645</v>
      </c>
      <c r="S810" s="477" t="s">
        <v>1936</v>
      </c>
      <c r="T810" s="234"/>
    </row>
    <row r="811" spans="1:20" ht="57.6" x14ac:dyDescent="0.3">
      <c r="A811" s="96" t="e">
        <f t="shared" si="20"/>
        <v>#REF!</v>
      </c>
      <c r="B811" s="170" t="s">
        <v>301</v>
      </c>
      <c r="C811" s="132">
        <v>45805</v>
      </c>
      <c r="D811" s="331"/>
      <c r="E811" s="262" t="s">
        <v>3014</v>
      </c>
      <c r="F811" s="179" t="s">
        <v>1314</v>
      </c>
      <c r="G811" s="125" t="s">
        <v>6</v>
      </c>
      <c r="H811" s="106">
        <v>45805</v>
      </c>
      <c r="I811" s="137"/>
      <c r="J811" s="102" t="s">
        <v>99</v>
      </c>
      <c r="K811" s="27"/>
      <c r="L811" s="356"/>
      <c r="M811" s="259"/>
      <c r="N811" s="29"/>
      <c r="O811" s="30"/>
      <c r="P811" s="54"/>
      <c r="Q811" s="83">
        <v>45806</v>
      </c>
      <c r="R811" s="89">
        <f t="shared" si="28"/>
        <v>1.0000218316777645</v>
      </c>
      <c r="S811" s="477" t="s">
        <v>1860</v>
      </c>
      <c r="T811" s="234"/>
    </row>
    <row r="812" spans="1:20" ht="57.6" x14ac:dyDescent="0.3">
      <c r="A812" s="96" t="e">
        <f t="shared" si="20"/>
        <v>#REF!</v>
      </c>
      <c r="B812" s="170">
        <v>1550</v>
      </c>
      <c r="C812" s="132">
        <v>45805</v>
      </c>
      <c r="D812" s="331"/>
      <c r="E812" s="262" t="s">
        <v>3015</v>
      </c>
      <c r="F812" s="179" t="s">
        <v>1314</v>
      </c>
      <c r="G812" s="125" t="s">
        <v>6</v>
      </c>
      <c r="H812" s="106">
        <v>45805</v>
      </c>
      <c r="I812" s="137"/>
      <c r="J812" s="102" t="s">
        <v>99</v>
      </c>
      <c r="K812" s="27"/>
      <c r="L812" s="356"/>
      <c r="M812" s="259"/>
      <c r="N812" s="29"/>
      <c r="O812" s="30"/>
      <c r="P812" s="54"/>
      <c r="Q812" s="83">
        <v>45806</v>
      </c>
      <c r="R812" s="89">
        <f t="shared" si="28"/>
        <v>1.0000218316777645</v>
      </c>
      <c r="S812" s="477" t="s">
        <v>1312</v>
      </c>
      <c r="T812" s="234"/>
    </row>
    <row r="813" spans="1:20" ht="57.6" x14ac:dyDescent="0.3">
      <c r="A813" s="96" t="e">
        <f t="shared" si="20"/>
        <v>#REF!</v>
      </c>
      <c r="B813" s="170">
        <v>1550</v>
      </c>
      <c r="C813" s="132">
        <v>45805</v>
      </c>
      <c r="D813" s="331"/>
      <c r="E813" s="262" t="s">
        <v>3016</v>
      </c>
      <c r="F813" s="179" t="s">
        <v>1314</v>
      </c>
      <c r="G813" s="125" t="s">
        <v>6</v>
      </c>
      <c r="H813" s="106">
        <v>45805</v>
      </c>
      <c r="I813" s="137"/>
      <c r="J813" s="102" t="s">
        <v>99</v>
      </c>
      <c r="K813" s="27"/>
      <c r="L813" s="356"/>
      <c r="M813" s="259"/>
      <c r="N813" s="29"/>
      <c r="O813" s="30"/>
      <c r="P813" s="54"/>
      <c r="Q813" s="83">
        <v>45806</v>
      </c>
      <c r="R813" s="89">
        <f t="shared" si="28"/>
        <v>1.0000218316777645</v>
      </c>
      <c r="S813" s="477" t="s">
        <v>1813</v>
      </c>
      <c r="T813" s="234"/>
    </row>
    <row r="814" spans="1:20" ht="57.6" x14ac:dyDescent="0.3">
      <c r="A814" s="96" t="e">
        <f t="shared" si="20"/>
        <v>#REF!</v>
      </c>
      <c r="B814" s="170">
        <v>1550</v>
      </c>
      <c r="C814" s="132">
        <v>45805</v>
      </c>
      <c r="D814" s="331"/>
      <c r="E814" s="271" t="s">
        <v>3017</v>
      </c>
      <c r="F814" s="179" t="s">
        <v>1314</v>
      </c>
      <c r="G814" s="125" t="s">
        <v>4</v>
      </c>
      <c r="H814" s="106">
        <v>45805</v>
      </c>
      <c r="I814" s="137"/>
      <c r="J814" s="102" t="s">
        <v>99</v>
      </c>
      <c r="K814" s="27"/>
      <c r="L814" s="356"/>
      <c r="M814" s="259"/>
      <c r="N814" s="29"/>
      <c r="O814" s="30"/>
      <c r="P814" s="54"/>
      <c r="Q814" s="83">
        <v>45806</v>
      </c>
      <c r="R814" s="89">
        <f t="shared" si="28"/>
        <v>1.0000218316777645</v>
      </c>
      <c r="S814" s="101" t="s">
        <v>2974</v>
      </c>
      <c r="T814" s="234"/>
    </row>
    <row r="815" spans="1:20" ht="86.4" x14ac:dyDescent="0.3">
      <c r="A815" s="96" t="e">
        <f t="shared" si="20"/>
        <v>#REF!</v>
      </c>
      <c r="B815" s="170" t="s">
        <v>301</v>
      </c>
      <c r="C815" s="132">
        <v>45805</v>
      </c>
      <c r="D815" s="331">
        <v>332025624</v>
      </c>
      <c r="E815" s="271" t="s">
        <v>3018</v>
      </c>
      <c r="F815" s="179" t="s">
        <v>23</v>
      </c>
      <c r="G815" s="125" t="s">
        <v>6</v>
      </c>
      <c r="H815" s="106">
        <v>45805</v>
      </c>
      <c r="I815" s="137"/>
      <c r="J815" s="102" t="s">
        <v>135</v>
      </c>
      <c r="K815" s="27"/>
      <c r="L815" s="356"/>
      <c r="M815" s="259"/>
      <c r="N815" s="29"/>
      <c r="O815" s="30"/>
      <c r="P815" s="54"/>
      <c r="Q815" s="83">
        <v>45806</v>
      </c>
      <c r="R815" s="89">
        <f t="shared" si="28"/>
        <v>1.0000218316777645</v>
      </c>
      <c r="S815" s="101" t="s">
        <v>1860</v>
      </c>
      <c r="T815" s="234"/>
    </row>
    <row r="816" spans="1:20" ht="57.6" x14ac:dyDescent="0.3">
      <c r="A816" s="96" t="e">
        <f t="shared" si="20"/>
        <v>#REF!</v>
      </c>
      <c r="B816" s="170">
        <v>1550</v>
      </c>
      <c r="C816" s="132">
        <v>45805</v>
      </c>
      <c r="D816" s="331"/>
      <c r="E816" s="271" t="s">
        <v>3019</v>
      </c>
      <c r="F816" s="179" t="s">
        <v>1314</v>
      </c>
      <c r="G816" s="125" t="s">
        <v>4</v>
      </c>
      <c r="H816" s="106">
        <v>45805</v>
      </c>
      <c r="I816" s="137"/>
      <c r="J816" s="102" t="s">
        <v>99</v>
      </c>
      <c r="K816" s="27"/>
      <c r="L816" s="356"/>
      <c r="M816" s="259"/>
      <c r="N816" s="29"/>
      <c r="O816" s="30"/>
      <c r="P816" s="54"/>
      <c r="Q816" s="83">
        <v>45806</v>
      </c>
      <c r="R816" s="89">
        <f t="shared" si="28"/>
        <v>1.0000218316777645</v>
      </c>
      <c r="S816" s="101" t="s">
        <v>3020</v>
      </c>
      <c r="T816" s="234"/>
    </row>
    <row r="817" spans="1:20" ht="28.8" x14ac:dyDescent="0.3">
      <c r="A817" s="96" t="e">
        <f t="shared" si="20"/>
        <v>#REF!</v>
      </c>
      <c r="B817" s="170">
        <v>1550</v>
      </c>
      <c r="C817" s="132">
        <v>45805</v>
      </c>
      <c r="D817" s="331">
        <v>41735587</v>
      </c>
      <c r="E817" s="271" t="s">
        <v>3021</v>
      </c>
      <c r="F817" s="179" t="s">
        <v>7</v>
      </c>
      <c r="G817" s="125" t="s">
        <v>8</v>
      </c>
      <c r="H817" s="106">
        <v>45805</v>
      </c>
      <c r="I817" s="137"/>
      <c r="J817" s="102" t="s">
        <v>2310</v>
      </c>
      <c r="K817" s="27"/>
      <c r="L817" s="356"/>
      <c r="M817" s="259"/>
      <c r="N817" s="29"/>
      <c r="O817" s="30"/>
      <c r="P817" s="54"/>
      <c r="Q817" s="83">
        <v>45806</v>
      </c>
      <c r="R817" s="89">
        <f t="shared" si="28"/>
        <v>1.0000218316777645</v>
      </c>
      <c r="S817" s="101" t="s">
        <v>151</v>
      </c>
      <c r="T817" s="234"/>
    </row>
    <row r="818" spans="1:20" ht="57.6" x14ac:dyDescent="0.3">
      <c r="A818" s="96" t="e">
        <f t="shared" si="20"/>
        <v>#REF!</v>
      </c>
      <c r="B818" s="170">
        <v>1550</v>
      </c>
      <c r="C818" s="132">
        <v>45805</v>
      </c>
      <c r="D818" s="331"/>
      <c r="E818" s="261" t="s">
        <v>3022</v>
      </c>
      <c r="F818" s="179" t="s">
        <v>1314</v>
      </c>
      <c r="G818" s="125" t="s">
        <v>6</v>
      </c>
      <c r="H818" s="106">
        <v>45805</v>
      </c>
      <c r="I818" s="137"/>
      <c r="J818" s="102" t="s">
        <v>99</v>
      </c>
      <c r="K818" s="27"/>
      <c r="L818" s="356"/>
      <c r="M818" s="259"/>
      <c r="N818" s="29"/>
      <c r="O818" s="30"/>
      <c r="P818" s="54"/>
      <c r="Q818" s="83">
        <v>45806</v>
      </c>
      <c r="R818" s="89">
        <f t="shared" si="28"/>
        <v>1.0000218316777645</v>
      </c>
      <c r="S818" s="101" t="s">
        <v>1936</v>
      </c>
      <c r="T818" s="234"/>
    </row>
    <row r="819" spans="1:20" ht="57.6" x14ac:dyDescent="0.3">
      <c r="A819" s="96" t="e">
        <f t="shared" si="20"/>
        <v>#REF!</v>
      </c>
      <c r="B819" s="170">
        <v>1550</v>
      </c>
      <c r="C819" s="132">
        <v>45805</v>
      </c>
      <c r="D819" s="331"/>
      <c r="E819" s="262" t="s">
        <v>3023</v>
      </c>
      <c r="F819" s="179" t="s">
        <v>1314</v>
      </c>
      <c r="G819" s="125" t="s">
        <v>6</v>
      </c>
      <c r="H819" s="106">
        <v>45805</v>
      </c>
      <c r="I819" s="137"/>
      <c r="J819" s="102" t="s">
        <v>99</v>
      </c>
      <c r="K819" s="27"/>
      <c r="L819" s="356"/>
      <c r="M819" s="259"/>
      <c r="N819" s="29"/>
      <c r="O819" s="30"/>
      <c r="P819" s="54"/>
      <c r="Q819" s="83">
        <v>45806</v>
      </c>
      <c r="R819" s="89">
        <f t="shared" si="28"/>
        <v>1.0000218316777645</v>
      </c>
      <c r="S819" s="101" t="s">
        <v>1936</v>
      </c>
      <c r="T819" s="234"/>
    </row>
    <row r="820" spans="1:20" ht="57.6" x14ac:dyDescent="0.3">
      <c r="A820" s="96" t="e">
        <f t="shared" si="20"/>
        <v>#REF!</v>
      </c>
      <c r="B820" s="170">
        <v>1550</v>
      </c>
      <c r="C820" s="132">
        <v>45805</v>
      </c>
      <c r="D820" s="331"/>
      <c r="E820" s="271" t="s">
        <v>3024</v>
      </c>
      <c r="F820" s="179" t="s">
        <v>1314</v>
      </c>
      <c r="G820" s="125" t="s">
        <v>6</v>
      </c>
      <c r="H820" s="106">
        <v>45805</v>
      </c>
      <c r="I820" s="137"/>
      <c r="J820" s="102" t="s">
        <v>99</v>
      </c>
      <c r="K820" s="27"/>
      <c r="L820" s="356"/>
      <c r="M820" s="259"/>
      <c r="N820" s="29"/>
      <c r="O820" s="30"/>
      <c r="P820" s="54"/>
      <c r="Q820" s="83">
        <v>45806</v>
      </c>
      <c r="R820" s="89">
        <f t="shared" si="28"/>
        <v>1.0000218316777645</v>
      </c>
      <c r="S820" s="101" t="s">
        <v>1312</v>
      </c>
      <c r="T820" s="234"/>
    </row>
    <row r="821" spans="1:20" ht="72" x14ac:dyDescent="0.3">
      <c r="A821" s="96" t="e">
        <f t="shared" si="20"/>
        <v>#REF!</v>
      </c>
      <c r="B821" s="170">
        <v>1550</v>
      </c>
      <c r="C821" s="132">
        <v>45805</v>
      </c>
      <c r="D821" s="331">
        <v>1644777</v>
      </c>
      <c r="E821" s="271" t="s">
        <v>3025</v>
      </c>
      <c r="F821" s="179" t="s">
        <v>32</v>
      </c>
      <c r="G821" s="125" t="s">
        <v>6</v>
      </c>
      <c r="H821" s="106">
        <v>45805</v>
      </c>
      <c r="I821" s="137"/>
      <c r="J821" s="102" t="s">
        <v>106</v>
      </c>
      <c r="K821" s="27"/>
      <c r="L821" s="356"/>
      <c r="M821" s="259"/>
      <c r="N821" s="29"/>
      <c r="O821" s="30"/>
      <c r="P821" s="54"/>
      <c r="Q821" s="83">
        <v>45812</v>
      </c>
      <c r="R821" s="89">
        <f t="shared" si="28"/>
        <v>1.0001528217443512</v>
      </c>
      <c r="S821" s="101" t="s">
        <v>2808</v>
      </c>
      <c r="T821" s="234"/>
    </row>
    <row r="822" spans="1:20" ht="57.6" x14ac:dyDescent="0.3">
      <c r="A822" s="96" t="e">
        <f t="shared" si="20"/>
        <v>#REF!</v>
      </c>
      <c r="B822" s="170">
        <v>1550</v>
      </c>
      <c r="C822" s="132">
        <v>45805</v>
      </c>
      <c r="D822" s="331">
        <v>82927391</v>
      </c>
      <c r="E822" s="271" t="s">
        <v>3026</v>
      </c>
      <c r="F822" s="179" t="s">
        <v>12</v>
      </c>
      <c r="G822" s="125" t="s">
        <v>8</v>
      </c>
      <c r="H822" s="106">
        <v>45805</v>
      </c>
      <c r="I822" s="137"/>
      <c r="J822" s="729" t="s">
        <v>159</v>
      </c>
      <c r="K822" s="27"/>
      <c r="L822" s="356"/>
      <c r="M822" s="259"/>
      <c r="N822" s="29"/>
      <c r="O822" s="30"/>
      <c r="P822" s="54"/>
      <c r="Q822" s="83">
        <v>45810</v>
      </c>
      <c r="R822" s="89">
        <f t="shared" si="28"/>
        <v>1.0001091583888222</v>
      </c>
      <c r="S822" s="101" t="s">
        <v>528</v>
      </c>
      <c r="T822" s="234"/>
    </row>
    <row r="823" spans="1:20" ht="57.6" x14ac:dyDescent="0.3">
      <c r="A823" s="96" t="e">
        <f t="shared" si="20"/>
        <v>#REF!</v>
      </c>
      <c r="B823" s="170" t="s">
        <v>80</v>
      </c>
      <c r="C823" s="132">
        <v>45805</v>
      </c>
      <c r="D823" s="331"/>
      <c r="E823" s="271" t="s">
        <v>3027</v>
      </c>
      <c r="F823" s="179" t="s">
        <v>1314</v>
      </c>
      <c r="G823" s="125" t="s">
        <v>10</v>
      </c>
      <c r="H823" s="106">
        <v>45805</v>
      </c>
      <c r="I823" s="137"/>
      <c r="J823" s="102" t="s">
        <v>99</v>
      </c>
      <c r="K823" s="27"/>
      <c r="L823" s="356"/>
      <c r="M823" s="259"/>
      <c r="N823" s="29"/>
      <c r="O823" s="30"/>
      <c r="P823" s="54"/>
      <c r="Q823" s="83">
        <v>45806</v>
      </c>
      <c r="R823" s="89">
        <f t="shared" si="28"/>
        <v>1.0000218316777645</v>
      </c>
      <c r="S823" s="101" t="s">
        <v>1319</v>
      </c>
      <c r="T823" s="234"/>
    </row>
    <row r="824" spans="1:20" ht="57.6" x14ac:dyDescent="0.3">
      <c r="A824" s="96" t="e">
        <f t="shared" si="20"/>
        <v>#REF!</v>
      </c>
      <c r="B824" s="170" t="s">
        <v>80</v>
      </c>
      <c r="C824" s="132">
        <v>45805</v>
      </c>
      <c r="D824" s="331"/>
      <c r="E824" s="271" t="s">
        <v>3028</v>
      </c>
      <c r="F824" s="179" t="s">
        <v>1314</v>
      </c>
      <c r="G824" s="125" t="s">
        <v>10</v>
      </c>
      <c r="H824" s="106">
        <v>45805</v>
      </c>
      <c r="I824" s="137"/>
      <c r="J824" s="102" t="s">
        <v>99</v>
      </c>
      <c r="K824" s="27"/>
      <c r="L824" s="356"/>
      <c r="M824" s="259"/>
      <c r="N824" s="29"/>
      <c r="O824" s="30"/>
      <c r="P824" s="54"/>
      <c r="Q824" s="83">
        <v>45806</v>
      </c>
      <c r="R824" s="89">
        <f t="shared" si="28"/>
        <v>1.0000218316777645</v>
      </c>
      <c r="S824" s="101" t="s">
        <v>214</v>
      </c>
      <c r="T824" s="234"/>
    </row>
    <row r="825" spans="1:20" ht="57.6" x14ac:dyDescent="0.3">
      <c r="A825" s="96" t="e">
        <f t="shared" si="20"/>
        <v>#REF!</v>
      </c>
      <c r="B825" s="170" t="s">
        <v>80</v>
      </c>
      <c r="C825" s="132">
        <v>45805</v>
      </c>
      <c r="D825" s="331"/>
      <c r="E825" s="271" t="s">
        <v>3029</v>
      </c>
      <c r="F825" s="179" t="s">
        <v>1314</v>
      </c>
      <c r="G825" s="125" t="s">
        <v>10</v>
      </c>
      <c r="H825" s="106">
        <v>45805</v>
      </c>
      <c r="I825" s="137"/>
      <c r="J825" s="102" t="s">
        <v>99</v>
      </c>
      <c r="K825" s="27"/>
      <c r="L825" s="356"/>
      <c r="M825" s="259"/>
      <c r="N825" s="29"/>
      <c r="O825" s="30"/>
      <c r="P825" s="54"/>
      <c r="Q825" s="83">
        <v>45806</v>
      </c>
      <c r="R825" s="89">
        <f t="shared" si="28"/>
        <v>1.0000218316777645</v>
      </c>
      <c r="S825" s="101" t="s">
        <v>214</v>
      </c>
      <c r="T825" s="234"/>
    </row>
    <row r="826" spans="1:20" ht="57.6" x14ac:dyDescent="0.3">
      <c r="A826" s="96" t="e">
        <f t="shared" si="20"/>
        <v>#REF!</v>
      </c>
      <c r="B826" s="170" t="s">
        <v>80</v>
      </c>
      <c r="C826" s="132">
        <v>45805</v>
      </c>
      <c r="D826" s="331"/>
      <c r="E826" s="271" t="s">
        <v>3030</v>
      </c>
      <c r="F826" s="179" t="s">
        <v>1314</v>
      </c>
      <c r="G826" s="125" t="s">
        <v>10</v>
      </c>
      <c r="H826" s="106">
        <v>45805</v>
      </c>
      <c r="I826" s="137"/>
      <c r="J826" s="102" t="s">
        <v>99</v>
      </c>
      <c r="K826" s="27"/>
      <c r="L826" s="356"/>
      <c r="M826" s="259"/>
      <c r="N826" s="29"/>
      <c r="O826" s="30"/>
      <c r="P826" s="54"/>
      <c r="Q826" s="83">
        <v>45806</v>
      </c>
      <c r="R826" s="89">
        <f t="shared" si="28"/>
        <v>1.0000218316777645</v>
      </c>
      <c r="S826" s="101" t="s">
        <v>1319</v>
      </c>
      <c r="T826" s="234"/>
    </row>
    <row r="827" spans="1:20" ht="100.8" x14ac:dyDescent="0.3">
      <c r="A827" s="96" t="e">
        <f t="shared" si="20"/>
        <v>#REF!</v>
      </c>
      <c r="B827" s="170" t="s">
        <v>80</v>
      </c>
      <c r="C827" s="132">
        <v>45805</v>
      </c>
      <c r="D827" s="331">
        <v>290712858</v>
      </c>
      <c r="E827" s="271" t="s">
        <v>3031</v>
      </c>
      <c r="F827" s="179" t="s">
        <v>15</v>
      </c>
      <c r="G827" s="125" t="s">
        <v>10</v>
      </c>
      <c r="H827" s="106">
        <v>45805</v>
      </c>
      <c r="I827" s="137"/>
      <c r="J827" s="100" t="s">
        <v>99</v>
      </c>
      <c r="K827" s="27"/>
      <c r="L827" s="356"/>
      <c r="M827" s="259"/>
      <c r="N827" s="29"/>
      <c r="O827" s="30"/>
      <c r="P827" s="54"/>
      <c r="Q827" s="83">
        <v>45814</v>
      </c>
      <c r="R827" s="89">
        <f t="shared" si="28"/>
        <v>1.0001964850998799</v>
      </c>
      <c r="S827" s="93" t="s">
        <v>1319</v>
      </c>
      <c r="T827" s="36"/>
    </row>
    <row r="828" spans="1:20" ht="57.6" x14ac:dyDescent="0.3">
      <c r="A828" s="96" t="e">
        <f t="shared" si="20"/>
        <v>#REF!</v>
      </c>
      <c r="B828" s="170" t="s">
        <v>80</v>
      </c>
      <c r="C828" s="132">
        <v>45805</v>
      </c>
      <c r="D828" s="331"/>
      <c r="E828" s="271" t="s">
        <v>3032</v>
      </c>
      <c r="F828" s="179" t="s">
        <v>1314</v>
      </c>
      <c r="G828" s="125" t="s">
        <v>10</v>
      </c>
      <c r="H828" s="106">
        <v>45805</v>
      </c>
      <c r="I828" s="137"/>
      <c r="J828" s="102" t="s">
        <v>99</v>
      </c>
      <c r="K828" s="27"/>
      <c r="L828" s="356"/>
      <c r="M828" s="259"/>
      <c r="N828" s="29"/>
      <c r="O828" s="30"/>
      <c r="P828" s="54"/>
      <c r="Q828" s="83">
        <v>45806</v>
      </c>
      <c r="R828" s="89">
        <f t="shared" si="28"/>
        <v>1.0000218316777645</v>
      </c>
      <c r="S828" s="101" t="s">
        <v>1319</v>
      </c>
      <c r="T828" s="234"/>
    </row>
    <row r="829" spans="1:20" ht="57.6" x14ac:dyDescent="0.3">
      <c r="A829" s="96" t="e">
        <f t="shared" si="20"/>
        <v>#REF!</v>
      </c>
      <c r="B829" s="170" t="s">
        <v>80</v>
      </c>
      <c r="C829" s="132">
        <v>45805</v>
      </c>
      <c r="D829" s="331"/>
      <c r="E829" s="271" t="s">
        <v>3033</v>
      </c>
      <c r="F829" s="179" t="s">
        <v>1314</v>
      </c>
      <c r="G829" s="125" t="s">
        <v>10</v>
      </c>
      <c r="H829" s="106">
        <v>45805</v>
      </c>
      <c r="I829" s="137"/>
      <c r="J829" s="102" t="s">
        <v>99</v>
      </c>
      <c r="K829" s="27"/>
      <c r="L829" s="356"/>
      <c r="M829" s="259"/>
      <c r="N829" s="29"/>
      <c r="O829" s="30"/>
      <c r="P829" s="54"/>
      <c r="Q829" s="83">
        <v>45806</v>
      </c>
      <c r="R829" s="89">
        <f t="shared" si="28"/>
        <v>1.0000218316777645</v>
      </c>
      <c r="S829" s="101" t="s">
        <v>1319</v>
      </c>
      <c r="T829" s="234"/>
    </row>
    <row r="830" spans="1:20" ht="57.6" x14ac:dyDescent="0.3">
      <c r="A830" s="96" t="e">
        <f t="shared" si="20"/>
        <v>#REF!</v>
      </c>
      <c r="B830" s="170" t="s">
        <v>80</v>
      </c>
      <c r="C830" s="132">
        <v>45805</v>
      </c>
      <c r="D830" s="331"/>
      <c r="E830" s="271" t="s">
        <v>3034</v>
      </c>
      <c r="F830" s="179" t="s">
        <v>1314</v>
      </c>
      <c r="G830" s="125" t="s">
        <v>10</v>
      </c>
      <c r="H830" s="106">
        <v>45805</v>
      </c>
      <c r="I830" s="137"/>
      <c r="J830" s="102" t="s">
        <v>99</v>
      </c>
      <c r="K830" s="27"/>
      <c r="L830" s="356"/>
      <c r="M830" s="259"/>
      <c r="N830" s="29"/>
      <c r="O830" s="30"/>
      <c r="P830" s="54"/>
      <c r="Q830" s="83">
        <v>45806</v>
      </c>
      <c r="R830" s="89">
        <f t="shared" si="28"/>
        <v>1.0000218316777645</v>
      </c>
      <c r="S830" s="101" t="s">
        <v>1319</v>
      </c>
      <c r="T830" s="234"/>
    </row>
    <row r="831" spans="1:20" ht="57.6" x14ac:dyDescent="0.3">
      <c r="A831" s="96" t="e">
        <f t="shared" si="20"/>
        <v>#REF!</v>
      </c>
      <c r="B831" s="170" t="s">
        <v>80</v>
      </c>
      <c r="C831" s="132">
        <v>45805</v>
      </c>
      <c r="D831" s="331"/>
      <c r="E831" s="271" t="s">
        <v>3035</v>
      </c>
      <c r="F831" s="179" t="s">
        <v>1314</v>
      </c>
      <c r="G831" s="125" t="s">
        <v>10</v>
      </c>
      <c r="H831" s="106">
        <v>45805</v>
      </c>
      <c r="I831" s="137"/>
      <c r="J831" s="102" t="s">
        <v>99</v>
      </c>
      <c r="K831" s="27"/>
      <c r="L831" s="356"/>
      <c r="M831" s="259"/>
      <c r="N831" s="29"/>
      <c r="O831" s="30"/>
      <c r="P831" s="54"/>
      <c r="Q831" s="83">
        <v>45806</v>
      </c>
      <c r="R831" s="89">
        <f t="shared" si="28"/>
        <v>1.0000218316777645</v>
      </c>
      <c r="S831" s="101" t="s">
        <v>1319</v>
      </c>
      <c r="T831" s="234"/>
    </row>
    <row r="832" spans="1:20" ht="57.6" x14ac:dyDescent="0.3">
      <c r="A832" s="96" t="e">
        <f t="shared" si="20"/>
        <v>#REF!</v>
      </c>
      <c r="B832" s="170" t="s">
        <v>301</v>
      </c>
      <c r="C832" s="132">
        <v>45806</v>
      </c>
      <c r="D832" s="331"/>
      <c r="E832" s="271" t="s">
        <v>3036</v>
      </c>
      <c r="F832" s="179" t="s">
        <v>1314</v>
      </c>
      <c r="G832" s="125" t="s">
        <v>4</v>
      </c>
      <c r="H832" s="106">
        <v>45806</v>
      </c>
      <c r="I832" s="137"/>
      <c r="J832" s="102" t="s">
        <v>99</v>
      </c>
      <c r="K832" s="27"/>
      <c r="L832" s="356"/>
      <c r="M832" s="259"/>
      <c r="N832" s="29"/>
      <c r="O832" s="30"/>
      <c r="P832" s="54"/>
      <c r="Q832" s="83">
        <v>45806</v>
      </c>
      <c r="R832" s="89">
        <f t="shared" si="28"/>
        <v>1</v>
      </c>
      <c r="S832" s="101" t="s">
        <v>2979</v>
      </c>
      <c r="T832" s="234"/>
    </row>
    <row r="833" spans="1:20" ht="57.6" x14ac:dyDescent="0.3">
      <c r="A833" s="96" t="e">
        <f t="shared" si="20"/>
        <v>#REF!</v>
      </c>
      <c r="B833" s="170">
        <v>1550</v>
      </c>
      <c r="C833" s="132">
        <v>45806</v>
      </c>
      <c r="D833" s="331"/>
      <c r="E833" s="271" t="s">
        <v>3037</v>
      </c>
      <c r="F833" s="179" t="s">
        <v>1314</v>
      </c>
      <c r="G833" s="125" t="s">
        <v>4</v>
      </c>
      <c r="H833" s="106">
        <v>45806</v>
      </c>
      <c r="I833" s="137"/>
      <c r="J833" s="102" t="s">
        <v>99</v>
      </c>
      <c r="K833" s="27"/>
      <c r="L833" s="356"/>
      <c r="M833" s="259"/>
      <c r="N833" s="29"/>
      <c r="O833" s="30"/>
      <c r="P833" s="54"/>
      <c r="Q833" s="83">
        <v>45806</v>
      </c>
      <c r="R833" s="89">
        <f t="shared" si="28"/>
        <v>1</v>
      </c>
      <c r="S833" s="101" t="s">
        <v>3020</v>
      </c>
      <c r="T833" s="234"/>
    </row>
    <row r="834" spans="1:20" ht="115.2" x14ac:dyDescent="0.3">
      <c r="A834" s="96" t="e">
        <f t="shared" si="20"/>
        <v>#REF!</v>
      </c>
      <c r="B834" s="170">
        <v>1550</v>
      </c>
      <c r="C834" s="132">
        <v>45806</v>
      </c>
      <c r="D834" s="331"/>
      <c r="E834" s="271" t="s">
        <v>3038</v>
      </c>
      <c r="F834" s="179" t="s">
        <v>12</v>
      </c>
      <c r="G834" s="125" t="s">
        <v>6</v>
      </c>
      <c r="H834" s="106">
        <v>45806</v>
      </c>
      <c r="I834" s="137"/>
      <c r="J834" s="729" t="s">
        <v>159</v>
      </c>
      <c r="K834" s="27"/>
      <c r="L834" s="356"/>
      <c r="M834" s="259"/>
      <c r="N834" s="29"/>
      <c r="O834" s="30"/>
      <c r="P834" s="54"/>
      <c r="Q834" s="83">
        <v>45811</v>
      </c>
      <c r="R834" s="89">
        <f t="shared" si="28"/>
        <v>1.0001091560057633</v>
      </c>
      <c r="S834" s="101" t="s">
        <v>1813</v>
      </c>
      <c r="T834" s="234"/>
    </row>
    <row r="835" spans="1:20" ht="57.6" x14ac:dyDescent="0.3">
      <c r="A835" s="96" t="e">
        <f t="shared" si="20"/>
        <v>#REF!</v>
      </c>
      <c r="B835" s="170">
        <v>1550</v>
      </c>
      <c r="C835" s="132">
        <v>45806</v>
      </c>
      <c r="D835" s="331"/>
      <c r="E835" s="271" t="s">
        <v>3039</v>
      </c>
      <c r="F835" s="179" t="s">
        <v>1314</v>
      </c>
      <c r="G835" s="125" t="s">
        <v>6</v>
      </c>
      <c r="H835" s="106">
        <v>45806</v>
      </c>
      <c r="I835" s="137"/>
      <c r="J835" s="102" t="s">
        <v>99</v>
      </c>
      <c r="K835" s="27"/>
      <c r="L835" s="356"/>
      <c r="M835" s="259"/>
      <c r="N835" s="29"/>
      <c r="O835" s="30"/>
      <c r="P835" s="54"/>
      <c r="Q835" s="83">
        <v>45807</v>
      </c>
      <c r="R835" s="89">
        <f t="shared" ref="R835:R883" si="29">Q835/H835</f>
        <v>1.0000218312011526</v>
      </c>
      <c r="S835" s="101" t="s">
        <v>1813</v>
      </c>
      <c r="T835" s="234"/>
    </row>
    <row r="836" spans="1:20" ht="57.6" x14ac:dyDescent="0.3">
      <c r="A836" s="96" t="e">
        <f t="shared" si="20"/>
        <v>#REF!</v>
      </c>
      <c r="B836" s="170">
        <v>1550</v>
      </c>
      <c r="C836" s="132">
        <v>45806</v>
      </c>
      <c r="D836" s="331"/>
      <c r="E836" s="271" t="s">
        <v>3040</v>
      </c>
      <c r="F836" s="179" t="s">
        <v>1314</v>
      </c>
      <c r="G836" s="125" t="s">
        <v>6</v>
      </c>
      <c r="H836" s="106">
        <v>45806</v>
      </c>
      <c r="I836" s="137"/>
      <c r="J836" s="102" t="s">
        <v>99</v>
      </c>
      <c r="K836" s="27"/>
      <c r="L836" s="356"/>
      <c r="M836" s="259"/>
      <c r="N836" s="29"/>
      <c r="O836" s="30"/>
      <c r="P836" s="54"/>
      <c r="Q836" s="83">
        <v>45807</v>
      </c>
      <c r="R836" s="89">
        <f t="shared" si="29"/>
        <v>1.0000218312011526</v>
      </c>
      <c r="S836" s="101" t="s">
        <v>2808</v>
      </c>
      <c r="T836" s="234"/>
    </row>
    <row r="837" spans="1:20" ht="57.6" x14ac:dyDescent="0.3">
      <c r="A837" s="96" t="e">
        <f t="shared" si="20"/>
        <v>#REF!</v>
      </c>
      <c r="B837" s="170">
        <v>1550</v>
      </c>
      <c r="C837" s="132">
        <v>45806</v>
      </c>
      <c r="D837" s="331"/>
      <c r="E837" s="271" t="s">
        <v>3041</v>
      </c>
      <c r="F837" s="179" t="s">
        <v>1314</v>
      </c>
      <c r="G837" s="125" t="s">
        <v>4</v>
      </c>
      <c r="H837" s="106">
        <v>45806</v>
      </c>
      <c r="I837" s="137"/>
      <c r="J837" s="102" t="s">
        <v>99</v>
      </c>
      <c r="K837" s="27"/>
      <c r="L837" s="356"/>
      <c r="M837" s="259"/>
      <c r="N837" s="29"/>
      <c r="O837" s="30"/>
      <c r="P837" s="54"/>
      <c r="Q837" s="83">
        <v>45810</v>
      </c>
      <c r="R837" s="89">
        <f t="shared" si="29"/>
        <v>1.0000873248046107</v>
      </c>
      <c r="S837" s="101" t="s">
        <v>3042</v>
      </c>
      <c r="T837" s="234"/>
    </row>
    <row r="838" spans="1:20" ht="187.2" x14ac:dyDescent="0.3">
      <c r="A838" s="96" t="e">
        <f t="shared" si="20"/>
        <v>#REF!</v>
      </c>
      <c r="B838" s="170">
        <v>1550</v>
      </c>
      <c r="C838" s="132">
        <v>45806</v>
      </c>
      <c r="D838" s="331">
        <v>53811224</v>
      </c>
      <c r="E838" s="271" t="s">
        <v>3043</v>
      </c>
      <c r="F838" s="179" t="s">
        <v>42</v>
      </c>
      <c r="G838" s="125" t="s">
        <v>6</v>
      </c>
      <c r="H838" s="106">
        <v>45806</v>
      </c>
      <c r="I838" s="137"/>
      <c r="J838" s="728" t="s">
        <v>383</v>
      </c>
      <c r="K838" s="27"/>
      <c r="L838" s="356"/>
      <c r="M838" s="259"/>
      <c r="N838" s="29"/>
      <c r="O838" s="30"/>
      <c r="P838" s="54"/>
      <c r="Q838" s="83">
        <v>45812</v>
      </c>
      <c r="R838" s="89">
        <f t="shared" si="29"/>
        <v>1.0001309872069162</v>
      </c>
      <c r="S838" s="101" t="s">
        <v>1893</v>
      </c>
      <c r="T838" s="234"/>
    </row>
    <row r="839" spans="1:20" ht="57.6" x14ac:dyDescent="0.3">
      <c r="A839" s="96" t="e">
        <f t="shared" si="20"/>
        <v>#REF!</v>
      </c>
      <c r="B839" s="170">
        <v>1550</v>
      </c>
      <c r="C839" s="132">
        <v>45806</v>
      </c>
      <c r="D839" s="331"/>
      <c r="E839" s="271" t="s">
        <v>3044</v>
      </c>
      <c r="F839" s="179" t="s">
        <v>1314</v>
      </c>
      <c r="G839" s="125" t="s">
        <v>4</v>
      </c>
      <c r="H839" s="106">
        <v>45806</v>
      </c>
      <c r="I839" s="137"/>
      <c r="J839" s="102" t="s">
        <v>99</v>
      </c>
      <c r="K839" s="27"/>
      <c r="L839" s="356"/>
      <c r="M839" s="259"/>
      <c r="N839" s="29"/>
      <c r="O839" s="30"/>
      <c r="P839" s="54"/>
      <c r="Q839" s="83">
        <v>45810</v>
      </c>
      <c r="R839" s="89">
        <f t="shared" si="29"/>
        <v>1.0000873248046107</v>
      </c>
      <c r="S839" s="101" t="s">
        <v>2970</v>
      </c>
      <c r="T839" s="234"/>
    </row>
    <row r="840" spans="1:20" ht="57.6" x14ac:dyDescent="0.3">
      <c r="A840" s="96" t="e">
        <f t="shared" si="20"/>
        <v>#REF!</v>
      </c>
      <c r="B840" s="170">
        <v>1550</v>
      </c>
      <c r="C840" s="132">
        <v>45806</v>
      </c>
      <c r="D840" s="331"/>
      <c r="E840" s="271" t="s">
        <v>3045</v>
      </c>
      <c r="F840" s="179" t="s">
        <v>1314</v>
      </c>
      <c r="G840" s="125" t="s">
        <v>6</v>
      </c>
      <c r="H840" s="106">
        <v>45806</v>
      </c>
      <c r="I840" s="137"/>
      <c r="J840" s="102" t="s">
        <v>99</v>
      </c>
      <c r="K840" s="27"/>
      <c r="L840" s="356"/>
      <c r="M840" s="259"/>
      <c r="N840" s="29"/>
      <c r="O840" s="30"/>
      <c r="P840" s="54"/>
      <c r="Q840" s="83">
        <v>45807</v>
      </c>
      <c r="R840" s="89">
        <f t="shared" si="29"/>
        <v>1.0000218312011526</v>
      </c>
      <c r="S840" s="101" t="s">
        <v>1860</v>
      </c>
      <c r="T840" s="234"/>
    </row>
    <row r="841" spans="1:20" ht="28.8" x14ac:dyDescent="0.3">
      <c r="A841" s="96" t="e">
        <f t="shared" si="20"/>
        <v>#REF!</v>
      </c>
      <c r="B841" s="170">
        <v>1550</v>
      </c>
      <c r="C841" s="132">
        <v>45806</v>
      </c>
      <c r="D841" s="331">
        <v>24608815</v>
      </c>
      <c r="E841" s="271" t="s">
        <v>3046</v>
      </c>
      <c r="F841" s="179" t="s">
        <v>32</v>
      </c>
      <c r="G841" s="125" t="s">
        <v>4</v>
      </c>
      <c r="H841" s="106">
        <v>45806</v>
      </c>
      <c r="I841" s="137"/>
      <c r="J841" s="102" t="s">
        <v>106</v>
      </c>
      <c r="K841" s="27"/>
      <c r="L841" s="356"/>
      <c r="M841" s="259"/>
      <c r="N841" s="29"/>
      <c r="O841" s="30"/>
      <c r="P841" s="54"/>
      <c r="Q841" s="83">
        <v>45812</v>
      </c>
      <c r="R841" s="89">
        <f t="shared" si="29"/>
        <v>1.0001309872069162</v>
      </c>
      <c r="S841" s="101" t="s">
        <v>3047</v>
      </c>
      <c r="T841" s="234"/>
    </row>
    <row r="842" spans="1:20" ht="57.6" x14ac:dyDescent="0.3">
      <c r="A842" s="96" t="e">
        <f t="shared" si="20"/>
        <v>#REF!</v>
      </c>
      <c r="B842" s="170">
        <v>1550</v>
      </c>
      <c r="C842" s="132">
        <v>45806</v>
      </c>
      <c r="D842" s="331"/>
      <c r="E842" s="271" t="s">
        <v>3048</v>
      </c>
      <c r="F842" s="179" t="s">
        <v>1314</v>
      </c>
      <c r="G842" s="125" t="s">
        <v>4</v>
      </c>
      <c r="H842" s="106">
        <v>45806</v>
      </c>
      <c r="I842" s="137"/>
      <c r="J842" s="102" t="s">
        <v>99</v>
      </c>
      <c r="K842" s="27"/>
      <c r="L842" s="356"/>
      <c r="M842" s="259"/>
      <c r="N842" s="29"/>
      <c r="O842" s="30"/>
      <c r="P842" s="54"/>
      <c r="Q842" s="83">
        <v>45810</v>
      </c>
      <c r="R842" s="89">
        <f t="shared" si="29"/>
        <v>1.0000873248046107</v>
      </c>
      <c r="S842" s="101" t="s">
        <v>3049</v>
      </c>
      <c r="T842" s="234"/>
    </row>
    <row r="843" spans="1:20" ht="57.6" x14ac:dyDescent="0.3">
      <c r="A843" s="96" t="e">
        <f t="shared" si="20"/>
        <v>#REF!</v>
      </c>
      <c r="B843" s="170">
        <v>1550</v>
      </c>
      <c r="C843" s="132">
        <v>45806</v>
      </c>
      <c r="D843" s="331"/>
      <c r="E843" s="263" t="s">
        <v>3050</v>
      </c>
      <c r="F843" s="179" t="s">
        <v>1314</v>
      </c>
      <c r="G843" s="125" t="s">
        <v>6</v>
      </c>
      <c r="H843" s="106">
        <v>45806</v>
      </c>
      <c r="I843" s="137"/>
      <c r="J843" s="102" t="s">
        <v>99</v>
      </c>
      <c r="K843" s="27"/>
      <c r="L843" s="356"/>
      <c r="M843" s="259"/>
      <c r="N843" s="29"/>
      <c r="O843" s="30"/>
      <c r="P843" s="54"/>
      <c r="Q843" s="83">
        <v>45807</v>
      </c>
      <c r="R843" s="89">
        <f t="shared" si="29"/>
        <v>1.0000218312011526</v>
      </c>
      <c r="S843" s="101" t="s">
        <v>1936</v>
      </c>
      <c r="T843" s="234"/>
    </row>
    <row r="844" spans="1:20" ht="57.6" x14ac:dyDescent="0.3">
      <c r="A844" s="96" t="e">
        <f t="shared" si="20"/>
        <v>#REF!</v>
      </c>
      <c r="B844" s="170">
        <v>1550</v>
      </c>
      <c r="C844" s="132">
        <v>45806</v>
      </c>
      <c r="D844" s="331"/>
      <c r="E844" s="264" t="s">
        <v>3051</v>
      </c>
      <c r="F844" s="179" t="s">
        <v>1314</v>
      </c>
      <c r="G844" s="125" t="s">
        <v>6</v>
      </c>
      <c r="H844" s="106">
        <v>45806</v>
      </c>
      <c r="I844" s="137"/>
      <c r="J844" s="102" t="s">
        <v>99</v>
      </c>
      <c r="K844" s="27"/>
      <c r="L844" s="356"/>
      <c r="M844" s="259"/>
      <c r="N844" s="29"/>
      <c r="O844" s="30"/>
      <c r="P844" s="54"/>
      <c r="Q844" s="83">
        <v>45807</v>
      </c>
      <c r="R844" s="89">
        <f t="shared" si="29"/>
        <v>1.0000218312011526</v>
      </c>
      <c r="S844" s="101" t="s">
        <v>2808</v>
      </c>
      <c r="T844" s="234"/>
    </row>
    <row r="845" spans="1:20" ht="57.6" x14ac:dyDescent="0.3">
      <c r="A845" s="96" t="e">
        <f t="shared" si="20"/>
        <v>#REF!</v>
      </c>
      <c r="B845" s="170">
        <v>1550</v>
      </c>
      <c r="C845" s="132">
        <v>45806</v>
      </c>
      <c r="D845" s="331"/>
      <c r="E845" s="263" t="s">
        <v>3052</v>
      </c>
      <c r="F845" s="179" t="s">
        <v>1314</v>
      </c>
      <c r="G845" s="125" t="s">
        <v>6</v>
      </c>
      <c r="H845" s="106">
        <v>45806</v>
      </c>
      <c r="I845" s="137"/>
      <c r="J845" s="102" t="s">
        <v>99</v>
      </c>
      <c r="K845" s="27"/>
      <c r="L845" s="356"/>
      <c r="M845" s="259"/>
      <c r="N845" s="29"/>
      <c r="O845" s="30"/>
      <c r="P845" s="54"/>
      <c r="Q845" s="83">
        <v>45807</v>
      </c>
      <c r="R845" s="89">
        <f t="shared" si="29"/>
        <v>1.0000218312011526</v>
      </c>
      <c r="S845" s="101" t="s">
        <v>1936</v>
      </c>
      <c r="T845" s="234"/>
    </row>
    <row r="846" spans="1:20" ht="57.6" x14ac:dyDescent="0.3">
      <c r="A846" s="96" t="e">
        <f t="shared" si="20"/>
        <v>#REF!</v>
      </c>
      <c r="B846" s="170">
        <v>1550</v>
      </c>
      <c r="C846" s="132">
        <v>45806</v>
      </c>
      <c r="D846" s="331"/>
      <c r="E846" s="264" t="s">
        <v>3053</v>
      </c>
      <c r="F846" s="179" t="s">
        <v>1314</v>
      </c>
      <c r="G846" s="125" t="s">
        <v>6</v>
      </c>
      <c r="H846" s="106">
        <v>45806</v>
      </c>
      <c r="I846" s="137"/>
      <c r="J846" s="102" t="s">
        <v>99</v>
      </c>
      <c r="K846" s="27"/>
      <c r="L846" s="356"/>
      <c r="M846" s="259"/>
      <c r="N846" s="29"/>
      <c r="O846" s="30"/>
      <c r="P846" s="54"/>
      <c r="Q846" s="83">
        <v>45807</v>
      </c>
      <c r="R846" s="89">
        <f t="shared" si="29"/>
        <v>1.0000218312011526</v>
      </c>
      <c r="S846" s="101" t="s">
        <v>1936</v>
      </c>
      <c r="T846" s="234"/>
    </row>
    <row r="847" spans="1:20" ht="57.6" x14ac:dyDescent="0.3">
      <c r="A847" s="96" t="e">
        <f t="shared" si="20"/>
        <v>#REF!</v>
      </c>
      <c r="B847" s="170">
        <v>1550</v>
      </c>
      <c r="C847" s="132">
        <v>45806</v>
      </c>
      <c r="D847" s="331"/>
      <c r="E847" s="271" t="s">
        <v>3054</v>
      </c>
      <c r="F847" s="179" t="s">
        <v>1314</v>
      </c>
      <c r="G847" s="125" t="s">
        <v>6</v>
      </c>
      <c r="H847" s="106">
        <v>45806</v>
      </c>
      <c r="I847" s="137"/>
      <c r="J847" s="102" t="s">
        <v>99</v>
      </c>
      <c r="K847" s="27"/>
      <c r="L847" s="356"/>
      <c r="M847" s="259"/>
      <c r="N847" s="29"/>
      <c r="O847" s="30"/>
      <c r="P847" s="54"/>
      <c r="Q847" s="83">
        <v>45807</v>
      </c>
      <c r="R847" s="89">
        <f t="shared" si="29"/>
        <v>1.0000218312011526</v>
      </c>
      <c r="S847" s="101" t="s">
        <v>1936</v>
      </c>
      <c r="T847" s="234"/>
    </row>
    <row r="848" spans="1:20" ht="43.2" x14ac:dyDescent="0.3">
      <c r="A848" s="96" t="e">
        <f t="shared" si="20"/>
        <v>#REF!</v>
      </c>
      <c r="B848" s="170">
        <v>1550</v>
      </c>
      <c r="C848" s="132">
        <v>45806</v>
      </c>
      <c r="D848" s="331">
        <v>118560603</v>
      </c>
      <c r="E848" s="271" t="s">
        <v>3055</v>
      </c>
      <c r="F848" s="179" t="s">
        <v>1</v>
      </c>
      <c r="G848" s="125" t="s">
        <v>8</v>
      </c>
      <c r="H848" s="106">
        <v>45806</v>
      </c>
      <c r="I848" s="137"/>
      <c r="J848" s="102" t="s">
        <v>2544</v>
      </c>
      <c r="K848" s="27"/>
      <c r="L848" s="356"/>
      <c r="M848" s="259"/>
      <c r="N848" s="29"/>
      <c r="O848" s="30"/>
      <c r="P848" s="54"/>
      <c r="Q848" s="83">
        <v>45806</v>
      </c>
      <c r="R848" s="89">
        <f t="shared" si="29"/>
        <v>1</v>
      </c>
      <c r="S848" s="101" t="s">
        <v>1916</v>
      </c>
      <c r="T848" s="234"/>
    </row>
    <row r="849" spans="1:20" ht="57.6" x14ac:dyDescent="0.3">
      <c r="A849" s="96" t="e">
        <f t="shared" si="20"/>
        <v>#REF!</v>
      </c>
      <c r="B849" s="170">
        <v>1550</v>
      </c>
      <c r="C849" s="132">
        <v>45806</v>
      </c>
      <c r="D849" s="331"/>
      <c r="E849" s="271" t="s">
        <v>3056</v>
      </c>
      <c r="F849" s="179" t="s">
        <v>1314</v>
      </c>
      <c r="G849" s="125" t="s">
        <v>4</v>
      </c>
      <c r="H849" s="106">
        <v>45806</v>
      </c>
      <c r="I849" s="137"/>
      <c r="J849" s="102" t="s">
        <v>99</v>
      </c>
      <c r="K849" s="27"/>
      <c r="L849" s="356"/>
      <c r="M849" s="259"/>
      <c r="N849" s="29"/>
      <c r="O849" s="30"/>
      <c r="P849" s="54"/>
      <c r="Q849" s="83">
        <v>45810</v>
      </c>
      <c r="R849" s="89">
        <f t="shared" si="29"/>
        <v>1.0000873248046107</v>
      </c>
      <c r="S849" s="101" t="s">
        <v>3020</v>
      </c>
      <c r="T849" s="234"/>
    </row>
    <row r="850" spans="1:20" ht="28.8" x14ac:dyDescent="0.3">
      <c r="A850" s="96" t="e">
        <f t="shared" si="20"/>
        <v>#REF!</v>
      </c>
      <c r="B850" s="170">
        <v>1550</v>
      </c>
      <c r="C850" s="132">
        <v>45806</v>
      </c>
      <c r="D850" s="331">
        <v>35340851</v>
      </c>
      <c r="E850" s="271" t="s">
        <v>3057</v>
      </c>
      <c r="F850" s="179" t="s">
        <v>1</v>
      </c>
      <c r="G850" s="125" t="s">
        <v>8</v>
      </c>
      <c r="H850" s="106">
        <v>45806</v>
      </c>
      <c r="I850" s="137"/>
      <c r="J850" s="100" t="s">
        <v>2352</v>
      </c>
      <c r="K850" s="27"/>
      <c r="L850" s="356"/>
      <c r="M850" s="259"/>
      <c r="N850" s="29"/>
      <c r="O850" s="30"/>
      <c r="P850" s="54"/>
      <c r="Q850" s="83">
        <v>45806</v>
      </c>
      <c r="R850" s="89">
        <f t="shared" si="29"/>
        <v>1</v>
      </c>
      <c r="S850" s="101" t="s">
        <v>2712</v>
      </c>
      <c r="T850" s="234"/>
    </row>
    <row r="851" spans="1:20" ht="57.6" x14ac:dyDescent="0.3">
      <c r="A851" s="96" t="e">
        <f t="shared" si="20"/>
        <v>#REF!</v>
      </c>
      <c r="B851" s="170">
        <v>1550</v>
      </c>
      <c r="C851" s="132">
        <v>45806</v>
      </c>
      <c r="D851" s="331"/>
      <c r="E851" s="271" t="s">
        <v>3058</v>
      </c>
      <c r="F851" s="179" t="s">
        <v>1314</v>
      </c>
      <c r="G851" s="125" t="s">
        <v>4</v>
      </c>
      <c r="H851" s="106">
        <v>45806</v>
      </c>
      <c r="I851" s="137"/>
      <c r="J851" s="102" t="s">
        <v>99</v>
      </c>
      <c r="K851" s="27"/>
      <c r="L851" s="356"/>
      <c r="M851" s="259"/>
      <c r="N851" s="29"/>
      <c r="O851" s="30"/>
      <c r="P851" s="54"/>
      <c r="Q851" s="83">
        <v>45810</v>
      </c>
      <c r="R851" s="89">
        <f t="shared" si="29"/>
        <v>1.0000873248046107</v>
      </c>
      <c r="S851" s="101" t="s">
        <v>2974</v>
      </c>
      <c r="T851" s="234"/>
    </row>
    <row r="852" spans="1:20" ht="57.6" x14ac:dyDescent="0.3">
      <c r="A852" s="96" t="e">
        <f t="shared" si="20"/>
        <v>#REF!</v>
      </c>
      <c r="B852" s="170">
        <v>1550</v>
      </c>
      <c r="C852" s="132">
        <v>45806</v>
      </c>
      <c r="D852" s="331"/>
      <c r="E852" s="271" t="s">
        <v>3059</v>
      </c>
      <c r="F852" s="179" t="s">
        <v>1314</v>
      </c>
      <c r="G852" s="125" t="s">
        <v>4</v>
      </c>
      <c r="H852" s="106">
        <v>45806</v>
      </c>
      <c r="I852" s="137"/>
      <c r="J852" s="102" t="s">
        <v>99</v>
      </c>
      <c r="K852" s="27"/>
      <c r="L852" s="356"/>
      <c r="M852" s="259"/>
      <c r="N852" s="29"/>
      <c r="O852" s="30"/>
      <c r="P852" s="54"/>
      <c r="Q852" s="83">
        <v>45810</v>
      </c>
      <c r="R852" s="89">
        <f t="shared" si="29"/>
        <v>1.0000873248046107</v>
      </c>
      <c r="S852" s="101" t="s">
        <v>2974</v>
      </c>
      <c r="T852" s="234"/>
    </row>
    <row r="853" spans="1:20" ht="57.6" x14ac:dyDescent="0.3">
      <c r="A853" s="96" t="e">
        <f t="shared" si="20"/>
        <v>#REF!</v>
      </c>
      <c r="B853" s="170" t="s">
        <v>301</v>
      </c>
      <c r="C853" s="132">
        <v>45806</v>
      </c>
      <c r="D853" s="331">
        <v>27532631</v>
      </c>
      <c r="E853" s="271" t="s">
        <v>3060</v>
      </c>
      <c r="F853" s="179" t="s">
        <v>12</v>
      </c>
      <c r="G853" s="125" t="s">
        <v>8</v>
      </c>
      <c r="H853" s="106">
        <v>45806</v>
      </c>
      <c r="I853" s="137"/>
      <c r="J853" s="729" t="s">
        <v>159</v>
      </c>
      <c r="K853" s="27"/>
      <c r="L853" s="356"/>
      <c r="M853" s="259"/>
      <c r="N853" s="29"/>
      <c r="O853" s="30"/>
      <c r="P853" s="54"/>
      <c r="Q853" s="83">
        <v>45810</v>
      </c>
      <c r="R853" s="89">
        <f t="shared" si="29"/>
        <v>1.0000873248046107</v>
      </c>
      <c r="S853" s="101" t="s">
        <v>94</v>
      </c>
      <c r="T853" s="234"/>
    </row>
    <row r="854" spans="1:20" ht="57.6" x14ac:dyDescent="0.3">
      <c r="A854" s="96" t="e">
        <f t="shared" si="20"/>
        <v>#REF!</v>
      </c>
      <c r="B854" s="170">
        <v>1550</v>
      </c>
      <c r="C854" s="132">
        <v>45806</v>
      </c>
      <c r="D854" s="331"/>
      <c r="E854" s="263" t="s">
        <v>3061</v>
      </c>
      <c r="F854" s="179" t="s">
        <v>1314</v>
      </c>
      <c r="G854" s="125" t="s">
        <v>6</v>
      </c>
      <c r="H854" s="106">
        <v>45806</v>
      </c>
      <c r="I854" s="137"/>
      <c r="J854" s="102" t="s">
        <v>99</v>
      </c>
      <c r="K854" s="27"/>
      <c r="L854" s="356"/>
      <c r="M854" s="259"/>
      <c r="N854" s="29"/>
      <c r="O854" s="30"/>
      <c r="P854" s="54"/>
      <c r="Q854" s="83">
        <v>45807</v>
      </c>
      <c r="R854" s="89">
        <f t="shared" si="29"/>
        <v>1.0000218312011526</v>
      </c>
      <c r="S854" s="101" t="s">
        <v>2597</v>
      </c>
      <c r="T854" s="234"/>
    </row>
    <row r="855" spans="1:20" ht="57.6" x14ac:dyDescent="0.3">
      <c r="A855" s="96" t="e">
        <f t="shared" si="20"/>
        <v>#REF!</v>
      </c>
      <c r="B855" s="170">
        <v>1550</v>
      </c>
      <c r="C855" s="132">
        <v>45806</v>
      </c>
      <c r="D855" s="331"/>
      <c r="E855" s="264" t="s">
        <v>3062</v>
      </c>
      <c r="F855" s="179" t="s">
        <v>1314</v>
      </c>
      <c r="G855" s="125" t="s">
        <v>6</v>
      </c>
      <c r="H855" s="106">
        <v>45806</v>
      </c>
      <c r="I855" s="137"/>
      <c r="J855" s="102" t="s">
        <v>99</v>
      </c>
      <c r="K855" s="27"/>
      <c r="L855" s="356"/>
      <c r="M855" s="259"/>
      <c r="N855" s="29"/>
      <c r="O855" s="30"/>
      <c r="P855" s="54"/>
      <c r="Q855" s="83">
        <v>45807</v>
      </c>
      <c r="R855" s="89">
        <f t="shared" si="29"/>
        <v>1.0000218312011526</v>
      </c>
      <c r="S855" s="101" t="s">
        <v>1936</v>
      </c>
      <c r="T855" s="234"/>
    </row>
    <row r="856" spans="1:20" ht="57.6" x14ac:dyDescent="0.3">
      <c r="A856" s="96" t="e">
        <f t="shared" si="20"/>
        <v>#REF!</v>
      </c>
      <c r="B856" s="170">
        <v>1550</v>
      </c>
      <c r="C856" s="132">
        <v>45806</v>
      </c>
      <c r="D856" s="331"/>
      <c r="E856" s="271" t="s">
        <v>3063</v>
      </c>
      <c r="F856" s="179" t="s">
        <v>1314</v>
      </c>
      <c r="G856" s="125" t="s">
        <v>6</v>
      </c>
      <c r="H856" s="106">
        <v>45806</v>
      </c>
      <c r="I856" s="137"/>
      <c r="J856" s="102" t="s">
        <v>99</v>
      </c>
      <c r="K856" s="27"/>
      <c r="L856" s="356"/>
      <c r="M856" s="259"/>
      <c r="N856" s="29"/>
      <c r="O856" s="30"/>
      <c r="P856" s="54"/>
      <c r="Q856" s="83">
        <v>45807</v>
      </c>
      <c r="R856" s="89">
        <f t="shared" si="29"/>
        <v>1.0000218312011526</v>
      </c>
      <c r="S856" s="101" t="s">
        <v>1312</v>
      </c>
      <c r="T856" s="234"/>
    </row>
    <row r="857" spans="1:20" ht="57.6" x14ac:dyDescent="0.3">
      <c r="A857" s="96" t="e">
        <f t="shared" si="20"/>
        <v>#REF!</v>
      </c>
      <c r="B857" s="170">
        <v>1550</v>
      </c>
      <c r="C857" s="132">
        <v>45806</v>
      </c>
      <c r="D857" s="331"/>
      <c r="E857" s="271" t="s">
        <v>3064</v>
      </c>
      <c r="F857" s="179" t="s">
        <v>1314</v>
      </c>
      <c r="G857" s="125" t="s">
        <v>6</v>
      </c>
      <c r="H857" s="106">
        <v>45806</v>
      </c>
      <c r="I857" s="137"/>
      <c r="J857" s="102" t="s">
        <v>99</v>
      </c>
      <c r="K857" s="27"/>
      <c r="L857" s="356"/>
      <c r="M857" s="259"/>
      <c r="N857" s="29"/>
      <c r="O857" s="30"/>
      <c r="P857" s="54"/>
      <c r="Q857" s="83">
        <v>45807</v>
      </c>
      <c r="R857" s="89">
        <f t="shared" si="29"/>
        <v>1.0000218312011526</v>
      </c>
      <c r="S857" s="101" t="s">
        <v>1860</v>
      </c>
      <c r="T857" s="234"/>
    </row>
    <row r="858" spans="1:20" ht="29.25" customHeight="1" x14ac:dyDescent="0.3">
      <c r="A858" s="96" t="e">
        <f t="shared" si="20"/>
        <v>#REF!</v>
      </c>
      <c r="B858" s="170" t="s">
        <v>80</v>
      </c>
      <c r="C858" s="132">
        <v>45806</v>
      </c>
      <c r="D858" s="331"/>
      <c r="E858" s="271" t="s">
        <v>3065</v>
      </c>
      <c r="F858" s="179" t="s">
        <v>1314</v>
      </c>
      <c r="G858" s="125" t="s">
        <v>10</v>
      </c>
      <c r="H858" s="106">
        <v>45806</v>
      </c>
      <c r="I858" s="137"/>
      <c r="J858" s="102" t="s">
        <v>99</v>
      </c>
      <c r="K858" s="27"/>
      <c r="L858" s="356"/>
      <c r="M858" s="259"/>
      <c r="N858" s="29"/>
      <c r="O858" s="30"/>
      <c r="P858" s="54"/>
      <c r="Q858" s="83">
        <v>45807</v>
      </c>
      <c r="R858" s="89">
        <f t="shared" si="29"/>
        <v>1.0000218312011526</v>
      </c>
      <c r="S858" s="101" t="s">
        <v>1319</v>
      </c>
      <c r="T858" s="234"/>
    </row>
    <row r="859" spans="1:20" ht="29.25" customHeight="1" x14ac:dyDescent="0.3">
      <c r="A859" s="96" t="e">
        <f t="shared" si="20"/>
        <v>#REF!</v>
      </c>
      <c r="B859" s="170" t="s">
        <v>80</v>
      </c>
      <c r="C859" s="132">
        <v>45806</v>
      </c>
      <c r="D859" s="331"/>
      <c r="E859" s="271" t="s">
        <v>3066</v>
      </c>
      <c r="F859" s="179" t="s">
        <v>1314</v>
      </c>
      <c r="G859" s="125" t="s">
        <v>10</v>
      </c>
      <c r="H859" s="106">
        <v>45806</v>
      </c>
      <c r="I859" s="137"/>
      <c r="J859" s="102" t="s">
        <v>99</v>
      </c>
      <c r="K859" s="27"/>
      <c r="L859" s="356"/>
      <c r="M859" s="259"/>
      <c r="N859" s="29"/>
      <c r="O859" s="30"/>
      <c r="P859" s="54"/>
      <c r="Q859" s="83">
        <v>45807</v>
      </c>
      <c r="R859" s="89">
        <f t="shared" si="29"/>
        <v>1.0000218312011526</v>
      </c>
      <c r="S859" s="101" t="s">
        <v>1319</v>
      </c>
      <c r="T859" s="234"/>
    </row>
    <row r="860" spans="1:20" ht="29.25" customHeight="1" x14ac:dyDescent="0.3">
      <c r="A860" s="96" t="e">
        <f t="shared" si="20"/>
        <v>#REF!</v>
      </c>
      <c r="B860" s="170" t="s">
        <v>80</v>
      </c>
      <c r="C860" s="132">
        <v>45806</v>
      </c>
      <c r="D860" s="331"/>
      <c r="E860" s="271" t="s">
        <v>3067</v>
      </c>
      <c r="F860" s="179" t="s">
        <v>1314</v>
      </c>
      <c r="G860" s="125" t="s">
        <v>10</v>
      </c>
      <c r="H860" s="106">
        <v>45806</v>
      </c>
      <c r="I860" s="137"/>
      <c r="J860" s="102" t="s">
        <v>99</v>
      </c>
      <c r="K860" s="27"/>
      <c r="L860" s="356"/>
      <c r="M860" s="259"/>
      <c r="N860" s="29"/>
      <c r="O860" s="30"/>
      <c r="P860" s="54"/>
      <c r="Q860" s="83">
        <v>45807</v>
      </c>
      <c r="R860" s="89">
        <f t="shared" si="29"/>
        <v>1.0000218312011526</v>
      </c>
      <c r="S860" s="101" t="s">
        <v>1319</v>
      </c>
      <c r="T860" s="234"/>
    </row>
    <row r="861" spans="1:20" ht="29.25" customHeight="1" x14ac:dyDescent="0.3">
      <c r="A861" s="96" t="e">
        <f t="shared" si="20"/>
        <v>#REF!</v>
      </c>
      <c r="B861" s="170" t="s">
        <v>80</v>
      </c>
      <c r="C861" s="132">
        <v>45806</v>
      </c>
      <c r="D861" s="331"/>
      <c r="E861" s="271" t="s">
        <v>3068</v>
      </c>
      <c r="F861" s="179" t="s">
        <v>1314</v>
      </c>
      <c r="G861" s="125" t="s">
        <v>10</v>
      </c>
      <c r="H861" s="106">
        <v>45806</v>
      </c>
      <c r="I861" s="137"/>
      <c r="J861" s="102" t="s">
        <v>99</v>
      </c>
      <c r="K861" s="27"/>
      <c r="L861" s="356"/>
      <c r="M861" s="259"/>
      <c r="N861" s="29"/>
      <c r="O861" s="30"/>
      <c r="P861" s="54"/>
      <c r="Q861" s="83">
        <v>45807</v>
      </c>
      <c r="R861" s="89">
        <f t="shared" si="29"/>
        <v>1.0000218312011526</v>
      </c>
      <c r="S861" s="101" t="s">
        <v>1319</v>
      </c>
      <c r="T861" s="234"/>
    </row>
    <row r="862" spans="1:20" ht="29.25" customHeight="1" x14ac:dyDescent="0.3">
      <c r="A862" s="96" t="e">
        <f t="shared" si="20"/>
        <v>#REF!</v>
      </c>
      <c r="B862" s="170" t="s">
        <v>80</v>
      </c>
      <c r="C862" s="132">
        <v>45806</v>
      </c>
      <c r="D862" s="331"/>
      <c r="E862" s="271" t="s">
        <v>3069</v>
      </c>
      <c r="F862" s="179" t="s">
        <v>1314</v>
      </c>
      <c r="G862" s="125" t="s">
        <v>10</v>
      </c>
      <c r="H862" s="106">
        <v>45806</v>
      </c>
      <c r="I862" s="137"/>
      <c r="J862" s="102" t="s">
        <v>99</v>
      </c>
      <c r="K862" s="27"/>
      <c r="L862" s="356"/>
      <c r="M862" s="259"/>
      <c r="N862" s="29"/>
      <c r="O862" s="30"/>
      <c r="P862" s="54"/>
      <c r="Q862" s="83">
        <v>45807</v>
      </c>
      <c r="R862" s="89">
        <f t="shared" si="29"/>
        <v>1.0000218312011526</v>
      </c>
      <c r="S862" s="101" t="s">
        <v>1319</v>
      </c>
      <c r="T862" s="234"/>
    </row>
    <row r="863" spans="1:20" ht="29.25" customHeight="1" x14ac:dyDescent="0.3">
      <c r="A863" s="96" t="e">
        <f t="shared" si="20"/>
        <v>#REF!</v>
      </c>
      <c r="B863" s="170" t="s">
        <v>80</v>
      </c>
      <c r="C863" s="132">
        <v>45806</v>
      </c>
      <c r="D863" s="331"/>
      <c r="E863" s="271" t="s">
        <v>3070</v>
      </c>
      <c r="F863" s="179" t="s">
        <v>1314</v>
      </c>
      <c r="G863" s="125" t="s">
        <v>10</v>
      </c>
      <c r="H863" s="106">
        <v>45806</v>
      </c>
      <c r="I863" s="137"/>
      <c r="J863" s="102" t="s">
        <v>99</v>
      </c>
      <c r="K863" s="27"/>
      <c r="L863" s="356"/>
      <c r="M863" s="259"/>
      <c r="N863" s="29"/>
      <c r="O863" s="30"/>
      <c r="P863" s="54"/>
      <c r="Q863" s="83">
        <v>45807</v>
      </c>
      <c r="R863" s="89">
        <f t="shared" si="29"/>
        <v>1.0000218312011526</v>
      </c>
      <c r="S863" s="101" t="s">
        <v>1319</v>
      </c>
      <c r="T863" s="234"/>
    </row>
    <row r="864" spans="1:20" ht="29.25" customHeight="1" x14ac:dyDescent="0.3">
      <c r="A864" s="96" t="e">
        <f t="shared" si="20"/>
        <v>#REF!</v>
      </c>
      <c r="B864" s="170" t="s">
        <v>80</v>
      </c>
      <c r="C864" s="132">
        <v>45806</v>
      </c>
      <c r="D864" s="331">
        <v>5637929</v>
      </c>
      <c r="E864" s="271" t="s">
        <v>3071</v>
      </c>
      <c r="F864" s="179" t="s">
        <v>3</v>
      </c>
      <c r="G864" s="125" t="s">
        <v>10</v>
      </c>
      <c r="H864" s="106">
        <v>45806</v>
      </c>
      <c r="I864" s="137" t="s">
        <v>3072</v>
      </c>
      <c r="J864" s="100" t="s">
        <v>82</v>
      </c>
      <c r="K864" s="27"/>
      <c r="L864" s="356"/>
      <c r="M864" s="259"/>
      <c r="N864" s="29"/>
      <c r="O864" s="30"/>
      <c r="P864" s="54"/>
      <c r="Q864" s="83">
        <v>45813</v>
      </c>
      <c r="R864" s="89">
        <f t="shared" si="29"/>
        <v>1.0001528184080688</v>
      </c>
      <c r="S864" s="101" t="s">
        <v>1366</v>
      </c>
      <c r="T864" s="147" t="s">
        <v>2498</v>
      </c>
    </row>
    <row r="865" spans="1:20" ht="29.25" customHeight="1" x14ac:dyDescent="0.3">
      <c r="A865" s="96" t="e">
        <f t="shared" si="20"/>
        <v>#REF!</v>
      </c>
      <c r="B865" s="170" t="s">
        <v>80</v>
      </c>
      <c r="C865" s="132">
        <v>45806</v>
      </c>
      <c r="D865" s="331">
        <v>50172093</v>
      </c>
      <c r="E865" s="271" t="s">
        <v>3073</v>
      </c>
      <c r="F865" s="179" t="s">
        <v>12</v>
      </c>
      <c r="G865" s="125" t="s">
        <v>10</v>
      </c>
      <c r="H865" s="106">
        <v>45806</v>
      </c>
      <c r="I865" s="137"/>
      <c r="J865" s="729" t="s">
        <v>159</v>
      </c>
      <c r="K865" s="27"/>
      <c r="L865" s="356"/>
      <c r="M865" s="259"/>
      <c r="N865" s="29"/>
      <c r="O865" s="30"/>
      <c r="P865" s="54"/>
      <c r="Q865" s="83">
        <v>45806</v>
      </c>
      <c r="R865" s="89">
        <f t="shared" si="29"/>
        <v>1</v>
      </c>
      <c r="S865" s="101" t="s">
        <v>1319</v>
      </c>
      <c r="T865" s="234"/>
    </row>
    <row r="866" spans="1:20" ht="29.25" customHeight="1" x14ac:dyDescent="0.3">
      <c r="A866" s="96" t="e">
        <f t="shared" si="20"/>
        <v>#REF!</v>
      </c>
      <c r="B866" s="170" t="s">
        <v>80</v>
      </c>
      <c r="C866" s="132">
        <v>45806</v>
      </c>
      <c r="D866" s="331"/>
      <c r="E866" s="271" t="s">
        <v>3074</v>
      </c>
      <c r="F866" s="179" t="s">
        <v>1314</v>
      </c>
      <c r="G866" s="125" t="s">
        <v>10</v>
      </c>
      <c r="H866" s="106">
        <v>45806</v>
      </c>
      <c r="I866" s="137"/>
      <c r="J866" s="102" t="s">
        <v>99</v>
      </c>
      <c r="K866" s="27"/>
      <c r="L866" s="356"/>
      <c r="M866" s="259"/>
      <c r="N866" s="29"/>
      <c r="O866" s="30"/>
      <c r="P866" s="54"/>
      <c r="Q866" s="83">
        <v>45807</v>
      </c>
      <c r="R866" s="89">
        <f t="shared" si="29"/>
        <v>1.0000218312011526</v>
      </c>
      <c r="S866" s="101" t="s">
        <v>1319</v>
      </c>
      <c r="T866" s="234"/>
    </row>
    <row r="867" spans="1:20" ht="29.25" customHeight="1" x14ac:dyDescent="0.3">
      <c r="A867" s="96" t="e">
        <f t="shared" si="20"/>
        <v>#REF!</v>
      </c>
      <c r="B867" s="170" t="s">
        <v>80</v>
      </c>
      <c r="C867" s="132">
        <v>45806</v>
      </c>
      <c r="D867" s="331"/>
      <c r="E867" s="271" t="s">
        <v>3075</v>
      </c>
      <c r="F867" s="179" t="s">
        <v>1314</v>
      </c>
      <c r="G867" s="125" t="s">
        <v>10</v>
      </c>
      <c r="H867" s="106">
        <v>45806</v>
      </c>
      <c r="I867" s="137"/>
      <c r="J867" s="102" t="s">
        <v>99</v>
      </c>
      <c r="K867" s="27"/>
      <c r="L867" s="356"/>
      <c r="M867" s="259"/>
      <c r="N867" s="29"/>
      <c r="O867" s="30"/>
      <c r="P867" s="54"/>
      <c r="Q867" s="83">
        <v>45807</v>
      </c>
      <c r="R867" s="89">
        <f t="shared" si="29"/>
        <v>1.0000218312011526</v>
      </c>
      <c r="S867" s="101" t="s">
        <v>1319</v>
      </c>
      <c r="T867" s="234"/>
    </row>
    <row r="868" spans="1:20" ht="29.25" customHeight="1" x14ac:dyDescent="0.3">
      <c r="A868" s="96" t="e">
        <f t="shared" si="20"/>
        <v>#REF!</v>
      </c>
      <c r="B868" s="170" t="s">
        <v>80</v>
      </c>
      <c r="C868" s="132">
        <v>45806</v>
      </c>
      <c r="D868" s="331"/>
      <c r="E868" s="271" t="s">
        <v>3076</v>
      </c>
      <c r="F868" s="179" t="s">
        <v>1314</v>
      </c>
      <c r="G868" s="125" t="s">
        <v>10</v>
      </c>
      <c r="H868" s="106">
        <v>45806</v>
      </c>
      <c r="I868" s="137"/>
      <c r="J868" s="102" t="s">
        <v>99</v>
      </c>
      <c r="K868" s="27"/>
      <c r="L868" s="356"/>
      <c r="M868" s="259"/>
      <c r="N868" s="29"/>
      <c r="O868" s="30"/>
      <c r="P868" s="54"/>
      <c r="Q868" s="83">
        <v>45807</v>
      </c>
      <c r="R868" s="89">
        <f t="shared" si="29"/>
        <v>1.0000218312011526</v>
      </c>
      <c r="S868" s="101" t="s">
        <v>1319</v>
      </c>
      <c r="T868" s="234"/>
    </row>
    <row r="869" spans="1:20" ht="29.25" customHeight="1" x14ac:dyDescent="0.3">
      <c r="A869" s="96" t="e">
        <f t="shared" si="20"/>
        <v>#REF!</v>
      </c>
      <c r="B869" s="170">
        <v>1550</v>
      </c>
      <c r="C869" s="132">
        <v>45806</v>
      </c>
      <c r="D869" s="331">
        <v>8142831</v>
      </c>
      <c r="E869" s="271" t="s">
        <v>3077</v>
      </c>
      <c r="F869" s="179" t="s">
        <v>3</v>
      </c>
      <c r="G869" s="125" t="s">
        <v>10</v>
      </c>
      <c r="H869" s="106">
        <v>45806</v>
      </c>
      <c r="I869" s="137"/>
      <c r="J869" s="100" t="s">
        <v>82</v>
      </c>
      <c r="K869" s="27"/>
      <c r="L869" s="356"/>
      <c r="M869" s="259"/>
      <c r="N869" s="29"/>
      <c r="O869" s="30"/>
      <c r="P869" s="54"/>
      <c r="Q869" s="83">
        <v>45811</v>
      </c>
      <c r="R869" s="89">
        <f t="shared" si="29"/>
        <v>1.0001091560057633</v>
      </c>
      <c r="S869" s="101" t="s">
        <v>214</v>
      </c>
      <c r="T869" s="234"/>
    </row>
    <row r="870" spans="1:20" ht="57.6" x14ac:dyDescent="0.3">
      <c r="A870" s="96" t="e">
        <f t="shared" si="20"/>
        <v>#REF!</v>
      </c>
      <c r="B870" s="170">
        <v>1550</v>
      </c>
      <c r="C870" s="132">
        <v>45807</v>
      </c>
      <c r="D870" s="331">
        <v>75276585</v>
      </c>
      <c r="E870" s="271" t="s">
        <v>3078</v>
      </c>
      <c r="F870" s="179" t="s">
        <v>12</v>
      </c>
      <c r="G870" s="125" t="s">
        <v>6</v>
      </c>
      <c r="H870" s="106">
        <v>45807</v>
      </c>
      <c r="I870" s="137"/>
      <c r="J870" s="102" t="s">
        <v>159</v>
      </c>
      <c r="K870" s="27"/>
      <c r="L870" s="356"/>
      <c r="M870" s="259"/>
      <c r="N870" s="29"/>
      <c r="O870" s="30"/>
      <c r="P870" s="54"/>
      <c r="Q870" s="83">
        <v>45810</v>
      </c>
      <c r="R870" s="89">
        <f t="shared" si="29"/>
        <v>1.0000654921736853</v>
      </c>
      <c r="S870" s="101" t="s">
        <v>1927</v>
      </c>
      <c r="T870" s="234"/>
    </row>
    <row r="871" spans="1:20" ht="100.8" x14ac:dyDescent="0.3">
      <c r="A871" s="96" t="e">
        <f t="shared" si="20"/>
        <v>#REF!</v>
      </c>
      <c r="B871" s="170">
        <v>1550</v>
      </c>
      <c r="C871" s="132">
        <v>45807</v>
      </c>
      <c r="D871" s="331">
        <v>24178748</v>
      </c>
      <c r="E871" s="271" t="s">
        <v>3079</v>
      </c>
      <c r="F871" s="179" t="s">
        <v>1</v>
      </c>
      <c r="G871" s="125" t="s">
        <v>6</v>
      </c>
      <c r="H871" s="106">
        <v>45807</v>
      </c>
      <c r="I871" s="137"/>
      <c r="J871" s="102" t="s">
        <v>2306</v>
      </c>
      <c r="K871" s="27"/>
      <c r="L871" s="356"/>
      <c r="M871" s="259"/>
      <c r="N871" s="29"/>
      <c r="O871" s="30"/>
      <c r="P871" s="54"/>
      <c r="Q871" s="83">
        <v>45807</v>
      </c>
      <c r="R871" s="89">
        <f t="shared" si="29"/>
        <v>1</v>
      </c>
      <c r="S871" s="101" t="s">
        <v>1816</v>
      </c>
      <c r="T871" s="234"/>
    </row>
    <row r="872" spans="1:20" ht="57.6" x14ac:dyDescent="0.3">
      <c r="A872" s="96" t="e">
        <f t="shared" si="20"/>
        <v>#REF!</v>
      </c>
      <c r="B872" s="170">
        <v>1550</v>
      </c>
      <c r="C872" s="132">
        <v>45807</v>
      </c>
      <c r="D872" s="331"/>
      <c r="E872" s="271" t="s">
        <v>3080</v>
      </c>
      <c r="F872" s="179" t="s">
        <v>1314</v>
      </c>
      <c r="G872" s="125" t="s">
        <v>8</v>
      </c>
      <c r="H872" s="106">
        <v>45807</v>
      </c>
      <c r="I872" s="137"/>
      <c r="J872" s="102" t="s">
        <v>99</v>
      </c>
      <c r="K872" s="27"/>
      <c r="L872" s="356"/>
      <c r="M872" s="259"/>
      <c r="N872" s="29"/>
      <c r="O872" s="30"/>
      <c r="P872" s="54"/>
      <c r="Q872" s="83">
        <v>45807</v>
      </c>
      <c r="R872" s="89">
        <f t="shared" si="29"/>
        <v>1</v>
      </c>
      <c r="S872" s="101" t="s">
        <v>2712</v>
      </c>
      <c r="T872" s="234"/>
    </row>
    <row r="873" spans="1:20" ht="57.6" x14ac:dyDescent="0.3">
      <c r="A873" s="96" t="e">
        <f t="shared" si="20"/>
        <v>#REF!</v>
      </c>
      <c r="B873" s="170">
        <v>1550</v>
      </c>
      <c r="C873" s="132">
        <v>45807</v>
      </c>
      <c r="D873" s="331"/>
      <c r="E873" s="271" t="s">
        <v>3081</v>
      </c>
      <c r="F873" s="179" t="s">
        <v>1314</v>
      </c>
      <c r="G873" s="125" t="s">
        <v>8</v>
      </c>
      <c r="H873" s="106">
        <v>45807</v>
      </c>
      <c r="I873" s="137"/>
      <c r="J873" s="102" t="s">
        <v>99</v>
      </c>
      <c r="K873" s="27"/>
      <c r="L873" s="356"/>
      <c r="M873" s="259"/>
      <c r="N873" s="29"/>
      <c r="O873" s="30"/>
      <c r="P873" s="54"/>
      <c r="Q873" s="83">
        <v>45807</v>
      </c>
      <c r="R873" s="89">
        <f t="shared" si="29"/>
        <v>1</v>
      </c>
      <c r="S873" s="101" t="s">
        <v>1916</v>
      </c>
      <c r="T873" s="234"/>
    </row>
    <row r="874" spans="1:20" ht="57.6" x14ac:dyDescent="0.3">
      <c r="A874" s="96" t="e">
        <f t="shared" si="20"/>
        <v>#REF!</v>
      </c>
      <c r="B874" s="170">
        <v>1550</v>
      </c>
      <c r="C874" s="132">
        <v>45807</v>
      </c>
      <c r="D874" s="331"/>
      <c r="E874" s="271" t="s">
        <v>3082</v>
      </c>
      <c r="F874" s="179" t="s">
        <v>1314</v>
      </c>
      <c r="G874" s="125" t="s">
        <v>6</v>
      </c>
      <c r="H874" s="106">
        <v>45807</v>
      </c>
      <c r="I874" s="137"/>
      <c r="J874" s="102" t="s">
        <v>99</v>
      </c>
      <c r="K874" s="27"/>
      <c r="L874" s="356"/>
      <c r="M874" s="259"/>
      <c r="N874" s="29"/>
      <c r="O874" s="30"/>
      <c r="P874" s="54"/>
      <c r="Q874" s="83">
        <v>45810</v>
      </c>
      <c r="R874" s="89">
        <f t="shared" si="29"/>
        <v>1.0000654921736853</v>
      </c>
      <c r="S874" s="101" t="s">
        <v>1813</v>
      </c>
      <c r="T874" s="234"/>
    </row>
    <row r="875" spans="1:20" ht="57.6" x14ac:dyDescent="0.3">
      <c r="A875" s="96" t="e">
        <f t="shared" si="20"/>
        <v>#REF!</v>
      </c>
      <c r="B875" s="170">
        <v>1550</v>
      </c>
      <c r="C875" s="132">
        <v>45807</v>
      </c>
      <c r="D875" s="331"/>
      <c r="E875" s="271" t="s">
        <v>3083</v>
      </c>
      <c r="F875" s="179" t="s">
        <v>1314</v>
      </c>
      <c r="G875" s="125" t="s">
        <v>8</v>
      </c>
      <c r="H875" s="106">
        <v>45807</v>
      </c>
      <c r="I875" s="137"/>
      <c r="J875" s="102" t="s">
        <v>99</v>
      </c>
      <c r="K875" s="27"/>
      <c r="L875" s="356"/>
      <c r="M875" s="259"/>
      <c r="N875" s="29"/>
      <c r="O875" s="30"/>
      <c r="P875" s="54"/>
      <c r="Q875" s="83">
        <v>45807</v>
      </c>
      <c r="R875" s="89">
        <f t="shared" si="29"/>
        <v>1</v>
      </c>
      <c r="S875" s="101" t="s">
        <v>2712</v>
      </c>
      <c r="T875" s="234"/>
    </row>
    <row r="876" spans="1:20" ht="57.6" x14ac:dyDescent="0.3">
      <c r="A876" s="96" t="e">
        <f t="shared" si="20"/>
        <v>#REF!</v>
      </c>
      <c r="B876" s="170">
        <v>1550</v>
      </c>
      <c r="C876" s="132">
        <v>45807</v>
      </c>
      <c r="D876" s="331"/>
      <c r="E876" s="271" t="s">
        <v>3084</v>
      </c>
      <c r="F876" s="179" t="s">
        <v>1314</v>
      </c>
      <c r="G876" s="125" t="s">
        <v>4</v>
      </c>
      <c r="H876" s="106">
        <v>45807</v>
      </c>
      <c r="I876" s="137"/>
      <c r="J876" s="102" t="s">
        <v>99</v>
      </c>
      <c r="K876" s="27"/>
      <c r="L876" s="356"/>
      <c r="M876" s="259"/>
      <c r="N876" s="29"/>
      <c r="O876" s="30"/>
      <c r="P876" s="54"/>
      <c r="Q876" s="83">
        <v>45810</v>
      </c>
      <c r="R876" s="89">
        <f t="shared" si="29"/>
        <v>1.0000654921736853</v>
      </c>
      <c r="S876" s="101" t="s">
        <v>2974</v>
      </c>
      <c r="T876" s="234"/>
    </row>
    <row r="877" spans="1:20" ht="57.6" x14ac:dyDescent="0.3">
      <c r="A877" s="96" t="e">
        <f t="shared" si="20"/>
        <v>#REF!</v>
      </c>
      <c r="B877" s="170">
        <v>1550</v>
      </c>
      <c r="C877" s="132">
        <v>45807</v>
      </c>
      <c r="D877" s="331"/>
      <c r="E877" s="271" t="s">
        <v>3085</v>
      </c>
      <c r="F877" s="179" t="s">
        <v>1314</v>
      </c>
      <c r="G877" s="125" t="s">
        <v>4</v>
      </c>
      <c r="H877" s="106">
        <v>45807</v>
      </c>
      <c r="I877" s="137"/>
      <c r="J877" s="102" t="s">
        <v>99</v>
      </c>
      <c r="K877" s="27"/>
      <c r="L877" s="356"/>
      <c r="M877" s="259"/>
      <c r="N877" s="29"/>
      <c r="O877" s="30"/>
      <c r="P877" s="54"/>
      <c r="Q877" s="83">
        <v>45810</v>
      </c>
      <c r="R877" s="89">
        <f t="shared" si="29"/>
        <v>1.0000654921736853</v>
      </c>
      <c r="S877" s="101" t="s">
        <v>3086</v>
      </c>
      <c r="T877" s="234"/>
    </row>
    <row r="878" spans="1:20" ht="57.6" x14ac:dyDescent="0.3">
      <c r="A878" s="96" t="e">
        <f t="shared" si="20"/>
        <v>#REF!</v>
      </c>
      <c r="B878" s="170">
        <v>1550</v>
      </c>
      <c r="C878" s="132">
        <v>45807</v>
      </c>
      <c r="D878" s="331"/>
      <c r="E878" s="271" t="s">
        <v>3087</v>
      </c>
      <c r="F878" s="179" t="s">
        <v>1314</v>
      </c>
      <c r="G878" s="125" t="s">
        <v>8</v>
      </c>
      <c r="H878" s="106">
        <v>45807</v>
      </c>
      <c r="I878" s="137"/>
      <c r="J878" s="102" t="s">
        <v>99</v>
      </c>
      <c r="K878" s="27"/>
      <c r="L878" s="356"/>
      <c r="M878" s="259"/>
      <c r="N878" s="29"/>
      <c r="O878" s="30"/>
      <c r="P878" s="54"/>
      <c r="Q878" s="83">
        <v>45810</v>
      </c>
      <c r="R878" s="89">
        <f t="shared" si="29"/>
        <v>1.0000654921736853</v>
      </c>
      <c r="S878" s="101" t="s">
        <v>151</v>
      </c>
      <c r="T878" s="234"/>
    </row>
    <row r="879" spans="1:20" ht="57.6" x14ac:dyDescent="0.3">
      <c r="A879" s="96" t="e">
        <f t="shared" si="20"/>
        <v>#REF!</v>
      </c>
      <c r="B879" s="170">
        <v>1550</v>
      </c>
      <c r="C879" s="132">
        <v>45807</v>
      </c>
      <c r="D879" s="331"/>
      <c r="E879" s="271" t="s">
        <v>3088</v>
      </c>
      <c r="F879" s="179" t="s">
        <v>1314</v>
      </c>
      <c r="G879" s="125" t="s">
        <v>4</v>
      </c>
      <c r="H879" s="106">
        <v>45807</v>
      </c>
      <c r="I879" s="137"/>
      <c r="J879" s="102" t="s">
        <v>99</v>
      </c>
      <c r="K879" s="27"/>
      <c r="L879" s="356"/>
      <c r="M879" s="259"/>
      <c r="N879" s="29"/>
      <c r="O879" s="30"/>
      <c r="P879" s="54"/>
      <c r="Q879" s="83">
        <v>45810</v>
      </c>
      <c r="R879" s="89">
        <f t="shared" si="29"/>
        <v>1.0000654921736853</v>
      </c>
      <c r="S879" s="101" t="s">
        <v>2974</v>
      </c>
      <c r="T879" s="234"/>
    </row>
    <row r="880" spans="1:20" ht="57.6" x14ac:dyDescent="0.3">
      <c r="A880" s="96" t="e">
        <f t="shared" si="20"/>
        <v>#REF!</v>
      </c>
      <c r="B880" s="170">
        <v>1550</v>
      </c>
      <c r="C880" s="132">
        <v>45807</v>
      </c>
      <c r="D880" s="331"/>
      <c r="E880" s="271" t="s">
        <v>3089</v>
      </c>
      <c r="F880" s="179" t="s">
        <v>1314</v>
      </c>
      <c r="G880" s="125" t="s">
        <v>6</v>
      </c>
      <c r="H880" s="106">
        <v>45807</v>
      </c>
      <c r="I880" s="137"/>
      <c r="J880" s="102" t="s">
        <v>99</v>
      </c>
      <c r="K880" s="27"/>
      <c r="L880" s="356"/>
      <c r="M880" s="259"/>
      <c r="N880" s="29"/>
      <c r="O880" s="30"/>
      <c r="P880" s="54"/>
      <c r="Q880" s="83">
        <v>45810</v>
      </c>
      <c r="R880" s="89">
        <f t="shared" si="29"/>
        <v>1.0000654921736853</v>
      </c>
      <c r="S880" s="101" t="s">
        <v>1860</v>
      </c>
      <c r="T880" s="234"/>
    </row>
    <row r="881" spans="1:20" ht="72" x14ac:dyDescent="0.3">
      <c r="A881" s="96" t="e">
        <f t="shared" si="20"/>
        <v>#REF!</v>
      </c>
      <c r="B881" s="170">
        <v>1550</v>
      </c>
      <c r="C881" s="132">
        <v>45807</v>
      </c>
      <c r="D881" s="331">
        <v>8181276</v>
      </c>
      <c r="E881" s="271" t="s">
        <v>3090</v>
      </c>
      <c r="F881" s="179" t="s">
        <v>12</v>
      </c>
      <c r="G881" s="125" t="s">
        <v>6</v>
      </c>
      <c r="H881" s="106">
        <v>45807</v>
      </c>
      <c r="I881" s="137"/>
      <c r="J881" s="102" t="s">
        <v>159</v>
      </c>
      <c r="K881" s="27"/>
      <c r="L881" s="356"/>
      <c r="M881" s="259"/>
      <c r="N881" s="29"/>
      <c r="O881" s="30"/>
      <c r="P881" s="54"/>
      <c r="Q881" s="83">
        <v>45814</v>
      </c>
      <c r="R881" s="89">
        <f t="shared" si="29"/>
        <v>1.0001528150719323</v>
      </c>
      <c r="S881" s="101" t="s">
        <v>2808</v>
      </c>
      <c r="T881" s="234"/>
    </row>
    <row r="882" spans="1:20" ht="57.6" x14ac:dyDescent="0.3">
      <c r="A882" s="96" t="e">
        <f t="shared" si="20"/>
        <v>#REF!</v>
      </c>
      <c r="B882" s="170">
        <v>1550</v>
      </c>
      <c r="C882" s="132">
        <v>45807</v>
      </c>
      <c r="D882" s="331"/>
      <c r="E882" s="271" t="s">
        <v>3091</v>
      </c>
      <c r="F882" s="179" t="s">
        <v>1314</v>
      </c>
      <c r="G882" s="125" t="s">
        <v>6</v>
      </c>
      <c r="H882" s="106">
        <v>45807</v>
      </c>
      <c r="I882" s="137"/>
      <c r="J882" s="102" t="s">
        <v>99</v>
      </c>
      <c r="K882" s="27"/>
      <c r="L882" s="356"/>
      <c r="M882" s="259"/>
      <c r="N882" s="29"/>
      <c r="O882" s="30"/>
      <c r="P882" s="54"/>
      <c r="Q882" s="83">
        <v>45810</v>
      </c>
      <c r="R882" s="89">
        <f t="shared" si="29"/>
        <v>1.0000654921736853</v>
      </c>
      <c r="S882" s="101" t="s">
        <v>2597</v>
      </c>
      <c r="T882" s="234"/>
    </row>
    <row r="883" spans="1:20" ht="65.25" customHeight="1" x14ac:dyDescent="0.3">
      <c r="A883" s="96" t="e">
        <f t="shared" si="20"/>
        <v>#REF!</v>
      </c>
      <c r="B883" s="170" t="s">
        <v>80</v>
      </c>
      <c r="C883" s="132">
        <v>45807</v>
      </c>
      <c r="D883" s="331"/>
      <c r="E883" s="271" t="s">
        <v>3092</v>
      </c>
      <c r="F883" s="179" t="s">
        <v>21</v>
      </c>
      <c r="G883" s="125" t="s">
        <v>10</v>
      </c>
      <c r="H883" s="106">
        <v>45807</v>
      </c>
      <c r="I883" s="137"/>
      <c r="J883" s="102" t="s">
        <v>3093</v>
      </c>
      <c r="K883" s="27"/>
      <c r="L883" s="356"/>
      <c r="M883" s="259"/>
      <c r="N883" s="29"/>
      <c r="O883" s="30"/>
      <c r="P883" s="54"/>
      <c r="Q883" s="83">
        <v>45807</v>
      </c>
      <c r="R883" s="89">
        <f t="shared" si="29"/>
        <v>1</v>
      </c>
      <c r="S883" s="101" t="s">
        <v>1319</v>
      </c>
      <c r="T883" s="234"/>
    </row>
  </sheetData>
  <autoFilter ref="A3:T883" xr:uid="{38A2579F-E546-49A0-A18C-C8A992920723}"/>
  <mergeCells count="1">
    <mergeCell ref="B1:T1"/>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D1CE5457-6EA8-4B00-927F-0D53C0BF8C8B}">
          <x14:formula1>
            <xm:f>'Conceptos de Tipificación'!$A$3:$A$53</xm:f>
          </x14:formula1>
          <xm:sqref>F4:F883</xm:sqref>
        </x14:dataValidation>
        <x14:dataValidation type="list" allowBlank="1" showInputMessage="1" showErrorMessage="1" xr:uid="{2AD139A7-10E5-47DA-8212-911BCD7CD7BE}">
          <x14:formula1>
            <xm:f>'Conceptos de Tipificación'!$E$4:$E$7</xm:f>
          </x14:formula1>
          <xm:sqref>G4:G883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10010-1F8D-457E-88BC-9940BBC5EB84}">
  <sheetPr>
    <tabColor rgb="FF92D050"/>
  </sheetPr>
  <dimension ref="A1:T521"/>
  <sheetViews>
    <sheetView workbookViewId="0">
      <selection activeCell="A522" sqref="A522:XFD1057"/>
    </sheetView>
  </sheetViews>
  <sheetFormatPr baseColWidth="10" defaultColWidth="9.109375" defaultRowHeight="14.4" x14ac:dyDescent="0.3"/>
  <cols>
    <col min="1" max="1" width="4.109375" style="24" bestFit="1" customWidth="1"/>
    <col min="2" max="4" width="12.6640625" style="24" customWidth="1"/>
    <col min="5" max="5" width="27" style="98" customWidth="1"/>
    <col min="6" max="6" width="13.6640625" style="24" customWidth="1"/>
    <col min="7" max="19" width="14.5546875" style="24" customWidth="1"/>
    <col min="20" max="20" width="30.88671875" style="24" customWidth="1"/>
    <col min="21" max="16384" width="9.109375" style="24"/>
  </cols>
  <sheetData>
    <row r="1" spans="1:20" ht="15" customHeight="1" x14ac:dyDescent="0.3">
      <c r="B1" s="857" t="s">
        <v>2268</v>
      </c>
      <c r="C1" s="857"/>
      <c r="D1" s="857"/>
      <c r="E1" s="857"/>
      <c r="F1" s="857"/>
      <c r="G1" s="857"/>
      <c r="H1" s="857"/>
      <c r="I1" s="857"/>
      <c r="J1" s="857"/>
      <c r="K1" s="857"/>
      <c r="L1" s="857"/>
      <c r="M1" s="857"/>
      <c r="N1" s="857"/>
      <c r="O1" s="857"/>
      <c r="P1" s="857"/>
      <c r="Q1" s="857"/>
      <c r="R1" s="857"/>
      <c r="S1" s="857"/>
      <c r="T1" s="857"/>
    </row>
    <row r="2" spans="1:20" ht="15" customHeight="1" x14ac:dyDescent="0.3">
      <c r="B2" s="319"/>
      <c r="C2" s="319"/>
      <c r="D2" s="319"/>
      <c r="E2" s="319"/>
      <c r="F2" s="319"/>
      <c r="G2" s="319"/>
      <c r="H2" s="319"/>
      <c r="I2" s="319"/>
      <c r="J2" s="319"/>
      <c r="K2" s="319"/>
      <c r="L2" s="319"/>
      <c r="M2" s="319"/>
      <c r="N2" s="319"/>
      <c r="O2" s="319"/>
      <c r="P2" s="319"/>
      <c r="Q2" s="319"/>
      <c r="R2" s="319"/>
      <c r="S2" s="319"/>
      <c r="T2" s="319"/>
    </row>
    <row r="3" spans="1:20" ht="43.2" x14ac:dyDescent="0.3">
      <c r="B3" s="320" t="s">
        <v>66</v>
      </c>
      <c r="C3" s="321" t="s">
        <v>67</v>
      </c>
      <c r="D3" s="322" t="s">
        <v>2269</v>
      </c>
      <c r="E3" s="389" t="s">
        <v>68</v>
      </c>
      <c r="F3" s="370" t="s">
        <v>69</v>
      </c>
      <c r="G3" s="324" t="s">
        <v>70</v>
      </c>
      <c r="H3" s="325" t="s">
        <v>71</v>
      </c>
      <c r="I3" s="326" t="s">
        <v>72</v>
      </c>
      <c r="J3" s="327" t="s">
        <v>73</v>
      </c>
      <c r="K3" s="328" t="s">
        <v>74</v>
      </c>
      <c r="L3" s="325" t="s">
        <v>71</v>
      </c>
      <c r="M3" s="327" t="s">
        <v>73</v>
      </c>
      <c r="N3" s="328" t="s">
        <v>75</v>
      </c>
      <c r="O3" s="325" t="s">
        <v>71</v>
      </c>
      <c r="P3" s="327" t="s">
        <v>73</v>
      </c>
      <c r="Q3" s="329" t="s">
        <v>76</v>
      </c>
      <c r="R3" s="323" t="s">
        <v>77</v>
      </c>
      <c r="S3" s="323" t="s">
        <v>78</v>
      </c>
      <c r="T3" s="321" t="s">
        <v>79</v>
      </c>
    </row>
    <row r="4" spans="1:20" ht="57.6" x14ac:dyDescent="0.3">
      <c r="A4" s="98">
        <v>1</v>
      </c>
      <c r="B4" s="522" t="s">
        <v>1044</v>
      </c>
      <c r="C4" s="523">
        <v>45810</v>
      </c>
      <c r="D4" s="369"/>
      <c r="E4" s="390" t="s">
        <v>3094</v>
      </c>
      <c r="F4" s="383" t="s">
        <v>51</v>
      </c>
      <c r="G4" s="372" t="s">
        <v>4</v>
      </c>
      <c r="H4" s="524">
        <v>45810</v>
      </c>
      <c r="I4" s="525"/>
      <c r="J4" s="727" t="s">
        <v>3095</v>
      </c>
      <c r="K4" s="526"/>
      <c r="L4" s="527"/>
      <c r="M4" s="528"/>
      <c r="N4" s="526"/>
      <c r="O4" s="527"/>
      <c r="P4" s="528"/>
      <c r="Q4" s="529">
        <v>45810</v>
      </c>
      <c r="R4" s="148">
        <f>Q4-H4</f>
        <v>0</v>
      </c>
      <c r="S4" s="200" t="s">
        <v>3096</v>
      </c>
      <c r="T4" s="530"/>
    </row>
    <row r="5" spans="1:20" ht="28.8" x14ac:dyDescent="0.3">
      <c r="A5" s="98">
        <f t="shared" ref="A5:A36" si="0">A4+1</f>
        <v>2</v>
      </c>
      <c r="B5" s="522">
        <v>1550</v>
      </c>
      <c r="C5" s="523">
        <v>45810</v>
      </c>
      <c r="D5" s="788">
        <v>115291466</v>
      </c>
      <c r="E5" s="270" t="s">
        <v>3097</v>
      </c>
      <c r="F5" s="200" t="s">
        <v>1</v>
      </c>
      <c r="G5" s="373" t="s">
        <v>4</v>
      </c>
      <c r="H5" s="524">
        <v>45810</v>
      </c>
      <c r="I5" s="531"/>
      <c r="J5" s="127" t="s">
        <v>2306</v>
      </c>
      <c r="K5" s="532"/>
      <c r="L5" s="533"/>
      <c r="M5" s="534"/>
      <c r="N5" s="532"/>
      <c r="O5" s="533"/>
      <c r="P5" s="534"/>
      <c r="Q5" s="529">
        <v>45810</v>
      </c>
      <c r="R5" s="148">
        <f>Q5-H5</f>
        <v>0</v>
      </c>
      <c r="S5" s="200" t="s">
        <v>3042</v>
      </c>
      <c r="T5" s="540"/>
    </row>
    <row r="6" spans="1:20" ht="100.8" x14ac:dyDescent="0.3">
      <c r="A6" s="98">
        <f t="shared" si="0"/>
        <v>3</v>
      </c>
      <c r="B6" s="522">
        <v>1550</v>
      </c>
      <c r="C6" s="523">
        <v>45810</v>
      </c>
      <c r="D6" s="369">
        <v>87095971</v>
      </c>
      <c r="E6" s="270" t="s">
        <v>3098</v>
      </c>
      <c r="F6" s="200" t="s">
        <v>7</v>
      </c>
      <c r="G6" s="373" t="s">
        <v>6</v>
      </c>
      <c r="H6" s="524">
        <v>45810</v>
      </c>
      <c r="I6" s="531"/>
      <c r="J6" s="127" t="s">
        <v>2411</v>
      </c>
      <c r="K6" s="532"/>
      <c r="L6" s="533"/>
      <c r="M6" s="534"/>
      <c r="N6" s="532"/>
      <c r="O6" s="533"/>
      <c r="P6" s="534"/>
      <c r="Q6" s="529">
        <v>45810</v>
      </c>
      <c r="R6" s="148">
        <f>Q6/H6</f>
        <v>1</v>
      </c>
      <c r="S6" s="200" t="s">
        <v>2597</v>
      </c>
      <c r="T6" s="535"/>
    </row>
    <row r="7" spans="1:20" ht="57.6" x14ac:dyDescent="0.3">
      <c r="A7" s="98">
        <f t="shared" si="0"/>
        <v>4</v>
      </c>
      <c r="B7" s="536" t="s">
        <v>80</v>
      </c>
      <c r="C7" s="523">
        <v>45810</v>
      </c>
      <c r="D7" s="537"/>
      <c r="E7" s="270" t="s">
        <v>3099</v>
      </c>
      <c r="F7" s="200" t="s">
        <v>51</v>
      </c>
      <c r="G7" s="373" t="s">
        <v>10</v>
      </c>
      <c r="H7" s="524">
        <v>45810</v>
      </c>
      <c r="I7" s="538"/>
      <c r="J7" s="299" t="s">
        <v>3095</v>
      </c>
      <c r="K7" s="547"/>
      <c r="L7" s="548"/>
      <c r="M7" s="549"/>
      <c r="N7" s="550"/>
      <c r="O7" s="548"/>
      <c r="P7" s="549"/>
      <c r="Q7" s="539">
        <v>45810</v>
      </c>
      <c r="R7" s="148">
        <f t="shared" ref="R7:R13" si="1">Q7-H7</f>
        <v>0</v>
      </c>
      <c r="S7" s="200" t="s">
        <v>1316</v>
      </c>
      <c r="T7" s="315"/>
    </row>
    <row r="8" spans="1:20" ht="57.6" x14ac:dyDescent="0.3">
      <c r="A8" s="98">
        <f t="shared" si="0"/>
        <v>5</v>
      </c>
      <c r="B8" s="536" t="s">
        <v>80</v>
      </c>
      <c r="C8" s="523">
        <v>45810</v>
      </c>
      <c r="D8" s="789"/>
      <c r="E8" s="270" t="s">
        <v>3100</v>
      </c>
      <c r="F8" s="200" t="s">
        <v>51</v>
      </c>
      <c r="G8" s="373" t="s">
        <v>10</v>
      </c>
      <c r="H8" s="524">
        <v>45810</v>
      </c>
      <c r="I8" s="531"/>
      <c r="J8" s="219" t="s">
        <v>3095</v>
      </c>
      <c r="K8" s="532"/>
      <c r="L8" s="533"/>
      <c r="M8" s="534"/>
      <c r="N8" s="532"/>
      <c r="O8" s="533"/>
      <c r="P8" s="534"/>
      <c r="Q8" s="529">
        <v>45810</v>
      </c>
      <c r="R8" s="148">
        <f t="shared" si="1"/>
        <v>0</v>
      </c>
      <c r="S8" s="200" t="s">
        <v>1316</v>
      </c>
      <c r="T8" s="535"/>
    </row>
    <row r="9" spans="1:20" ht="57.6" x14ac:dyDescent="0.3">
      <c r="A9" s="98">
        <f t="shared" si="0"/>
        <v>6</v>
      </c>
      <c r="B9" s="536" t="s">
        <v>80</v>
      </c>
      <c r="C9" s="523">
        <v>45810</v>
      </c>
      <c r="D9" s="541"/>
      <c r="E9" s="270" t="s">
        <v>3101</v>
      </c>
      <c r="F9" s="200" t="s">
        <v>51</v>
      </c>
      <c r="G9" s="373" t="s">
        <v>10</v>
      </c>
      <c r="H9" s="524">
        <v>45810</v>
      </c>
      <c r="I9" s="531"/>
      <c r="J9" s="219" t="s">
        <v>3095</v>
      </c>
      <c r="K9" s="547"/>
      <c r="L9" s="548"/>
      <c r="M9" s="549"/>
      <c r="N9" s="550"/>
      <c r="O9" s="548"/>
      <c r="P9" s="549"/>
      <c r="Q9" s="529">
        <v>45810</v>
      </c>
      <c r="R9" s="148">
        <f t="shared" si="1"/>
        <v>0</v>
      </c>
      <c r="S9" s="200" t="s">
        <v>1316</v>
      </c>
      <c r="T9" s="535"/>
    </row>
    <row r="10" spans="1:20" ht="57.6" x14ac:dyDescent="0.3">
      <c r="A10" s="98">
        <f t="shared" si="0"/>
        <v>7</v>
      </c>
      <c r="B10" s="536">
        <v>1550</v>
      </c>
      <c r="C10" s="523">
        <v>45810</v>
      </c>
      <c r="D10" s="541"/>
      <c r="E10" s="270" t="s">
        <v>3102</v>
      </c>
      <c r="F10" s="200" t="s">
        <v>51</v>
      </c>
      <c r="G10" s="373" t="s">
        <v>8</v>
      </c>
      <c r="H10" s="524">
        <v>45810</v>
      </c>
      <c r="I10" s="531"/>
      <c r="J10" s="127" t="s">
        <v>3095</v>
      </c>
      <c r="K10" s="532"/>
      <c r="L10" s="533"/>
      <c r="M10" s="534"/>
      <c r="N10" s="532"/>
      <c r="O10" s="533"/>
      <c r="P10" s="534"/>
      <c r="Q10" s="529">
        <v>45811</v>
      </c>
      <c r="R10" s="148">
        <f t="shared" si="1"/>
        <v>1</v>
      </c>
      <c r="S10" s="200" t="s">
        <v>2712</v>
      </c>
      <c r="T10" s="535"/>
    </row>
    <row r="11" spans="1:20" ht="57.6" x14ac:dyDescent="0.3">
      <c r="A11" s="98">
        <f t="shared" si="0"/>
        <v>8</v>
      </c>
      <c r="B11" s="536">
        <v>1550</v>
      </c>
      <c r="C11" s="523">
        <v>45810</v>
      </c>
      <c r="D11" s="541"/>
      <c r="E11" s="270" t="s">
        <v>3103</v>
      </c>
      <c r="F11" s="200" t="s">
        <v>51</v>
      </c>
      <c r="G11" s="373" t="s">
        <v>8</v>
      </c>
      <c r="H11" s="524">
        <v>45810</v>
      </c>
      <c r="I11" s="531"/>
      <c r="J11" s="127" t="s">
        <v>3095</v>
      </c>
      <c r="K11" s="532"/>
      <c r="L11" s="533"/>
      <c r="M11" s="534"/>
      <c r="N11" s="532"/>
      <c r="O11" s="533"/>
      <c r="P11" s="534"/>
      <c r="Q11" s="529">
        <v>45811</v>
      </c>
      <c r="R11" s="148">
        <f t="shared" si="1"/>
        <v>1</v>
      </c>
      <c r="S11" s="200" t="s">
        <v>528</v>
      </c>
      <c r="T11" s="535"/>
    </row>
    <row r="12" spans="1:20" ht="57.6" x14ac:dyDescent="0.3">
      <c r="A12" s="98">
        <f t="shared" si="0"/>
        <v>9</v>
      </c>
      <c r="B12" s="536">
        <v>1550</v>
      </c>
      <c r="C12" s="523">
        <v>45810</v>
      </c>
      <c r="D12" s="541"/>
      <c r="E12" s="308" t="s">
        <v>3104</v>
      </c>
      <c r="F12" s="200" t="s">
        <v>51</v>
      </c>
      <c r="G12" s="373" t="s">
        <v>4</v>
      </c>
      <c r="H12" s="524">
        <v>45810</v>
      </c>
      <c r="I12" s="531"/>
      <c r="J12" s="219" t="s">
        <v>3095</v>
      </c>
      <c r="K12" s="532"/>
      <c r="L12" s="533"/>
      <c r="M12" s="534"/>
      <c r="N12" s="532"/>
      <c r="O12" s="533"/>
      <c r="P12" s="534"/>
      <c r="Q12" s="529">
        <v>45811</v>
      </c>
      <c r="R12" s="148">
        <f t="shared" si="1"/>
        <v>1</v>
      </c>
      <c r="S12" s="200" t="s">
        <v>720</v>
      </c>
      <c r="T12" s="535"/>
    </row>
    <row r="13" spans="1:20" ht="57.6" x14ac:dyDescent="0.3">
      <c r="A13" s="98">
        <f t="shared" si="0"/>
        <v>10</v>
      </c>
      <c r="B13" s="536">
        <v>1550</v>
      </c>
      <c r="C13" s="523">
        <v>45810</v>
      </c>
      <c r="D13" s="541"/>
      <c r="E13" s="270" t="s">
        <v>3105</v>
      </c>
      <c r="F13" s="200" t="s">
        <v>51</v>
      </c>
      <c r="G13" s="373" t="s">
        <v>8</v>
      </c>
      <c r="H13" s="524">
        <v>45810</v>
      </c>
      <c r="I13" s="538"/>
      <c r="J13" s="102" t="s">
        <v>3095</v>
      </c>
      <c r="K13" s="532"/>
      <c r="L13" s="533"/>
      <c r="M13" s="534"/>
      <c r="N13" s="532"/>
      <c r="O13" s="533"/>
      <c r="P13" s="534"/>
      <c r="Q13" s="539">
        <v>45811</v>
      </c>
      <c r="R13" s="148">
        <f t="shared" si="1"/>
        <v>1</v>
      </c>
      <c r="S13" s="200" t="s">
        <v>2712</v>
      </c>
      <c r="T13" s="315"/>
    </row>
    <row r="14" spans="1:20" ht="57.6" x14ac:dyDescent="0.3">
      <c r="A14" s="98">
        <f t="shared" si="0"/>
        <v>11</v>
      </c>
      <c r="B14" s="536">
        <v>1550</v>
      </c>
      <c r="C14" s="523">
        <v>45810</v>
      </c>
      <c r="D14" s="541"/>
      <c r="E14" s="308" t="s">
        <v>3106</v>
      </c>
      <c r="F14" s="200" t="s">
        <v>1314</v>
      </c>
      <c r="G14" s="373" t="s">
        <v>6</v>
      </c>
      <c r="H14" s="524">
        <v>45810</v>
      </c>
      <c r="I14" s="538"/>
      <c r="J14" s="102" t="s">
        <v>99</v>
      </c>
      <c r="K14" s="532"/>
      <c r="L14" s="533"/>
      <c r="M14" s="534"/>
      <c r="N14" s="532"/>
      <c r="O14" s="533"/>
      <c r="P14" s="534"/>
      <c r="Q14" s="539">
        <v>45811</v>
      </c>
      <c r="R14" s="148">
        <f>Q14/H14</f>
        <v>1.0000218292949137</v>
      </c>
      <c r="S14" s="200" t="s">
        <v>1927</v>
      </c>
      <c r="T14" s="315"/>
    </row>
    <row r="15" spans="1:20" ht="28.8" x14ac:dyDescent="0.3">
      <c r="A15" s="98">
        <f t="shared" si="0"/>
        <v>12</v>
      </c>
      <c r="B15" s="536">
        <v>1550</v>
      </c>
      <c r="C15" s="523">
        <v>45810</v>
      </c>
      <c r="D15" s="541">
        <v>78989272</v>
      </c>
      <c r="E15" s="270" t="s">
        <v>3107</v>
      </c>
      <c r="F15" s="200" t="s">
        <v>1</v>
      </c>
      <c r="G15" s="373" t="s">
        <v>4</v>
      </c>
      <c r="H15" s="524">
        <v>45810</v>
      </c>
      <c r="I15" s="531"/>
      <c r="J15" s="127" t="s">
        <v>3108</v>
      </c>
      <c r="K15" s="532"/>
      <c r="L15" s="533"/>
      <c r="M15" s="534"/>
      <c r="N15" s="532"/>
      <c r="O15" s="533"/>
      <c r="P15" s="534"/>
      <c r="Q15" s="529">
        <v>45811</v>
      </c>
      <c r="R15" s="148">
        <f>Q15-H15</f>
        <v>1</v>
      </c>
      <c r="S15" s="200" t="s">
        <v>2970</v>
      </c>
      <c r="T15" s="535"/>
    </row>
    <row r="16" spans="1:20" ht="57.6" x14ac:dyDescent="0.3">
      <c r="A16" s="98">
        <f t="shared" si="0"/>
        <v>13</v>
      </c>
      <c r="B16" s="536">
        <v>1550</v>
      </c>
      <c r="C16" s="523">
        <v>45810</v>
      </c>
      <c r="D16" s="541"/>
      <c r="E16" s="270" t="s">
        <v>3109</v>
      </c>
      <c r="F16" s="200" t="s">
        <v>51</v>
      </c>
      <c r="G16" s="373" t="s">
        <v>4</v>
      </c>
      <c r="H16" s="524">
        <v>45810</v>
      </c>
      <c r="I16" s="531"/>
      <c r="J16" s="219" t="s">
        <v>3095</v>
      </c>
      <c r="K16" s="532"/>
      <c r="L16" s="533"/>
      <c r="M16" s="534"/>
      <c r="N16" s="532"/>
      <c r="O16" s="533"/>
      <c r="P16" s="534"/>
      <c r="Q16" s="529">
        <v>45811</v>
      </c>
      <c r="R16" s="148">
        <f>Q16-H16</f>
        <v>1</v>
      </c>
      <c r="S16" s="200" t="s">
        <v>2974</v>
      </c>
      <c r="T16" s="535"/>
    </row>
    <row r="17" spans="1:20" ht="57.6" x14ac:dyDescent="0.3">
      <c r="A17" s="98">
        <f t="shared" si="0"/>
        <v>14</v>
      </c>
      <c r="B17" s="536">
        <v>1550</v>
      </c>
      <c r="C17" s="523">
        <v>45810</v>
      </c>
      <c r="D17" s="541"/>
      <c r="E17" s="270" t="s">
        <v>3110</v>
      </c>
      <c r="F17" s="200" t="s">
        <v>51</v>
      </c>
      <c r="G17" s="373" t="s">
        <v>4</v>
      </c>
      <c r="H17" s="524">
        <v>45810</v>
      </c>
      <c r="I17" s="538"/>
      <c r="J17" s="299" t="s">
        <v>3095</v>
      </c>
      <c r="K17" s="532"/>
      <c r="L17" s="533"/>
      <c r="M17" s="534"/>
      <c r="N17" s="532"/>
      <c r="O17" s="533"/>
      <c r="P17" s="534"/>
      <c r="Q17" s="539">
        <v>45811</v>
      </c>
      <c r="R17" s="148">
        <f>Q17-H17</f>
        <v>1</v>
      </c>
      <c r="S17" s="200" t="s">
        <v>720</v>
      </c>
      <c r="T17" s="315"/>
    </row>
    <row r="18" spans="1:20" ht="57.6" x14ac:dyDescent="0.3">
      <c r="A18" s="98">
        <f t="shared" si="0"/>
        <v>15</v>
      </c>
      <c r="B18" s="536" t="s">
        <v>301</v>
      </c>
      <c r="C18" s="523">
        <v>45810</v>
      </c>
      <c r="D18" s="541"/>
      <c r="E18" s="270" t="s">
        <v>3111</v>
      </c>
      <c r="F18" s="200" t="s">
        <v>51</v>
      </c>
      <c r="G18" s="373" t="s">
        <v>4</v>
      </c>
      <c r="H18" s="524">
        <v>45810</v>
      </c>
      <c r="I18" s="531"/>
      <c r="J18" s="219" t="s">
        <v>3095</v>
      </c>
      <c r="K18" s="532"/>
      <c r="L18" s="533"/>
      <c r="M18" s="534"/>
      <c r="N18" s="532"/>
      <c r="O18" s="533"/>
      <c r="P18" s="534"/>
      <c r="Q18" s="529">
        <v>45811</v>
      </c>
      <c r="R18" s="148">
        <f>Q18-H18</f>
        <v>1</v>
      </c>
      <c r="S18" s="200" t="s">
        <v>3020</v>
      </c>
      <c r="T18" s="535"/>
    </row>
    <row r="19" spans="1:20" ht="57.6" x14ac:dyDescent="0.3">
      <c r="A19" s="98">
        <f t="shared" si="0"/>
        <v>16</v>
      </c>
      <c r="B19" s="536">
        <v>1550</v>
      </c>
      <c r="C19" s="523">
        <v>45810</v>
      </c>
      <c r="D19" s="541"/>
      <c r="E19" s="308" t="s">
        <v>3112</v>
      </c>
      <c r="F19" s="200" t="s">
        <v>1314</v>
      </c>
      <c r="G19" s="373" t="s">
        <v>6</v>
      </c>
      <c r="H19" s="524">
        <v>45810</v>
      </c>
      <c r="I19" s="531"/>
      <c r="J19" s="127" t="s">
        <v>99</v>
      </c>
      <c r="K19" s="532"/>
      <c r="L19" s="533"/>
      <c r="M19" s="534"/>
      <c r="N19" s="532"/>
      <c r="O19" s="533"/>
      <c r="P19" s="534"/>
      <c r="Q19" s="529">
        <v>45811</v>
      </c>
      <c r="R19" s="148">
        <f>Q19/H19</f>
        <v>1.0000218292949137</v>
      </c>
      <c r="S19" s="200" t="s">
        <v>1936</v>
      </c>
      <c r="T19" s="535"/>
    </row>
    <row r="20" spans="1:20" ht="57.6" x14ac:dyDescent="0.3">
      <c r="A20" s="98">
        <f t="shared" si="0"/>
        <v>17</v>
      </c>
      <c r="B20" s="536">
        <v>1550</v>
      </c>
      <c r="C20" s="523">
        <v>45810</v>
      </c>
      <c r="D20" s="541"/>
      <c r="E20" s="308" t="s">
        <v>3113</v>
      </c>
      <c r="F20" s="200" t="s">
        <v>1314</v>
      </c>
      <c r="G20" s="373" t="s">
        <v>6</v>
      </c>
      <c r="H20" s="524">
        <v>45810</v>
      </c>
      <c r="I20" s="531"/>
      <c r="J20" s="127" t="s">
        <v>99</v>
      </c>
      <c r="K20" s="532"/>
      <c r="L20" s="533"/>
      <c r="M20" s="534"/>
      <c r="N20" s="532"/>
      <c r="O20" s="533"/>
      <c r="P20" s="534"/>
      <c r="Q20" s="529">
        <v>45811</v>
      </c>
      <c r="R20" s="148">
        <f>Q20/H20</f>
        <v>1.0000218292949137</v>
      </c>
      <c r="S20" s="200" t="s">
        <v>1936</v>
      </c>
      <c r="T20" s="535"/>
    </row>
    <row r="21" spans="1:20" ht="57.6" x14ac:dyDescent="0.3">
      <c r="A21" s="98">
        <f t="shared" si="0"/>
        <v>18</v>
      </c>
      <c r="B21" s="536">
        <v>1550</v>
      </c>
      <c r="C21" s="523">
        <v>45810</v>
      </c>
      <c r="D21" s="541"/>
      <c r="E21" s="308" t="s">
        <v>3114</v>
      </c>
      <c r="F21" s="200" t="s">
        <v>51</v>
      </c>
      <c r="G21" s="373" t="s">
        <v>4</v>
      </c>
      <c r="H21" s="524">
        <v>45810</v>
      </c>
      <c r="I21" s="538"/>
      <c r="J21" s="299" t="s">
        <v>3095</v>
      </c>
      <c r="K21" s="532"/>
      <c r="L21" s="533"/>
      <c r="M21" s="534"/>
      <c r="N21" s="532"/>
      <c r="O21" s="533"/>
      <c r="P21" s="534"/>
      <c r="Q21" s="539">
        <v>45811</v>
      </c>
      <c r="R21" s="148">
        <f>Q21-H21</f>
        <v>1</v>
      </c>
      <c r="S21" s="200" t="s">
        <v>3049</v>
      </c>
      <c r="T21" s="542"/>
    </row>
    <row r="22" spans="1:20" ht="57.6" x14ac:dyDescent="0.3">
      <c r="A22" s="98">
        <f t="shared" si="0"/>
        <v>19</v>
      </c>
      <c r="B22" s="536">
        <v>1550</v>
      </c>
      <c r="C22" s="523">
        <v>45810</v>
      </c>
      <c r="D22" s="543"/>
      <c r="E22" s="270" t="s">
        <v>3115</v>
      </c>
      <c r="F22" s="200" t="s">
        <v>1314</v>
      </c>
      <c r="G22" s="373" t="s">
        <v>6</v>
      </c>
      <c r="H22" s="524">
        <v>45810</v>
      </c>
      <c r="I22" s="531"/>
      <c r="J22" s="127" t="s">
        <v>99</v>
      </c>
      <c r="K22" s="532"/>
      <c r="L22" s="533"/>
      <c r="M22" s="534"/>
      <c r="N22" s="532"/>
      <c r="O22" s="533"/>
      <c r="P22" s="534"/>
      <c r="Q22" s="529">
        <v>45811</v>
      </c>
      <c r="R22" s="148">
        <f>Q22/H22</f>
        <v>1.0000218292949137</v>
      </c>
      <c r="S22" s="200" t="s">
        <v>1860</v>
      </c>
      <c r="T22" s="315"/>
    </row>
    <row r="23" spans="1:20" ht="57.6" x14ac:dyDescent="0.3">
      <c r="A23" s="98">
        <f t="shared" si="0"/>
        <v>20</v>
      </c>
      <c r="B23" s="536">
        <v>1550</v>
      </c>
      <c r="C23" s="523">
        <v>45810</v>
      </c>
      <c r="D23" s="541">
        <v>58021345</v>
      </c>
      <c r="E23" s="270" t="s">
        <v>3116</v>
      </c>
      <c r="F23" s="794" t="s">
        <v>15</v>
      </c>
      <c r="G23" s="373" t="s">
        <v>8</v>
      </c>
      <c r="H23" s="524">
        <v>45810</v>
      </c>
      <c r="I23" s="531"/>
      <c r="J23" s="219" t="s">
        <v>3095</v>
      </c>
      <c r="K23" s="547"/>
      <c r="L23" s="548"/>
      <c r="M23" s="549"/>
      <c r="N23" s="550"/>
      <c r="O23" s="548"/>
      <c r="P23" s="549"/>
      <c r="Q23" s="529">
        <v>45811</v>
      </c>
      <c r="R23" s="148">
        <f t="shared" ref="R23:R34" si="2">Q23-H23</f>
        <v>1</v>
      </c>
      <c r="S23" s="200" t="s">
        <v>151</v>
      </c>
      <c r="T23" s="315"/>
    </row>
    <row r="24" spans="1:20" ht="57.6" x14ac:dyDescent="0.3">
      <c r="A24" s="98">
        <f t="shared" si="0"/>
        <v>21</v>
      </c>
      <c r="B24" s="536" t="s">
        <v>80</v>
      </c>
      <c r="C24" s="523">
        <v>45810</v>
      </c>
      <c r="D24" s="369"/>
      <c r="E24" s="270" t="s">
        <v>3117</v>
      </c>
      <c r="F24" s="385" t="s">
        <v>51</v>
      </c>
      <c r="G24" s="373" t="s">
        <v>10</v>
      </c>
      <c r="H24" s="524">
        <v>45810</v>
      </c>
      <c r="I24" s="545"/>
      <c r="J24" s="219" t="s">
        <v>3095</v>
      </c>
      <c r="K24" s="547"/>
      <c r="L24" s="548"/>
      <c r="M24" s="549"/>
      <c r="N24" s="550"/>
      <c r="O24" s="548"/>
      <c r="P24" s="549"/>
      <c r="Q24" s="539">
        <v>45811</v>
      </c>
      <c r="R24" s="148">
        <f t="shared" si="2"/>
        <v>1</v>
      </c>
      <c r="S24" s="200" t="s">
        <v>1316</v>
      </c>
      <c r="T24" s="535"/>
    </row>
    <row r="25" spans="1:20" ht="57.6" x14ac:dyDescent="0.3">
      <c r="A25" s="98">
        <f t="shared" si="0"/>
        <v>22</v>
      </c>
      <c r="B25" s="536" t="s">
        <v>80</v>
      </c>
      <c r="C25" s="546">
        <v>45810</v>
      </c>
      <c r="D25" s="369"/>
      <c r="E25" s="270" t="s">
        <v>3118</v>
      </c>
      <c r="F25" s="385" t="s">
        <v>51</v>
      </c>
      <c r="G25" s="374" t="s">
        <v>10</v>
      </c>
      <c r="H25" s="524">
        <v>45810</v>
      </c>
      <c r="I25" s="545"/>
      <c r="J25" s="299" t="s">
        <v>3095</v>
      </c>
      <c r="K25" s="547"/>
      <c r="L25" s="548"/>
      <c r="M25" s="549"/>
      <c r="N25" s="550"/>
      <c r="O25" s="548"/>
      <c r="P25" s="549"/>
      <c r="Q25" s="539">
        <v>45811</v>
      </c>
      <c r="R25" s="148">
        <f t="shared" si="2"/>
        <v>1</v>
      </c>
      <c r="S25" s="200" t="s">
        <v>1316</v>
      </c>
      <c r="T25" s="315"/>
    </row>
    <row r="26" spans="1:20" ht="57.6" x14ac:dyDescent="0.3">
      <c r="A26" s="98">
        <f t="shared" si="0"/>
        <v>23</v>
      </c>
      <c r="B26" s="536" t="s">
        <v>80</v>
      </c>
      <c r="C26" s="546">
        <v>45810</v>
      </c>
      <c r="D26" s="369"/>
      <c r="E26" s="270" t="s">
        <v>3119</v>
      </c>
      <c r="F26" s="200" t="s">
        <v>51</v>
      </c>
      <c r="G26" s="373" t="s">
        <v>10</v>
      </c>
      <c r="H26" s="524">
        <v>45810</v>
      </c>
      <c r="I26" s="538"/>
      <c r="J26" s="299" t="s">
        <v>3095</v>
      </c>
      <c r="K26" s="532"/>
      <c r="L26" s="533"/>
      <c r="M26" s="534"/>
      <c r="N26" s="532"/>
      <c r="O26" s="533"/>
      <c r="P26" s="534"/>
      <c r="Q26" s="539">
        <v>45811</v>
      </c>
      <c r="R26" s="148">
        <f t="shared" si="2"/>
        <v>1</v>
      </c>
      <c r="S26" s="200" t="s">
        <v>1316</v>
      </c>
      <c r="T26" s="535"/>
    </row>
    <row r="27" spans="1:20" ht="57.6" x14ac:dyDescent="0.3">
      <c r="A27" s="98">
        <f t="shared" si="0"/>
        <v>24</v>
      </c>
      <c r="B27" s="536" t="s">
        <v>80</v>
      </c>
      <c r="C27" s="546">
        <v>45810</v>
      </c>
      <c r="D27" s="369"/>
      <c r="E27" s="270" t="s">
        <v>3120</v>
      </c>
      <c r="F27" s="200" t="s">
        <v>51</v>
      </c>
      <c r="G27" s="373" t="s">
        <v>10</v>
      </c>
      <c r="H27" s="524">
        <v>45810</v>
      </c>
      <c r="I27" s="538"/>
      <c r="J27" s="299" t="s">
        <v>3095</v>
      </c>
      <c r="K27" s="532"/>
      <c r="L27" s="533"/>
      <c r="M27" s="534"/>
      <c r="N27" s="532"/>
      <c r="O27" s="533"/>
      <c r="P27" s="534"/>
      <c r="Q27" s="539">
        <v>45811</v>
      </c>
      <c r="R27" s="148">
        <f t="shared" si="2"/>
        <v>1</v>
      </c>
      <c r="S27" s="200" t="s">
        <v>1316</v>
      </c>
      <c r="T27" s="535"/>
    </row>
    <row r="28" spans="1:20" ht="57.6" x14ac:dyDescent="0.3">
      <c r="A28" s="98">
        <f t="shared" si="0"/>
        <v>25</v>
      </c>
      <c r="B28" s="536" t="s">
        <v>80</v>
      </c>
      <c r="C28" s="546">
        <v>45810</v>
      </c>
      <c r="D28" s="369"/>
      <c r="E28" s="270" t="s">
        <v>3121</v>
      </c>
      <c r="F28" s="200" t="s">
        <v>51</v>
      </c>
      <c r="G28" s="373" t="s">
        <v>10</v>
      </c>
      <c r="H28" s="524">
        <v>45810</v>
      </c>
      <c r="I28" s="538"/>
      <c r="J28" s="299" t="s">
        <v>3095</v>
      </c>
      <c r="K28" s="550"/>
      <c r="L28" s="548"/>
      <c r="M28" s="549"/>
      <c r="N28" s="550"/>
      <c r="O28" s="548"/>
      <c r="P28" s="549"/>
      <c r="Q28" s="539">
        <v>45811</v>
      </c>
      <c r="R28" s="148">
        <f t="shared" si="2"/>
        <v>1</v>
      </c>
      <c r="S28" s="200" t="s">
        <v>1316</v>
      </c>
      <c r="T28" s="315"/>
    </row>
    <row r="29" spans="1:20" ht="57.6" x14ac:dyDescent="0.3">
      <c r="A29" s="98">
        <f t="shared" si="0"/>
        <v>26</v>
      </c>
      <c r="B29" s="536" t="s">
        <v>301</v>
      </c>
      <c r="C29" s="546">
        <v>45810</v>
      </c>
      <c r="D29" s="369"/>
      <c r="E29" s="270" t="s">
        <v>3122</v>
      </c>
      <c r="F29" s="200" t="s">
        <v>51</v>
      </c>
      <c r="G29" s="373" t="s">
        <v>10</v>
      </c>
      <c r="H29" s="524">
        <v>45810</v>
      </c>
      <c r="I29" s="538"/>
      <c r="J29" s="299" t="s">
        <v>3095</v>
      </c>
      <c r="K29" s="532"/>
      <c r="L29" s="533"/>
      <c r="M29" s="534"/>
      <c r="N29" s="532"/>
      <c r="O29" s="533"/>
      <c r="P29" s="534"/>
      <c r="Q29" s="539">
        <v>45811</v>
      </c>
      <c r="R29" s="148">
        <f t="shared" si="2"/>
        <v>1</v>
      </c>
      <c r="S29" s="200" t="s">
        <v>1366</v>
      </c>
      <c r="T29" s="315"/>
    </row>
    <row r="30" spans="1:20" ht="57.6" x14ac:dyDescent="0.3">
      <c r="A30" s="98">
        <f t="shared" si="0"/>
        <v>27</v>
      </c>
      <c r="B30" s="536" t="s">
        <v>301</v>
      </c>
      <c r="C30" s="546">
        <v>45810</v>
      </c>
      <c r="D30" s="369"/>
      <c r="E30" s="270" t="s">
        <v>3123</v>
      </c>
      <c r="F30" s="794" t="s">
        <v>51</v>
      </c>
      <c r="G30" s="373" t="s">
        <v>8</v>
      </c>
      <c r="H30" s="524">
        <v>45810</v>
      </c>
      <c r="I30" s="538"/>
      <c r="J30" s="299" t="s">
        <v>3095</v>
      </c>
      <c r="K30" s="547"/>
      <c r="L30" s="548"/>
      <c r="M30" s="549"/>
      <c r="N30" s="550"/>
      <c r="O30" s="548"/>
      <c r="P30" s="549"/>
      <c r="Q30" s="539">
        <v>45811</v>
      </c>
      <c r="R30" s="148">
        <f t="shared" si="2"/>
        <v>1</v>
      </c>
      <c r="S30" s="200" t="s">
        <v>1916</v>
      </c>
      <c r="T30" s="315"/>
    </row>
    <row r="31" spans="1:20" ht="57.6" x14ac:dyDescent="0.3">
      <c r="A31" s="98">
        <f t="shared" si="0"/>
        <v>28</v>
      </c>
      <c r="B31" s="536">
        <v>1550</v>
      </c>
      <c r="C31" s="546">
        <v>45810</v>
      </c>
      <c r="D31" s="369"/>
      <c r="E31" s="308" t="s">
        <v>3124</v>
      </c>
      <c r="F31" s="200" t="s">
        <v>51</v>
      </c>
      <c r="G31" s="375" t="s">
        <v>8</v>
      </c>
      <c r="H31" s="524">
        <v>45810</v>
      </c>
      <c r="I31" s="538"/>
      <c r="J31" s="299" t="s">
        <v>3095</v>
      </c>
      <c r="K31" s="532"/>
      <c r="L31" s="533"/>
      <c r="M31" s="534"/>
      <c r="N31" s="532"/>
      <c r="O31" s="533"/>
      <c r="P31" s="534"/>
      <c r="Q31" s="539">
        <v>45811</v>
      </c>
      <c r="R31" s="148">
        <f t="shared" si="2"/>
        <v>1</v>
      </c>
      <c r="S31" s="200" t="s">
        <v>2712</v>
      </c>
      <c r="T31" s="315"/>
    </row>
    <row r="32" spans="1:20" ht="57.6" x14ac:dyDescent="0.3">
      <c r="A32" s="98">
        <f t="shared" si="0"/>
        <v>29</v>
      </c>
      <c r="B32" s="536">
        <v>1550</v>
      </c>
      <c r="C32" s="546">
        <v>45810</v>
      </c>
      <c r="D32" s="369"/>
      <c r="E32" s="308" t="s">
        <v>3125</v>
      </c>
      <c r="F32" s="200" t="s">
        <v>51</v>
      </c>
      <c r="G32" s="375" t="s">
        <v>8</v>
      </c>
      <c r="H32" s="524">
        <v>45810</v>
      </c>
      <c r="I32" s="538"/>
      <c r="J32" s="299" t="s">
        <v>3095</v>
      </c>
      <c r="K32" s="550"/>
      <c r="L32" s="548"/>
      <c r="M32" s="549"/>
      <c r="N32" s="550"/>
      <c r="O32" s="548"/>
      <c r="P32" s="549"/>
      <c r="Q32" s="539">
        <v>45811</v>
      </c>
      <c r="R32" s="148">
        <f t="shared" si="2"/>
        <v>1</v>
      </c>
      <c r="S32" s="200" t="s">
        <v>2712</v>
      </c>
      <c r="T32" s="315"/>
    </row>
    <row r="33" spans="1:20" ht="57.6" x14ac:dyDescent="0.3">
      <c r="A33" s="98">
        <f t="shared" si="0"/>
        <v>30</v>
      </c>
      <c r="B33" s="506">
        <v>1550</v>
      </c>
      <c r="C33" s="492">
        <v>45811</v>
      </c>
      <c r="D33" s="369">
        <v>39891364</v>
      </c>
      <c r="E33" s="271" t="s">
        <v>3126</v>
      </c>
      <c r="F33" s="101" t="s">
        <v>58</v>
      </c>
      <c r="G33" s="221" t="s">
        <v>4</v>
      </c>
      <c r="H33" s="493">
        <v>45811</v>
      </c>
      <c r="I33" s="25"/>
      <c r="J33" s="100" t="s">
        <v>22</v>
      </c>
      <c r="K33" s="494"/>
      <c r="L33" s="495"/>
      <c r="M33" s="496"/>
      <c r="N33" s="497"/>
      <c r="O33" s="498"/>
      <c r="P33" s="499"/>
      <c r="Q33" s="500">
        <v>45811</v>
      </c>
      <c r="R33" s="148">
        <f t="shared" si="2"/>
        <v>0</v>
      </c>
      <c r="S33" s="101" t="s">
        <v>3042</v>
      </c>
      <c r="T33" s="69"/>
    </row>
    <row r="34" spans="1:20" ht="28.8" x14ac:dyDescent="0.3">
      <c r="A34" s="98">
        <f t="shared" si="0"/>
        <v>31</v>
      </c>
      <c r="B34" s="536">
        <v>1550</v>
      </c>
      <c r="C34" s="546">
        <v>45811</v>
      </c>
      <c r="D34" s="369">
        <v>107905132</v>
      </c>
      <c r="E34" s="270" t="s">
        <v>3127</v>
      </c>
      <c r="F34" s="794" t="s">
        <v>1</v>
      </c>
      <c r="G34" s="373" t="s">
        <v>4</v>
      </c>
      <c r="H34" s="524">
        <v>45811</v>
      </c>
      <c r="I34" s="538"/>
      <c r="J34" s="299" t="s">
        <v>2544</v>
      </c>
      <c r="K34" s="547"/>
      <c r="L34" s="548"/>
      <c r="M34" s="549"/>
      <c r="N34" s="550"/>
      <c r="O34" s="548"/>
      <c r="P34" s="549"/>
      <c r="Q34" s="539">
        <v>45811</v>
      </c>
      <c r="R34" s="148">
        <f t="shared" si="2"/>
        <v>0</v>
      </c>
      <c r="S34" s="101" t="s">
        <v>1316</v>
      </c>
      <c r="T34" s="69"/>
    </row>
    <row r="35" spans="1:20" ht="126" customHeight="1" x14ac:dyDescent="0.3">
      <c r="A35" s="98">
        <f t="shared" si="0"/>
        <v>32</v>
      </c>
      <c r="B35" s="506">
        <v>1550</v>
      </c>
      <c r="C35" s="492">
        <v>45811</v>
      </c>
      <c r="D35" s="369">
        <v>120383608</v>
      </c>
      <c r="E35" s="270" t="s">
        <v>3128</v>
      </c>
      <c r="F35" s="101" t="s">
        <v>21</v>
      </c>
      <c r="G35" s="112" t="s">
        <v>6</v>
      </c>
      <c r="H35" s="493">
        <v>45811</v>
      </c>
      <c r="I35" s="25"/>
      <c r="J35" s="102" t="s">
        <v>2352</v>
      </c>
      <c r="K35" s="494"/>
      <c r="L35" s="495"/>
      <c r="M35" s="496"/>
      <c r="N35" s="497"/>
      <c r="O35" s="498"/>
      <c r="P35" s="499"/>
      <c r="Q35" s="500">
        <v>45811</v>
      </c>
      <c r="R35" s="148">
        <f>Q35/H35</f>
        <v>1</v>
      </c>
      <c r="S35" s="101" t="s">
        <v>1811</v>
      </c>
      <c r="T35" s="69"/>
    </row>
    <row r="36" spans="1:20" ht="93" customHeight="1" x14ac:dyDescent="0.3">
      <c r="A36" s="98">
        <f t="shared" si="0"/>
        <v>33</v>
      </c>
      <c r="B36" s="506">
        <v>1550</v>
      </c>
      <c r="C36" s="492">
        <v>45811</v>
      </c>
      <c r="D36" s="369">
        <v>55715265</v>
      </c>
      <c r="E36" s="479" t="s">
        <v>3129</v>
      </c>
      <c r="F36" s="101" t="s">
        <v>33</v>
      </c>
      <c r="G36" s="112" t="s">
        <v>6</v>
      </c>
      <c r="H36" s="493">
        <v>45811</v>
      </c>
      <c r="I36" s="25"/>
      <c r="J36" s="728" t="s">
        <v>99</v>
      </c>
      <c r="K36" s="494"/>
      <c r="L36" s="495"/>
      <c r="M36" s="496"/>
      <c r="N36" s="497"/>
      <c r="O36" s="498"/>
      <c r="P36" s="499"/>
      <c r="Q36" s="501">
        <v>45811</v>
      </c>
      <c r="R36" s="148">
        <f>Q36/H36</f>
        <v>1</v>
      </c>
      <c r="S36" s="101" t="s">
        <v>1934</v>
      </c>
      <c r="T36" s="69"/>
    </row>
    <row r="37" spans="1:20" ht="57.6" x14ac:dyDescent="0.3">
      <c r="A37" s="98">
        <f t="shared" ref="A37:A66" si="3">A36+1</f>
        <v>34</v>
      </c>
      <c r="B37" s="536">
        <v>1550</v>
      </c>
      <c r="C37" s="546">
        <v>45810</v>
      </c>
      <c r="D37" s="369">
        <v>120311178</v>
      </c>
      <c r="E37" s="270" t="s">
        <v>3130</v>
      </c>
      <c r="F37" s="385" t="s">
        <v>15</v>
      </c>
      <c r="G37" s="374" t="s">
        <v>8</v>
      </c>
      <c r="H37" s="524">
        <v>45810</v>
      </c>
      <c r="I37" s="545"/>
      <c r="J37" s="102" t="s">
        <v>3095</v>
      </c>
      <c r="K37" s="532"/>
      <c r="L37" s="533"/>
      <c r="M37" s="534"/>
      <c r="N37" s="532"/>
      <c r="O37" s="533"/>
      <c r="P37" s="534"/>
      <c r="Q37" s="539">
        <v>45812</v>
      </c>
      <c r="R37" s="148">
        <f>Q37-H37</f>
        <v>2</v>
      </c>
      <c r="S37" s="200" t="s">
        <v>2712</v>
      </c>
      <c r="T37" s="535"/>
    </row>
    <row r="38" spans="1:20" ht="100.8" x14ac:dyDescent="0.3">
      <c r="A38" s="98">
        <f t="shared" si="3"/>
        <v>35</v>
      </c>
      <c r="B38" s="536" t="s">
        <v>301</v>
      </c>
      <c r="C38" s="546">
        <v>45810</v>
      </c>
      <c r="D38" s="369">
        <v>101362854</v>
      </c>
      <c r="E38" s="270" t="s">
        <v>3131</v>
      </c>
      <c r="F38" s="200" t="s">
        <v>58</v>
      </c>
      <c r="G38" s="373" t="s">
        <v>6</v>
      </c>
      <c r="H38" s="524">
        <v>45810</v>
      </c>
      <c r="I38" s="538"/>
      <c r="J38" s="102" t="s">
        <v>22</v>
      </c>
      <c r="K38" s="532"/>
      <c r="L38" s="533"/>
      <c r="M38" s="534"/>
      <c r="N38" s="532"/>
      <c r="O38" s="533"/>
      <c r="P38" s="534"/>
      <c r="Q38" s="539">
        <v>45812</v>
      </c>
      <c r="R38" s="148">
        <f>Q38/H38</f>
        <v>1.0000436585898276</v>
      </c>
      <c r="S38" s="200" t="s">
        <v>1934</v>
      </c>
      <c r="T38" s="315"/>
    </row>
    <row r="39" spans="1:20" ht="302.39999999999998" x14ac:dyDescent="0.3">
      <c r="A39" s="98">
        <f t="shared" si="3"/>
        <v>36</v>
      </c>
      <c r="B39" s="536" t="s">
        <v>301</v>
      </c>
      <c r="C39" s="546">
        <v>45810</v>
      </c>
      <c r="D39" s="369">
        <v>13568027</v>
      </c>
      <c r="E39" s="270" t="s">
        <v>3132</v>
      </c>
      <c r="F39" s="200" t="s">
        <v>58</v>
      </c>
      <c r="G39" s="373" t="s">
        <v>10</v>
      </c>
      <c r="H39" s="524">
        <v>45810</v>
      </c>
      <c r="I39" s="538"/>
      <c r="J39" s="299" t="s">
        <v>22</v>
      </c>
      <c r="K39" s="550"/>
      <c r="L39" s="548"/>
      <c r="M39" s="549"/>
      <c r="N39" s="550"/>
      <c r="O39" s="548"/>
      <c r="P39" s="549"/>
      <c r="Q39" s="539">
        <v>45812</v>
      </c>
      <c r="R39" s="148">
        <f>Q39-H39</f>
        <v>2</v>
      </c>
      <c r="S39" s="200" t="s">
        <v>1366</v>
      </c>
      <c r="T39" s="315"/>
    </row>
    <row r="40" spans="1:20" ht="43.2" x14ac:dyDescent="0.3">
      <c r="A40" s="98">
        <f t="shared" si="3"/>
        <v>37</v>
      </c>
      <c r="B40" s="536">
        <v>1550</v>
      </c>
      <c r="C40" s="546">
        <v>45811</v>
      </c>
      <c r="D40" s="789"/>
      <c r="E40" s="270" t="s">
        <v>3133</v>
      </c>
      <c r="F40" s="384" t="s">
        <v>25</v>
      </c>
      <c r="G40" s="374" t="s">
        <v>4</v>
      </c>
      <c r="H40" s="524">
        <v>45811</v>
      </c>
      <c r="I40" s="545">
        <v>10000294512</v>
      </c>
      <c r="J40" s="299" t="s">
        <v>135</v>
      </c>
      <c r="K40" s="547"/>
      <c r="L40" s="548"/>
      <c r="M40" s="549"/>
      <c r="N40" s="550"/>
      <c r="O40" s="548"/>
      <c r="P40" s="549"/>
      <c r="Q40" s="539">
        <v>45812</v>
      </c>
      <c r="R40" s="148">
        <f>Q40-H40</f>
        <v>1</v>
      </c>
      <c r="S40" s="101" t="s">
        <v>2970</v>
      </c>
      <c r="T40" s="69"/>
    </row>
    <row r="41" spans="1:20" ht="57.6" x14ac:dyDescent="0.3">
      <c r="A41" s="98">
        <f t="shared" si="3"/>
        <v>38</v>
      </c>
      <c r="B41" s="536">
        <v>1550</v>
      </c>
      <c r="C41" s="546">
        <v>45811</v>
      </c>
      <c r="D41" s="369"/>
      <c r="E41" s="395" t="s">
        <v>3134</v>
      </c>
      <c r="F41" s="344" t="s">
        <v>1314</v>
      </c>
      <c r="G41" s="373" t="s">
        <v>6</v>
      </c>
      <c r="H41" s="524">
        <v>45811</v>
      </c>
      <c r="I41" s="538"/>
      <c r="J41" s="100" t="s">
        <v>99</v>
      </c>
      <c r="K41" s="547"/>
      <c r="L41" s="548"/>
      <c r="M41" s="549"/>
      <c r="N41" s="550"/>
      <c r="O41" s="548"/>
      <c r="P41" s="549"/>
      <c r="Q41" s="539">
        <v>45812</v>
      </c>
      <c r="R41" s="148">
        <f t="shared" ref="R41:R48" si="4">Q41/H41</f>
        <v>1.000021828818406</v>
      </c>
      <c r="S41" s="101" t="s">
        <v>1860</v>
      </c>
      <c r="T41" s="69"/>
    </row>
    <row r="42" spans="1:20" ht="57.6" x14ac:dyDescent="0.3">
      <c r="A42" s="98">
        <f t="shared" si="3"/>
        <v>39</v>
      </c>
      <c r="B42" s="536" t="s">
        <v>80</v>
      </c>
      <c r="C42" s="546">
        <v>45811</v>
      </c>
      <c r="D42" s="369"/>
      <c r="E42" s="395" t="s">
        <v>3135</v>
      </c>
      <c r="F42" s="101" t="s">
        <v>1314</v>
      </c>
      <c r="G42" s="373" t="s">
        <v>6</v>
      </c>
      <c r="H42" s="524">
        <v>45811</v>
      </c>
      <c r="I42" s="538"/>
      <c r="J42" s="100" t="s">
        <v>99</v>
      </c>
      <c r="K42" s="547"/>
      <c r="L42" s="548"/>
      <c r="M42" s="549"/>
      <c r="N42" s="550"/>
      <c r="O42" s="548"/>
      <c r="P42" s="549"/>
      <c r="Q42" s="539">
        <v>45812</v>
      </c>
      <c r="R42" s="148">
        <f t="shared" si="4"/>
        <v>1.000021828818406</v>
      </c>
      <c r="S42" s="101" t="s">
        <v>2747</v>
      </c>
      <c r="T42" s="69"/>
    </row>
    <row r="43" spans="1:20" ht="57.6" x14ac:dyDescent="0.3">
      <c r="A43" s="98">
        <f t="shared" si="3"/>
        <v>40</v>
      </c>
      <c r="B43" s="536" t="s">
        <v>80</v>
      </c>
      <c r="C43" s="546">
        <v>45811</v>
      </c>
      <c r="D43" s="369"/>
      <c r="E43" s="395" t="s">
        <v>3136</v>
      </c>
      <c r="F43" s="386" t="s">
        <v>1314</v>
      </c>
      <c r="G43" s="374" t="s">
        <v>6</v>
      </c>
      <c r="H43" s="524">
        <v>45811</v>
      </c>
      <c r="I43" s="545"/>
      <c r="J43" s="100" t="s">
        <v>99</v>
      </c>
      <c r="K43" s="547"/>
      <c r="L43" s="548"/>
      <c r="M43" s="549"/>
      <c r="N43" s="550"/>
      <c r="O43" s="548"/>
      <c r="P43" s="549"/>
      <c r="Q43" s="539">
        <v>45812</v>
      </c>
      <c r="R43" s="148">
        <f t="shared" si="4"/>
        <v>1.000021828818406</v>
      </c>
      <c r="S43" s="101" t="s">
        <v>2747</v>
      </c>
      <c r="T43" s="69"/>
    </row>
    <row r="44" spans="1:20" ht="57.6" x14ac:dyDescent="0.3">
      <c r="A44" s="98">
        <f t="shared" si="3"/>
        <v>41</v>
      </c>
      <c r="B44" s="536">
        <v>1550</v>
      </c>
      <c r="C44" s="546">
        <v>45811</v>
      </c>
      <c r="D44" s="369"/>
      <c r="E44" s="395" t="s">
        <v>3137</v>
      </c>
      <c r="F44" s="386" t="s">
        <v>1314</v>
      </c>
      <c r="G44" s="374" t="s">
        <v>6</v>
      </c>
      <c r="H44" s="524">
        <v>45811</v>
      </c>
      <c r="I44" s="341"/>
      <c r="J44" s="100" t="s">
        <v>99</v>
      </c>
      <c r="K44" s="494"/>
      <c r="L44" s="495"/>
      <c r="M44" s="496"/>
      <c r="N44" s="497"/>
      <c r="O44" s="498"/>
      <c r="P44" s="499"/>
      <c r="Q44" s="501">
        <v>45812</v>
      </c>
      <c r="R44" s="148">
        <f t="shared" si="4"/>
        <v>1.000021828818406</v>
      </c>
      <c r="S44" s="101" t="s">
        <v>1936</v>
      </c>
      <c r="T44" s="69"/>
    </row>
    <row r="45" spans="1:20" ht="57.6" x14ac:dyDescent="0.3">
      <c r="A45" s="98">
        <f t="shared" si="3"/>
        <v>42</v>
      </c>
      <c r="B45" s="506">
        <v>1550</v>
      </c>
      <c r="C45" s="492">
        <v>45811</v>
      </c>
      <c r="D45" s="369"/>
      <c r="E45" s="261" t="s">
        <v>3138</v>
      </c>
      <c r="F45" s="101" t="s">
        <v>1314</v>
      </c>
      <c r="G45" s="374" t="s">
        <v>6</v>
      </c>
      <c r="H45" s="524">
        <v>45811</v>
      </c>
      <c r="I45" s="545"/>
      <c r="J45" s="100" t="s">
        <v>99</v>
      </c>
      <c r="K45" s="547"/>
      <c r="L45" s="548"/>
      <c r="M45" s="549"/>
      <c r="N45" s="550"/>
      <c r="O45" s="548"/>
      <c r="P45" s="549"/>
      <c r="Q45" s="539">
        <v>45812</v>
      </c>
      <c r="R45" s="148">
        <f t="shared" si="4"/>
        <v>1.000021828818406</v>
      </c>
      <c r="S45" s="101" t="s">
        <v>1936</v>
      </c>
      <c r="T45" s="69"/>
    </row>
    <row r="46" spans="1:20" ht="57.6" x14ac:dyDescent="0.3">
      <c r="A46" s="98">
        <f t="shared" si="3"/>
        <v>43</v>
      </c>
      <c r="B46" s="506" t="s">
        <v>80</v>
      </c>
      <c r="C46" s="492">
        <v>45811</v>
      </c>
      <c r="D46" s="369"/>
      <c r="E46" s="262" t="s">
        <v>3139</v>
      </c>
      <c r="F46" s="101" t="s">
        <v>1314</v>
      </c>
      <c r="G46" s="374" t="s">
        <v>6</v>
      </c>
      <c r="H46" s="524">
        <v>45811</v>
      </c>
      <c r="I46" s="341"/>
      <c r="J46" s="100" t="s">
        <v>99</v>
      </c>
      <c r="K46" s="494"/>
      <c r="L46" s="551"/>
      <c r="M46" s="552"/>
      <c r="N46" s="497"/>
      <c r="O46" s="498"/>
      <c r="P46" s="499"/>
      <c r="Q46" s="501">
        <v>45812</v>
      </c>
      <c r="R46" s="148">
        <f t="shared" si="4"/>
        <v>1.000021828818406</v>
      </c>
      <c r="S46" s="101" t="s">
        <v>2747</v>
      </c>
      <c r="T46" s="69"/>
    </row>
    <row r="47" spans="1:20" ht="57.6" x14ac:dyDescent="0.3">
      <c r="A47" s="98">
        <f t="shared" si="3"/>
        <v>44</v>
      </c>
      <c r="B47" s="491">
        <v>1550</v>
      </c>
      <c r="C47" s="492">
        <v>45811</v>
      </c>
      <c r="D47" s="369"/>
      <c r="E47" s="262" t="s">
        <v>3140</v>
      </c>
      <c r="F47" s="101" t="s">
        <v>1314</v>
      </c>
      <c r="G47" s="374" t="s">
        <v>6</v>
      </c>
      <c r="H47" s="524">
        <v>45811</v>
      </c>
      <c r="I47" s="545"/>
      <c r="J47" s="100" t="s">
        <v>99</v>
      </c>
      <c r="K47" s="547"/>
      <c r="L47" s="548"/>
      <c r="M47" s="549"/>
      <c r="N47" s="550"/>
      <c r="O47" s="548"/>
      <c r="P47" s="549"/>
      <c r="Q47" s="539">
        <v>45812</v>
      </c>
      <c r="R47" s="148">
        <f t="shared" si="4"/>
        <v>1.000021828818406</v>
      </c>
      <c r="S47" s="101" t="s">
        <v>1811</v>
      </c>
      <c r="T47" s="167"/>
    </row>
    <row r="48" spans="1:20" ht="57.6" x14ac:dyDescent="0.3">
      <c r="A48" s="98">
        <f t="shared" si="3"/>
        <v>45</v>
      </c>
      <c r="B48" s="491">
        <v>1550</v>
      </c>
      <c r="C48" s="492">
        <v>45811</v>
      </c>
      <c r="D48" s="369"/>
      <c r="E48" s="262" t="s">
        <v>3141</v>
      </c>
      <c r="F48" s="101" t="s">
        <v>1314</v>
      </c>
      <c r="G48" s="374" t="s">
        <v>6</v>
      </c>
      <c r="H48" s="524">
        <v>45811</v>
      </c>
      <c r="I48" s="538"/>
      <c r="J48" s="100" t="s">
        <v>99</v>
      </c>
      <c r="K48" s="547"/>
      <c r="L48" s="548"/>
      <c r="M48" s="549"/>
      <c r="N48" s="550"/>
      <c r="O48" s="548"/>
      <c r="P48" s="549"/>
      <c r="Q48" s="539">
        <v>45812</v>
      </c>
      <c r="R48" s="148">
        <f t="shared" si="4"/>
        <v>1.000021828818406</v>
      </c>
      <c r="S48" s="101" t="s">
        <v>1813</v>
      </c>
      <c r="T48" s="69"/>
    </row>
    <row r="49" spans="1:20" ht="57.6" x14ac:dyDescent="0.3">
      <c r="A49" s="98">
        <f t="shared" si="3"/>
        <v>46</v>
      </c>
      <c r="B49" s="491" t="s">
        <v>301</v>
      </c>
      <c r="C49" s="492">
        <v>45811</v>
      </c>
      <c r="D49" s="369"/>
      <c r="E49" s="110" t="s">
        <v>3142</v>
      </c>
      <c r="F49" s="101" t="s">
        <v>51</v>
      </c>
      <c r="G49" s="377" t="s">
        <v>8</v>
      </c>
      <c r="H49" s="493">
        <v>45811</v>
      </c>
      <c r="I49" s="341"/>
      <c r="J49" s="100" t="s">
        <v>3095</v>
      </c>
      <c r="K49" s="494"/>
      <c r="L49" s="495"/>
      <c r="M49" s="496"/>
      <c r="N49" s="497"/>
      <c r="O49" s="498"/>
      <c r="P49" s="499"/>
      <c r="Q49" s="501">
        <v>45812</v>
      </c>
      <c r="R49" s="148">
        <f>Q49-H49</f>
        <v>1</v>
      </c>
      <c r="S49" s="101" t="s">
        <v>94</v>
      </c>
      <c r="T49" s="69"/>
    </row>
    <row r="50" spans="1:20" ht="28.8" x14ac:dyDescent="0.3">
      <c r="A50" s="98">
        <f t="shared" si="3"/>
        <v>47</v>
      </c>
      <c r="B50" s="506" t="s">
        <v>80</v>
      </c>
      <c r="C50" s="492">
        <v>45811</v>
      </c>
      <c r="D50" s="369">
        <v>7028261</v>
      </c>
      <c r="E50" s="110" t="s">
        <v>3143</v>
      </c>
      <c r="F50" s="200" t="s">
        <v>17</v>
      </c>
      <c r="G50" s="374" t="s">
        <v>6</v>
      </c>
      <c r="H50" s="524">
        <v>45811</v>
      </c>
      <c r="I50" s="538"/>
      <c r="J50" s="299" t="s">
        <v>82</v>
      </c>
      <c r="K50" s="547"/>
      <c r="L50" s="548"/>
      <c r="M50" s="549"/>
      <c r="N50" s="550"/>
      <c r="O50" s="548"/>
      <c r="P50" s="549"/>
      <c r="Q50" s="539">
        <v>45812</v>
      </c>
      <c r="R50" s="148">
        <f>Q50/H50</f>
        <v>1.000021828818406</v>
      </c>
      <c r="S50" s="101" t="s">
        <v>2747</v>
      </c>
      <c r="T50" s="69"/>
    </row>
    <row r="51" spans="1:20" ht="57.6" x14ac:dyDescent="0.3">
      <c r="A51" s="98">
        <f t="shared" si="3"/>
        <v>48</v>
      </c>
      <c r="B51" s="506" t="s">
        <v>301</v>
      </c>
      <c r="C51" s="492">
        <v>45811</v>
      </c>
      <c r="D51" s="369"/>
      <c r="E51" s="110" t="s">
        <v>3144</v>
      </c>
      <c r="F51" s="101" t="s">
        <v>51</v>
      </c>
      <c r="G51" s="376" t="s">
        <v>8</v>
      </c>
      <c r="H51" s="493">
        <v>45811</v>
      </c>
      <c r="I51" s="341"/>
      <c r="J51" s="102" t="s">
        <v>3095</v>
      </c>
      <c r="K51" s="494"/>
      <c r="L51" s="495"/>
      <c r="M51" s="496"/>
      <c r="N51" s="497"/>
      <c r="O51" s="498"/>
      <c r="P51" s="499"/>
      <c r="Q51" s="500">
        <v>45812</v>
      </c>
      <c r="R51" s="148">
        <f>Q51-H51</f>
        <v>1</v>
      </c>
      <c r="S51" s="101" t="s">
        <v>94</v>
      </c>
      <c r="T51" s="69"/>
    </row>
    <row r="52" spans="1:20" ht="57.6" x14ac:dyDescent="0.3">
      <c r="A52" s="98">
        <f t="shared" si="3"/>
        <v>49</v>
      </c>
      <c r="B52" s="506">
        <v>1550</v>
      </c>
      <c r="C52" s="492">
        <v>45811</v>
      </c>
      <c r="D52" s="369"/>
      <c r="E52" s="110" t="s">
        <v>3145</v>
      </c>
      <c r="F52" s="794" t="s">
        <v>51</v>
      </c>
      <c r="G52" s="374" t="s">
        <v>8</v>
      </c>
      <c r="H52" s="524">
        <v>45811</v>
      </c>
      <c r="I52" s="545"/>
      <c r="J52" s="299" t="s">
        <v>3095</v>
      </c>
      <c r="K52" s="547"/>
      <c r="L52" s="548"/>
      <c r="M52" s="549"/>
      <c r="N52" s="550"/>
      <c r="O52" s="548"/>
      <c r="P52" s="549"/>
      <c r="Q52" s="539">
        <v>45812</v>
      </c>
      <c r="R52" s="148">
        <f>Q52-H52</f>
        <v>1</v>
      </c>
      <c r="S52" s="101" t="s">
        <v>3146</v>
      </c>
      <c r="T52" s="167"/>
    </row>
    <row r="53" spans="1:20" ht="57.6" x14ac:dyDescent="0.3">
      <c r="A53" s="98">
        <f t="shared" si="3"/>
        <v>50</v>
      </c>
      <c r="B53" s="506" t="s">
        <v>301</v>
      </c>
      <c r="C53" s="492">
        <v>45811</v>
      </c>
      <c r="D53" s="369"/>
      <c r="E53" s="271" t="s">
        <v>3147</v>
      </c>
      <c r="F53" s="101" t="s">
        <v>51</v>
      </c>
      <c r="G53" s="112" t="s">
        <v>8</v>
      </c>
      <c r="H53" s="493">
        <v>45811</v>
      </c>
      <c r="I53" s="25"/>
      <c r="J53" s="100" t="s">
        <v>3095</v>
      </c>
      <c r="K53" s="494"/>
      <c r="L53" s="495"/>
      <c r="M53" s="496"/>
      <c r="N53" s="497"/>
      <c r="O53" s="498"/>
      <c r="P53" s="499"/>
      <c r="Q53" s="501">
        <v>45812</v>
      </c>
      <c r="R53" s="148">
        <f>Q53-H53</f>
        <v>1</v>
      </c>
      <c r="S53" s="101" t="s">
        <v>94</v>
      </c>
      <c r="T53" s="69"/>
    </row>
    <row r="54" spans="1:20" ht="57.6" x14ac:dyDescent="0.3">
      <c r="A54" s="98">
        <f t="shared" si="3"/>
        <v>51</v>
      </c>
      <c r="B54" s="506" t="s">
        <v>301</v>
      </c>
      <c r="C54" s="492">
        <v>45811</v>
      </c>
      <c r="D54" s="369"/>
      <c r="E54" s="479" t="s">
        <v>3148</v>
      </c>
      <c r="F54" s="101" t="s">
        <v>51</v>
      </c>
      <c r="G54" s="112" t="s">
        <v>8</v>
      </c>
      <c r="H54" s="493">
        <v>45811</v>
      </c>
      <c r="I54" s="25"/>
      <c r="J54" s="100" t="s">
        <v>3095</v>
      </c>
      <c r="K54" s="494"/>
      <c r="L54" s="495"/>
      <c r="M54" s="496"/>
      <c r="N54" s="497"/>
      <c r="O54" s="498"/>
      <c r="P54" s="499"/>
      <c r="Q54" s="501">
        <v>45812</v>
      </c>
      <c r="R54" s="148">
        <f>Q54-H54</f>
        <v>1</v>
      </c>
      <c r="S54" s="101" t="s">
        <v>94</v>
      </c>
      <c r="T54" s="69"/>
    </row>
    <row r="55" spans="1:20" ht="57.6" x14ac:dyDescent="0.3">
      <c r="A55" s="98">
        <f t="shared" si="3"/>
        <v>52</v>
      </c>
      <c r="B55" s="506">
        <v>1550</v>
      </c>
      <c r="C55" s="492">
        <v>45811</v>
      </c>
      <c r="D55" s="369"/>
      <c r="E55" s="479" t="s">
        <v>3149</v>
      </c>
      <c r="F55" s="386" t="s">
        <v>51</v>
      </c>
      <c r="G55" s="376" t="s">
        <v>8</v>
      </c>
      <c r="H55" s="493">
        <v>45811</v>
      </c>
      <c r="I55" s="341"/>
      <c r="J55" s="100" t="s">
        <v>3095</v>
      </c>
      <c r="K55" s="494"/>
      <c r="L55" s="495"/>
      <c r="M55" s="496"/>
      <c r="N55" s="497"/>
      <c r="O55" s="498"/>
      <c r="P55" s="499"/>
      <c r="Q55" s="501">
        <v>45812</v>
      </c>
      <c r="R55" s="148">
        <f>Q55-H55</f>
        <v>1</v>
      </c>
      <c r="S55" s="101" t="s">
        <v>2712</v>
      </c>
      <c r="T55" s="167"/>
    </row>
    <row r="56" spans="1:20" ht="28.8" x14ac:dyDescent="0.3">
      <c r="A56" s="98">
        <f t="shared" si="3"/>
        <v>53</v>
      </c>
      <c r="B56" s="506" t="s">
        <v>80</v>
      </c>
      <c r="C56" s="492">
        <v>45811</v>
      </c>
      <c r="D56" s="369">
        <v>120500221</v>
      </c>
      <c r="E56" s="479" t="s">
        <v>3150</v>
      </c>
      <c r="F56" s="101" t="s">
        <v>23</v>
      </c>
      <c r="G56" s="112" t="s">
        <v>6</v>
      </c>
      <c r="H56" s="493">
        <v>45811</v>
      </c>
      <c r="I56" s="25"/>
      <c r="J56" s="100" t="s">
        <v>135</v>
      </c>
      <c r="K56" s="494"/>
      <c r="L56" s="495"/>
      <c r="M56" s="496"/>
      <c r="N56" s="497"/>
      <c r="O56" s="498"/>
      <c r="P56" s="499"/>
      <c r="Q56" s="501">
        <v>45812</v>
      </c>
      <c r="R56" s="148">
        <f>Q56/H56</f>
        <v>1.000021828818406</v>
      </c>
      <c r="S56" s="101" t="s">
        <v>2747</v>
      </c>
      <c r="T56" s="69"/>
    </row>
    <row r="57" spans="1:20" ht="57.6" x14ac:dyDescent="0.3">
      <c r="A57" s="98">
        <f t="shared" si="3"/>
        <v>54</v>
      </c>
      <c r="B57" s="506" t="s">
        <v>80</v>
      </c>
      <c r="C57" s="492">
        <v>45811</v>
      </c>
      <c r="D57" s="369">
        <v>83842713</v>
      </c>
      <c r="E57" s="479" t="s">
        <v>3151</v>
      </c>
      <c r="F57" s="101" t="s">
        <v>17</v>
      </c>
      <c r="G57" s="112" t="s">
        <v>6</v>
      </c>
      <c r="H57" s="493">
        <v>45811</v>
      </c>
      <c r="I57" s="25"/>
      <c r="J57" s="100" t="s">
        <v>82</v>
      </c>
      <c r="K57" s="494"/>
      <c r="L57" s="495"/>
      <c r="M57" s="496"/>
      <c r="N57" s="497"/>
      <c r="O57" s="498"/>
      <c r="P57" s="499"/>
      <c r="Q57" s="501">
        <v>45812</v>
      </c>
      <c r="R57" s="148">
        <f>Q57/H57</f>
        <v>1.000021828818406</v>
      </c>
      <c r="S57" s="101" t="s">
        <v>2747</v>
      </c>
      <c r="T57" s="69"/>
    </row>
    <row r="58" spans="1:20" ht="57.6" x14ac:dyDescent="0.3">
      <c r="A58" s="98">
        <f t="shared" si="3"/>
        <v>55</v>
      </c>
      <c r="B58" s="506">
        <v>1550</v>
      </c>
      <c r="C58" s="492">
        <v>45811</v>
      </c>
      <c r="D58" s="369"/>
      <c r="E58" s="479" t="s">
        <v>3152</v>
      </c>
      <c r="F58" s="101" t="s">
        <v>51</v>
      </c>
      <c r="G58" s="112" t="s">
        <v>8</v>
      </c>
      <c r="H58" s="493">
        <v>45811</v>
      </c>
      <c r="I58" s="25"/>
      <c r="J58" s="100" t="s">
        <v>3095</v>
      </c>
      <c r="K58" s="494"/>
      <c r="L58" s="495"/>
      <c r="M58" s="496"/>
      <c r="N58" s="497"/>
      <c r="O58" s="498"/>
      <c r="P58" s="499"/>
      <c r="Q58" s="501">
        <v>45812</v>
      </c>
      <c r="R58" s="148">
        <f>Q58-H58</f>
        <v>1</v>
      </c>
      <c r="S58" s="101" t="s">
        <v>3146</v>
      </c>
      <c r="T58" s="69"/>
    </row>
    <row r="59" spans="1:20" ht="57.6" x14ac:dyDescent="0.3">
      <c r="A59" s="98">
        <f t="shared" si="3"/>
        <v>56</v>
      </c>
      <c r="B59" s="506">
        <v>1550</v>
      </c>
      <c r="C59" s="492">
        <v>45811</v>
      </c>
      <c r="D59" s="369"/>
      <c r="E59" s="395" t="s">
        <v>3153</v>
      </c>
      <c r="F59" s="101" t="s">
        <v>1314</v>
      </c>
      <c r="G59" s="112" t="s">
        <v>6</v>
      </c>
      <c r="H59" s="493">
        <v>45811</v>
      </c>
      <c r="I59" s="25"/>
      <c r="J59" s="100" t="s">
        <v>99</v>
      </c>
      <c r="K59" s="494"/>
      <c r="L59" s="495"/>
      <c r="M59" s="496"/>
      <c r="N59" s="497"/>
      <c r="O59" s="498"/>
      <c r="P59" s="499"/>
      <c r="Q59" s="501">
        <v>45812</v>
      </c>
      <c r="R59" s="148">
        <f t="shared" ref="R59:R65" si="5">Q59/H59</f>
        <v>1.000021828818406</v>
      </c>
      <c r="S59" s="101" t="s">
        <v>2747</v>
      </c>
      <c r="T59" s="167"/>
    </row>
    <row r="60" spans="1:20" ht="57.6" x14ac:dyDescent="0.3">
      <c r="A60" s="98">
        <f t="shared" si="3"/>
        <v>57</v>
      </c>
      <c r="B60" s="506">
        <v>1550</v>
      </c>
      <c r="C60" s="492">
        <v>45811</v>
      </c>
      <c r="D60" s="369"/>
      <c r="E60" s="395" t="s">
        <v>3154</v>
      </c>
      <c r="F60" s="386" t="s">
        <v>1314</v>
      </c>
      <c r="G60" s="376" t="s">
        <v>6</v>
      </c>
      <c r="H60" s="493">
        <v>45811</v>
      </c>
      <c r="I60" s="341"/>
      <c r="J60" s="100" t="s">
        <v>99</v>
      </c>
      <c r="K60" s="494"/>
      <c r="L60" s="495"/>
      <c r="M60" s="496"/>
      <c r="N60" s="497"/>
      <c r="O60" s="498"/>
      <c r="P60" s="499"/>
      <c r="Q60" s="501">
        <v>45812</v>
      </c>
      <c r="R60" s="148">
        <f t="shared" si="5"/>
        <v>1.000021828818406</v>
      </c>
      <c r="S60" s="101" t="s">
        <v>1936</v>
      </c>
      <c r="T60" s="167"/>
    </row>
    <row r="61" spans="1:20" ht="57.6" x14ac:dyDescent="0.3">
      <c r="A61" s="98">
        <f t="shared" si="3"/>
        <v>58</v>
      </c>
      <c r="B61" s="506">
        <v>1550</v>
      </c>
      <c r="C61" s="492">
        <v>45811</v>
      </c>
      <c r="D61" s="369"/>
      <c r="E61" s="395" t="s">
        <v>3155</v>
      </c>
      <c r="F61" s="101" t="s">
        <v>1314</v>
      </c>
      <c r="G61" s="112" t="s">
        <v>6</v>
      </c>
      <c r="H61" s="493">
        <v>45811</v>
      </c>
      <c r="I61" s="25"/>
      <c r="J61" s="100" t="s">
        <v>99</v>
      </c>
      <c r="K61" s="494"/>
      <c r="L61" s="495"/>
      <c r="M61" s="496"/>
      <c r="N61" s="497"/>
      <c r="O61" s="498"/>
      <c r="P61" s="499"/>
      <c r="Q61" s="501">
        <v>45812</v>
      </c>
      <c r="R61" s="148">
        <f t="shared" si="5"/>
        <v>1.000021828818406</v>
      </c>
      <c r="S61" s="101" t="s">
        <v>1936</v>
      </c>
      <c r="T61" s="69"/>
    </row>
    <row r="62" spans="1:20" ht="57.6" x14ac:dyDescent="0.3">
      <c r="A62" s="98">
        <f t="shared" si="3"/>
        <v>59</v>
      </c>
      <c r="B62" s="506">
        <v>1550</v>
      </c>
      <c r="C62" s="492">
        <v>45811</v>
      </c>
      <c r="D62" s="369"/>
      <c r="E62" s="395" t="s">
        <v>3156</v>
      </c>
      <c r="F62" s="101" t="s">
        <v>1314</v>
      </c>
      <c r="G62" s="112" t="s">
        <v>6</v>
      </c>
      <c r="H62" s="493">
        <v>45811</v>
      </c>
      <c r="I62" s="25"/>
      <c r="J62" s="100" t="s">
        <v>99</v>
      </c>
      <c r="K62" s="494"/>
      <c r="L62" s="495"/>
      <c r="M62" s="496"/>
      <c r="N62" s="497"/>
      <c r="O62" s="498"/>
      <c r="P62" s="499"/>
      <c r="Q62" s="501">
        <v>45812</v>
      </c>
      <c r="R62" s="148">
        <f t="shared" si="5"/>
        <v>1.000021828818406</v>
      </c>
      <c r="S62" s="101" t="s">
        <v>1860</v>
      </c>
      <c r="T62" s="69"/>
    </row>
    <row r="63" spans="1:20" ht="57.6" x14ac:dyDescent="0.3">
      <c r="A63" s="98">
        <f t="shared" si="3"/>
        <v>60</v>
      </c>
      <c r="B63" s="506">
        <v>1550</v>
      </c>
      <c r="C63" s="492">
        <v>45811</v>
      </c>
      <c r="D63" s="369"/>
      <c r="E63" s="395" t="s">
        <v>3157</v>
      </c>
      <c r="F63" s="386" t="s">
        <v>1314</v>
      </c>
      <c r="G63" s="112" t="s">
        <v>6</v>
      </c>
      <c r="H63" s="493">
        <v>45811</v>
      </c>
      <c r="I63" s="341"/>
      <c r="J63" s="100" t="s">
        <v>99</v>
      </c>
      <c r="K63" s="494"/>
      <c r="L63" s="495"/>
      <c r="M63" s="496"/>
      <c r="N63" s="497"/>
      <c r="O63" s="498"/>
      <c r="P63" s="499"/>
      <c r="Q63" s="501">
        <v>45812</v>
      </c>
      <c r="R63" s="148">
        <f t="shared" si="5"/>
        <v>1.000021828818406</v>
      </c>
      <c r="S63" s="101" t="s">
        <v>1860</v>
      </c>
      <c r="T63" s="57"/>
    </row>
    <row r="64" spans="1:20" ht="57.6" x14ac:dyDescent="0.3">
      <c r="A64" s="98">
        <f t="shared" si="3"/>
        <v>61</v>
      </c>
      <c r="B64" s="506">
        <v>1550</v>
      </c>
      <c r="C64" s="492">
        <v>45811</v>
      </c>
      <c r="D64" s="369"/>
      <c r="E64" s="479" t="s">
        <v>3158</v>
      </c>
      <c r="F64" s="101" t="s">
        <v>1314</v>
      </c>
      <c r="G64" s="112" t="s">
        <v>6</v>
      </c>
      <c r="H64" s="493">
        <v>45811</v>
      </c>
      <c r="I64" s="25"/>
      <c r="J64" s="100" t="s">
        <v>99</v>
      </c>
      <c r="K64" s="494"/>
      <c r="L64" s="495"/>
      <c r="M64" s="496"/>
      <c r="N64" s="497"/>
      <c r="O64" s="498"/>
      <c r="P64" s="499"/>
      <c r="Q64" s="501">
        <v>45812</v>
      </c>
      <c r="R64" s="148">
        <f t="shared" si="5"/>
        <v>1.000021828818406</v>
      </c>
      <c r="S64" s="101" t="s">
        <v>1860</v>
      </c>
      <c r="T64" s="167"/>
    </row>
    <row r="65" spans="1:20" ht="57.6" x14ac:dyDescent="0.3">
      <c r="A65" s="98">
        <f t="shared" si="3"/>
        <v>62</v>
      </c>
      <c r="B65" s="506">
        <v>1550</v>
      </c>
      <c r="C65" s="492">
        <v>45811</v>
      </c>
      <c r="D65" s="369"/>
      <c r="E65" s="479" t="s">
        <v>3159</v>
      </c>
      <c r="F65" s="386" t="s">
        <v>1314</v>
      </c>
      <c r="G65" s="112" t="s">
        <v>6</v>
      </c>
      <c r="H65" s="493">
        <v>45811</v>
      </c>
      <c r="I65" s="341"/>
      <c r="J65" s="100" t="s">
        <v>99</v>
      </c>
      <c r="K65" s="494"/>
      <c r="L65" s="495"/>
      <c r="M65" s="496"/>
      <c r="N65" s="497"/>
      <c r="O65" s="498"/>
      <c r="P65" s="499"/>
      <c r="Q65" s="501">
        <v>45812</v>
      </c>
      <c r="R65" s="148">
        <f t="shared" si="5"/>
        <v>1.000021828818406</v>
      </c>
      <c r="S65" s="101" t="s">
        <v>2747</v>
      </c>
      <c r="T65" s="167"/>
    </row>
    <row r="66" spans="1:20" ht="57.6" x14ac:dyDescent="0.3">
      <c r="A66" s="98">
        <f t="shared" si="3"/>
        <v>63</v>
      </c>
      <c r="B66" s="506">
        <v>1550</v>
      </c>
      <c r="C66" s="492">
        <v>45811</v>
      </c>
      <c r="D66" s="369"/>
      <c r="E66" s="479" t="s">
        <v>3160</v>
      </c>
      <c r="F66" s="101" t="s">
        <v>51</v>
      </c>
      <c r="G66" s="112" t="s">
        <v>10</v>
      </c>
      <c r="H66" s="493">
        <v>45811</v>
      </c>
      <c r="I66" s="25"/>
      <c r="J66" s="107" t="s">
        <v>3095</v>
      </c>
      <c r="K66" s="507"/>
      <c r="L66" s="508"/>
      <c r="M66" s="365"/>
      <c r="N66" s="509"/>
      <c r="O66" s="510"/>
      <c r="P66" s="511"/>
      <c r="Q66" s="501">
        <v>45812</v>
      </c>
      <c r="R66" s="148">
        <f>Q66-H66</f>
        <v>1</v>
      </c>
      <c r="S66" s="101" t="s">
        <v>214</v>
      </c>
      <c r="T66" s="167"/>
    </row>
    <row r="67" spans="1:20" ht="57.6" x14ac:dyDescent="0.3">
      <c r="A67" s="98">
        <f ca="1">A76+1</f>
        <v>77</v>
      </c>
      <c r="B67" s="506">
        <v>1550</v>
      </c>
      <c r="C67" s="492">
        <v>45811</v>
      </c>
      <c r="D67" s="369"/>
      <c r="E67" s="479" t="s">
        <v>3161</v>
      </c>
      <c r="F67" s="386" t="s">
        <v>51</v>
      </c>
      <c r="G67" s="112" t="s">
        <v>10</v>
      </c>
      <c r="H67" s="493">
        <v>45811</v>
      </c>
      <c r="I67" s="341"/>
      <c r="J67" s="100" t="s">
        <v>3095</v>
      </c>
      <c r="K67" s="494"/>
      <c r="L67" s="495"/>
      <c r="M67" s="496"/>
      <c r="N67" s="497"/>
      <c r="O67" s="498"/>
      <c r="P67" s="499"/>
      <c r="Q67" s="501">
        <v>45812</v>
      </c>
      <c r="R67" s="148">
        <f>Q67-H67</f>
        <v>1</v>
      </c>
      <c r="S67" s="101" t="s">
        <v>214</v>
      </c>
      <c r="T67" s="69"/>
    </row>
    <row r="68" spans="1:20" ht="201.6" x14ac:dyDescent="0.3">
      <c r="A68" s="98">
        <f t="shared" ref="A68:A103" ca="1" si="6">A67+1</f>
        <v>79</v>
      </c>
      <c r="B68" s="506">
        <v>1550</v>
      </c>
      <c r="C68" s="492">
        <v>45811</v>
      </c>
      <c r="D68" s="369">
        <v>120552752</v>
      </c>
      <c r="E68" s="482" t="s">
        <v>3162</v>
      </c>
      <c r="F68" s="386" t="s">
        <v>1</v>
      </c>
      <c r="G68" s="112" t="s">
        <v>10</v>
      </c>
      <c r="H68" s="493">
        <v>45811</v>
      </c>
      <c r="I68" s="341"/>
      <c r="J68" s="102" t="s">
        <v>2352</v>
      </c>
      <c r="K68" s="494"/>
      <c r="L68" s="495"/>
      <c r="M68" s="496"/>
      <c r="N68" s="497"/>
      <c r="O68" s="498"/>
      <c r="P68" s="499"/>
      <c r="Q68" s="501">
        <v>45812</v>
      </c>
      <c r="R68" s="148">
        <f>Q68-H68</f>
        <v>1</v>
      </c>
      <c r="S68" s="101" t="s">
        <v>1806</v>
      </c>
      <c r="T68" s="69"/>
    </row>
    <row r="69" spans="1:20" ht="57.6" x14ac:dyDescent="0.3">
      <c r="A69" s="98">
        <f t="shared" ca="1" si="6"/>
        <v>81</v>
      </c>
      <c r="B69" s="491">
        <v>1550</v>
      </c>
      <c r="C69" s="492">
        <v>45812</v>
      </c>
      <c r="D69" s="369"/>
      <c r="E69" s="212" t="s">
        <v>3163</v>
      </c>
      <c r="F69" s="386" t="s">
        <v>51</v>
      </c>
      <c r="G69" s="112" t="s">
        <v>8</v>
      </c>
      <c r="H69" s="493">
        <v>45812</v>
      </c>
      <c r="I69" s="25"/>
      <c r="J69" s="100" t="s">
        <v>3095</v>
      </c>
      <c r="K69" s="494"/>
      <c r="L69" s="495"/>
      <c r="M69" s="496"/>
      <c r="N69" s="497"/>
      <c r="O69" s="498"/>
      <c r="P69" s="499"/>
      <c r="Q69" s="500">
        <v>45812</v>
      </c>
      <c r="R69" s="148">
        <f>Q69-H69</f>
        <v>0</v>
      </c>
      <c r="S69" s="101" t="s">
        <v>2712</v>
      </c>
      <c r="T69" s="69"/>
    </row>
    <row r="70" spans="1:20" ht="43.2" x14ac:dyDescent="0.3">
      <c r="A70" s="98">
        <f t="shared" ca="1" si="6"/>
        <v>84</v>
      </c>
      <c r="B70" s="491">
        <v>1550</v>
      </c>
      <c r="C70" s="492">
        <v>45812</v>
      </c>
      <c r="D70" s="369" t="s">
        <v>3164</v>
      </c>
      <c r="E70" s="110" t="s">
        <v>3165</v>
      </c>
      <c r="F70" s="386" t="s">
        <v>33</v>
      </c>
      <c r="G70" s="112" t="s">
        <v>6</v>
      </c>
      <c r="H70" s="493">
        <v>45812</v>
      </c>
      <c r="I70" s="25"/>
      <c r="J70" s="728" t="s">
        <v>99</v>
      </c>
      <c r="K70" s="494"/>
      <c r="L70" s="495"/>
      <c r="M70" s="496"/>
      <c r="N70" s="497"/>
      <c r="O70" s="498"/>
      <c r="P70" s="499"/>
      <c r="Q70" s="500">
        <v>45812</v>
      </c>
      <c r="R70" s="148">
        <f>Q70/H70</f>
        <v>1</v>
      </c>
      <c r="S70" s="101" t="s">
        <v>1816</v>
      </c>
      <c r="T70" s="69"/>
    </row>
    <row r="71" spans="1:20" ht="28.8" x14ac:dyDescent="0.3">
      <c r="A71" s="98">
        <f t="shared" ca="1" si="6"/>
        <v>89</v>
      </c>
      <c r="B71" s="491">
        <v>1550</v>
      </c>
      <c r="C71" s="282">
        <v>45812</v>
      </c>
      <c r="D71" s="504"/>
      <c r="E71" s="110" t="s">
        <v>3166</v>
      </c>
      <c r="F71" s="386" t="s">
        <v>17</v>
      </c>
      <c r="G71" s="112" t="s">
        <v>8</v>
      </c>
      <c r="H71" s="493">
        <v>45812</v>
      </c>
      <c r="I71" s="341"/>
      <c r="J71" s="100" t="s">
        <v>82</v>
      </c>
      <c r="K71" s="494"/>
      <c r="L71" s="495"/>
      <c r="M71" s="496"/>
      <c r="N71" s="497"/>
      <c r="O71" s="498"/>
      <c r="P71" s="499"/>
      <c r="Q71" s="500">
        <v>45812</v>
      </c>
      <c r="R71" s="148">
        <f>Q71-H71</f>
        <v>0</v>
      </c>
      <c r="S71" s="101" t="s">
        <v>1727</v>
      </c>
      <c r="T71" s="69"/>
    </row>
    <row r="72" spans="1:20" ht="43.2" x14ac:dyDescent="0.3">
      <c r="A72" s="98">
        <f t="shared" ca="1" si="6"/>
        <v>93</v>
      </c>
      <c r="B72" s="506">
        <v>1550</v>
      </c>
      <c r="C72" s="492">
        <v>45812</v>
      </c>
      <c r="D72" s="369">
        <v>53084764</v>
      </c>
      <c r="E72" s="110" t="s">
        <v>3167</v>
      </c>
      <c r="F72" s="386" t="s">
        <v>32</v>
      </c>
      <c r="G72" s="112" t="s">
        <v>8</v>
      </c>
      <c r="H72" s="493">
        <v>45812</v>
      </c>
      <c r="I72" s="341"/>
      <c r="J72" s="100" t="s">
        <v>106</v>
      </c>
      <c r="K72" s="494"/>
      <c r="L72" s="495"/>
      <c r="M72" s="496"/>
      <c r="N72" s="497"/>
      <c r="O72" s="498"/>
      <c r="P72" s="499"/>
      <c r="Q72" s="500">
        <v>45812</v>
      </c>
      <c r="R72" s="148">
        <f>Q72-H72</f>
        <v>0</v>
      </c>
      <c r="S72" s="101" t="s">
        <v>2712</v>
      </c>
      <c r="T72" s="69"/>
    </row>
    <row r="73" spans="1:20" ht="43.2" x14ac:dyDescent="0.3">
      <c r="A73" s="98">
        <f t="shared" ca="1" si="6"/>
        <v>98</v>
      </c>
      <c r="B73" s="506">
        <v>1550</v>
      </c>
      <c r="C73" s="492">
        <v>45812</v>
      </c>
      <c r="D73" s="369">
        <v>4323742</v>
      </c>
      <c r="E73" s="270" t="s">
        <v>3168</v>
      </c>
      <c r="F73" s="386" t="s">
        <v>57</v>
      </c>
      <c r="G73" s="221" t="s">
        <v>6</v>
      </c>
      <c r="H73" s="493">
        <v>45812</v>
      </c>
      <c r="I73" s="341"/>
      <c r="J73" s="728" t="s">
        <v>253</v>
      </c>
      <c r="K73" s="494"/>
      <c r="L73" s="495"/>
      <c r="M73" s="496"/>
      <c r="N73" s="497"/>
      <c r="O73" s="498"/>
      <c r="P73" s="499"/>
      <c r="Q73" s="500">
        <v>45812</v>
      </c>
      <c r="R73" s="148">
        <f>Q73/H73</f>
        <v>1</v>
      </c>
      <c r="S73" s="101" t="s">
        <v>2747</v>
      </c>
      <c r="T73" s="69"/>
    </row>
    <row r="74" spans="1:20" x14ac:dyDescent="0.3">
      <c r="A74" s="98">
        <f t="shared" ca="1" si="6"/>
        <v>13</v>
      </c>
      <c r="B74" s="536" t="s">
        <v>301</v>
      </c>
      <c r="C74" s="546">
        <v>45810</v>
      </c>
      <c r="D74" s="369">
        <v>4604059</v>
      </c>
      <c r="E74" s="308" t="s">
        <v>3169</v>
      </c>
      <c r="F74" s="385" t="s">
        <v>58</v>
      </c>
      <c r="G74" s="373" t="s">
        <v>4</v>
      </c>
      <c r="H74" s="524">
        <v>45810</v>
      </c>
      <c r="I74" s="545"/>
      <c r="J74" s="102" t="s">
        <v>22</v>
      </c>
      <c r="K74" s="532"/>
      <c r="L74" s="533"/>
      <c r="M74" s="534"/>
      <c r="N74" s="532"/>
      <c r="O74" s="533"/>
      <c r="P74" s="534"/>
      <c r="Q74" s="539">
        <v>45813</v>
      </c>
      <c r="R74" s="148">
        <f>Q74-H74</f>
        <v>3</v>
      </c>
      <c r="S74" s="200" t="s">
        <v>3096</v>
      </c>
      <c r="T74" s="315"/>
    </row>
    <row r="75" spans="1:20" ht="72" x14ac:dyDescent="0.3">
      <c r="A75" s="98">
        <f t="shared" ca="1" si="6"/>
        <v>20</v>
      </c>
      <c r="B75" s="536" t="s">
        <v>80</v>
      </c>
      <c r="C75" s="546">
        <v>45810</v>
      </c>
      <c r="D75" s="790">
        <v>19692862</v>
      </c>
      <c r="E75" s="308" t="s">
        <v>3170</v>
      </c>
      <c r="F75" s="385" t="s">
        <v>1</v>
      </c>
      <c r="G75" s="373" t="s">
        <v>6</v>
      </c>
      <c r="H75" s="524">
        <v>45810</v>
      </c>
      <c r="I75" s="545"/>
      <c r="J75" s="102" t="s">
        <v>99</v>
      </c>
      <c r="K75" s="532"/>
      <c r="L75" s="533"/>
      <c r="M75" s="534"/>
      <c r="N75" s="532"/>
      <c r="O75" s="533"/>
      <c r="P75" s="534"/>
      <c r="Q75" s="539">
        <v>45813</v>
      </c>
      <c r="R75" s="148">
        <f>Q75/H75</f>
        <v>1.0000654878847413</v>
      </c>
      <c r="S75" s="200" t="s">
        <v>2747</v>
      </c>
      <c r="T75" s="535"/>
    </row>
    <row r="76" spans="1:20" ht="72" x14ac:dyDescent="0.3">
      <c r="A76" s="98">
        <f t="shared" ca="1" si="6"/>
        <v>21</v>
      </c>
      <c r="B76" s="536" t="s">
        <v>80</v>
      </c>
      <c r="C76" s="546">
        <v>45810</v>
      </c>
      <c r="D76" s="369">
        <v>9608974</v>
      </c>
      <c r="E76" s="308" t="s">
        <v>3170</v>
      </c>
      <c r="F76" s="384" t="s">
        <v>1</v>
      </c>
      <c r="G76" s="373" t="s">
        <v>6</v>
      </c>
      <c r="H76" s="524">
        <v>45810</v>
      </c>
      <c r="I76" s="545"/>
      <c r="J76" s="102" t="s">
        <v>99</v>
      </c>
      <c r="K76" s="532"/>
      <c r="L76" s="533"/>
      <c r="M76" s="534"/>
      <c r="N76" s="532"/>
      <c r="O76" s="533"/>
      <c r="P76" s="534"/>
      <c r="Q76" s="539">
        <v>45813</v>
      </c>
      <c r="R76" s="148">
        <f>Q76/H76</f>
        <v>1.0000654878847413</v>
      </c>
      <c r="S76" s="200" t="s">
        <v>2747</v>
      </c>
      <c r="T76" s="535"/>
    </row>
    <row r="77" spans="1:20" ht="48.75" customHeight="1" x14ac:dyDescent="0.3">
      <c r="A77" s="98">
        <f t="shared" ca="1" si="6"/>
        <v>51</v>
      </c>
      <c r="B77" s="491" t="s">
        <v>301</v>
      </c>
      <c r="C77" s="492">
        <v>45811</v>
      </c>
      <c r="D77" s="369"/>
      <c r="E77" s="270" t="s">
        <v>3171</v>
      </c>
      <c r="F77" s="386" t="s">
        <v>51</v>
      </c>
      <c r="G77" s="221" t="s">
        <v>4</v>
      </c>
      <c r="H77" s="493">
        <v>45811</v>
      </c>
      <c r="I77" s="341"/>
      <c r="J77" s="100" t="s">
        <v>3095</v>
      </c>
      <c r="K77" s="494"/>
      <c r="L77" s="495"/>
      <c r="M77" s="496"/>
      <c r="N77" s="497"/>
      <c r="O77" s="498"/>
      <c r="P77" s="499"/>
      <c r="Q77" s="501">
        <v>45813</v>
      </c>
      <c r="R77" s="148">
        <f t="shared" ref="R77:R82" si="7">Q77-H77</f>
        <v>2</v>
      </c>
      <c r="S77" s="101" t="s">
        <v>1316</v>
      </c>
      <c r="T77" s="69"/>
    </row>
    <row r="78" spans="1:20" ht="48.75" customHeight="1" x14ac:dyDescent="0.3">
      <c r="A78" s="98">
        <f t="shared" ca="1" si="6"/>
        <v>53</v>
      </c>
      <c r="B78" s="506">
        <v>1550</v>
      </c>
      <c r="C78" s="492">
        <v>45811</v>
      </c>
      <c r="D78" s="369"/>
      <c r="E78" s="270" t="s">
        <v>3172</v>
      </c>
      <c r="F78" s="386" t="s">
        <v>51</v>
      </c>
      <c r="G78" s="221" t="s">
        <v>4</v>
      </c>
      <c r="H78" s="493">
        <v>45811</v>
      </c>
      <c r="I78" s="341"/>
      <c r="J78" s="100" t="s">
        <v>3095</v>
      </c>
      <c r="K78" s="494"/>
      <c r="L78" s="495"/>
      <c r="M78" s="496"/>
      <c r="N78" s="497"/>
      <c r="O78" s="498"/>
      <c r="P78" s="499"/>
      <c r="Q78" s="501">
        <v>45813</v>
      </c>
      <c r="R78" s="148">
        <f t="shared" si="7"/>
        <v>2</v>
      </c>
      <c r="S78" s="101" t="s">
        <v>2979</v>
      </c>
      <c r="T78" s="69"/>
    </row>
    <row r="79" spans="1:20" ht="48.75" customHeight="1" x14ac:dyDescent="0.3">
      <c r="A79" s="98">
        <f t="shared" ca="1" si="6"/>
        <v>54</v>
      </c>
      <c r="B79" s="553">
        <v>1550</v>
      </c>
      <c r="C79" s="492">
        <v>45811</v>
      </c>
      <c r="D79" s="537"/>
      <c r="E79" s="275" t="s">
        <v>3173</v>
      </c>
      <c r="F79" s="386" t="s">
        <v>51</v>
      </c>
      <c r="G79" s="221" t="s">
        <v>4</v>
      </c>
      <c r="H79" s="493">
        <v>45811</v>
      </c>
      <c r="I79" s="341"/>
      <c r="J79" s="100" t="s">
        <v>3095</v>
      </c>
      <c r="K79" s="494"/>
      <c r="L79" s="495"/>
      <c r="M79" s="496"/>
      <c r="N79" s="497"/>
      <c r="O79" s="498"/>
      <c r="P79" s="499"/>
      <c r="Q79" s="501">
        <v>45813</v>
      </c>
      <c r="R79" s="148">
        <f t="shared" si="7"/>
        <v>2</v>
      </c>
      <c r="S79" s="101" t="s">
        <v>2979</v>
      </c>
      <c r="T79" s="69"/>
    </row>
    <row r="80" spans="1:20" ht="48.75" customHeight="1" x14ac:dyDescent="0.3">
      <c r="A80" s="98">
        <f t="shared" ca="1" si="6"/>
        <v>75</v>
      </c>
      <c r="B80" s="111" t="s">
        <v>301</v>
      </c>
      <c r="C80" s="492">
        <v>45811</v>
      </c>
      <c r="D80" s="219">
        <v>56885393</v>
      </c>
      <c r="E80" s="122" t="s">
        <v>3174</v>
      </c>
      <c r="F80" s="111" t="s">
        <v>12</v>
      </c>
      <c r="G80" s="112" t="s">
        <v>10</v>
      </c>
      <c r="H80" s="493">
        <v>45811</v>
      </c>
      <c r="I80" s="341"/>
      <c r="J80" s="742" t="s">
        <v>3175</v>
      </c>
      <c r="K80" s="494"/>
      <c r="L80" s="495"/>
      <c r="M80" s="496"/>
      <c r="N80" s="497"/>
      <c r="O80" s="498"/>
      <c r="P80" s="499"/>
      <c r="Q80" s="501">
        <v>45813</v>
      </c>
      <c r="R80" s="148">
        <f t="shared" si="7"/>
        <v>2</v>
      </c>
      <c r="S80" s="101" t="s">
        <v>1366</v>
      </c>
      <c r="T80" s="69"/>
    </row>
    <row r="81" spans="1:20" ht="48.75" customHeight="1" x14ac:dyDescent="0.3">
      <c r="A81" s="98">
        <f t="shared" ca="1" si="6"/>
        <v>78</v>
      </c>
      <c r="B81" s="554" t="s">
        <v>80</v>
      </c>
      <c r="C81" s="492">
        <v>45811</v>
      </c>
      <c r="D81" s="369">
        <v>8313369</v>
      </c>
      <c r="E81" s="480" t="s">
        <v>3176</v>
      </c>
      <c r="F81" s="101" t="s">
        <v>54</v>
      </c>
      <c r="G81" s="112" t="s">
        <v>10</v>
      </c>
      <c r="H81" s="493">
        <v>45811</v>
      </c>
      <c r="I81" s="555"/>
      <c r="J81" s="728" t="s">
        <v>3177</v>
      </c>
      <c r="K81" s="494"/>
      <c r="L81" s="495"/>
      <c r="M81" s="496"/>
      <c r="N81" s="497"/>
      <c r="O81" s="498"/>
      <c r="P81" s="499"/>
      <c r="Q81" s="501">
        <v>45813</v>
      </c>
      <c r="R81" s="148">
        <f t="shared" si="7"/>
        <v>2</v>
      </c>
      <c r="S81" s="101" t="s">
        <v>1780</v>
      </c>
      <c r="T81" s="69"/>
    </row>
    <row r="82" spans="1:20" ht="28.8" x14ac:dyDescent="0.3">
      <c r="A82" s="98">
        <f t="shared" ca="1" si="6"/>
        <v>82</v>
      </c>
      <c r="B82" s="491" t="s">
        <v>301</v>
      </c>
      <c r="C82" s="492">
        <v>45812</v>
      </c>
      <c r="D82" s="369">
        <v>27142892</v>
      </c>
      <c r="E82" s="270" t="s">
        <v>3178</v>
      </c>
      <c r="F82" s="386" t="s">
        <v>33</v>
      </c>
      <c r="G82" s="112" t="s">
        <v>8</v>
      </c>
      <c r="H82" s="493">
        <v>45812</v>
      </c>
      <c r="I82" s="341"/>
      <c r="J82" s="100" t="s">
        <v>2432</v>
      </c>
      <c r="K82" s="494"/>
      <c r="L82" s="495"/>
      <c r="M82" s="496"/>
      <c r="N82" s="497"/>
      <c r="O82" s="498"/>
      <c r="P82" s="499"/>
      <c r="Q82" s="500">
        <v>45813</v>
      </c>
      <c r="R82" s="148">
        <f t="shared" si="7"/>
        <v>1</v>
      </c>
      <c r="S82" s="101" t="s">
        <v>1916</v>
      </c>
      <c r="T82" s="69"/>
    </row>
    <row r="83" spans="1:20" ht="57.6" x14ac:dyDescent="0.3">
      <c r="A83" s="98">
        <f t="shared" ca="1" si="6"/>
        <v>87</v>
      </c>
      <c r="B83" s="491">
        <v>1550</v>
      </c>
      <c r="C83" s="282">
        <v>45812</v>
      </c>
      <c r="D83" s="504"/>
      <c r="E83" s="270" t="s">
        <v>3179</v>
      </c>
      <c r="F83" s="101" t="s">
        <v>21</v>
      </c>
      <c r="G83" s="112" t="s">
        <v>6</v>
      </c>
      <c r="H83" s="493">
        <v>45812</v>
      </c>
      <c r="I83" s="25"/>
      <c r="J83" s="100" t="s">
        <v>3180</v>
      </c>
      <c r="K83" s="494"/>
      <c r="L83" s="495"/>
      <c r="M83" s="496"/>
      <c r="N83" s="497"/>
      <c r="O83" s="498"/>
      <c r="P83" s="499"/>
      <c r="Q83" s="500">
        <v>45813</v>
      </c>
      <c r="R83" s="148">
        <f>Q83/H83</f>
        <v>1.0000218283419191</v>
      </c>
      <c r="S83" s="101" t="s">
        <v>1816</v>
      </c>
      <c r="T83" s="69"/>
    </row>
    <row r="84" spans="1:20" ht="57.6" x14ac:dyDescent="0.3">
      <c r="A84" s="98">
        <f t="shared" ca="1" si="6"/>
        <v>88</v>
      </c>
      <c r="B84" s="491">
        <v>1550</v>
      </c>
      <c r="C84" s="282">
        <v>45812</v>
      </c>
      <c r="D84" s="504">
        <v>38096862</v>
      </c>
      <c r="E84" s="270" t="s">
        <v>3181</v>
      </c>
      <c r="F84" s="101" t="s">
        <v>3</v>
      </c>
      <c r="G84" s="112" t="s">
        <v>6</v>
      </c>
      <c r="H84" s="493">
        <v>45812</v>
      </c>
      <c r="I84" s="25">
        <v>10000294738</v>
      </c>
      <c r="J84" s="100" t="s">
        <v>82</v>
      </c>
      <c r="K84" s="494"/>
      <c r="L84" s="495"/>
      <c r="M84" s="496"/>
      <c r="N84" s="497"/>
      <c r="O84" s="498"/>
      <c r="P84" s="499"/>
      <c r="Q84" s="500">
        <v>45813</v>
      </c>
      <c r="R84" s="148">
        <f>Q84/H84</f>
        <v>1.0000218283419191</v>
      </c>
      <c r="S84" s="101" t="s">
        <v>1813</v>
      </c>
      <c r="T84" s="69"/>
    </row>
    <row r="85" spans="1:20" ht="57.6" x14ac:dyDescent="0.3">
      <c r="A85" s="98">
        <f t="shared" ca="1" si="6"/>
        <v>92</v>
      </c>
      <c r="B85" s="491">
        <v>1550</v>
      </c>
      <c r="C85" s="556">
        <v>45812</v>
      </c>
      <c r="D85" s="369"/>
      <c r="E85" s="271" t="s">
        <v>3182</v>
      </c>
      <c r="F85" s="101" t="s">
        <v>51</v>
      </c>
      <c r="G85" s="112" t="s">
        <v>8</v>
      </c>
      <c r="H85" s="493">
        <v>45812</v>
      </c>
      <c r="I85" s="25"/>
      <c r="J85" s="100" t="s">
        <v>3095</v>
      </c>
      <c r="K85" s="494"/>
      <c r="L85" s="495"/>
      <c r="M85" s="496"/>
      <c r="N85" s="497"/>
      <c r="O85" s="498"/>
      <c r="P85" s="499"/>
      <c r="Q85" s="500">
        <v>45813</v>
      </c>
      <c r="R85" s="148">
        <f t="shared" ref="R85:R94" si="8">Q85-H85</f>
        <v>1</v>
      </c>
      <c r="S85" s="101" t="s">
        <v>2712</v>
      </c>
      <c r="T85" s="69"/>
    </row>
    <row r="86" spans="1:20" ht="57.6" x14ac:dyDescent="0.3">
      <c r="A86" s="98">
        <f t="shared" ca="1" si="6"/>
        <v>94</v>
      </c>
      <c r="B86" s="506">
        <v>1550</v>
      </c>
      <c r="C86" s="492">
        <v>45812</v>
      </c>
      <c r="D86" s="369"/>
      <c r="E86" s="270" t="s">
        <v>3183</v>
      </c>
      <c r="F86" s="101" t="s">
        <v>51</v>
      </c>
      <c r="G86" s="221" t="s">
        <v>8</v>
      </c>
      <c r="H86" s="493">
        <v>45812</v>
      </c>
      <c r="I86" s="25"/>
      <c r="J86" s="107" t="s">
        <v>3095</v>
      </c>
      <c r="K86" s="494"/>
      <c r="L86" s="495"/>
      <c r="M86" s="496"/>
      <c r="N86" s="497"/>
      <c r="O86" s="498"/>
      <c r="P86" s="499"/>
      <c r="Q86" s="500">
        <v>45813</v>
      </c>
      <c r="R86" s="148">
        <f t="shared" si="8"/>
        <v>1</v>
      </c>
      <c r="S86" s="101" t="s">
        <v>2712</v>
      </c>
      <c r="T86" s="69"/>
    </row>
    <row r="87" spans="1:20" ht="57.6" x14ac:dyDescent="0.3">
      <c r="A87" s="98">
        <f t="shared" ca="1" si="6"/>
        <v>95</v>
      </c>
      <c r="B87" s="506">
        <v>1550</v>
      </c>
      <c r="C87" s="502">
        <v>45812</v>
      </c>
      <c r="D87" s="369"/>
      <c r="E87" s="213" t="s">
        <v>3184</v>
      </c>
      <c r="F87" s="386" t="s">
        <v>51</v>
      </c>
      <c r="G87" s="221" t="s">
        <v>8</v>
      </c>
      <c r="H87" s="493">
        <v>45812</v>
      </c>
      <c r="I87" s="341"/>
      <c r="J87" s="100" t="s">
        <v>3095</v>
      </c>
      <c r="K87" s="507"/>
      <c r="L87" s="508"/>
      <c r="M87" s="365"/>
      <c r="N87" s="509"/>
      <c r="O87" s="510"/>
      <c r="P87" s="511"/>
      <c r="Q87" s="500">
        <v>45813</v>
      </c>
      <c r="R87" s="148">
        <f t="shared" si="8"/>
        <v>1</v>
      </c>
      <c r="S87" s="101" t="s">
        <v>758</v>
      </c>
      <c r="T87" s="167"/>
    </row>
    <row r="88" spans="1:20" ht="57.6" x14ac:dyDescent="0.3">
      <c r="A88" s="98">
        <f t="shared" ca="1" si="6"/>
        <v>96</v>
      </c>
      <c r="B88" s="506">
        <v>1550</v>
      </c>
      <c r="C88" s="492">
        <v>45812</v>
      </c>
      <c r="D88" s="369"/>
      <c r="E88" s="110" t="s">
        <v>3185</v>
      </c>
      <c r="F88" s="386" t="s">
        <v>51</v>
      </c>
      <c r="G88" s="221" t="s">
        <v>8</v>
      </c>
      <c r="H88" s="493">
        <v>45812</v>
      </c>
      <c r="I88" s="341"/>
      <c r="J88" s="100" t="s">
        <v>3095</v>
      </c>
      <c r="K88" s="507"/>
      <c r="L88" s="508"/>
      <c r="M88" s="365"/>
      <c r="N88" s="509"/>
      <c r="O88" s="510"/>
      <c r="P88" s="511"/>
      <c r="Q88" s="500">
        <v>45813</v>
      </c>
      <c r="R88" s="148">
        <f t="shared" si="8"/>
        <v>1</v>
      </c>
      <c r="S88" s="101" t="s">
        <v>758</v>
      </c>
      <c r="T88" s="167"/>
    </row>
    <row r="89" spans="1:20" ht="57.6" x14ac:dyDescent="0.3">
      <c r="A89" s="98">
        <f t="shared" ca="1" si="6"/>
        <v>106</v>
      </c>
      <c r="B89" s="506">
        <v>1550</v>
      </c>
      <c r="C89" s="502">
        <v>45812</v>
      </c>
      <c r="D89" s="369"/>
      <c r="E89" s="271" t="s">
        <v>3186</v>
      </c>
      <c r="F89" s="101" t="s">
        <v>51</v>
      </c>
      <c r="G89" s="112" t="s">
        <v>8</v>
      </c>
      <c r="H89" s="493">
        <v>45812</v>
      </c>
      <c r="I89" s="25"/>
      <c r="J89" s="100" t="s">
        <v>3095</v>
      </c>
      <c r="K89" s="494"/>
      <c r="L89" s="495"/>
      <c r="M89" s="496"/>
      <c r="N89" s="497"/>
      <c r="O89" s="498"/>
      <c r="P89" s="499"/>
      <c r="Q89" s="501">
        <v>45813</v>
      </c>
      <c r="R89" s="148">
        <f t="shared" si="8"/>
        <v>1</v>
      </c>
      <c r="S89" s="101" t="s">
        <v>94</v>
      </c>
      <c r="T89" s="69"/>
    </row>
    <row r="90" spans="1:20" ht="57.6" x14ac:dyDescent="0.3">
      <c r="A90" s="98">
        <f t="shared" ca="1" si="6"/>
        <v>107</v>
      </c>
      <c r="B90" s="506">
        <v>1550</v>
      </c>
      <c r="C90" s="492">
        <v>45812</v>
      </c>
      <c r="D90" s="791"/>
      <c r="E90" s="271" t="s">
        <v>3187</v>
      </c>
      <c r="F90" s="101" t="s">
        <v>51</v>
      </c>
      <c r="G90" s="376" t="s">
        <v>8</v>
      </c>
      <c r="H90" s="493">
        <v>45812</v>
      </c>
      <c r="I90" s="341"/>
      <c r="J90" s="100" t="s">
        <v>3095</v>
      </c>
      <c r="K90" s="494"/>
      <c r="L90" s="495"/>
      <c r="M90" s="496"/>
      <c r="N90" s="497"/>
      <c r="O90" s="498"/>
      <c r="P90" s="499"/>
      <c r="Q90" s="500">
        <v>45813</v>
      </c>
      <c r="R90" s="148">
        <f t="shared" si="8"/>
        <v>1</v>
      </c>
      <c r="S90" s="101" t="s">
        <v>758</v>
      </c>
      <c r="T90" s="69"/>
    </row>
    <row r="91" spans="1:20" ht="57.6" x14ac:dyDescent="0.3">
      <c r="A91" s="98">
        <f t="shared" ca="1" si="6"/>
        <v>108</v>
      </c>
      <c r="B91" s="506">
        <v>1550</v>
      </c>
      <c r="C91" s="492">
        <v>45812</v>
      </c>
      <c r="D91" s="369"/>
      <c r="E91" s="271" t="s">
        <v>3188</v>
      </c>
      <c r="F91" s="101" t="s">
        <v>51</v>
      </c>
      <c r="G91" s="376" t="s">
        <v>10</v>
      </c>
      <c r="H91" s="493">
        <v>45812</v>
      </c>
      <c r="I91" s="341"/>
      <c r="J91" s="100" t="s">
        <v>3095</v>
      </c>
      <c r="K91" s="494"/>
      <c r="L91" s="495"/>
      <c r="M91" s="496"/>
      <c r="N91" s="497"/>
      <c r="O91" s="498"/>
      <c r="P91" s="499"/>
      <c r="Q91" s="500">
        <v>45813</v>
      </c>
      <c r="R91" s="148">
        <f t="shared" si="8"/>
        <v>1</v>
      </c>
      <c r="S91" s="101" t="s">
        <v>3189</v>
      </c>
      <c r="T91" s="69"/>
    </row>
    <row r="92" spans="1:20" ht="57.6" x14ac:dyDescent="0.3">
      <c r="A92" s="98">
        <f t="shared" ca="1" si="6"/>
        <v>109</v>
      </c>
      <c r="B92" s="506">
        <v>1550</v>
      </c>
      <c r="C92" s="492">
        <v>45812</v>
      </c>
      <c r="D92" s="369"/>
      <c r="E92" s="271" t="s">
        <v>3190</v>
      </c>
      <c r="F92" s="101" t="s">
        <v>51</v>
      </c>
      <c r="G92" s="376" t="s">
        <v>10</v>
      </c>
      <c r="H92" s="493">
        <v>45812</v>
      </c>
      <c r="I92" s="341"/>
      <c r="J92" s="100" t="s">
        <v>3095</v>
      </c>
      <c r="K92" s="494"/>
      <c r="L92" s="495"/>
      <c r="M92" s="496"/>
      <c r="N92" s="497"/>
      <c r="O92" s="498"/>
      <c r="P92" s="499"/>
      <c r="Q92" s="500">
        <v>45813</v>
      </c>
      <c r="R92" s="148">
        <f t="shared" si="8"/>
        <v>1</v>
      </c>
      <c r="S92" s="101" t="s">
        <v>214</v>
      </c>
      <c r="T92" s="69"/>
    </row>
    <row r="93" spans="1:20" ht="230.4" x14ac:dyDescent="0.3">
      <c r="A93" s="98">
        <f t="shared" ca="1" si="6"/>
        <v>110</v>
      </c>
      <c r="B93" s="506">
        <v>1550</v>
      </c>
      <c r="C93" s="492">
        <v>45812</v>
      </c>
      <c r="D93" s="369">
        <v>83949976</v>
      </c>
      <c r="E93" s="271" t="s">
        <v>3191</v>
      </c>
      <c r="F93" s="386" t="s">
        <v>12</v>
      </c>
      <c r="G93" s="112" t="s">
        <v>10</v>
      </c>
      <c r="H93" s="493">
        <v>45812</v>
      </c>
      <c r="I93" s="341"/>
      <c r="J93" s="729" t="s">
        <v>3175</v>
      </c>
      <c r="K93" s="494"/>
      <c r="L93" s="495"/>
      <c r="M93" s="496"/>
      <c r="N93" s="497"/>
      <c r="O93" s="498"/>
      <c r="P93" s="499"/>
      <c r="Q93" s="500">
        <v>45813</v>
      </c>
      <c r="R93" s="148">
        <f t="shared" si="8"/>
        <v>1</v>
      </c>
      <c r="S93" s="101" t="s">
        <v>2209</v>
      </c>
      <c r="T93" s="69"/>
    </row>
    <row r="94" spans="1:20" ht="57.6" x14ac:dyDescent="0.3">
      <c r="A94" s="98">
        <f t="shared" ca="1" si="6"/>
        <v>111</v>
      </c>
      <c r="B94" s="506">
        <v>1550</v>
      </c>
      <c r="C94" s="492">
        <v>45812</v>
      </c>
      <c r="D94" s="369"/>
      <c r="E94" s="271" t="s">
        <v>3192</v>
      </c>
      <c r="F94" s="101" t="s">
        <v>51</v>
      </c>
      <c r="G94" s="376" t="s">
        <v>10</v>
      </c>
      <c r="H94" s="493">
        <v>45812</v>
      </c>
      <c r="I94" s="341"/>
      <c r="J94" s="100" t="s">
        <v>3095</v>
      </c>
      <c r="K94" s="494"/>
      <c r="L94" s="495"/>
      <c r="M94" s="496"/>
      <c r="N94" s="497"/>
      <c r="O94" s="498"/>
      <c r="P94" s="499"/>
      <c r="Q94" s="500">
        <v>45813</v>
      </c>
      <c r="R94" s="148">
        <f t="shared" si="8"/>
        <v>1</v>
      </c>
      <c r="S94" s="101" t="s">
        <v>214</v>
      </c>
      <c r="T94" s="69"/>
    </row>
    <row r="95" spans="1:20" ht="43.2" x14ac:dyDescent="0.3">
      <c r="A95" s="98">
        <f t="shared" ca="1" si="6"/>
        <v>115</v>
      </c>
      <c r="B95" s="506">
        <v>1550</v>
      </c>
      <c r="C95" s="502">
        <v>45813</v>
      </c>
      <c r="D95" s="369">
        <v>67553826</v>
      </c>
      <c r="E95" s="271" t="s">
        <v>3193</v>
      </c>
      <c r="F95" s="101" t="s">
        <v>33</v>
      </c>
      <c r="G95" s="112" t="s">
        <v>6</v>
      </c>
      <c r="H95" s="493">
        <v>45813</v>
      </c>
      <c r="I95" s="25"/>
      <c r="J95" s="728" t="s">
        <v>99</v>
      </c>
      <c r="K95" s="507"/>
      <c r="L95" s="508"/>
      <c r="M95" s="365"/>
      <c r="N95" s="509"/>
      <c r="O95" s="510"/>
      <c r="P95" s="511"/>
      <c r="Q95" s="500">
        <v>45813</v>
      </c>
      <c r="R95" s="148">
        <f>Q95/H95</f>
        <v>1</v>
      </c>
      <c r="S95" s="101" t="s">
        <v>1893</v>
      </c>
      <c r="T95" s="69"/>
    </row>
    <row r="96" spans="1:20" ht="57.6" x14ac:dyDescent="0.3">
      <c r="A96" s="98">
        <f t="shared" ca="1" si="6"/>
        <v>119</v>
      </c>
      <c r="B96" s="506">
        <v>1550</v>
      </c>
      <c r="C96" s="492">
        <v>45813</v>
      </c>
      <c r="D96" s="369"/>
      <c r="E96" s="270" t="s">
        <v>3194</v>
      </c>
      <c r="F96" s="101" t="s">
        <v>51</v>
      </c>
      <c r="G96" s="112" t="s">
        <v>4</v>
      </c>
      <c r="H96" s="493">
        <v>45813</v>
      </c>
      <c r="I96" s="25"/>
      <c r="J96" s="100" t="s">
        <v>3095</v>
      </c>
      <c r="K96" s="494"/>
      <c r="L96" s="495"/>
      <c r="M96" s="496"/>
      <c r="N96" s="497"/>
      <c r="O96" s="498"/>
      <c r="P96" s="499"/>
      <c r="Q96" s="500">
        <v>45813</v>
      </c>
      <c r="R96" s="148">
        <f>Q96-H96</f>
        <v>0</v>
      </c>
      <c r="S96" s="101" t="s">
        <v>2974</v>
      </c>
      <c r="T96" s="69"/>
    </row>
    <row r="97" spans="1:20" ht="57.6" x14ac:dyDescent="0.3">
      <c r="A97" s="98">
        <f t="shared" ca="1" si="6"/>
        <v>120</v>
      </c>
      <c r="B97" s="506">
        <v>1550</v>
      </c>
      <c r="C97" s="492">
        <v>45813</v>
      </c>
      <c r="D97" s="369"/>
      <c r="E97" s="270" t="s">
        <v>3195</v>
      </c>
      <c r="F97" s="101" t="s">
        <v>51</v>
      </c>
      <c r="G97" s="112" t="s">
        <v>4</v>
      </c>
      <c r="H97" s="493">
        <v>45813</v>
      </c>
      <c r="I97" s="25"/>
      <c r="J97" s="100" t="s">
        <v>3095</v>
      </c>
      <c r="K97" s="494"/>
      <c r="L97" s="495"/>
      <c r="M97" s="496"/>
      <c r="N97" s="497"/>
      <c r="O97" s="498"/>
      <c r="P97" s="499"/>
      <c r="Q97" s="500">
        <v>45813</v>
      </c>
      <c r="R97" s="148">
        <f>Q97-H97</f>
        <v>0</v>
      </c>
      <c r="S97" s="101" t="s">
        <v>2974</v>
      </c>
      <c r="T97" s="69"/>
    </row>
    <row r="98" spans="1:20" ht="57.6" x14ac:dyDescent="0.3">
      <c r="A98" s="98">
        <f t="shared" ca="1" si="6"/>
        <v>147</v>
      </c>
      <c r="B98" s="506">
        <v>1550</v>
      </c>
      <c r="C98" s="492">
        <v>45813</v>
      </c>
      <c r="D98" s="369">
        <v>6746896</v>
      </c>
      <c r="E98" s="270" t="s">
        <v>3196</v>
      </c>
      <c r="F98" s="101" t="s">
        <v>39</v>
      </c>
      <c r="G98" s="112" t="s">
        <v>8</v>
      </c>
      <c r="H98" s="493">
        <v>45813</v>
      </c>
      <c r="I98" s="25"/>
      <c r="J98" s="100" t="s">
        <v>22</v>
      </c>
      <c r="K98" s="507"/>
      <c r="L98" s="508"/>
      <c r="M98" s="365"/>
      <c r="N98" s="509"/>
      <c r="O98" s="510"/>
      <c r="P98" s="511"/>
      <c r="Q98" s="500">
        <v>45813</v>
      </c>
      <c r="R98" s="148">
        <f>Q98-H98</f>
        <v>0</v>
      </c>
      <c r="S98" s="101" t="s">
        <v>154</v>
      </c>
      <c r="T98" s="69"/>
    </row>
    <row r="99" spans="1:20" ht="57.6" x14ac:dyDescent="0.3">
      <c r="A99" s="98">
        <f t="shared" ca="1" si="6"/>
        <v>37</v>
      </c>
      <c r="B99" s="536">
        <v>1550</v>
      </c>
      <c r="C99" s="546">
        <v>45811</v>
      </c>
      <c r="D99" s="790">
        <v>4999045</v>
      </c>
      <c r="E99" s="270" t="s">
        <v>3197</v>
      </c>
      <c r="F99" s="384" t="s">
        <v>12</v>
      </c>
      <c r="G99" s="373" t="s">
        <v>4</v>
      </c>
      <c r="H99" s="524">
        <v>45811</v>
      </c>
      <c r="I99" s="545"/>
      <c r="J99" s="299" t="s">
        <v>3095</v>
      </c>
      <c r="K99" s="547"/>
      <c r="L99" s="548"/>
      <c r="M99" s="549"/>
      <c r="N99" s="550"/>
      <c r="O99" s="548"/>
      <c r="P99" s="549"/>
      <c r="Q99" s="539">
        <v>45814</v>
      </c>
      <c r="R99" s="148">
        <f>Q99-H99</f>
        <v>3</v>
      </c>
      <c r="S99" s="101" t="s">
        <v>720</v>
      </c>
      <c r="T99" s="69"/>
    </row>
    <row r="100" spans="1:20" ht="57.6" x14ac:dyDescent="0.3">
      <c r="A100" s="98">
        <f t="shared" ca="1" si="6"/>
        <v>39</v>
      </c>
      <c r="B100" s="506">
        <v>1550</v>
      </c>
      <c r="C100" s="492">
        <v>45811</v>
      </c>
      <c r="D100" s="369">
        <v>98179829</v>
      </c>
      <c r="E100" s="271" t="s">
        <v>3198</v>
      </c>
      <c r="F100" s="385" t="s">
        <v>12</v>
      </c>
      <c r="G100" s="375" t="s">
        <v>4</v>
      </c>
      <c r="H100" s="524">
        <v>45811</v>
      </c>
      <c r="I100" s="545"/>
      <c r="J100" s="299" t="s">
        <v>3095</v>
      </c>
      <c r="K100" s="550"/>
      <c r="L100" s="548"/>
      <c r="M100" s="549"/>
      <c r="N100" s="550"/>
      <c r="O100" s="548"/>
      <c r="P100" s="549"/>
      <c r="Q100" s="539">
        <v>45814</v>
      </c>
      <c r="R100" s="148">
        <f>Q100-H100</f>
        <v>3</v>
      </c>
      <c r="S100" s="101" t="s">
        <v>3199</v>
      </c>
      <c r="T100" s="69"/>
    </row>
    <row r="101" spans="1:20" ht="57.6" x14ac:dyDescent="0.3">
      <c r="A101" s="98">
        <f t="shared" ca="1" si="6"/>
        <v>72</v>
      </c>
      <c r="B101" s="506">
        <v>1550</v>
      </c>
      <c r="C101" s="492">
        <v>45811</v>
      </c>
      <c r="D101" s="369"/>
      <c r="E101" s="479" t="s">
        <v>3200</v>
      </c>
      <c r="F101" s="344" t="s">
        <v>1314</v>
      </c>
      <c r="G101" s="112" t="s">
        <v>6</v>
      </c>
      <c r="H101" s="493">
        <v>45811</v>
      </c>
      <c r="I101" s="25"/>
      <c r="J101" s="107" t="s">
        <v>99</v>
      </c>
      <c r="K101" s="494"/>
      <c r="L101" s="495"/>
      <c r="M101" s="496"/>
      <c r="N101" s="497"/>
      <c r="O101" s="498"/>
      <c r="P101" s="499"/>
      <c r="Q101" s="501">
        <v>45814</v>
      </c>
      <c r="R101" s="148">
        <f t="shared" ref="R101:R129" si="9">Q101/H101</f>
        <v>1.0000654864552181</v>
      </c>
      <c r="S101" s="101" t="s">
        <v>2747</v>
      </c>
      <c r="T101" s="69"/>
    </row>
    <row r="102" spans="1:20" ht="57.6" x14ac:dyDescent="0.3">
      <c r="A102" s="98">
        <f t="shared" ca="1" si="6"/>
        <v>73</v>
      </c>
      <c r="B102" s="506" t="s">
        <v>80</v>
      </c>
      <c r="C102" s="492">
        <v>45811</v>
      </c>
      <c r="D102" s="369">
        <v>98179829</v>
      </c>
      <c r="E102" s="479" t="s">
        <v>3201</v>
      </c>
      <c r="F102" s="344" t="s">
        <v>12</v>
      </c>
      <c r="G102" s="112" t="s">
        <v>6</v>
      </c>
      <c r="H102" s="493">
        <v>45811</v>
      </c>
      <c r="I102" s="25"/>
      <c r="J102" s="729" t="s">
        <v>159</v>
      </c>
      <c r="K102" s="494"/>
      <c r="L102" s="495"/>
      <c r="M102" s="496"/>
      <c r="N102" s="497"/>
      <c r="O102" s="498"/>
      <c r="P102" s="499"/>
      <c r="Q102" s="501">
        <v>45814</v>
      </c>
      <c r="R102" s="148">
        <f t="shared" si="9"/>
        <v>1.0000654864552181</v>
      </c>
      <c r="S102" s="101" t="s">
        <v>2747</v>
      </c>
      <c r="T102" s="69"/>
    </row>
    <row r="103" spans="1:20" ht="57.6" x14ac:dyDescent="0.3">
      <c r="A103" s="98">
        <f t="shared" ca="1" si="6"/>
        <v>85</v>
      </c>
      <c r="B103" s="491">
        <v>1550</v>
      </c>
      <c r="C103" s="282">
        <v>45812</v>
      </c>
      <c r="D103" s="369"/>
      <c r="E103" s="261" t="s">
        <v>3202</v>
      </c>
      <c r="F103" s="386" t="s">
        <v>1314</v>
      </c>
      <c r="G103" s="112" t="s">
        <v>6</v>
      </c>
      <c r="H103" s="493">
        <v>45811</v>
      </c>
      <c r="I103" s="341"/>
      <c r="J103" s="100" t="s">
        <v>99</v>
      </c>
      <c r="K103" s="494"/>
      <c r="L103" s="495"/>
      <c r="M103" s="496"/>
      <c r="N103" s="497"/>
      <c r="O103" s="498"/>
      <c r="P103" s="499"/>
      <c r="Q103" s="501">
        <v>45814</v>
      </c>
      <c r="R103" s="148">
        <f t="shared" si="9"/>
        <v>1.0000654864552181</v>
      </c>
      <c r="S103" s="101" t="s">
        <v>2747</v>
      </c>
      <c r="T103" s="167"/>
    </row>
    <row r="104" spans="1:20" ht="57.6" x14ac:dyDescent="0.3">
      <c r="A104" s="98">
        <f ca="1">A94+1</f>
        <v>76</v>
      </c>
      <c r="B104" s="491">
        <v>1550</v>
      </c>
      <c r="C104" s="282">
        <v>45812</v>
      </c>
      <c r="D104" s="369"/>
      <c r="E104" s="262" t="s">
        <v>3203</v>
      </c>
      <c r="F104" s="386" t="s">
        <v>1314</v>
      </c>
      <c r="G104" s="112" t="s">
        <v>6</v>
      </c>
      <c r="H104" s="493">
        <v>45811</v>
      </c>
      <c r="I104" s="341"/>
      <c r="J104" s="100" t="s">
        <v>99</v>
      </c>
      <c r="K104" s="494"/>
      <c r="L104" s="495"/>
      <c r="M104" s="496"/>
      <c r="N104" s="497"/>
      <c r="O104" s="498"/>
      <c r="P104" s="499"/>
      <c r="Q104" s="501">
        <v>45814</v>
      </c>
      <c r="R104" s="148">
        <f t="shared" si="9"/>
        <v>1.0000654864552181</v>
      </c>
      <c r="S104" s="101" t="s">
        <v>3204</v>
      </c>
      <c r="T104" s="69"/>
    </row>
    <row r="105" spans="1:20" ht="57.6" x14ac:dyDescent="0.3">
      <c r="A105" s="98">
        <f t="shared" ref="A105:A168" ca="1" si="10">A104+1</f>
        <v>90</v>
      </c>
      <c r="B105" s="491">
        <v>1550</v>
      </c>
      <c r="C105" s="282">
        <v>45812</v>
      </c>
      <c r="D105" s="504"/>
      <c r="E105" s="213" t="s">
        <v>3205</v>
      </c>
      <c r="F105" s="386" t="s">
        <v>1314</v>
      </c>
      <c r="G105" s="112" t="s">
        <v>6</v>
      </c>
      <c r="H105" s="493">
        <v>45812</v>
      </c>
      <c r="I105" s="341"/>
      <c r="J105" s="100" t="s">
        <v>99</v>
      </c>
      <c r="K105" s="494"/>
      <c r="L105" s="495"/>
      <c r="M105" s="496"/>
      <c r="N105" s="497"/>
      <c r="O105" s="498"/>
      <c r="P105" s="499"/>
      <c r="Q105" s="501">
        <v>45814</v>
      </c>
      <c r="R105" s="148">
        <f t="shared" si="9"/>
        <v>1.0000436566838382</v>
      </c>
      <c r="S105" s="101" t="s">
        <v>2597</v>
      </c>
      <c r="T105" s="69"/>
    </row>
    <row r="106" spans="1:20" ht="57.6" x14ac:dyDescent="0.3">
      <c r="A106" s="98">
        <f t="shared" ca="1" si="10"/>
        <v>99</v>
      </c>
      <c r="B106" s="506">
        <v>1550</v>
      </c>
      <c r="C106" s="492">
        <v>45812</v>
      </c>
      <c r="D106" s="369"/>
      <c r="E106" s="110" t="s">
        <v>3206</v>
      </c>
      <c r="F106" s="386" t="s">
        <v>1314</v>
      </c>
      <c r="G106" s="221" t="s">
        <v>6</v>
      </c>
      <c r="H106" s="493">
        <v>45812</v>
      </c>
      <c r="I106" s="341"/>
      <c r="J106" s="100" t="s">
        <v>99</v>
      </c>
      <c r="K106" s="494"/>
      <c r="L106" s="495"/>
      <c r="M106" s="496"/>
      <c r="N106" s="497"/>
      <c r="O106" s="498"/>
      <c r="P106" s="499"/>
      <c r="Q106" s="500">
        <v>45814</v>
      </c>
      <c r="R106" s="148">
        <f t="shared" si="9"/>
        <v>1.0000436566838382</v>
      </c>
      <c r="S106" s="101" t="s">
        <v>2597</v>
      </c>
      <c r="T106" s="69"/>
    </row>
    <row r="107" spans="1:20" ht="57.6" x14ac:dyDescent="0.3">
      <c r="A107" s="98">
        <f t="shared" ca="1" si="10"/>
        <v>100</v>
      </c>
      <c r="B107" s="506">
        <v>1550</v>
      </c>
      <c r="C107" s="492">
        <v>45812</v>
      </c>
      <c r="D107" s="369"/>
      <c r="E107" s="264" t="s">
        <v>3207</v>
      </c>
      <c r="F107" s="386" t="s">
        <v>1314</v>
      </c>
      <c r="G107" s="112" t="s">
        <v>6</v>
      </c>
      <c r="H107" s="493">
        <v>45812</v>
      </c>
      <c r="I107" s="341"/>
      <c r="J107" s="100" t="s">
        <v>99</v>
      </c>
      <c r="K107" s="494"/>
      <c r="L107" s="495"/>
      <c r="M107" s="496"/>
      <c r="N107" s="497"/>
      <c r="O107" s="498"/>
      <c r="P107" s="499"/>
      <c r="Q107" s="501">
        <v>45814</v>
      </c>
      <c r="R107" s="148">
        <f t="shared" si="9"/>
        <v>1.0000436566838382</v>
      </c>
      <c r="S107" s="101" t="s">
        <v>2597</v>
      </c>
      <c r="T107" s="69"/>
    </row>
    <row r="108" spans="1:20" ht="57.6" x14ac:dyDescent="0.3">
      <c r="A108" s="98">
        <f t="shared" ca="1" si="10"/>
        <v>101</v>
      </c>
      <c r="B108" s="506">
        <v>1550</v>
      </c>
      <c r="C108" s="492">
        <v>45812</v>
      </c>
      <c r="D108" s="369"/>
      <c r="E108" s="393" t="s">
        <v>3208</v>
      </c>
      <c r="F108" s="101" t="s">
        <v>1314</v>
      </c>
      <c r="G108" s="112" t="s">
        <v>6</v>
      </c>
      <c r="H108" s="493">
        <v>45812</v>
      </c>
      <c r="I108" s="25"/>
      <c r="J108" s="100" t="s">
        <v>99</v>
      </c>
      <c r="K108" s="494"/>
      <c r="L108" s="495"/>
      <c r="M108" s="496"/>
      <c r="N108" s="497"/>
      <c r="O108" s="498"/>
      <c r="P108" s="499"/>
      <c r="Q108" s="501">
        <v>45814</v>
      </c>
      <c r="R108" s="148">
        <f t="shared" si="9"/>
        <v>1.0000436566838382</v>
      </c>
      <c r="S108" s="101" t="s">
        <v>2597</v>
      </c>
      <c r="T108" s="69"/>
    </row>
    <row r="109" spans="1:20" ht="57.6" x14ac:dyDescent="0.3">
      <c r="A109" s="98">
        <f t="shared" ca="1" si="10"/>
        <v>102</v>
      </c>
      <c r="B109" s="506">
        <v>1550</v>
      </c>
      <c r="C109" s="492">
        <v>45812</v>
      </c>
      <c r="D109" s="369"/>
      <c r="E109" s="393" t="s">
        <v>3209</v>
      </c>
      <c r="F109" s="386" t="s">
        <v>1314</v>
      </c>
      <c r="G109" s="112" t="s">
        <v>6</v>
      </c>
      <c r="H109" s="493">
        <v>45812</v>
      </c>
      <c r="I109" s="341"/>
      <c r="J109" s="100" t="s">
        <v>99</v>
      </c>
      <c r="K109" s="494"/>
      <c r="L109" s="495"/>
      <c r="M109" s="496"/>
      <c r="N109" s="497"/>
      <c r="O109" s="498"/>
      <c r="P109" s="499"/>
      <c r="Q109" s="501">
        <v>45814</v>
      </c>
      <c r="R109" s="148">
        <f t="shared" si="9"/>
        <v>1.0000436566838382</v>
      </c>
      <c r="S109" s="101" t="s">
        <v>2597</v>
      </c>
      <c r="T109" s="167"/>
    </row>
    <row r="110" spans="1:20" ht="57.6" x14ac:dyDescent="0.3">
      <c r="A110" s="98">
        <f t="shared" ca="1" si="10"/>
        <v>103</v>
      </c>
      <c r="B110" s="506">
        <v>1550</v>
      </c>
      <c r="C110" s="492">
        <v>45812</v>
      </c>
      <c r="D110" s="369"/>
      <c r="E110" s="393" t="s">
        <v>3210</v>
      </c>
      <c r="F110" s="101" t="s">
        <v>1314</v>
      </c>
      <c r="G110" s="112" t="s">
        <v>6</v>
      </c>
      <c r="H110" s="493">
        <v>45812</v>
      </c>
      <c r="I110" s="25"/>
      <c r="J110" s="100" t="s">
        <v>99</v>
      </c>
      <c r="K110" s="494"/>
      <c r="L110" s="495"/>
      <c r="M110" s="496"/>
      <c r="N110" s="497"/>
      <c r="O110" s="498"/>
      <c r="P110" s="499"/>
      <c r="Q110" s="501">
        <v>45814</v>
      </c>
      <c r="R110" s="148">
        <f t="shared" si="9"/>
        <v>1.0000436566838382</v>
      </c>
      <c r="S110" s="101" t="s">
        <v>1936</v>
      </c>
      <c r="T110" s="69"/>
    </row>
    <row r="111" spans="1:20" ht="57.6" x14ac:dyDescent="0.3">
      <c r="A111" s="98">
        <f t="shared" ca="1" si="10"/>
        <v>104</v>
      </c>
      <c r="B111" s="506">
        <v>1550</v>
      </c>
      <c r="C111" s="492">
        <v>45812</v>
      </c>
      <c r="D111" s="369"/>
      <c r="E111" s="393" t="s">
        <v>3211</v>
      </c>
      <c r="F111" s="101" t="s">
        <v>1314</v>
      </c>
      <c r="G111" s="112" t="s">
        <v>6</v>
      </c>
      <c r="H111" s="493">
        <v>45812</v>
      </c>
      <c r="I111" s="25"/>
      <c r="J111" s="100" t="s">
        <v>99</v>
      </c>
      <c r="K111" s="494"/>
      <c r="L111" s="495"/>
      <c r="M111" s="496"/>
      <c r="N111" s="497"/>
      <c r="O111" s="498"/>
      <c r="P111" s="499"/>
      <c r="Q111" s="501">
        <v>45814</v>
      </c>
      <c r="R111" s="148">
        <f t="shared" si="9"/>
        <v>1.0000436566838382</v>
      </c>
      <c r="S111" s="101" t="s">
        <v>1936</v>
      </c>
      <c r="T111" s="69"/>
    </row>
    <row r="112" spans="1:20" ht="57.6" x14ac:dyDescent="0.3">
      <c r="A112" s="98">
        <f t="shared" ca="1" si="10"/>
        <v>116</v>
      </c>
      <c r="B112" s="506">
        <v>1550</v>
      </c>
      <c r="C112" s="492">
        <v>45813</v>
      </c>
      <c r="D112" s="369"/>
      <c r="E112" s="393" t="s">
        <v>3212</v>
      </c>
      <c r="F112" s="101" t="s">
        <v>1314</v>
      </c>
      <c r="G112" s="112" t="s">
        <v>6</v>
      </c>
      <c r="H112" s="493">
        <v>45813</v>
      </c>
      <c r="I112" s="25"/>
      <c r="J112" s="100" t="s">
        <v>99</v>
      </c>
      <c r="K112" s="494"/>
      <c r="L112" s="495"/>
      <c r="M112" s="496"/>
      <c r="N112" s="497"/>
      <c r="O112" s="498"/>
      <c r="P112" s="499"/>
      <c r="Q112" s="500">
        <v>45814</v>
      </c>
      <c r="R112" s="148">
        <f t="shared" si="9"/>
        <v>1.0000218278654531</v>
      </c>
      <c r="S112" s="101" t="s">
        <v>2747</v>
      </c>
      <c r="T112" s="69"/>
    </row>
    <row r="113" spans="1:20" ht="68.25" customHeight="1" x14ac:dyDescent="0.3">
      <c r="A113" s="98">
        <f t="shared" ca="1" si="10"/>
        <v>117</v>
      </c>
      <c r="B113" s="506">
        <v>1550</v>
      </c>
      <c r="C113" s="492">
        <v>45813</v>
      </c>
      <c r="D113" s="369"/>
      <c r="E113" s="393" t="s">
        <v>3213</v>
      </c>
      <c r="F113" s="101" t="s">
        <v>1314</v>
      </c>
      <c r="G113" s="112" t="s">
        <v>6</v>
      </c>
      <c r="H113" s="493">
        <v>45813</v>
      </c>
      <c r="I113" s="25"/>
      <c r="J113" s="100" t="s">
        <v>99</v>
      </c>
      <c r="K113" s="494"/>
      <c r="L113" s="495"/>
      <c r="M113" s="496"/>
      <c r="N113" s="497"/>
      <c r="O113" s="498"/>
      <c r="P113" s="499"/>
      <c r="Q113" s="500">
        <v>45814</v>
      </c>
      <c r="R113" s="148">
        <f t="shared" si="9"/>
        <v>1.0000218278654531</v>
      </c>
      <c r="S113" s="101" t="s">
        <v>2747</v>
      </c>
      <c r="T113" s="69"/>
    </row>
    <row r="114" spans="1:20" ht="57.6" x14ac:dyDescent="0.3">
      <c r="A114" s="98">
        <f t="shared" ca="1" si="10"/>
        <v>118</v>
      </c>
      <c r="B114" s="506">
        <v>1550</v>
      </c>
      <c r="C114" s="492">
        <v>45813</v>
      </c>
      <c r="D114" s="369"/>
      <c r="E114" s="393" t="s">
        <v>3214</v>
      </c>
      <c r="F114" s="101" t="s">
        <v>1314</v>
      </c>
      <c r="G114" s="112" t="s">
        <v>6</v>
      </c>
      <c r="H114" s="493">
        <v>45813</v>
      </c>
      <c r="I114" s="25"/>
      <c r="J114" s="100" t="s">
        <v>99</v>
      </c>
      <c r="K114" s="494"/>
      <c r="L114" s="495"/>
      <c r="M114" s="496"/>
      <c r="N114" s="497"/>
      <c r="O114" s="498"/>
      <c r="P114" s="499"/>
      <c r="Q114" s="500">
        <v>45814</v>
      </c>
      <c r="R114" s="148">
        <f t="shared" si="9"/>
        <v>1.0000218278654531</v>
      </c>
      <c r="S114" s="101" t="s">
        <v>2747</v>
      </c>
      <c r="T114" s="359"/>
    </row>
    <row r="115" spans="1:20" ht="76.5" customHeight="1" x14ac:dyDescent="0.3">
      <c r="A115" s="98">
        <f t="shared" ca="1" si="10"/>
        <v>123</v>
      </c>
      <c r="B115" s="506">
        <v>1550</v>
      </c>
      <c r="C115" s="492">
        <v>45813</v>
      </c>
      <c r="D115" s="369"/>
      <c r="E115" s="270" t="s">
        <v>3215</v>
      </c>
      <c r="F115" s="101" t="s">
        <v>1314</v>
      </c>
      <c r="G115" s="112" t="s">
        <v>6</v>
      </c>
      <c r="H115" s="493">
        <v>45813</v>
      </c>
      <c r="I115" s="25"/>
      <c r="J115" s="100" t="s">
        <v>99</v>
      </c>
      <c r="K115" s="494"/>
      <c r="L115" s="495"/>
      <c r="M115" s="496"/>
      <c r="N115" s="497"/>
      <c r="O115" s="498"/>
      <c r="P115" s="499"/>
      <c r="Q115" s="500">
        <v>45814</v>
      </c>
      <c r="R115" s="148">
        <f t="shared" si="9"/>
        <v>1.0000218278654531</v>
      </c>
      <c r="S115" s="101" t="s">
        <v>2747</v>
      </c>
      <c r="T115" s="69"/>
    </row>
    <row r="116" spans="1:20" ht="57.6" x14ac:dyDescent="0.3">
      <c r="A116" s="98">
        <f t="shared" ca="1" si="10"/>
        <v>124</v>
      </c>
      <c r="B116" s="506">
        <v>1550</v>
      </c>
      <c r="C116" s="492">
        <v>45813</v>
      </c>
      <c r="D116" s="369"/>
      <c r="E116" s="393" t="s">
        <v>3216</v>
      </c>
      <c r="F116" s="344" t="s">
        <v>1314</v>
      </c>
      <c r="G116" s="112" t="s">
        <v>6</v>
      </c>
      <c r="H116" s="493">
        <v>45813</v>
      </c>
      <c r="I116" s="25"/>
      <c r="J116" s="100" t="s">
        <v>99</v>
      </c>
      <c r="K116" s="494"/>
      <c r="L116" s="495"/>
      <c r="M116" s="496"/>
      <c r="N116" s="497"/>
      <c r="O116" s="498"/>
      <c r="P116" s="499"/>
      <c r="Q116" s="500">
        <v>45814</v>
      </c>
      <c r="R116" s="148">
        <f t="shared" si="9"/>
        <v>1.0000218278654531</v>
      </c>
      <c r="S116" s="809" t="s">
        <v>2747</v>
      </c>
      <c r="T116" s="69"/>
    </row>
    <row r="117" spans="1:20" ht="57.6" x14ac:dyDescent="0.3">
      <c r="A117" s="98">
        <f t="shared" ca="1" si="10"/>
        <v>125</v>
      </c>
      <c r="B117" s="506">
        <v>1550</v>
      </c>
      <c r="C117" s="492">
        <v>45813</v>
      </c>
      <c r="D117" s="369"/>
      <c r="E117" s="393" t="s">
        <v>3217</v>
      </c>
      <c r="F117" s="101" t="s">
        <v>1314</v>
      </c>
      <c r="G117" s="112" t="s">
        <v>6</v>
      </c>
      <c r="H117" s="493">
        <v>45813</v>
      </c>
      <c r="I117" s="25"/>
      <c r="J117" s="100" t="s">
        <v>99</v>
      </c>
      <c r="K117" s="494"/>
      <c r="L117" s="495"/>
      <c r="M117" s="496"/>
      <c r="N117" s="497"/>
      <c r="O117" s="498"/>
      <c r="P117" s="499"/>
      <c r="Q117" s="500">
        <v>45814</v>
      </c>
      <c r="R117" s="148">
        <f t="shared" si="9"/>
        <v>1.0000218278654531</v>
      </c>
      <c r="S117" s="809" t="s">
        <v>2747</v>
      </c>
      <c r="T117" s="69"/>
    </row>
    <row r="118" spans="1:20" ht="57.6" x14ac:dyDescent="0.3">
      <c r="A118" s="98">
        <f t="shared" ca="1" si="10"/>
        <v>126</v>
      </c>
      <c r="B118" s="506">
        <v>1550</v>
      </c>
      <c r="C118" s="492">
        <v>45813</v>
      </c>
      <c r="D118" s="369"/>
      <c r="E118" s="393" t="s">
        <v>3218</v>
      </c>
      <c r="F118" s="101" t="s">
        <v>1314</v>
      </c>
      <c r="G118" s="112" t="s">
        <v>6</v>
      </c>
      <c r="H118" s="493">
        <v>45813</v>
      </c>
      <c r="I118" s="25"/>
      <c r="J118" s="107" t="s">
        <v>99</v>
      </c>
      <c r="K118" s="494"/>
      <c r="L118" s="495"/>
      <c r="M118" s="496"/>
      <c r="N118" s="497"/>
      <c r="O118" s="498"/>
      <c r="P118" s="499"/>
      <c r="Q118" s="500">
        <v>45814</v>
      </c>
      <c r="R118" s="148">
        <f t="shared" si="9"/>
        <v>1.0000218278654531</v>
      </c>
      <c r="S118" s="809" t="s">
        <v>1813</v>
      </c>
      <c r="T118" s="167"/>
    </row>
    <row r="119" spans="1:20" ht="57.6" x14ac:dyDescent="0.3">
      <c r="A119" s="98">
        <f t="shared" ca="1" si="10"/>
        <v>127</v>
      </c>
      <c r="B119" s="506">
        <v>1550</v>
      </c>
      <c r="C119" s="492">
        <v>45813</v>
      </c>
      <c r="D119" s="369"/>
      <c r="E119" s="263" t="s">
        <v>3219</v>
      </c>
      <c r="F119" s="101" t="s">
        <v>1314</v>
      </c>
      <c r="G119" s="112" t="s">
        <v>6</v>
      </c>
      <c r="H119" s="493">
        <v>45813</v>
      </c>
      <c r="I119" s="25"/>
      <c r="J119" s="100" t="s">
        <v>99</v>
      </c>
      <c r="K119" s="494"/>
      <c r="L119" s="495"/>
      <c r="M119" s="496"/>
      <c r="N119" s="497"/>
      <c r="O119" s="498"/>
      <c r="P119" s="499"/>
      <c r="Q119" s="500">
        <v>45814</v>
      </c>
      <c r="R119" s="148">
        <f t="shared" si="9"/>
        <v>1.0000218278654531</v>
      </c>
      <c r="S119" s="809" t="s">
        <v>720</v>
      </c>
      <c r="T119" s="69"/>
    </row>
    <row r="120" spans="1:20" ht="57.6" x14ac:dyDescent="0.3">
      <c r="A120" s="98">
        <f t="shared" ca="1" si="10"/>
        <v>128</v>
      </c>
      <c r="B120" s="506">
        <v>1550</v>
      </c>
      <c r="C120" s="492">
        <v>45813</v>
      </c>
      <c r="D120" s="369"/>
      <c r="E120" s="264" t="s">
        <v>3220</v>
      </c>
      <c r="F120" s="101" t="s">
        <v>1314</v>
      </c>
      <c r="G120" s="112" t="s">
        <v>6</v>
      </c>
      <c r="H120" s="493">
        <v>45813</v>
      </c>
      <c r="I120" s="25"/>
      <c r="J120" s="100" t="s">
        <v>99</v>
      </c>
      <c r="K120" s="494"/>
      <c r="L120" s="495"/>
      <c r="M120" s="496"/>
      <c r="N120" s="497"/>
      <c r="O120" s="498"/>
      <c r="P120" s="499"/>
      <c r="Q120" s="500">
        <v>45814</v>
      </c>
      <c r="R120" s="148">
        <f t="shared" si="9"/>
        <v>1.0000218278654531</v>
      </c>
      <c r="S120" s="809" t="s">
        <v>1813</v>
      </c>
      <c r="T120" s="121"/>
    </row>
    <row r="121" spans="1:20" ht="57.6" x14ac:dyDescent="0.3">
      <c r="A121" s="98">
        <f t="shared" ca="1" si="10"/>
        <v>129</v>
      </c>
      <c r="B121" s="506">
        <v>1550</v>
      </c>
      <c r="C121" s="492">
        <v>45813</v>
      </c>
      <c r="D121" s="369"/>
      <c r="E121" s="264" t="s">
        <v>3221</v>
      </c>
      <c r="F121" s="101" t="s">
        <v>1314</v>
      </c>
      <c r="G121" s="112" t="s">
        <v>6</v>
      </c>
      <c r="H121" s="493">
        <v>45813</v>
      </c>
      <c r="I121" s="25"/>
      <c r="J121" s="100" t="s">
        <v>99</v>
      </c>
      <c r="K121" s="494"/>
      <c r="L121" s="495"/>
      <c r="M121" s="496"/>
      <c r="N121" s="497"/>
      <c r="O121" s="498"/>
      <c r="P121" s="499"/>
      <c r="Q121" s="500">
        <v>45814</v>
      </c>
      <c r="R121" s="148">
        <f t="shared" si="9"/>
        <v>1.0000218278654531</v>
      </c>
      <c r="S121" s="809" t="s">
        <v>1811</v>
      </c>
      <c r="T121" s="167"/>
    </row>
    <row r="122" spans="1:20" ht="57.6" x14ac:dyDescent="0.3">
      <c r="A122" s="98">
        <f t="shared" ca="1" si="10"/>
        <v>130</v>
      </c>
      <c r="B122" s="506">
        <v>1550</v>
      </c>
      <c r="C122" s="492">
        <v>45813</v>
      </c>
      <c r="D122" s="369">
        <v>28770102</v>
      </c>
      <c r="E122" s="270" t="s">
        <v>3222</v>
      </c>
      <c r="F122" s="101" t="s">
        <v>33</v>
      </c>
      <c r="G122" s="112" t="s">
        <v>6</v>
      </c>
      <c r="H122" s="493">
        <v>45813</v>
      </c>
      <c r="I122" s="25"/>
      <c r="J122" s="728" t="s">
        <v>99</v>
      </c>
      <c r="K122" s="494"/>
      <c r="L122" s="495"/>
      <c r="M122" s="496"/>
      <c r="N122" s="497"/>
      <c r="O122" s="498"/>
      <c r="P122" s="499"/>
      <c r="Q122" s="500">
        <v>45814</v>
      </c>
      <c r="R122" s="148">
        <f t="shared" si="9"/>
        <v>1.0000218278654531</v>
      </c>
      <c r="S122" s="101" t="s">
        <v>1893</v>
      </c>
      <c r="T122" s="167"/>
    </row>
    <row r="123" spans="1:20" ht="43.2" x14ac:dyDescent="0.3">
      <c r="A123" s="98">
        <f t="shared" ca="1" si="10"/>
        <v>131</v>
      </c>
      <c r="B123" s="506">
        <v>1550</v>
      </c>
      <c r="C123" s="492">
        <v>45813</v>
      </c>
      <c r="D123" s="369">
        <v>19617143</v>
      </c>
      <c r="E123" s="270" t="s">
        <v>3223</v>
      </c>
      <c r="F123" s="101" t="s">
        <v>33</v>
      </c>
      <c r="G123" s="112" t="s">
        <v>6</v>
      </c>
      <c r="H123" s="493">
        <v>45813</v>
      </c>
      <c r="I123" s="25"/>
      <c r="J123" s="728" t="s">
        <v>99</v>
      </c>
      <c r="K123" s="494"/>
      <c r="L123" s="495"/>
      <c r="M123" s="496"/>
      <c r="N123" s="497"/>
      <c r="O123" s="498"/>
      <c r="P123" s="499"/>
      <c r="Q123" s="500">
        <v>45814</v>
      </c>
      <c r="R123" s="148">
        <f t="shared" si="9"/>
        <v>1.0000218278654531</v>
      </c>
      <c r="S123" s="101" t="s">
        <v>2747</v>
      </c>
      <c r="T123" s="69"/>
    </row>
    <row r="124" spans="1:20" ht="43.2" x14ac:dyDescent="0.3">
      <c r="A124" s="98">
        <f t="shared" ca="1" si="10"/>
        <v>133</v>
      </c>
      <c r="B124" s="506">
        <v>1550</v>
      </c>
      <c r="C124" s="492">
        <v>45813</v>
      </c>
      <c r="D124" s="369">
        <v>82941602</v>
      </c>
      <c r="E124" s="270" t="s">
        <v>3224</v>
      </c>
      <c r="F124" s="344" t="s">
        <v>33</v>
      </c>
      <c r="G124" s="112" t="s">
        <v>6</v>
      </c>
      <c r="H124" s="493">
        <v>45813</v>
      </c>
      <c r="I124" s="25"/>
      <c r="J124" s="727" t="s">
        <v>99</v>
      </c>
      <c r="K124" s="494"/>
      <c r="L124" s="495"/>
      <c r="M124" s="496"/>
      <c r="N124" s="497"/>
      <c r="O124" s="498"/>
      <c r="P124" s="499"/>
      <c r="Q124" s="500">
        <v>45814</v>
      </c>
      <c r="R124" s="148">
        <f t="shared" si="9"/>
        <v>1.0000218278654531</v>
      </c>
      <c r="S124" s="101" t="s">
        <v>2597</v>
      </c>
      <c r="T124" s="167"/>
    </row>
    <row r="125" spans="1:20" ht="57.6" x14ac:dyDescent="0.3">
      <c r="A125" s="98">
        <f t="shared" ca="1" si="10"/>
        <v>135</v>
      </c>
      <c r="B125" s="506">
        <v>1550</v>
      </c>
      <c r="C125" s="492">
        <v>45813</v>
      </c>
      <c r="D125" s="369"/>
      <c r="E125" s="270" t="s">
        <v>3225</v>
      </c>
      <c r="F125" s="101" t="s">
        <v>1314</v>
      </c>
      <c r="G125" s="112" t="s">
        <v>6</v>
      </c>
      <c r="H125" s="493">
        <v>45813</v>
      </c>
      <c r="I125" s="25"/>
      <c r="J125" s="100" t="s">
        <v>99</v>
      </c>
      <c r="K125" s="507"/>
      <c r="L125" s="508"/>
      <c r="M125" s="365"/>
      <c r="N125" s="509"/>
      <c r="O125" s="510"/>
      <c r="P125" s="511"/>
      <c r="Q125" s="500">
        <v>45814</v>
      </c>
      <c r="R125" s="148">
        <f t="shared" si="9"/>
        <v>1.0000218278654531</v>
      </c>
      <c r="S125" s="101" t="s">
        <v>1811</v>
      </c>
      <c r="T125" s="69"/>
    </row>
    <row r="126" spans="1:20" ht="57.6" x14ac:dyDescent="0.3">
      <c r="A126" s="98">
        <f t="shared" ca="1" si="10"/>
        <v>138</v>
      </c>
      <c r="B126" s="506">
        <v>1550</v>
      </c>
      <c r="C126" s="492">
        <v>45813</v>
      </c>
      <c r="D126" s="369"/>
      <c r="E126" s="270" t="s">
        <v>3226</v>
      </c>
      <c r="F126" s="101" t="s">
        <v>1314</v>
      </c>
      <c r="G126" s="112" t="s">
        <v>6</v>
      </c>
      <c r="H126" s="493">
        <v>45813</v>
      </c>
      <c r="I126" s="25"/>
      <c r="J126" s="100" t="s">
        <v>99</v>
      </c>
      <c r="K126" s="507"/>
      <c r="L126" s="508"/>
      <c r="M126" s="365"/>
      <c r="N126" s="509"/>
      <c r="O126" s="510"/>
      <c r="P126" s="511"/>
      <c r="Q126" s="500">
        <v>45814</v>
      </c>
      <c r="R126" s="148">
        <f t="shared" si="9"/>
        <v>1.0000218278654531</v>
      </c>
      <c r="S126" s="101" t="s">
        <v>1927</v>
      </c>
      <c r="T126" s="69"/>
    </row>
    <row r="127" spans="1:20" ht="57.6" x14ac:dyDescent="0.3">
      <c r="A127" s="98">
        <f t="shared" ca="1" si="10"/>
        <v>140</v>
      </c>
      <c r="B127" s="506">
        <v>1550</v>
      </c>
      <c r="C127" s="492">
        <v>45813</v>
      </c>
      <c r="D127" s="369"/>
      <c r="E127" s="263" t="s">
        <v>3227</v>
      </c>
      <c r="F127" s="101" t="s">
        <v>1314</v>
      </c>
      <c r="G127" s="112" t="s">
        <v>6</v>
      </c>
      <c r="H127" s="493">
        <v>45813</v>
      </c>
      <c r="I127" s="25"/>
      <c r="J127" s="100" t="s">
        <v>99</v>
      </c>
      <c r="K127" s="507"/>
      <c r="L127" s="508"/>
      <c r="M127" s="365"/>
      <c r="N127" s="509"/>
      <c r="O127" s="510"/>
      <c r="P127" s="511"/>
      <c r="Q127" s="500">
        <v>45814</v>
      </c>
      <c r="R127" s="148">
        <f t="shared" si="9"/>
        <v>1.0000218278654531</v>
      </c>
      <c r="S127" s="810" t="s">
        <v>2597</v>
      </c>
      <c r="T127" s="69"/>
    </row>
    <row r="128" spans="1:20" ht="57.6" x14ac:dyDescent="0.3">
      <c r="A128" s="98">
        <f t="shared" ca="1" si="10"/>
        <v>141</v>
      </c>
      <c r="B128" s="506">
        <v>1550</v>
      </c>
      <c r="C128" s="492">
        <v>45813</v>
      </c>
      <c r="D128" s="369"/>
      <c r="E128" s="264" t="s">
        <v>3228</v>
      </c>
      <c r="F128" s="101" t="s">
        <v>1314</v>
      </c>
      <c r="G128" s="112" t="s">
        <v>6</v>
      </c>
      <c r="H128" s="493">
        <v>45813</v>
      </c>
      <c r="I128" s="25"/>
      <c r="J128" s="100" t="s">
        <v>99</v>
      </c>
      <c r="K128" s="507"/>
      <c r="L128" s="508"/>
      <c r="M128" s="365"/>
      <c r="N128" s="509"/>
      <c r="O128" s="510"/>
      <c r="P128" s="511"/>
      <c r="Q128" s="500">
        <v>45814</v>
      </c>
      <c r="R128" s="148">
        <f t="shared" si="9"/>
        <v>1.0000218278654531</v>
      </c>
      <c r="S128" s="811" t="s">
        <v>2747</v>
      </c>
      <c r="T128" s="69"/>
    </row>
    <row r="129" spans="1:20" ht="57.6" x14ac:dyDescent="0.3">
      <c r="A129" s="98">
        <f t="shared" ca="1" si="10"/>
        <v>142</v>
      </c>
      <c r="B129" s="506">
        <v>1550</v>
      </c>
      <c r="C129" s="492">
        <v>45813</v>
      </c>
      <c r="D129" s="369"/>
      <c r="E129" s="264" t="s">
        <v>3229</v>
      </c>
      <c r="F129" s="101" t="s">
        <v>1314</v>
      </c>
      <c r="G129" s="112" t="s">
        <v>6</v>
      </c>
      <c r="H129" s="493">
        <v>45813</v>
      </c>
      <c r="I129" s="25"/>
      <c r="J129" s="100" t="s">
        <v>99</v>
      </c>
      <c r="K129" s="507"/>
      <c r="L129" s="508"/>
      <c r="M129" s="365"/>
      <c r="N129" s="509"/>
      <c r="O129" s="510"/>
      <c r="P129" s="511"/>
      <c r="Q129" s="500">
        <v>45814</v>
      </c>
      <c r="R129" s="148">
        <f t="shared" si="9"/>
        <v>1.0000218278654531</v>
      </c>
      <c r="S129" s="811" t="s">
        <v>2747</v>
      </c>
      <c r="T129" s="167"/>
    </row>
    <row r="130" spans="1:20" ht="57.6" x14ac:dyDescent="0.3">
      <c r="A130" s="98">
        <f t="shared" ca="1" si="10"/>
        <v>144</v>
      </c>
      <c r="B130" s="506">
        <v>1550</v>
      </c>
      <c r="C130" s="492">
        <v>45813</v>
      </c>
      <c r="D130" s="369"/>
      <c r="E130" s="110" t="s">
        <v>3230</v>
      </c>
      <c r="F130" s="101" t="s">
        <v>51</v>
      </c>
      <c r="G130" s="112" t="s">
        <v>8</v>
      </c>
      <c r="H130" s="493">
        <v>45813</v>
      </c>
      <c r="I130" s="25"/>
      <c r="J130" s="100" t="s">
        <v>3095</v>
      </c>
      <c r="K130" s="507"/>
      <c r="L130" s="508"/>
      <c r="M130" s="365"/>
      <c r="N130" s="509"/>
      <c r="O130" s="510"/>
      <c r="P130" s="511"/>
      <c r="Q130" s="500">
        <v>45814</v>
      </c>
      <c r="R130" s="148">
        <f>Q130-H130</f>
        <v>1</v>
      </c>
      <c r="S130" s="811" t="s">
        <v>758</v>
      </c>
      <c r="T130" s="167"/>
    </row>
    <row r="131" spans="1:20" ht="57.6" x14ac:dyDescent="0.3">
      <c r="A131" s="98">
        <f t="shared" ca="1" si="10"/>
        <v>145</v>
      </c>
      <c r="B131" s="506">
        <v>1550</v>
      </c>
      <c r="C131" s="492">
        <v>45813</v>
      </c>
      <c r="D131" s="369"/>
      <c r="E131" s="110" t="s">
        <v>3231</v>
      </c>
      <c r="F131" s="101" t="s">
        <v>51</v>
      </c>
      <c r="G131" s="112" t="s">
        <v>8</v>
      </c>
      <c r="H131" s="493">
        <v>45813</v>
      </c>
      <c r="I131" s="25"/>
      <c r="J131" s="100" t="s">
        <v>3095</v>
      </c>
      <c r="K131" s="507"/>
      <c r="L131" s="508"/>
      <c r="M131" s="365"/>
      <c r="N131" s="509"/>
      <c r="O131" s="510"/>
      <c r="P131" s="511"/>
      <c r="Q131" s="500">
        <v>45814</v>
      </c>
      <c r="R131" s="148">
        <f>Q131-H131</f>
        <v>1</v>
      </c>
      <c r="S131" s="811" t="s">
        <v>758</v>
      </c>
      <c r="T131" s="167"/>
    </row>
    <row r="132" spans="1:20" ht="43.2" x14ac:dyDescent="0.3">
      <c r="A132" s="98">
        <f t="shared" ca="1" si="10"/>
        <v>146</v>
      </c>
      <c r="B132" s="506">
        <v>1550</v>
      </c>
      <c r="C132" s="492">
        <v>45813</v>
      </c>
      <c r="D132" s="369"/>
      <c r="E132" s="110" t="s">
        <v>3232</v>
      </c>
      <c r="F132" s="101" t="s">
        <v>33</v>
      </c>
      <c r="G132" s="112" t="s">
        <v>6</v>
      </c>
      <c r="H132" s="493">
        <v>45813</v>
      </c>
      <c r="I132" s="25"/>
      <c r="J132" s="728" t="s">
        <v>99</v>
      </c>
      <c r="K132" s="494"/>
      <c r="L132" s="495"/>
      <c r="M132" s="496"/>
      <c r="N132" s="497"/>
      <c r="O132" s="498"/>
      <c r="P132" s="499"/>
      <c r="Q132" s="500">
        <v>45814</v>
      </c>
      <c r="R132" s="148">
        <f>Q132/H132</f>
        <v>1.0000218278654531</v>
      </c>
      <c r="S132" s="811" t="s">
        <v>1893</v>
      </c>
      <c r="T132" s="69"/>
    </row>
    <row r="133" spans="1:20" ht="57.6" x14ac:dyDescent="0.3">
      <c r="A133" s="98">
        <f t="shared" ca="1" si="10"/>
        <v>148</v>
      </c>
      <c r="B133" s="506">
        <v>1550</v>
      </c>
      <c r="C133" s="492">
        <v>45814</v>
      </c>
      <c r="D133" s="369"/>
      <c r="E133" s="270" t="s">
        <v>3233</v>
      </c>
      <c r="F133" s="344" t="s">
        <v>33</v>
      </c>
      <c r="G133" s="112" t="s">
        <v>6</v>
      </c>
      <c r="H133" s="493">
        <v>45814</v>
      </c>
      <c r="I133" s="25"/>
      <c r="J133" s="727" t="s">
        <v>99</v>
      </c>
      <c r="K133" s="557"/>
      <c r="L133" s="495"/>
      <c r="M133" s="496"/>
      <c r="N133" s="497"/>
      <c r="O133" s="498"/>
      <c r="P133" s="499"/>
      <c r="Q133" s="500">
        <v>45814</v>
      </c>
      <c r="R133" s="148">
        <f>Q133/H133</f>
        <v>1</v>
      </c>
      <c r="S133" s="101" t="s">
        <v>1936</v>
      </c>
      <c r="T133" s="69"/>
    </row>
    <row r="134" spans="1:20" ht="43.2" x14ac:dyDescent="0.3">
      <c r="A134" s="98">
        <f t="shared" ca="1" si="10"/>
        <v>153</v>
      </c>
      <c r="B134" s="506">
        <v>1550</v>
      </c>
      <c r="C134" s="492">
        <v>45814</v>
      </c>
      <c r="D134" s="369">
        <v>9725148</v>
      </c>
      <c r="E134" s="270" t="s">
        <v>3234</v>
      </c>
      <c r="F134" s="344" t="s">
        <v>33</v>
      </c>
      <c r="G134" s="112" t="s">
        <v>6</v>
      </c>
      <c r="H134" s="493">
        <v>45814</v>
      </c>
      <c r="I134" s="25"/>
      <c r="J134" s="727" t="s">
        <v>99</v>
      </c>
      <c r="K134" s="558"/>
      <c r="L134" s="508"/>
      <c r="M134" s="365"/>
      <c r="N134" s="509"/>
      <c r="O134" s="510"/>
      <c r="P134" s="511"/>
      <c r="Q134" s="500">
        <v>45814</v>
      </c>
      <c r="R134" s="148">
        <f>Q134/H134</f>
        <v>1</v>
      </c>
      <c r="S134" s="101" t="s">
        <v>2808</v>
      </c>
      <c r="T134" s="167"/>
    </row>
    <row r="135" spans="1:20" ht="57.6" x14ac:dyDescent="0.3">
      <c r="A135" s="98">
        <f t="shared" ca="1" si="10"/>
        <v>154</v>
      </c>
      <c r="B135" s="506">
        <v>1550</v>
      </c>
      <c r="C135" s="492">
        <v>45814</v>
      </c>
      <c r="D135" s="369">
        <v>111589746</v>
      </c>
      <c r="E135" s="270" t="s">
        <v>3235</v>
      </c>
      <c r="F135" s="344" t="s">
        <v>11</v>
      </c>
      <c r="G135" s="112" t="s">
        <v>4</v>
      </c>
      <c r="H135" s="493">
        <v>45814</v>
      </c>
      <c r="I135" s="25"/>
      <c r="J135" s="728" t="s">
        <v>3095</v>
      </c>
      <c r="K135" s="558"/>
      <c r="L135" s="508"/>
      <c r="M135" s="365"/>
      <c r="N135" s="509"/>
      <c r="O135" s="510"/>
      <c r="P135" s="511"/>
      <c r="Q135" s="500">
        <v>45814</v>
      </c>
      <c r="R135" s="148">
        <f>Q135-H135</f>
        <v>0</v>
      </c>
      <c r="S135" s="101" t="s">
        <v>3047</v>
      </c>
      <c r="T135" s="167"/>
    </row>
    <row r="136" spans="1:20" ht="43.2" x14ac:dyDescent="0.3">
      <c r="A136" s="98">
        <f t="shared" ca="1" si="10"/>
        <v>155</v>
      </c>
      <c r="B136" s="506">
        <v>1550</v>
      </c>
      <c r="C136" s="492">
        <v>45814</v>
      </c>
      <c r="D136" s="369">
        <v>67862853</v>
      </c>
      <c r="E136" s="270" t="s">
        <v>3236</v>
      </c>
      <c r="F136" s="344" t="s">
        <v>33</v>
      </c>
      <c r="G136" s="112" t="s">
        <v>6</v>
      </c>
      <c r="H136" s="493">
        <v>45814</v>
      </c>
      <c r="I136" s="25"/>
      <c r="J136" s="727" t="s">
        <v>99</v>
      </c>
      <c r="K136" s="558"/>
      <c r="L136" s="508"/>
      <c r="M136" s="365"/>
      <c r="N136" s="509"/>
      <c r="O136" s="510"/>
      <c r="P136" s="511"/>
      <c r="Q136" s="500">
        <v>45814</v>
      </c>
      <c r="R136" s="148">
        <f>Q136/H136</f>
        <v>1</v>
      </c>
      <c r="S136" s="101" t="s">
        <v>1934</v>
      </c>
      <c r="T136" s="167"/>
    </row>
    <row r="137" spans="1:20" ht="43.2" x14ac:dyDescent="0.3">
      <c r="A137" s="98">
        <f t="shared" ca="1" si="10"/>
        <v>80</v>
      </c>
      <c r="B137" s="506">
        <v>1550</v>
      </c>
      <c r="C137" s="492">
        <v>45812</v>
      </c>
      <c r="D137" s="369">
        <v>45288941</v>
      </c>
      <c r="E137" s="479" t="s">
        <v>3237</v>
      </c>
      <c r="F137" s="383" t="s">
        <v>3</v>
      </c>
      <c r="G137" s="112" t="s">
        <v>8</v>
      </c>
      <c r="H137" s="493">
        <v>45812</v>
      </c>
      <c r="I137" s="765">
        <v>10000294738</v>
      </c>
      <c r="J137" s="100" t="s">
        <v>82</v>
      </c>
      <c r="K137" s="558"/>
      <c r="L137" s="508"/>
      <c r="M137" s="365"/>
      <c r="N137" s="509"/>
      <c r="O137" s="510"/>
      <c r="P137" s="511"/>
      <c r="Q137" s="501">
        <v>45817</v>
      </c>
      <c r="R137" s="148">
        <f>Q137-H137</f>
        <v>5</v>
      </c>
      <c r="S137" s="101" t="s">
        <v>2712</v>
      </c>
      <c r="T137" s="167"/>
    </row>
    <row r="138" spans="1:20" ht="43.2" x14ac:dyDescent="0.3">
      <c r="A138" s="98">
        <f t="shared" ca="1" si="10"/>
        <v>97</v>
      </c>
      <c r="B138" s="506">
        <v>1550</v>
      </c>
      <c r="C138" s="492">
        <v>45812</v>
      </c>
      <c r="D138" s="369">
        <v>14008173</v>
      </c>
      <c r="E138" s="270" t="s">
        <v>3238</v>
      </c>
      <c r="F138" s="344" t="s">
        <v>1</v>
      </c>
      <c r="G138" s="221" t="s">
        <v>6</v>
      </c>
      <c r="H138" s="493">
        <v>45812</v>
      </c>
      <c r="I138" s="25"/>
      <c r="J138" s="107" t="s">
        <v>99</v>
      </c>
      <c r="K138" s="558"/>
      <c r="L138" s="508"/>
      <c r="M138" s="365"/>
      <c r="N138" s="509"/>
      <c r="O138" s="510"/>
      <c r="P138" s="511"/>
      <c r="Q138" s="500">
        <v>45817</v>
      </c>
      <c r="R138" s="148">
        <f>Q138/H138</f>
        <v>1.0001091417095958</v>
      </c>
      <c r="S138" s="101" t="s">
        <v>720</v>
      </c>
      <c r="T138" s="167"/>
    </row>
    <row r="139" spans="1:20" ht="57.6" x14ac:dyDescent="0.3">
      <c r="A139" s="98">
        <f t="shared" ca="1" si="10"/>
        <v>122</v>
      </c>
      <c r="B139" s="506">
        <v>1550</v>
      </c>
      <c r="C139" s="492">
        <v>45813</v>
      </c>
      <c r="D139" s="369"/>
      <c r="E139" s="270" t="s">
        <v>3239</v>
      </c>
      <c r="F139" s="344" t="s">
        <v>51</v>
      </c>
      <c r="G139" s="112" t="s">
        <v>4</v>
      </c>
      <c r="H139" s="493">
        <v>45813</v>
      </c>
      <c r="I139" s="25"/>
      <c r="J139" s="100" t="s">
        <v>3095</v>
      </c>
      <c r="K139" s="557"/>
      <c r="L139" s="495"/>
      <c r="M139" s="496"/>
      <c r="N139" s="497"/>
      <c r="O139" s="498"/>
      <c r="P139" s="499"/>
      <c r="Q139" s="500">
        <v>45817</v>
      </c>
      <c r="R139" s="148">
        <f>Q139-H139</f>
        <v>4</v>
      </c>
      <c r="S139" s="101" t="s">
        <v>2974</v>
      </c>
      <c r="T139" s="69"/>
    </row>
    <row r="140" spans="1:20" ht="57.6" x14ac:dyDescent="0.3">
      <c r="A140" s="98">
        <f t="shared" ca="1" si="10"/>
        <v>132</v>
      </c>
      <c r="B140" s="506" t="s">
        <v>1826</v>
      </c>
      <c r="C140" s="492">
        <v>45813</v>
      </c>
      <c r="D140" s="369"/>
      <c r="E140" s="270" t="s">
        <v>3240</v>
      </c>
      <c r="F140" s="344" t="s">
        <v>51</v>
      </c>
      <c r="G140" s="112" t="s">
        <v>4</v>
      </c>
      <c r="H140" s="493">
        <v>45813</v>
      </c>
      <c r="I140" s="25"/>
      <c r="J140" s="100" t="s">
        <v>3095</v>
      </c>
      <c r="K140" s="507"/>
      <c r="L140" s="508"/>
      <c r="M140" s="365"/>
      <c r="N140" s="509"/>
      <c r="O140" s="510"/>
      <c r="P140" s="511"/>
      <c r="Q140" s="500">
        <v>45817</v>
      </c>
      <c r="R140" s="148">
        <f>Q140-H140</f>
        <v>4</v>
      </c>
      <c r="S140" s="101" t="s">
        <v>3020</v>
      </c>
      <c r="T140" s="167"/>
    </row>
    <row r="141" spans="1:20" ht="57.6" x14ac:dyDescent="0.3">
      <c r="A141" s="98">
        <f t="shared" ca="1" si="10"/>
        <v>134</v>
      </c>
      <c r="B141" s="506">
        <v>1550</v>
      </c>
      <c r="C141" s="492">
        <v>45813</v>
      </c>
      <c r="D141" s="369"/>
      <c r="E141" s="270" t="s">
        <v>3241</v>
      </c>
      <c r="F141" s="344" t="s">
        <v>51</v>
      </c>
      <c r="G141" s="112" t="s">
        <v>4</v>
      </c>
      <c r="H141" s="493">
        <v>45813</v>
      </c>
      <c r="I141" s="25"/>
      <c r="J141" s="107" t="s">
        <v>3095</v>
      </c>
      <c r="K141" s="558"/>
      <c r="L141" s="508"/>
      <c r="M141" s="365"/>
      <c r="N141" s="509"/>
      <c r="O141" s="510"/>
      <c r="P141" s="511"/>
      <c r="Q141" s="500">
        <v>45817</v>
      </c>
      <c r="R141" s="148">
        <f>Q141-H141</f>
        <v>4</v>
      </c>
      <c r="S141" s="101" t="s">
        <v>2974</v>
      </c>
      <c r="T141" s="344"/>
    </row>
    <row r="142" spans="1:20" ht="57.6" x14ac:dyDescent="0.3">
      <c r="A142" s="98">
        <f t="shared" ca="1" si="10"/>
        <v>139</v>
      </c>
      <c r="B142" s="506">
        <v>1550</v>
      </c>
      <c r="C142" s="492">
        <v>45813</v>
      </c>
      <c r="D142" s="369"/>
      <c r="E142" s="270" t="s">
        <v>3242</v>
      </c>
      <c r="F142" s="344" t="s">
        <v>51</v>
      </c>
      <c r="G142" s="112" t="s">
        <v>4</v>
      </c>
      <c r="H142" s="493">
        <v>45813</v>
      </c>
      <c r="I142" s="25"/>
      <c r="J142" s="100" t="s">
        <v>3095</v>
      </c>
      <c r="K142" s="558"/>
      <c r="L142" s="508"/>
      <c r="M142" s="365"/>
      <c r="N142" s="509"/>
      <c r="O142" s="510"/>
      <c r="P142" s="511"/>
      <c r="Q142" s="500">
        <v>45817</v>
      </c>
      <c r="R142" s="148">
        <f>Q142-H142</f>
        <v>4</v>
      </c>
      <c r="S142" s="101" t="s">
        <v>2974</v>
      </c>
      <c r="T142" s="69"/>
    </row>
    <row r="143" spans="1:20" ht="86.4" x14ac:dyDescent="0.3">
      <c r="A143" s="98">
        <f t="shared" ca="1" si="10"/>
        <v>152</v>
      </c>
      <c r="B143" s="506">
        <v>1550</v>
      </c>
      <c r="C143" s="492">
        <v>45814</v>
      </c>
      <c r="D143" s="369">
        <v>119731894</v>
      </c>
      <c r="E143" s="213" t="s">
        <v>3243</v>
      </c>
      <c r="F143" s="344" t="s">
        <v>1</v>
      </c>
      <c r="G143" s="112" t="s">
        <v>6</v>
      </c>
      <c r="H143" s="493">
        <v>45814</v>
      </c>
      <c r="I143" s="25"/>
      <c r="J143" s="107" t="s">
        <v>99</v>
      </c>
      <c r="K143" s="557"/>
      <c r="L143" s="495"/>
      <c r="M143" s="496"/>
      <c r="N143" s="497"/>
      <c r="O143" s="498"/>
      <c r="P143" s="499"/>
      <c r="Q143" s="500">
        <v>45817</v>
      </c>
      <c r="R143" s="148">
        <f t="shared" ref="R143:R151" si="11">Q143/H143</f>
        <v>1.0000654821670232</v>
      </c>
      <c r="S143" s="101" t="s">
        <v>1927</v>
      </c>
      <c r="T143" s="69"/>
    </row>
    <row r="144" spans="1:20" ht="57.6" x14ac:dyDescent="0.3">
      <c r="A144" s="98">
        <f t="shared" ca="1" si="10"/>
        <v>156</v>
      </c>
      <c r="B144" s="506">
        <v>1550</v>
      </c>
      <c r="C144" s="492">
        <v>45814</v>
      </c>
      <c r="D144" s="369"/>
      <c r="E144" s="264" t="s">
        <v>3244</v>
      </c>
      <c r="F144" s="344" t="s">
        <v>1314</v>
      </c>
      <c r="G144" s="112" t="s">
        <v>6</v>
      </c>
      <c r="H144" s="493">
        <v>45814</v>
      </c>
      <c r="I144" s="25"/>
      <c r="J144" s="107" t="s">
        <v>99</v>
      </c>
      <c r="K144" s="557"/>
      <c r="L144" s="495"/>
      <c r="M144" s="496"/>
      <c r="N144" s="497"/>
      <c r="O144" s="498"/>
      <c r="P144" s="499"/>
      <c r="Q144" s="500">
        <v>45817</v>
      </c>
      <c r="R144" s="148">
        <f t="shared" si="11"/>
        <v>1.0000654821670232</v>
      </c>
      <c r="S144" s="812" t="s">
        <v>1936</v>
      </c>
      <c r="T144" s="167"/>
    </row>
    <row r="145" spans="1:20" ht="57.6" x14ac:dyDescent="0.3">
      <c r="A145" s="98">
        <f t="shared" ca="1" si="10"/>
        <v>157</v>
      </c>
      <c r="B145" s="506">
        <v>1550</v>
      </c>
      <c r="C145" s="492">
        <v>45814</v>
      </c>
      <c r="D145" s="369"/>
      <c r="E145" s="264" t="s">
        <v>3245</v>
      </c>
      <c r="F145" s="344" t="s">
        <v>1314</v>
      </c>
      <c r="G145" s="112" t="s">
        <v>6</v>
      </c>
      <c r="H145" s="493">
        <v>45814</v>
      </c>
      <c r="I145" s="25"/>
      <c r="J145" s="107" t="s">
        <v>99</v>
      </c>
      <c r="K145" s="557"/>
      <c r="L145" s="495"/>
      <c r="M145" s="496"/>
      <c r="N145" s="497"/>
      <c r="O145" s="498"/>
      <c r="P145" s="499"/>
      <c r="Q145" s="500">
        <v>45817</v>
      </c>
      <c r="R145" s="148">
        <f t="shared" si="11"/>
        <v>1.0000654821670232</v>
      </c>
      <c r="S145" s="812" t="s">
        <v>1936</v>
      </c>
      <c r="T145" s="167"/>
    </row>
    <row r="146" spans="1:20" ht="57.6" x14ac:dyDescent="0.3">
      <c r="A146" s="98">
        <f t="shared" ca="1" si="10"/>
        <v>158</v>
      </c>
      <c r="B146" s="506">
        <v>1550</v>
      </c>
      <c r="C146" s="492">
        <v>45814</v>
      </c>
      <c r="D146" s="369"/>
      <c r="E146" s="393" t="s">
        <v>3246</v>
      </c>
      <c r="F146" s="344" t="s">
        <v>1314</v>
      </c>
      <c r="G146" s="112" t="s">
        <v>6</v>
      </c>
      <c r="H146" s="493">
        <v>45814</v>
      </c>
      <c r="I146" s="25"/>
      <c r="J146" s="107" t="s">
        <v>99</v>
      </c>
      <c r="K146" s="494"/>
      <c r="L146" s="495"/>
      <c r="M146" s="496"/>
      <c r="N146" s="497"/>
      <c r="O146" s="498"/>
      <c r="P146" s="499"/>
      <c r="Q146" s="500">
        <v>45817</v>
      </c>
      <c r="R146" s="148">
        <f t="shared" si="11"/>
        <v>1.0000654821670232</v>
      </c>
      <c r="S146" s="812" t="s">
        <v>1936</v>
      </c>
      <c r="T146" s="69"/>
    </row>
    <row r="147" spans="1:20" ht="57.6" x14ac:dyDescent="0.3">
      <c r="A147" s="98">
        <f t="shared" ca="1" si="10"/>
        <v>159</v>
      </c>
      <c r="B147" s="506">
        <v>1550</v>
      </c>
      <c r="C147" s="492">
        <v>45814</v>
      </c>
      <c r="D147" s="369"/>
      <c r="E147" s="393" t="s">
        <v>3247</v>
      </c>
      <c r="F147" s="344" t="s">
        <v>1314</v>
      </c>
      <c r="G147" s="112" t="s">
        <v>6</v>
      </c>
      <c r="H147" s="493">
        <v>45814</v>
      </c>
      <c r="I147" s="25"/>
      <c r="J147" s="107" t="s">
        <v>99</v>
      </c>
      <c r="K147" s="494"/>
      <c r="L147" s="495"/>
      <c r="M147" s="496"/>
      <c r="N147" s="497"/>
      <c r="O147" s="498"/>
      <c r="P147" s="499"/>
      <c r="Q147" s="500">
        <v>45817</v>
      </c>
      <c r="R147" s="148">
        <f t="shared" si="11"/>
        <v>1.0000654821670232</v>
      </c>
      <c r="S147" s="812" t="s">
        <v>1860</v>
      </c>
      <c r="T147" s="69"/>
    </row>
    <row r="148" spans="1:20" ht="57.6" x14ac:dyDescent="0.3">
      <c r="A148" s="98">
        <f t="shared" ca="1" si="10"/>
        <v>160</v>
      </c>
      <c r="B148" s="506">
        <v>1550</v>
      </c>
      <c r="C148" s="492">
        <v>45814</v>
      </c>
      <c r="D148" s="369"/>
      <c r="E148" s="393" t="s">
        <v>3248</v>
      </c>
      <c r="F148" s="344" t="s">
        <v>1314</v>
      </c>
      <c r="G148" s="112" t="s">
        <v>6</v>
      </c>
      <c r="H148" s="493">
        <v>45814</v>
      </c>
      <c r="I148" s="25"/>
      <c r="J148" s="107" t="s">
        <v>99</v>
      </c>
      <c r="K148" s="494"/>
      <c r="L148" s="495"/>
      <c r="M148" s="496"/>
      <c r="N148" s="497"/>
      <c r="O148" s="498"/>
      <c r="P148" s="499"/>
      <c r="Q148" s="500">
        <v>45817</v>
      </c>
      <c r="R148" s="148">
        <f t="shared" si="11"/>
        <v>1.0000654821670232</v>
      </c>
      <c r="S148" s="812" t="s">
        <v>1860</v>
      </c>
      <c r="T148" s="69"/>
    </row>
    <row r="149" spans="1:20" ht="57.6" x14ac:dyDescent="0.3">
      <c r="A149" s="98">
        <f t="shared" ca="1" si="10"/>
        <v>161</v>
      </c>
      <c r="B149" s="506" t="s">
        <v>80</v>
      </c>
      <c r="C149" s="492">
        <v>45814</v>
      </c>
      <c r="D149" s="369"/>
      <c r="E149" s="393" t="s">
        <v>3249</v>
      </c>
      <c r="F149" s="344" t="s">
        <v>1314</v>
      </c>
      <c r="G149" s="112" t="s">
        <v>6</v>
      </c>
      <c r="H149" s="493">
        <v>45814</v>
      </c>
      <c r="I149" s="25"/>
      <c r="J149" s="107" t="s">
        <v>99</v>
      </c>
      <c r="K149" s="494"/>
      <c r="L149" s="495"/>
      <c r="M149" s="496"/>
      <c r="N149" s="497"/>
      <c r="O149" s="498"/>
      <c r="P149" s="499"/>
      <c r="Q149" s="500">
        <v>45817</v>
      </c>
      <c r="R149" s="148">
        <f t="shared" si="11"/>
        <v>1.0000654821670232</v>
      </c>
      <c r="S149" s="812" t="s">
        <v>2747</v>
      </c>
      <c r="T149" s="69"/>
    </row>
    <row r="150" spans="1:20" ht="57.6" x14ac:dyDescent="0.3">
      <c r="A150" s="98">
        <f t="shared" ca="1" si="10"/>
        <v>162</v>
      </c>
      <c r="B150" s="506" t="s">
        <v>80</v>
      </c>
      <c r="C150" s="492">
        <v>45814</v>
      </c>
      <c r="D150" s="369"/>
      <c r="E150" s="393" t="s">
        <v>3250</v>
      </c>
      <c r="F150" s="344" t="s">
        <v>1314</v>
      </c>
      <c r="G150" s="112" t="s">
        <v>6</v>
      </c>
      <c r="H150" s="493">
        <v>45814</v>
      </c>
      <c r="I150" s="25"/>
      <c r="J150" s="107" t="s">
        <v>99</v>
      </c>
      <c r="K150" s="494"/>
      <c r="L150" s="495"/>
      <c r="M150" s="496"/>
      <c r="N150" s="497"/>
      <c r="O150" s="498"/>
      <c r="P150" s="499"/>
      <c r="Q150" s="500">
        <v>45817</v>
      </c>
      <c r="R150" s="148">
        <f t="shared" si="11"/>
        <v>1.0000654821670232</v>
      </c>
      <c r="S150" s="812" t="s">
        <v>2747</v>
      </c>
      <c r="T150" s="69"/>
    </row>
    <row r="151" spans="1:20" ht="57.6" x14ac:dyDescent="0.3">
      <c r="A151" s="98">
        <f t="shared" ca="1" si="10"/>
        <v>163</v>
      </c>
      <c r="B151" s="506" t="s">
        <v>80</v>
      </c>
      <c r="C151" s="492">
        <v>45814</v>
      </c>
      <c r="D151" s="369"/>
      <c r="E151" s="270" t="s">
        <v>3251</v>
      </c>
      <c r="F151" s="344" t="s">
        <v>1314</v>
      </c>
      <c r="G151" s="112" t="s">
        <v>6</v>
      </c>
      <c r="H151" s="493">
        <v>45814</v>
      </c>
      <c r="I151" s="25"/>
      <c r="J151" s="107" t="s">
        <v>99</v>
      </c>
      <c r="K151" s="494"/>
      <c r="L151" s="495"/>
      <c r="M151" s="496"/>
      <c r="N151" s="497"/>
      <c r="O151" s="498"/>
      <c r="P151" s="499"/>
      <c r="Q151" s="500">
        <v>45817</v>
      </c>
      <c r="R151" s="148">
        <f t="shared" si="11"/>
        <v>1.0000654821670232</v>
      </c>
      <c r="S151" s="101" t="s">
        <v>2747</v>
      </c>
      <c r="T151" s="69"/>
    </row>
    <row r="152" spans="1:20" ht="57.6" x14ac:dyDescent="0.3">
      <c r="A152" s="98">
        <f t="shared" ca="1" si="10"/>
        <v>164</v>
      </c>
      <c r="B152" s="506">
        <v>1550</v>
      </c>
      <c r="C152" s="492">
        <v>45814</v>
      </c>
      <c r="D152" s="369"/>
      <c r="E152" s="270" t="s">
        <v>3252</v>
      </c>
      <c r="F152" s="344" t="s">
        <v>51</v>
      </c>
      <c r="G152" s="112" t="s">
        <v>4</v>
      </c>
      <c r="H152" s="493">
        <v>45814</v>
      </c>
      <c r="I152" s="25"/>
      <c r="J152" s="107" t="s">
        <v>3095</v>
      </c>
      <c r="K152" s="494"/>
      <c r="L152" s="495"/>
      <c r="M152" s="496"/>
      <c r="N152" s="497"/>
      <c r="O152" s="498"/>
      <c r="P152" s="499"/>
      <c r="Q152" s="500">
        <v>45817</v>
      </c>
      <c r="R152" s="148">
        <f>Q152-H152</f>
        <v>3</v>
      </c>
      <c r="S152" s="101" t="s">
        <v>3049</v>
      </c>
      <c r="T152" s="69"/>
    </row>
    <row r="153" spans="1:20" ht="57.6" x14ac:dyDescent="0.3">
      <c r="A153" s="98">
        <f t="shared" ca="1" si="10"/>
        <v>171</v>
      </c>
      <c r="B153" s="506" t="s">
        <v>80</v>
      </c>
      <c r="C153" s="492">
        <v>45814</v>
      </c>
      <c r="D153" s="369"/>
      <c r="E153" s="270" t="s">
        <v>3253</v>
      </c>
      <c r="F153" s="344" t="s">
        <v>1314</v>
      </c>
      <c r="G153" s="112" t="s">
        <v>6</v>
      </c>
      <c r="H153" s="493">
        <v>45814</v>
      </c>
      <c r="I153" s="25"/>
      <c r="J153" s="107" t="s">
        <v>99</v>
      </c>
      <c r="K153" s="494"/>
      <c r="L153" s="495"/>
      <c r="M153" s="496"/>
      <c r="N153" s="497"/>
      <c r="O153" s="498"/>
      <c r="P153" s="499"/>
      <c r="Q153" s="500">
        <v>45817</v>
      </c>
      <c r="R153" s="148">
        <f t="shared" ref="R153:R170" si="12">Q153/H153</f>
        <v>1.0000654821670232</v>
      </c>
      <c r="S153" s="101" t="s">
        <v>2747</v>
      </c>
      <c r="T153" s="167"/>
    </row>
    <row r="154" spans="1:20" ht="57.6" x14ac:dyDescent="0.3">
      <c r="A154" s="98">
        <f t="shared" ca="1" si="10"/>
        <v>172</v>
      </c>
      <c r="B154" s="506" t="s">
        <v>80</v>
      </c>
      <c r="C154" s="492">
        <v>45815</v>
      </c>
      <c r="D154" s="369"/>
      <c r="E154" s="395" t="s">
        <v>3254</v>
      </c>
      <c r="F154" s="344" t="s">
        <v>1314</v>
      </c>
      <c r="G154" s="112" t="s">
        <v>6</v>
      </c>
      <c r="H154" s="493">
        <v>45816</v>
      </c>
      <c r="I154" s="25"/>
      <c r="J154" s="107" t="s">
        <v>99</v>
      </c>
      <c r="K154" s="494"/>
      <c r="L154" s="495"/>
      <c r="M154" s="496"/>
      <c r="N154" s="497"/>
      <c r="O154" s="498"/>
      <c r="P154" s="499"/>
      <c r="Q154" s="500">
        <v>45817</v>
      </c>
      <c r="R154" s="148">
        <f t="shared" si="12"/>
        <v>1.0000218264361795</v>
      </c>
      <c r="S154" s="101" t="s">
        <v>720</v>
      </c>
      <c r="T154" s="69"/>
    </row>
    <row r="155" spans="1:20" ht="57.6" x14ac:dyDescent="0.3">
      <c r="A155" s="98">
        <f t="shared" ca="1" si="10"/>
        <v>173</v>
      </c>
      <c r="B155" s="506" t="s">
        <v>80</v>
      </c>
      <c r="C155" s="492">
        <v>45815</v>
      </c>
      <c r="D155" s="369"/>
      <c r="E155" s="395" t="s">
        <v>3255</v>
      </c>
      <c r="F155" s="344" t="s">
        <v>1314</v>
      </c>
      <c r="G155" s="112" t="s">
        <v>6</v>
      </c>
      <c r="H155" s="493">
        <v>45816</v>
      </c>
      <c r="I155" s="25"/>
      <c r="J155" s="107" t="s">
        <v>99</v>
      </c>
      <c r="K155" s="494"/>
      <c r="L155" s="495"/>
      <c r="M155" s="496"/>
      <c r="N155" s="497"/>
      <c r="O155" s="498"/>
      <c r="P155" s="499"/>
      <c r="Q155" s="500">
        <v>45817</v>
      </c>
      <c r="R155" s="148">
        <f t="shared" si="12"/>
        <v>1.0000218264361795</v>
      </c>
      <c r="S155" s="101" t="s">
        <v>720</v>
      </c>
      <c r="T155" s="69"/>
    </row>
    <row r="156" spans="1:20" ht="57.6" x14ac:dyDescent="0.3">
      <c r="A156" s="98">
        <f t="shared" ca="1" si="10"/>
        <v>174</v>
      </c>
      <c r="B156" s="506" t="s">
        <v>80</v>
      </c>
      <c r="C156" s="492">
        <v>45815</v>
      </c>
      <c r="D156" s="369"/>
      <c r="E156" s="395" t="s">
        <v>3256</v>
      </c>
      <c r="F156" s="344" t="s">
        <v>1314</v>
      </c>
      <c r="G156" s="112" t="s">
        <v>6</v>
      </c>
      <c r="H156" s="493">
        <v>45816</v>
      </c>
      <c r="I156" s="25"/>
      <c r="J156" s="107" t="s">
        <v>99</v>
      </c>
      <c r="K156" s="494"/>
      <c r="L156" s="495"/>
      <c r="M156" s="496"/>
      <c r="N156" s="497"/>
      <c r="O156" s="498"/>
      <c r="P156" s="499"/>
      <c r="Q156" s="500">
        <v>45817</v>
      </c>
      <c r="R156" s="148">
        <f t="shared" si="12"/>
        <v>1.0000218264361795</v>
      </c>
      <c r="S156" s="101" t="s">
        <v>720</v>
      </c>
      <c r="T156" s="167"/>
    </row>
    <row r="157" spans="1:20" ht="57.6" x14ac:dyDescent="0.3">
      <c r="A157" s="98">
        <f t="shared" ca="1" si="10"/>
        <v>175</v>
      </c>
      <c r="B157" s="506" t="s">
        <v>80</v>
      </c>
      <c r="C157" s="492">
        <v>45815</v>
      </c>
      <c r="D157" s="369"/>
      <c r="E157" s="395" t="s">
        <v>3257</v>
      </c>
      <c r="F157" s="344" t="s">
        <v>1314</v>
      </c>
      <c r="G157" s="112" t="s">
        <v>6</v>
      </c>
      <c r="H157" s="493">
        <v>45816</v>
      </c>
      <c r="I157" s="25"/>
      <c r="J157" s="107" t="s">
        <v>99</v>
      </c>
      <c r="K157" s="494"/>
      <c r="L157" s="495"/>
      <c r="M157" s="496"/>
      <c r="N157" s="497"/>
      <c r="O157" s="498"/>
      <c r="P157" s="499"/>
      <c r="Q157" s="500">
        <v>45817</v>
      </c>
      <c r="R157" s="148">
        <f t="shared" si="12"/>
        <v>1.0000218264361795</v>
      </c>
      <c r="S157" s="101" t="s">
        <v>720</v>
      </c>
      <c r="T157" s="167"/>
    </row>
    <row r="158" spans="1:20" ht="57.6" x14ac:dyDescent="0.3">
      <c r="A158" s="98">
        <f t="shared" ca="1" si="10"/>
        <v>176</v>
      </c>
      <c r="B158" s="506" t="s">
        <v>80</v>
      </c>
      <c r="C158" s="492">
        <v>45815</v>
      </c>
      <c r="D158" s="369"/>
      <c r="E158" s="395" t="s">
        <v>3258</v>
      </c>
      <c r="F158" s="344" t="s">
        <v>1314</v>
      </c>
      <c r="G158" s="112" t="s">
        <v>6</v>
      </c>
      <c r="H158" s="493">
        <v>45816</v>
      </c>
      <c r="I158" s="25"/>
      <c r="J158" s="107" t="s">
        <v>99</v>
      </c>
      <c r="K158" s="494"/>
      <c r="L158" s="495"/>
      <c r="M158" s="496"/>
      <c r="N158" s="497"/>
      <c r="O158" s="498"/>
      <c r="P158" s="499"/>
      <c r="Q158" s="500">
        <v>45817</v>
      </c>
      <c r="R158" s="148">
        <f t="shared" si="12"/>
        <v>1.0000218264361795</v>
      </c>
      <c r="S158" s="101" t="s">
        <v>720</v>
      </c>
      <c r="T158" s="167"/>
    </row>
    <row r="159" spans="1:20" ht="57.6" x14ac:dyDescent="0.3">
      <c r="A159" s="98">
        <f t="shared" ca="1" si="10"/>
        <v>177</v>
      </c>
      <c r="B159" s="506" t="s">
        <v>80</v>
      </c>
      <c r="C159" s="492">
        <v>45815</v>
      </c>
      <c r="D159" s="369"/>
      <c r="E159" s="261" t="s">
        <v>3259</v>
      </c>
      <c r="F159" s="344" t="s">
        <v>1314</v>
      </c>
      <c r="G159" s="112" t="s">
        <v>6</v>
      </c>
      <c r="H159" s="493">
        <v>45816</v>
      </c>
      <c r="I159" s="25"/>
      <c r="J159" s="107" t="s">
        <v>99</v>
      </c>
      <c r="K159" s="494"/>
      <c r="L159" s="495"/>
      <c r="M159" s="496"/>
      <c r="N159" s="497"/>
      <c r="O159" s="498"/>
      <c r="P159" s="499"/>
      <c r="Q159" s="500">
        <v>45817</v>
      </c>
      <c r="R159" s="148">
        <f t="shared" si="12"/>
        <v>1.0000218264361795</v>
      </c>
      <c r="S159" s="810" t="s">
        <v>720</v>
      </c>
      <c r="T159" s="167"/>
    </row>
    <row r="160" spans="1:20" ht="57.6" x14ac:dyDescent="0.3">
      <c r="A160" s="98">
        <f t="shared" ca="1" si="10"/>
        <v>178</v>
      </c>
      <c r="B160" s="506" t="s">
        <v>80</v>
      </c>
      <c r="C160" s="492">
        <v>45815</v>
      </c>
      <c r="D160" s="369"/>
      <c r="E160" s="262" t="s">
        <v>3260</v>
      </c>
      <c r="F160" s="344" t="s">
        <v>1314</v>
      </c>
      <c r="G160" s="112" t="s">
        <v>6</v>
      </c>
      <c r="H160" s="493">
        <v>45816</v>
      </c>
      <c r="I160" s="25"/>
      <c r="J160" s="107" t="s">
        <v>99</v>
      </c>
      <c r="K160" s="494"/>
      <c r="L160" s="495"/>
      <c r="M160" s="496"/>
      <c r="N160" s="497"/>
      <c r="O160" s="498"/>
      <c r="P160" s="499"/>
      <c r="Q160" s="500">
        <v>45817</v>
      </c>
      <c r="R160" s="148">
        <f t="shared" si="12"/>
        <v>1.0000218264361795</v>
      </c>
      <c r="S160" s="811" t="s">
        <v>720</v>
      </c>
      <c r="T160" s="167"/>
    </row>
    <row r="161" spans="1:20" ht="57.6" x14ac:dyDescent="0.3">
      <c r="A161" s="98">
        <f t="shared" ca="1" si="10"/>
        <v>179</v>
      </c>
      <c r="B161" s="506" t="s">
        <v>80</v>
      </c>
      <c r="C161" s="492">
        <v>45815</v>
      </c>
      <c r="D161" s="369"/>
      <c r="E161" s="262" t="s">
        <v>3261</v>
      </c>
      <c r="F161" s="344" t="s">
        <v>1314</v>
      </c>
      <c r="G161" s="112" t="s">
        <v>6</v>
      </c>
      <c r="H161" s="493">
        <v>45816</v>
      </c>
      <c r="I161" s="25"/>
      <c r="J161" s="107" t="s">
        <v>99</v>
      </c>
      <c r="K161" s="494"/>
      <c r="L161" s="495"/>
      <c r="M161" s="496"/>
      <c r="N161" s="497"/>
      <c r="O161" s="498"/>
      <c r="P161" s="499"/>
      <c r="Q161" s="500">
        <v>45817</v>
      </c>
      <c r="R161" s="148">
        <f t="shared" si="12"/>
        <v>1.0000218264361795</v>
      </c>
      <c r="S161" s="811" t="s">
        <v>720</v>
      </c>
      <c r="T161" s="167"/>
    </row>
    <row r="162" spans="1:20" ht="57.6" x14ac:dyDescent="0.3">
      <c r="A162" s="98">
        <f t="shared" ca="1" si="10"/>
        <v>180</v>
      </c>
      <c r="B162" s="506" t="s">
        <v>80</v>
      </c>
      <c r="C162" s="492">
        <v>45815</v>
      </c>
      <c r="D162" s="369"/>
      <c r="E162" s="262" t="s">
        <v>3262</v>
      </c>
      <c r="F162" s="344" t="s">
        <v>1314</v>
      </c>
      <c r="G162" s="112" t="s">
        <v>6</v>
      </c>
      <c r="H162" s="493">
        <v>45816</v>
      </c>
      <c r="I162" s="25"/>
      <c r="J162" s="107" t="s">
        <v>99</v>
      </c>
      <c r="K162" s="494"/>
      <c r="L162" s="495"/>
      <c r="M162" s="496"/>
      <c r="N162" s="497"/>
      <c r="O162" s="498"/>
      <c r="P162" s="499"/>
      <c r="Q162" s="500">
        <v>45817</v>
      </c>
      <c r="R162" s="148">
        <f t="shared" si="12"/>
        <v>1.0000218264361795</v>
      </c>
      <c r="S162" s="811" t="s">
        <v>720</v>
      </c>
      <c r="T162" s="69"/>
    </row>
    <row r="163" spans="1:20" ht="57.6" x14ac:dyDescent="0.3">
      <c r="A163" s="98">
        <f t="shared" ca="1" si="10"/>
        <v>181</v>
      </c>
      <c r="B163" s="506" t="s">
        <v>80</v>
      </c>
      <c r="C163" s="492">
        <v>45816</v>
      </c>
      <c r="D163" s="369"/>
      <c r="E163" s="262" t="s">
        <v>3263</v>
      </c>
      <c r="F163" s="344" t="s">
        <v>1314</v>
      </c>
      <c r="G163" s="112" t="s">
        <v>6</v>
      </c>
      <c r="H163" s="493">
        <v>45816</v>
      </c>
      <c r="I163" s="25"/>
      <c r="J163" s="107" t="s">
        <v>99</v>
      </c>
      <c r="K163" s="494"/>
      <c r="L163" s="495"/>
      <c r="M163" s="496"/>
      <c r="N163" s="497"/>
      <c r="O163" s="498"/>
      <c r="P163" s="499"/>
      <c r="Q163" s="500">
        <v>45817</v>
      </c>
      <c r="R163" s="148">
        <f t="shared" si="12"/>
        <v>1.0000218264361795</v>
      </c>
      <c r="S163" s="811" t="s">
        <v>3020</v>
      </c>
      <c r="T163" s="167"/>
    </row>
    <row r="164" spans="1:20" ht="57.6" x14ac:dyDescent="0.3">
      <c r="A164" s="98">
        <f t="shared" ca="1" si="10"/>
        <v>182</v>
      </c>
      <c r="B164" s="506" t="s">
        <v>80</v>
      </c>
      <c r="C164" s="492">
        <v>45816</v>
      </c>
      <c r="D164" s="369"/>
      <c r="E164" s="262" t="s">
        <v>3264</v>
      </c>
      <c r="F164" s="344" t="s">
        <v>1314</v>
      </c>
      <c r="G164" s="112" t="s">
        <v>6</v>
      </c>
      <c r="H164" s="493">
        <v>45816</v>
      </c>
      <c r="I164" s="25"/>
      <c r="J164" s="107" t="s">
        <v>99</v>
      </c>
      <c r="K164" s="494"/>
      <c r="L164" s="495"/>
      <c r="M164" s="496"/>
      <c r="N164" s="497"/>
      <c r="O164" s="498"/>
      <c r="P164" s="499"/>
      <c r="Q164" s="500">
        <v>45817</v>
      </c>
      <c r="R164" s="148">
        <f t="shared" si="12"/>
        <v>1.0000218264361795</v>
      </c>
      <c r="S164" s="811" t="s">
        <v>3020</v>
      </c>
      <c r="T164" s="69"/>
    </row>
    <row r="165" spans="1:20" ht="57.6" x14ac:dyDescent="0.3">
      <c r="A165" s="98">
        <f t="shared" ca="1" si="10"/>
        <v>183</v>
      </c>
      <c r="B165" s="553" t="s">
        <v>80</v>
      </c>
      <c r="C165" s="556">
        <v>45816</v>
      </c>
      <c r="D165" s="537"/>
      <c r="E165" s="284" t="s">
        <v>3265</v>
      </c>
      <c r="F165" s="416" t="s">
        <v>1314</v>
      </c>
      <c r="G165" s="417" t="s">
        <v>6</v>
      </c>
      <c r="H165" s="560">
        <v>45816</v>
      </c>
      <c r="I165" s="561"/>
      <c r="J165" s="489" t="s">
        <v>99</v>
      </c>
      <c r="K165" s="562"/>
      <c r="L165" s="563"/>
      <c r="M165" s="564"/>
      <c r="N165" s="565"/>
      <c r="O165" s="566"/>
      <c r="P165" s="567"/>
      <c r="Q165" s="500">
        <v>45817</v>
      </c>
      <c r="R165" s="148">
        <f t="shared" si="12"/>
        <v>1.0000218264361795</v>
      </c>
      <c r="S165" s="811" t="s">
        <v>3020</v>
      </c>
      <c r="T165" s="69"/>
    </row>
    <row r="166" spans="1:20" ht="57.6" x14ac:dyDescent="0.3">
      <c r="A166" s="98">
        <f t="shared" ca="1" si="10"/>
        <v>184</v>
      </c>
      <c r="B166" s="111" t="s">
        <v>80</v>
      </c>
      <c r="C166" s="512">
        <v>45816</v>
      </c>
      <c r="D166" s="219"/>
      <c r="E166" s="60" t="s">
        <v>3266</v>
      </c>
      <c r="F166" s="111" t="s">
        <v>1314</v>
      </c>
      <c r="G166" s="125" t="s">
        <v>6</v>
      </c>
      <c r="H166" s="568">
        <v>45816</v>
      </c>
      <c r="I166" s="341"/>
      <c r="J166" s="125" t="s">
        <v>99</v>
      </c>
      <c r="K166" s="569"/>
      <c r="L166" s="570"/>
      <c r="M166" s="570"/>
      <c r="N166" s="571"/>
      <c r="O166" s="572"/>
      <c r="P166" s="572"/>
      <c r="Q166" s="500">
        <v>45817</v>
      </c>
      <c r="R166" s="148">
        <f t="shared" si="12"/>
        <v>1.0000218264361795</v>
      </c>
      <c r="S166" s="101" t="s">
        <v>3020</v>
      </c>
      <c r="T166" s="57"/>
    </row>
    <row r="167" spans="1:20" ht="57.6" x14ac:dyDescent="0.3">
      <c r="A167" s="98">
        <f t="shared" ca="1" si="10"/>
        <v>185</v>
      </c>
      <c r="B167" s="554" t="s">
        <v>80</v>
      </c>
      <c r="C167" s="573">
        <v>45816</v>
      </c>
      <c r="D167" s="369"/>
      <c r="E167" s="423" t="s">
        <v>3267</v>
      </c>
      <c r="F167" s="101" t="s">
        <v>1314</v>
      </c>
      <c r="G167" s="81" t="s">
        <v>6</v>
      </c>
      <c r="H167" s="493">
        <v>45816</v>
      </c>
      <c r="I167" s="555"/>
      <c r="J167" s="107" t="s">
        <v>99</v>
      </c>
      <c r="K167" s="574"/>
      <c r="L167" s="575"/>
      <c r="M167" s="576"/>
      <c r="N167" s="577"/>
      <c r="O167" s="578"/>
      <c r="P167" s="579"/>
      <c r="Q167" s="500">
        <v>45817</v>
      </c>
      <c r="R167" s="148">
        <f t="shared" si="12"/>
        <v>1.0000218264361795</v>
      </c>
      <c r="S167" s="101" t="s">
        <v>3020</v>
      </c>
      <c r="T167" s="69"/>
    </row>
    <row r="168" spans="1:20" ht="57.6" x14ac:dyDescent="0.3">
      <c r="A168" s="98">
        <f t="shared" ca="1" si="10"/>
        <v>186</v>
      </c>
      <c r="B168" s="506" t="s">
        <v>80</v>
      </c>
      <c r="C168" s="492">
        <v>45816</v>
      </c>
      <c r="D168" s="369"/>
      <c r="E168" s="395" t="s">
        <v>3268</v>
      </c>
      <c r="F168" s="344" t="s">
        <v>1314</v>
      </c>
      <c r="G168" s="112" t="s">
        <v>6</v>
      </c>
      <c r="H168" s="493">
        <v>45816</v>
      </c>
      <c r="I168" s="25"/>
      <c r="J168" s="107" t="s">
        <v>99</v>
      </c>
      <c r="K168" s="494"/>
      <c r="L168" s="495"/>
      <c r="M168" s="496"/>
      <c r="N168" s="497"/>
      <c r="O168" s="498"/>
      <c r="P168" s="499"/>
      <c r="Q168" s="500">
        <v>45817</v>
      </c>
      <c r="R168" s="148">
        <f t="shared" si="12"/>
        <v>1.0000218264361795</v>
      </c>
      <c r="S168" s="101" t="s">
        <v>3020</v>
      </c>
      <c r="T168" s="69"/>
    </row>
    <row r="169" spans="1:20" ht="57.6" x14ac:dyDescent="0.3">
      <c r="A169" s="98">
        <f t="shared" ref="A169:A232" ca="1" si="13">A168+1</f>
        <v>187</v>
      </c>
      <c r="B169" s="506" t="s">
        <v>80</v>
      </c>
      <c r="C169" s="492">
        <v>45816</v>
      </c>
      <c r="D169" s="369"/>
      <c r="E169" s="395" t="s">
        <v>3269</v>
      </c>
      <c r="F169" s="344" t="s">
        <v>1314</v>
      </c>
      <c r="G169" s="112" t="s">
        <v>6</v>
      </c>
      <c r="H169" s="493">
        <v>45816</v>
      </c>
      <c r="I169" s="25"/>
      <c r="J169" s="100" t="s">
        <v>99</v>
      </c>
      <c r="K169" s="494"/>
      <c r="L169" s="495"/>
      <c r="M169" s="496"/>
      <c r="N169" s="497"/>
      <c r="O169" s="498"/>
      <c r="P169" s="499"/>
      <c r="Q169" s="500">
        <v>45817</v>
      </c>
      <c r="R169" s="148">
        <f t="shared" si="12"/>
        <v>1.0000218264361795</v>
      </c>
      <c r="S169" s="101" t="s">
        <v>3020</v>
      </c>
      <c r="T169" s="69"/>
    </row>
    <row r="170" spans="1:20" ht="57.6" x14ac:dyDescent="0.3">
      <c r="A170" s="98">
        <f t="shared" ca="1" si="13"/>
        <v>188</v>
      </c>
      <c r="B170" s="506" t="s">
        <v>80</v>
      </c>
      <c r="C170" s="492">
        <v>45816</v>
      </c>
      <c r="D170" s="369"/>
      <c r="E170" s="395" t="s">
        <v>3270</v>
      </c>
      <c r="F170" s="344" t="s">
        <v>1314</v>
      </c>
      <c r="G170" s="112" t="s">
        <v>6</v>
      </c>
      <c r="H170" s="493">
        <v>45816</v>
      </c>
      <c r="I170" s="25"/>
      <c r="J170" s="107" t="s">
        <v>99</v>
      </c>
      <c r="K170" s="494"/>
      <c r="L170" s="495"/>
      <c r="M170" s="496"/>
      <c r="N170" s="497"/>
      <c r="O170" s="498"/>
      <c r="P170" s="499"/>
      <c r="Q170" s="500">
        <v>45817</v>
      </c>
      <c r="R170" s="148">
        <f t="shared" si="12"/>
        <v>1.0000218264361795</v>
      </c>
      <c r="S170" s="101" t="s">
        <v>3020</v>
      </c>
      <c r="T170" s="69"/>
    </row>
    <row r="171" spans="1:20" ht="57.6" x14ac:dyDescent="0.3">
      <c r="A171" s="98">
        <f t="shared" ca="1" si="13"/>
        <v>190</v>
      </c>
      <c r="B171" s="506">
        <v>1550</v>
      </c>
      <c r="C171" s="492">
        <v>45817</v>
      </c>
      <c r="D171" s="369"/>
      <c r="E171" s="270" t="s">
        <v>3271</v>
      </c>
      <c r="F171" s="344" t="s">
        <v>51</v>
      </c>
      <c r="G171" s="112" t="s">
        <v>4</v>
      </c>
      <c r="H171" s="493">
        <v>45816</v>
      </c>
      <c r="I171" s="25"/>
      <c r="J171" s="107" t="s">
        <v>3095</v>
      </c>
      <c r="K171" s="494"/>
      <c r="L171" s="495"/>
      <c r="M171" s="496"/>
      <c r="N171" s="497"/>
      <c r="O171" s="498"/>
      <c r="P171" s="499"/>
      <c r="Q171" s="500">
        <v>45817</v>
      </c>
      <c r="R171" s="148">
        <f>Q171-H171</f>
        <v>1</v>
      </c>
      <c r="S171" s="101" t="s">
        <v>2974</v>
      </c>
      <c r="T171" s="167"/>
    </row>
    <row r="172" spans="1:20" ht="57.6" x14ac:dyDescent="0.3">
      <c r="A172" s="98">
        <f t="shared" ca="1" si="13"/>
        <v>191</v>
      </c>
      <c r="B172" s="506">
        <v>1550</v>
      </c>
      <c r="C172" s="492">
        <v>45817</v>
      </c>
      <c r="D172" s="369"/>
      <c r="E172" s="270" t="s">
        <v>3272</v>
      </c>
      <c r="F172" s="344" t="s">
        <v>51</v>
      </c>
      <c r="G172" s="112" t="s">
        <v>4</v>
      </c>
      <c r="H172" s="493">
        <v>45816</v>
      </c>
      <c r="I172" s="25"/>
      <c r="J172" s="107" t="s">
        <v>3095</v>
      </c>
      <c r="K172" s="494"/>
      <c r="L172" s="495"/>
      <c r="M172" s="496"/>
      <c r="N172" s="497"/>
      <c r="O172" s="498"/>
      <c r="P172" s="499"/>
      <c r="Q172" s="500">
        <v>45817</v>
      </c>
      <c r="R172" s="148">
        <f>Q172-H172</f>
        <v>1</v>
      </c>
      <c r="S172" s="101" t="s">
        <v>2974</v>
      </c>
      <c r="T172" s="167"/>
    </row>
    <row r="173" spans="1:20" ht="57.6" x14ac:dyDescent="0.3">
      <c r="A173" s="98">
        <f t="shared" ca="1" si="13"/>
        <v>192</v>
      </c>
      <c r="B173" s="553">
        <v>1550</v>
      </c>
      <c r="C173" s="556">
        <v>45817</v>
      </c>
      <c r="D173" s="537"/>
      <c r="E173" s="275" t="s">
        <v>3273</v>
      </c>
      <c r="F173" s="416" t="s">
        <v>51</v>
      </c>
      <c r="G173" s="417" t="s">
        <v>4</v>
      </c>
      <c r="H173" s="560">
        <v>45816</v>
      </c>
      <c r="I173" s="561"/>
      <c r="J173" s="100" t="s">
        <v>3095</v>
      </c>
      <c r="K173" s="562"/>
      <c r="L173" s="563"/>
      <c r="M173" s="564"/>
      <c r="N173" s="565"/>
      <c r="O173" s="566"/>
      <c r="P173" s="567"/>
      <c r="Q173" s="500">
        <v>45817</v>
      </c>
      <c r="R173" s="148">
        <f>Q173-H173</f>
        <v>1</v>
      </c>
      <c r="S173" s="101" t="s">
        <v>3020</v>
      </c>
      <c r="T173" s="167"/>
    </row>
    <row r="174" spans="1:20" ht="57.6" x14ac:dyDescent="0.3">
      <c r="A174" s="98">
        <f t="shared" ca="1" si="13"/>
        <v>193</v>
      </c>
      <c r="B174" s="111">
        <v>1550</v>
      </c>
      <c r="C174" s="512">
        <v>45817</v>
      </c>
      <c r="D174" s="219"/>
      <c r="E174" s="109" t="s">
        <v>3274</v>
      </c>
      <c r="F174" s="111" t="s">
        <v>51</v>
      </c>
      <c r="G174" s="125" t="s">
        <v>8</v>
      </c>
      <c r="H174" s="568">
        <v>45817</v>
      </c>
      <c r="I174" s="341"/>
      <c r="J174" s="125" t="s">
        <v>3095</v>
      </c>
      <c r="K174" s="608"/>
      <c r="L174" s="608"/>
      <c r="M174" s="608"/>
      <c r="N174" s="743"/>
      <c r="O174" s="743"/>
      <c r="P174" s="743"/>
      <c r="Q174" s="500">
        <v>45817</v>
      </c>
      <c r="R174" s="148">
        <f>Q174-H174</f>
        <v>0</v>
      </c>
      <c r="S174" s="101" t="s">
        <v>151</v>
      </c>
      <c r="T174" s="167"/>
    </row>
    <row r="175" spans="1:20" ht="100.8" x14ac:dyDescent="0.3">
      <c r="A175" s="98">
        <f t="shared" ca="1" si="13"/>
        <v>194</v>
      </c>
      <c r="B175" s="554" t="s">
        <v>80</v>
      </c>
      <c r="C175" s="573">
        <v>45816</v>
      </c>
      <c r="D175" s="369">
        <v>102564736</v>
      </c>
      <c r="E175" s="110" t="s">
        <v>3275</v>
      </c>
      <c r="F175" s="101" t="s">
        <v>32</v>
      </c>
      <c r="G175" s="81" t="s">
        <v>6</v>
      </c>
      <c r="H175" s="493">
        <v>45817</v>
      </c>
      <c r="I175" s="555"/>
      <c r="J175" s="107" t="s">
        <v>106</v>
      </c>
      <c r="K175" s="801"/>
      <c r="L175" s="803"/>
      <c r="M175" s="804"/>
      <c r="N175" s="806"/>
      <c r="O175" s="807"/>
      <c r="P175" s="808"/>
      <c r="Q175" s="500">
        <v>45817</v>
      </c>
      <c r="R175" s="148">
        <f>Q175/H175</f>
        <v>1</v>
      </c>
      <c r="S175" s="101" t="s">
        <v>720</v>
      </c>
      <c r="T175" s="167"/>
    </row>
    <row r="176" spans="1:20" ht="57.6" x14ac:dyDescent="0.3">
      <c r="A176" s="98">
        <f t="shared" ca="1" si="13"/>
        <v>195</v>
      </c>
      <c r="B176" s="506">
        <v>1550</v>
      </c>
      <c r="C176" s="492">
        <v>45817</v>
      </c>
      <c r="D176" s="369"/>
      <c r="E176" s="110" t="s">
        <v>3276</v>
      </c>
      <c r="F176" s="344" t="s">
        <v>1314</v>
      </c>
      <c r="G176" s="112" t="s">
        <v>6</v>
      </c>
      <c r="H176" s="493">
        <v>45817</v>
      </c>
      <c r="I176" s="25"/>
      <c r="J176" s="107" t="s">
        <v>99</v>
      </c>
      <c r="K176" s="507"/>
      <c r="L176" s="508"/>
      <c r="M176" s="365"/>
      <c r="N176" s="509"/>
      <c r="O176" s="510"/>
      <c r="P176" s="511"/>
      <c r="Q176" s="500">
        <v>45817</v>
      </c>
      <c r="R176" s="148">
        <f>Q176/H176</f>
        <v>1</v>
      </c>
      <c r="S176" s="101" t="s">
        <v>1860</v>
      </c>
      <c r="T176" s="167"/>
    </row>
    <row r="177" spans="1:20" ht="57.6" x14ac:dyDescent="0.3">
      <c r="A177" s="98">
        <f t="shared" ca="1" si="13"/>
        <v>196</v>
      </c>
      <c r="B177" s="506">
        <v>1550</v>
      </c>
      <c r="C177" s="492">
        <v>45817</v>
      </c>
      <c r="D177" s="369"/>
      <c r="E177" s="110" t="s">
        <v>3277</v>
      </c>
      <c r="F177" s="344" t="s">
        <v>51</v>
      </c>
      <c r="G177" s="112" t="s">
        <v>4</v>
      </c>
      <c r="H177" s="493">
        <v>45817</v>
      </c>
      <c r="I177" s="25"/>
      <c r="J177" s="107" t="s">
        <v>3095</v>
      </c>
      <c r="K177" s="507"/>
      <c r="L177" s="508"/>
      <c r="M177" s="365"/>
      <c r="N177" s="509"/>
      <c r="O177" s="510"/>
      <c r="P177" s="511"/>
      <c r="Q177" s="500">
        <v>45817</v>
      </c>
      <c r="R177" s="148">
        <f>Q177-H177</f>
        <v>0</v>
      </c>
      <c r="S177" s="101" t="s">
        <v>2974</v>
      </c>
      <c r="T177" s="69"/>
    </row>
    <row r="178" spans="1:20" ht="57.6" x14ac:dyDescent="0.3">
      <c r="A178" s="98">
        <f t="shared" ca="1" si="13"/>
        <v>197</v>
      </c>
      <c r="B178" s="506">
        <v>1550</v>
      </c>
      <c r="C178" s="492">
        <v>45817</v>
      </c>
      <c r="D178" s="369"/>
      <c r="E178" s="110" t="s">
        <v>3278</v>
      </c>
      <c r="F178" s="344" t="s">
        <v>51</v>
      </c>
      <c r="G178" s="112" t="s">
        <v>8</v>
      </c>
      <c r="H178" s="493">
        <v>45817</v>
      </c>
      <c r="I178" s="25"/>
      <c r="J178" s="107" t="s">
        <v>3095</v>
      </c>
      <c r="K178" s="226"/>
      <c r="L178" s="580"/>
      <c r="M178" s="228"/>
      <c r="N178" s="509"/>
      <c r="O178" s="510"/>
      <c r="P178" s="511"/>
      <c r="Q178" s="500">
        <v>45817</v>
      </c>
      <c r="R178" s="148">
        <f>Q178-H178</f>
        <v>0</v>
      </c>
      <c r="S178" s="101" t="s">
        <v>1246</v>
      </c>
      <c r="T178" s="69"/>
    </row>
    <row r="179" spans="1:20" ht="57.6" x14ac:dyDescent="0.3">
      <c r="A179" s="98">
        <f t="shared" ca="1" si="13"/>
        <v>199</v>
      </c>
      <c r="B179" s="506">
        <v>1550</v>
      </c>
      <c r="C179" s="492">
        <v>45817</v>
      </c>
      <c r="D179" s="369"/>
      <c r="E179" s="110" t="s">
        <v>3279</v>
      </c>
      <c r="F179" s="344" t="s">
        <v>51</v>
      </c>
      <c r="G179" s="112" t="s">
        <v>8</v>
      </c>
      <c r="H179" s="493">
        <v>45817</v>
      </c>
      <c r="I179" s="25"/>
      <c r="J179" s="107" t="s">
        <v>3095</v>
      </c>
      <c r="K179" s="226"/>
      <c r="L179" s="580"/>
      <c r="M179" s="228"/>
      <c r="N179" s="509"/>
      <c r="O179" s="510"/>
      <c r="P179" s="511"/>
      <c r="Q179" s="500">
        <v>45817</v>
      </c>
      <c r="R179" s="148">
        <f>Q179-H179</f>
        <v>0</v>
      </c>
      <c r="S179" s="101" t="s">
        <v>758</v>
      </c>
      <c r="T179" s="69"/>
    </row>
    <row r="180" spans="1:20" ht="57.6" x14ac:dyDescent="0.3">
      <c r="A180" s="98">
        <f t="shared" ca="1" si="13"/>
        <v>203</v>
      </c>
      <c r="B180" s="506">
        <v>1550</v>
      </c>
      <c r="C180" s="492">
        <v>45817</v>
      </c>
      <c r="D180" s="369"/>
      <c r="E180" s="110" t="s">
        <v>3280</v>
      </c>
      <c r="F180" s="344" t="s">
        <v>51</v>
      </c>
      <c r="G180" s="112" t="s">
        <v>4</v>
      </c>
      <c r="H180" s="493">
        <v>45817</v>
      </c>
      <c r="I180" s="25"/>
      <c r="J180" s="107" t="s">
        <v>3095</v>
      </c>
      <c r="K180" s="494"/>
      <c r="L180" s="495"/>
      <c r="M180" s="496"/>
      <c r="N180" s="497"/>
      <c r="O180" s="498"/>
      <c r="P180" s="499"/>
      <c r="Q180" s="500">
        <v>45817</v>
      </c>
      <c r="R180" s="148">
        <f>Q180-H180</f>
        <v>0</v>
      </c>
      <c r="S180" s="101" t="s">
        <v>2974</v>
      </c>
      <c r="T180" s="69"/>
    </row>
    <row r="181" spans="1:20" ht="57.6" x14ac:dyDescent="0.3">
      <c r="A181" s="98">
        <f t="shared" ca="1" si="13"/>
        <v>204</v>
      </c>
      <c r="B181" s="506">
        <v>1550</v>
      </c>
      <c r="C181" s="492">
        <v>45817</v>
      </c>
      <c r="D181" s="369"/>
      <c r="E181" s="110" t="s">
        <v>3281</v>
      </c>
      <c r="F181" s="344" t="s">
        <v>1314</v>
      </c>
      <c r="G181" s="112" t="s">
        <v>6</v>
      </c>
      <c r="H181" s="493">
        <v>45817</v>
      </c>
      <c r="I181" s="25"/>
      <c r="J181" s="107" t="s">
        <v>99</v>
      </c>
      <c r="K181" s="494"/>
      <c r="L181" s="495"/>
      <c r="M181" s="496"/>
      <c r="N181" s="497"/>
      <c r="O181" s="498"/>
      <c r="P181" s="499"/>
      <c r="Q181" s="500">
        <v>45817</v>
      </c>
      <c r="R181" s="148">
        <f>Q181/H181</f>
        <v>1</v>
      </c>
      <c r="S181" s="101" t="s">
        <v>2597</v>
      </c>
      <c r="T181" s="69"/>
    </row>
    <row r="182" spans="1:20" ht="57.6" x14ac:dyDescent="0.3">
      <c r="A182" s="98">
        <f t="shared" ca="1" si="13"/>
        <v>205</v>
      </c>
      <c r="B182" s="506" t="s">
        <v>80</v>
      </c>
      <c r="C182" s="492">
        <v>45817</v>
      </c>
      <c r="D182" s="369"/>
      <c r="E182" s="262" t="s">
        <v>3282</v>
      </c>
      <c r="F182" s="344" t="s">
        <v>1314</v>
      </c>
      <c r="G182" s="112" t="s">
        <v>6</v>
      </c>
      <c r="H182" s="493">
        <v>45817</v>
      </c>
      <c r="I182" s="25"/>
      <c r="J182" s="107" t="s">
        <v>99</v>
      </c>
      <c r="K182" s="494"/>
      <c r="L182" s="495"/>
      <c r="M182" s="496"/>
      <c r="N182" s="497"/>
      <c r="O182" s="498"/>
      <c r="P182" s="499"/>
      <c r="Q182" s="500">
        <v>45817</v>
      </c>
      <c r="R182" s="148">
        <f>Q182/H182</f>
        <v>1</v>
      </c>
      <c r="S182" s="101" t="s">
        <v>2747</v>
      </c>
      <c r="T182" s="69"/>
    </row>
    <row r="183" spans="1:20" ht="57.6" x14ac:dyDescent="0.3">
      <c r="A183" s="98">
        <f t="shared" ca="1" si="13"/>
        <v>206</v>
      </c>
      <c r="B183" s="506" t="s">
        <v>80</v>
      </c>
      <c r="C183" s="492">
        <v>45817</v>
      </c>
      <c r="D183" s="369"/>
      <c r="E183" s="262" t="s">
        <v>3283</v>
      </c>
      <c r="F183" s="344" t="s">
        <v>1314</v>
      </c>
      <c r="G183" s="112" t="s">
        <v>6</v>
      </c>
      <c r="H183" s="493">
        <v>45817</v>
      </c>
      <c r="I183" s="25"/>
      <c r="J183" s="107" t="s">
        <v>99</v>
      </c>
      <c r="K183" s="494"/>
      <c r="L183" s="495"/>
      <c r="M183" s="496"/>
      <c r="N183" s="497"/>
      <c r="O183" s="498"/>
      <c r="P183" s="499"/>
      <c r="Q183" s="500">
        <v>45817</v>
      </c>
      <c r="R183" s="148">
        <f>Q183/H183</f>
        <v>1</v>
      </c>
      <c r="S183" s="101" t="s">
        <v>2747</v>
      </c>
      <c r="T183" s="69"/>
    </row>
    <row r="184" spans="1:20" ht="57.6" x14ac:dyDescent="0.3">
      <c r="A184" s="98">
        <f t="shared" ca="1" si="13"/>
        <v>207</v>
      </c>
      <c r="B184" s="506">
        <v>1550</v>
      </c>
      <c r="C184" s="492">
        <v>45817</v>
      </c>
      <c r="D184" s="369"/>
      <c r="E184" s="262" t="s">
        <v>3284</v>
      </c>
      <c r="F184" s="344" t="s">
        <v>1314</v>
      </c>
      <c r="G184" s="112" t="s">
        <v>6</v>
      </c>
      <c r="H184" s="493">
        <v>45817</v>
      </c>
      <c r="I184" s="25"/>
      <c r="J184" s="107" t="s">
        <v>99</v>
      </c>
      <c r="K184" s="494"/>
      <c r="L184" s="495"/>
      <c r="M184" s="496"/>
      <c r="N184" s="497"/>
      <c r="O184" s="498"/>
      <c r="P184" s="499"/>
      <c r="Q184" s="500">
        <v>45817</v>
      </c>
      <c r="R184" s="148">
        <f>Q184/H184</f>
        <v>1</v>
      </c>
      <c r="S184" s="101" t="s">
        <v>1312</v>
      </c>
      <c r="T184" s="69"/>
    </row>
    <row r="185" spans="1:20" ht="57.6" x14ac:dyDescent="0.3">
      <c r="A185" s="98">
        <f t="shared" ca="1" si="13"/>
        <v>208</v>
      </c>
      <c r="B185" s="506">
        <v>1550</v>
      </c>
      <c r="C185" s="492">
        <v>45817</v>
      </c>
      <c r="D185" s="369"/>
      <c r="E185" s="110" t="s">
        <v>3285</v>
      </c>
      <c r="F185" s="344" t="s">
        <v>51</v>
      </c>
      <c r="G185" s="112" t="s">
        <v>4</v>
      </c>
      <c r="H185" s="493">
        <v>45817</v>
      </c>
      <c r="I185" s="25"/>
      <c r="J185" s="107" t="s">
        <v>3095</v>
      </c>
      <c r="K185" s="494"/>
      <c r="L185" s="495"/>
      <c r="M185" s="496"/>
      <c r="N185" s="497"/>
      <c r="O185" s="498"/>
      <c r="P185" s="499"/>
      <c r="Q185" s="500">
        <v>45817</v>
      </c>
      <c r="R185" s="148">
        <f>Q185-H185</f>
        <v>0</v>
      </c>
      <c r="S185" s="101" t="s">
        <v>3049</v>
      </c>
      <c r="T185" s="167"/>
    </row>
    <row r="186" spans="1:20" ht="57.6" x14ac:dyDescent="0.3">
      <c r="A186" s="98">
        <f t="shared" ca="1" si="13"/>
        <v>210</v>
      </c>
      <c r="B186" s="506" t="s">
        <v>80</v>
      </c>
      <c r="C186" s="492">
        <v>45817</v>
      </c>
      <c r="D186" s="369"/>
      <c r="E186" s="262" t="s">
        <v>3286</v>
      </c>
      <c r="F186" s="344" t="s">
        <v>1314</v>
      </c>
      <c r="G186" s="112" t="s">
        <v>6</v>
      </c>
      <c r="H186" s="493">
        <v>45817</v>
      </c>
      <c r="I186" s="25"/>
      <c r="J186" s="107" t="s">
        <v>99</v>
      </c>
      <c r="K186" s="494"/>
      <c r="L186" s="495"/>
      <c r="M186" s="496"/>
      <c r="N186" s="497"/>
      <c r="O186" s="498"/>
      <c r="P186" s="499"/>
      <c r="Q186" s="500">
        <v>45817</v>
      </c>
      <c r="R186" s="148">
        <f>Q186/H186</f>
        <v>1</v>
      </c>
      <c r="S186" s="101" t="s">
        <v>2747</v>
      </c>
      <c r="T186" s="69"/>
    </row>
    <row r="187" spans="1:20" ht="57.6" x14ac:dyDescent="0.3">
      <c r="A187" s="98">
        <f t="shared" ca="1" si="13"/>
        <v>211</v>
      </c>
      <c r="B187" s="506" t="s">
        <v>80</v>
      </c>
      <c r="C187" s="492">
        <v>45817</v>
      </c>
      <c r="D187" s="369"/>
      <c r="E187" s="261" t="s">
        <v>3287</v>
      </c>
      <c r="F187" s="344" t="s">
        <v>1314</v>
      </c>
      <c r="G187" s="112" t="s">
        <v>6</v>
      </c>
      <c r="H187" s="493">
        <v>45817</v>
      </c>
      <c r="I187" s="25"/>
      <c r="J187" s="107" t="s">
        <v>99</v>
      </c>
      <c r="K187" s="494"/>
      <c r="L187" s="495"/>
      <c r="M187" s="496"/>
      <c r="N187" s="497"/>
      <c r="O187" s="498"/>
      <c r="P187" s="499"/>
      <c r="Q187" s="500">
        <v>45817</v>
      </c>
      <c r="R187" s="148">
        <f>Q187/H187</f>
        <v>1</v>
      </c>
      <c r="S187" s="101" t="s">
        <v>2597</v>
      </c>
      <c r="T187" s="69"/>
    </row>
    <row r="188" spans="1:20" ht="57.6" x14ac:dyDescent="0.3">
      <c r="A188" s="98">
        <f t="shared" ca="1" si="13"/>
        <v>212</v>
      </c>
      <c r="B188" s="506">
        <v>1550</v>
      </c>
      <c r="C188" s="492">
        <v>45817</v>
      </c>
      <c r="D188" s="369"/>
      <c r="E188" s="262" t="s">
        <v>3288</v>
      </c>
      <c r="F188" s="344" t="s">
        <v>1314</v>
      </c>
      <c r="G188" s="112" t="s">
        <v>6</v>
      </c>
      <c r="H188" s="493">
        <v>45817</v>
      </c>
      <c r="I188" s="25"/>
      <c r="J188" s="107" t="s">
        <v>99</v>
      </c>
      <c r="K188" s="494"/>
      <c r="L188" s="495"/>
      <c r="M188" s="496"/>
      <c r="N188" s="497"/>
      <c r="O188" s="498"/>
      <c r="P188" s="499"/>
      <c r="Q188" s="500">
        <v>45817</v>
      </c>
      <c r="R188" s="148">
        <f>Q188/H188</f>
        <v>1</v>
      </c>
      <c r="S188" s="101" t="s">
        <v>2747</v>
      </c>
      <c r="T188" s="167"/>
    </row>
    <row r="189" spans="1:20" ht="43.2" x14ac:dyDescent="0.3">
      <c r="A189" s="98">
        <f t="shared" ca="1" si="13"/>
        <v>218</v>
      </c>
      <c r="B189" s="506">
        <v>1550</v>
      </c>
      <c r="C189" s="492">
        <v>45817</v>
      </c>
      <c r="D189" s="369">
        <v>57035431</v>
      </c>
      <c r="E189" s="110" t="s">
        <v>3289</v>
      </c>
      <c r="F189" s="344" t="s">
        <v>33</v>
      </c>
      <c r="G189" s="112" t="s">
        <v>6</v>
      </c>
      <c r="H189" s="493">
        <v>45817</v>
      </c>
      <c r="I189" s="25"/>
      <c r="J189" s="727" t="s">
        <v>99</v>
      </c>
      <c r="K189" s="507"/>
      <c r="L189" s="508"/>
      <c r="M189" s="365"/>
      <c r="N189" s="509"/>
      <c r="O189" s="510"/>
      <c r="P189" s="511"/>
      <c r="Q189" s="500">
        <v>45817</v>
      </c>
      <c r="R189" s="148">
        <f>Q189/H189</f>
        <v>1</v>
      </c>
      <c r="S189" s="101" t="s">
        <v>1936</v>
      </c>
      <c r="T189" s="167"/>
    </row>
    <row r="190" spans="1:20" ht="57.6" x14ac:dyDescent="0.3">
      <c r="A190" s="98">
        <f t="shared" ca="1" si="13"/>
        <v>227</v>
      </c>
      <c r="B190" s="506">
        <v>1550</v>
      </c>
      <c r="C190" s="492">
        <v>45817</v>
      </c>
      <c r="D190" s="369">
        <v>65142225</v>
      </c>
      <c r="E190" s="110" t="s">
        <v>3290</v>
      </c>
      <c r="F190" s="344" t="s">
        <v>32</v>
      </c>
      <c r="G190" s="221" t="s">
        <v>4</v>
      </c>
      <c r="H190" s="493">
        <v>45817</v>
      </c>
      <c r="I190" s="25"/>
      <c r="J190" s="742" t="s">
        <v>3095</v>
      </c>
      <c r="K190" s="494"/>
      <c r="L190" s="495"/>
      <c r="M190" s="496"/>
      <c r="N190" s="497"/>
      <c r="O190" s="498"/>
      <c r="P190" s="499"/>
      <c r="Q190" s="500">
        <v>45817</v>
      </c>
      <c r="R190" s="148">
        <f>Q190-H190</f>
        <v>0</v>
      </c>
      <c r="S190" s="101" t="s">
        <v>2974</v>
      </c>
      <c r="T190" s="69"/>
    </row>
    <row r="191" spans="1:20" ht="57.6" x14ac:dyDescent="0.3">
      <c r="A191" s="98">
        <f t="shared" ca="1" si="13"/>
        <v>240</v>
      </c>
      <c r="B191" s="506">
        <v>1550</v>
      </c>
      <c r="C191" s="492">
        <v>45817</v>
      </c>
      <c r="D191" s="369"/>
      <c r="E191" s="262" t="s">
        <v>3291</v>
      </c>
      <c r="F191" s="344" t="s">
        <v>33</v>
      </c>
      <c r="G191" s="221" t="s">
        <v>10</v>
      </c>
      <c r="H191" s="493">
        <v>45817</v>
      </c>
      <c r="I191" s="503"/>
      <c r="J191" s="727" t="s">
        <v>3095</v>
      </c>
      <c r="K191" s="507"/>
      <c r="L191" s="508"/>
      <c r="M191" s="365"/>
      <c r="N191" s="509"/>
      <c r="O191" s="510"/>
      <c r="P191" s="511"/>
      <c r="Q191" s="501">
        <v>45817</v>
      </c>
      <c r="R191" s="148">
        <f>Q191-H191</f>
        <v>0</v>
      </c>
      <c r="S191" s="101" t="s">
        <v>214</v>
      </c>
      <c r="T191" s="69"/>
    </row>
    <row r="192" spans="1:20" ht="100.8" x14ac:dyDescent="0.3">
      <c r="A192" s="98">
        <f t="shared" ca="1" si="13"/>
        <v>83</v>
      </c>
      <c r="B192" s="491" t="s">
        <v>80</v>
      </c>
      <c r="C192" s="492">
        <v>45812</v>
      </c>
      <c r="D192" s="369" t="s">
        <v>3292</v>
      </c>
      <c r="E192" s="271" t="s">
        <v>3293</v>
      </c>
      <c r="F192" s="344" t="s">
        <v>58</v>
      </c>
      <c r="G192" s="112" t="s">
        <v>6</v>
      </c>
      <c r="H192" s="493">
        <v>45812</v>
      </c>
      <c r="I192" s="25"/>
      <c r="J192" s="107" t="s">
        <v>22</v>
      </c>
      <c r="K192" s="494"/>
      <c r="L192" s="495"/>
      <c r="M192" s="496"/>
      <c r="N192" s="497"/>
      <c r="O192" s="498"/>
      <c r="P192" s="499"/>
      <c r="Q192" s="500">
        <v>45818</v>
      </c>
      <c r="R192" s="148">
        <f>Q192/H192</f>
        <v>1.0001309700515149</v>
      </c>
      <c r="S192" s="101" t="s">
        <v>2747</v>
      </c>
      <c r="T192" s="69"/>
    </row>
    <row r="193" spans="1:20" ht="43.2" x14ac:dyDescent="0.3">
      <c r="A193" s="98">
        <f t="shared" ca="1" si="13"/>
        <v>105</v>
      </c>
      <c r="B193" s="506" t="s">
        <v>301</v>
      </c>
      <c r="C193" s="492">
        <v>45812</v>
      </c>
      <c r="D193" s="369">
        <v>108979261</v>
      </c>
      <c r="E193" s="271" t="s">
        <v>3294</v>
      </c>
      <c r="F193" s="344" t="s">
        <v>1</v>
      </c>
      <c r="G193" s="112" t="s">
        <v>6</v>
      </c>
      <c r="H193" s="493">
        <v>45812</v>
      </c>
      <c r="I193" s="25"/>
      <c r="J193" s="107" t="s">
        <v>99</v>
      </c>
      <c r="K193" s="494"/>
      <c r="L193" s="495"/>
      <c r="M193" s="496"/>
      <c r="N193" s="497"/>
      <c r="O193" s="498"/>
      <c r="P193" s="499"/>
      <c r="Q193" s="500">
        <v>45818</v>
      </c>
      <c r="R193" s="148">
        <f>Q193/H193</f>
        <v>1.0001309700515149</v>
      </c>
      <c r="S193" s="101" t="s">
        <v>3096</v>
      </c>
      <c r="T193" s="69" t="s">
        <v>3295</v>
      </c>
    </row>
    <row r="194" spans="1:20" ht="43.2" x14ac:dyDescent="0.3">
      <c r="A194" s="98">
        <f t="shared" ca="1" si="13"/>
        <v>113</v>
      </c>
      <c r="B194" s="506" t="s">
        <v>80</v>
      </c>
      <c r="C194" s="492">
        <v>45813</v>
      </c>
      <c r="D194" s="369">
        <v>68973063</v>
      </c>
      <c r="E194" s="271" t="s">
        <v>3296</v>
      </c>
      <c r="F194" s="344" t="s">
        <v>31</v>
      </c>
      <c r="G194" s="112" t="s">
        <v>6</v>
      </c>
      <c r="H194" s="493">
        <v>45813</v>
      </c>
      <c r="I194" s="25"/>
      <c r="J194" s="107" t="s">
        <v>3297</v>
      </c>
      <c r="K194" s="507"/>
      <c r="L194" s="508"/>
      <c r="M194" s="365"/>
      <c r="N194" s="509"/>
      <c r="O194" s="510"/>
      <c r="P194" s="511"/>
      <c r="Q194" s="500">
        <v>45818</v>
      </c>
      <c r="R194" s="148">
        <f>Q194/H194</f>
        <v>1.0001091393272652</v>
      </c>
      <c r="S194" s="101" t="s">
        <v>2747</v>
      </c>
      <c r="T194" s="167"/>
    </row>
    <row r="195" spans="1:20" ht="28.8" x14ac:dyDescent="0.3">
      <c r="A195" s="98">
        <f t="shared" ca="1" si="13"/>
        <v>121</v>
      </c>
      <c r="B195" s="506">
        <v>1550</v>
      </c>
      <c r="C195" s="492">
        <v>45813</v>
      </c>
      <c r="D195" s="369">
        <v>120547627</v>
      </c>
      <c r="E195" s="270" t="s">
        <v>3298</v>
      </c>
      <c r="F195" s="344" t="s">
        <v>1</v>
      </c>
      <c r="G195" s="112" t="s">
        <v>4</v>
      </c>
      <c r="H195" s="493">
        <v>45813</v>
      </c>
      <c r="I195" s="25"/>
      <c r="J195" s="107" t="s">
        <v>2352</v>
      </c>
      <c r="K195" s="494"/>
      <c r="L195" s="495"/>
      <c r="M195" s="496"/>
      <c r="N195" s="497"/>
      <c r="O195" s="498"/>
      <c r="P195" s="499"/>
      <c r="Q195" s="500">
        <v>45818</v>
      </c>
      <c r="R195" s="148">
        <f>Q195-H195</f>
        <v>5</v>
      </c>
      <c r="S195" s="101" t="s">
        <v>3199</v>
      </c>
      <c r="T195" s="69"/>
    </row>
    <row r="196" spans="1:20" ht="57.6" x14ac:dyDescent="0.3">
      <c r="A196" s="98">
        <f t="shared" ca="1" si="13"/>
        <v>137</v>
      </c>
      <c r="B196" s="506" t="s">
        <v>80</v>
      </c>
      <c r="C196" s="492">
        <v>45813</v>
      </c>
      <c r="D196" s="369">
        <v>74507346</v>
      </c>
      <c r="E196" s="271" t="s">
        <v>3299</v>
      </c>
      <c r="F196" s="344" t="s">
        <v>15</v>
      </c>
      <c r="G196" s="112" t="s">
        <v>10</v>
      </c>
      <c r="H196" s="493">
        <v>45813</v>
      </c>
      <c r="I196" s="25"/>
      <c r="J196" s="107" t="s">
        <v>3095</v>
      </c>
      <c r="K196" s="494"/>
      <c r="L196" s="495"/>
      <c r="M196" s="496"/>
      <c r="N196" s="497"/>
      <c r="O196" s="498"/>
      <c r="P196" s="499"/>
      <c r="Q196" s="500">
        <v>45818</v>
      </c>
      <c r="R196" s="148">
        <f>Q196-H196</f>
        <v>5</v>
      </c>
      <c r="S196" s="101" t="s">
        <v>1319</v>
      </c>
      <c r="T196" s="69" t="s">
        <v>3300</v>
      </c>
    </row>
    <row r="197" spans="1:20" ht="158.4" x14ac:dyDescent="0.3">
      <c r="A197" s="98">
        <f t="shared" ca="1" si="13"/>
        <v>166</v>
      </c>
      <c r="B197" s="506">
        <v>1550</v>
      </c>
      <c r="C197" s="492">
        <v>45814</v>
      </c>
      <c r="D197" s="369">
        <v>109395301</v>
      </c>
      <c r="E197" s="270" t="s">
        <v>3301</v>
      </c>
      <c r="F197" s="344" t="s">
        <v>12</v>
      </c>
      <c r="G197" s="112" t="s">
        <v>6</v>
      </c>
      <c r="H197" s="493">
        <v>45814</v>
      </c>
      <c r="I197" s="25"/>
      <c r="J197" s="742" t="s">
        <v>159</v>
      </c>
      <c r="K197" s="494"/>
      <c r="L197" s="495"/>
      <c r="M197" s="496"/>
      <c r="N197" s="497"/>
      <c r="O197" s="498"/>
      <c r="P197" s="499"/>
      <c r="Q197" s="500">
        <v>45818</v>
      </c>
      <c r="R197" s="148">
        <f>Q197/H197</f>
        <v>1.000087309556031</v>
      </c>
      <c r="S197" s="101" t="s">
        <v>1927</v>
      </c>
      <c r="T197" s="69"/>
    </row>
    <row r="198" spans="1:20" ht="57.6" x14ac:dyDescent="0.3">
      <c r="A198" s="98">
        <f t="shared" ca="1" si="13"/>
        <v>168</v>
      </c>
      <c r="B198" s="506" t="s">
        <v>80</v>
      </c>
      <c r="C198" s="492">
        <v>45815</v>
      </c>
      <c r="D198" s="369">
        <v>50468081</v>
      </c>
      <c r="E198" s="270" t="s">
        <v>3302</v>
      </c>
      <c r="F198" s="344" t="s">
        <v>3</v>
      </c>
      <c r="G198" s="112" t="s">
        <v>6</v>
      </c>
      <c r="H198" s="493">
        <v>45817</v>
      </c>
      <c r="I198" s="25"/>
      <c r="J198" s="107" t="s">
        <v>82</v>
      </c>
      <c r="K198" s="494"/>
      <c r="L198" s="495"/>
      <c r="M198" s="496"/>
      <c r="N198" s="497"/>
      <c r="O198" s="498"/>
      <c r="P198" s="499"/>
      <c r="Q198" s="500">
        <v>45818</v>
      </c>
      <c r="R198" s="148">
        <f>Q198/H198</f>
        <v>1.0000218259597966</v>
      </c>
      <c r="S198" s="101" t="s">
        <v>720</v>
      </c>
      <c r="T198" s="69"/>
    </row>
    <row r="199" spans="1:20" ht="43.2" x14ac:dyDescent="0.3">
      <c r="A199" s="98">
        <f t="shared" ca="1" si="13"/>
        <v>169</v>
      </c>
      <c r="B199" s="506" t="s">
        <v>80</v>
      </c>
      <c r="C199" s="492">
        <v>45815</v>
      </c>
      <c r="D199" s="369">
        <v>120538687</v>
      </c>
      <c r="E199" s="270" t="s">
        <v>3303</v>
      </c>
      <c r="F199" s="344" t="s">
        <v>21</v>
      </c>
      <c r="G199" s="112" t="s">
        <v>6</v>
      </c>
      <c r="H199" s="493">
        <v>45817</v>
      </c>
      <c r="I199" s="25"/>
      <c r="J199" s="107" t="s">
        <v>2506</v>
      </c>
      <c r="K199" s="494"/>
      <c r="L199" s="495"/>
      <c r="M199" s="496"/>
      <c r="N199" s="497"/>
      <c r="O199" s="498"/>
      <c r="P199" s="499"/>
      <c r="Q199" s="500">
        <v>45818</v>
      </c>
      <c r="R199" s="148">
        <f>Q199/H199</f>
        <v>1.0000218259597966</v>
      </c>
      <c r="S199" s="101" t="s">
        <v>720</v>
      </c>
      <c r="T199" s="69"/>
    </row>
    <row r="200" spans="1:20" ht="57.6" x14ac:dyDescent="0.3">
      <c r="A200" s="98">
        <f t="shared" ca="1" si="13"/>
        <v>198</v>
      </c>
      <c r="B200" s="506">
        <v>1550</v>
      </c>
      <c r="C200" s="492">
        <v>45817</v>
      </c>
      <c r="D200" s="369"/>
      <c r="E200" s="270" t="s">
        <v>3304</v>
      </c>
      <c r="F200" s="344" t="s">
        <v>51</v>
      </c>
      <c r="G200" s="112" t="s">
        <v>8</v>
      </c>
      <c r="H200" s="493">
        <v>45817</v>
      </c>
      <c r="I200" s="25"/>
      <c r="J200" s="107" t="s">
        <v>3095</v>
      </c>
      <c r="K200" s="226"/>
      <c r="L200" s="580"/>
      <c r="M200" s="228"/>
      <c r="N200" s="509"/>
      <c r="O200" s="510"/>
      <c r="P200" s="511"/>
      <c r="Q200" s="500">
        <v>45818</v>
      </c>
      <c r="R200" s="148">
        <f t="shared" ref="R200:R209" si="14">Q200-H200</f>
        <v>1</v>
      </c>
      <c r="S200" s="101" t="s">
        <v>2712</v>
      </c>
      <c r="T200" s="69"/>
    </row>
    <row r="201" spans="1:20" ht="57.6" x14ac:dyDescent="0.3">
      <c r="A201" s="98">
        <f t="shared" ca="1" si="13"/>
        <v>200</v>
      </c>
      <c r="B201" s="506">
        <v>1550</v>
      </c>
      <c r="C201" s="492">
        <v>45817</v>
      </c>
      <c r="D201" s="369"/>
      <c r="E201" s="270" t="s">
        <v>3305</v>
      </c>
      <c r="F201" s="344" t="s">
        <v>51</v>
      </c>
      <c r="G201" s="112" t="s">
        <v>8</v>
      </c>
      <c r="H201" s="493">
        <v>45817</v>
      </c>
      <c r="I201" s="25"/>
      <c r="J201" s="107" t="s">
        <v>3095</v>
      </c>
      <c r="K201" s="507"/>
      <c r="L201" s="508"/>
      <c r="M201" s="365"/>
      <c r="N201" s="509"/>
      <c r="O201" s="510"/>
      <c r="P201" s="511"/>
      <c r="Q201" s="500">
        <v>45818</v>
      </c>
      <c r="R201" s="148">
        <f t="shared" si="14"/>
        <v>1</v>
      </c>
      <c r="S201" s="101" t="s">
        <v>758</v>
      </c>
      <c r="T201" s="167"/>
    </row>
    <row r="202" spans="1:20" ht="57.6" x14ac:dyDescent="0.3">
      <c r="A202" s="98">
        <f t="shared" ca="1" si="13"/>
        <v>201</v>
      </c>
      <c r="B202" s="506">
        <v>1550</v>
      </c>
      <c r="C202" s="492">
        <v>45817</v>
      </c>
      <c r="D202" s="369"/>
      <c r="E202" s="270" t="s">
        <v>3306</v>
      </c>
      <c r="F202" s="344" t="s">
        <v>51</v>
      </c>
      <c r="G202" s="112" t="s">
        <v>8</v>
      </c>
      <c r="H202" s="493">
        <v>45817</v>
      </c>
      <c r="I202" s="25"/>
      <c r="J202" s="107" t="s">
        <v>3095</v>
      </c>
      <c r="K202" s="494"/>
      <c r="L202" s="495"/>
      <c r="M202" s="496"/>
      <c r="N202" s="497"/>
      <c r="O202" s="498"/>
      <c r="P202" s="499"/>
      <c r="Q202" s="500">
        <v>45818</v>
      </c>
      <c r="R202" s="148">
        <f t="shared" si="14"/>
        <v>1</v>
      </c>
      <c r="S202" s="101" t="s">
        <v>758</v>
      </c>
      <c r="T202" s="69"/>
    </row>
    <row r="203" spans="1:20" ht="57.6" x14ac:dyDescent="0.3">
      <c r="A203" s="98">
        <f t="shared" ca="1" si="13"/>
        <v>202</v>
      </c>
      <c r="B203" s="506">
        <v>1550</v>
      </c>
      <c r="C203" s="492">
        <v>45817</v>
      </c>
      <c r="D203" s="369"/>
      <c r="E203" s="270" t="s">
        <v>3307</v>
      </c>
      <c r="F203" s="344" t="s">
        <v>51</v>
      </c>
      <c r="G203" s="112" t="s">
        <v>8</v>
      </c>
      <c r="H203" s="493">
        <v>45817</v>
      </c>
      <c r="I203" s="25"/>
      <c r="J203" s="107" t="s">
        <v>3095</v>
      </c>
      <c r="K203" s="494"/>
      <c r="L203" s="495"/>
      <c r="M203" s="496"/>
      <c r="N203" s="497"/>
      <c r="O203" s="498"/>
      <c r="P203" s="499"/>
      <c r="Q203" s="500">
        <v>45818</v>
      </c>
      <c r="R203" s="148">
        <f t="shared" si="14"/>
        <v>1</v>
      </c>
      <c r="S203" s="101" t="s">
        <v>94</v>
      </c>
      <c r="T203" s="69"/>
    </row>
    <row r="204" spans="1:20" ht="57.6" x14ac:dyDescent="0.3">
      <c r="A204" s="98">
        <f t="shared" ca="1" si="13"/>
        <v>213</v>
      </c>
      <c r="B204" s="506" t="s">
        <v>301</v>
      </c>
      <c r="C204" s="492">
        <v>45817</v>
      </c>
      <c r="D204" s="369">
        <v>31773060</v>
      </c>
      <c r="E204" s="270" t="s">
        <v>3308</v>
      </c>
      <c r="F204" s="344" t="s">
        <v>12</v>
      </c>
      <c r="G204" s="112" t="s">
        <v>8</v>
      </c>
      <c r="H204" s="493">
        <v>45817</v>
      </c>
      <c r="I204" s="25"/>
      <c r="J204" s="742" t="s">
        <v>3175</v>
      </c>
      <c r="K204" s="507"/>
      <c r="L204" s="508"/>
      <c r="M204" s="365"/>
      <c r="N204" s="509"/>
      <c r="O204" s="510"/>
      <c r="P204" s="511"/>
      <c r="Q204" s="500">
        <v>45818</v>
      </c>
      <c r="R204" s="148">
        <f t="shared" si="14"/>
        <v>1</v>
      </c>
      <c r="S204" s="101" t="s">
        <v>3309</v>
      </c>
      <c r="T204" s="167"/>
    </row>
    <row r="205" spans="1:20" ht="28.8" x14ac:dyDescent="0.3">
      <c r="A205" s="98">
        <f t="shared" ca="1" si="13"/>
        <v>214</v>
      </c>
      <c r="B205" s="506">
        <v>1550</v>
      </c>
      <c r="C205" s="492">
        <v>45817</v>
      </c>
      <c r="D205" s="369">
        <v>84046090</v>
      </c>
      <c r="E205" s="270" t="s">
        <v>3310</v>
      </c>
      <c r="F205" s="344" t="s">
        <v>1</v>
      </c>
      <c r="G205" s="112" t="s">
        <v>8</v>
      </c>
      <c r="H205" s="493">
        <v>45817</v>
      </c>
      <c r="I205" s="25"/>
      <c r="J205" s="107" t="s">
        <v>2544</v>
      </c>
      <c r="K205" s="507"/>
      <c r="L205" s="508"/>
      <c r="M205" s="365"/>
      <c r="N205" s="509"/>
      <c r="O205" s="510"/>
      <c r="P205" s="511"/>
      <c r="Q205" s="500">
        <v>45818</v>
      </c>
      <c r="R205" s="148">
        <f t="shared" si="14"/>
        <v>1</v>
      </c>
      <c r="S205" s="101" t="s">
        <v>94</v>
      </c>
      <c r="T205" s="167"/>
    </row>
    <row r="206" spans="1:20" ht="57.6" x14ac:dyDescent="0.3">
      <c r="A206" s="98">
        <f t="shared" ca="1" si="13"/>
        <v>215</v>
      </c>
      <c r="B206" s="506">
        <v>1550</v>
      </c>
      <c r="C206" s="492">
        <v>45817</v>
      </c>
      <c r="D206" s="369"/>
      <c r="E206" s="270" t="s">
        <v>3311</v>
      </c>
      <c r="F206" s="344" t="s">
        <v>51</v>
      </c>
      <c r="G206" s="112" t="s">
        <v>8</v>
      </c>
      <c r="H206" s="493">
        <v>45817</v>
      </c>
      <c r="I206" s="25"/>
      <c r="J206" s="107" t="s">
        <v>3095</v>
      </c>
      <c r="K206" s="507"/>
      <c r="L206" s="508"/>
      <c r="M206" s="365"/>
      <c r="N206" s="509"/>
      <c r="O206" s="510"/>
      <c r="P206" s="511"/>
      <c r="Q206" s="500">
        <v>45818</v>
      </c>
      <c r="R206" s="148">
        <f t="shared" si="14"/>
        <v>1</v>
      </c>
      <c r="S206" s="101" t="s">
        <v>758</v>
      </c>
      <c r="T206" s="167"/>
    </row>
    <row r="207" spans="1:20" ht="57.6" x14ac:dyDescent="0.3">
      <c r="A207" s="98">
        <f t="shared" ca="1" si="13"/>
        <v>224</v>
      </c>
      <c r="B207" s="506">
        <v>1550</v>
      </c>
      <c r="C207" s="492">
        <v>45817</v>
      </c>
      <c r="D207" s="369">
        <v>38599511</v>
      </c>
      <c r="E207" s="270" t="s">
        <v>3312</v>
      </c>
      <c r="F207" s="344" t="s">
        <v>12</v>
      </c>
      <c r="G207" s="221" t="s">
        <v>8</v>
      </c>
      <c r="H207" s="493">
        <v>45817</v>
      </c>
      <c r="I207" s="25"/>
      <c r="J207" s="742" t="s">
        <v>3175</v>
      </c>
      <c r="K207" s="507"/>
      <c r="L207" s="508"/>
      <c r="M207" s="365"/>
      <c r="N207" s="509"/>
      <c r="O207" s="510"/>
      <c r="P207" s="511"/>
      <c r="Q207" s="500">
        <v>45818</v>
      </c>
      <c r="R207" s="148">
        <f t="shared" si="14"/>
        <v>1</v>
      </c>
      <c r="S207" s="101" t="s">
        <v>8</v>
      </c>
      <c r="T207" s="69"/>
    </row>
    <row r="208" spans="1:20" ht="57.6" x14ac:dyDescent="0.3">
      <c r="A208" s="98">
        <f t="shared" ca="1" si="13"/>
        <v>231</v>
      </c>
      <c r="B208" s="506">
        <v>1550</v>
      </c>
      <c r="C208" s="492">
        <v>45817</v>
      </c>
      <c r="D208" s="369">
        <v>45038465</v>
      </c>
      <c r="E208" s="213" t="s">
        <v>2703</v>
      </c>
      <c r="F208" s="378" t="s">
        <v>23</v>
      </c>
      <c r="G208" s="221" t="s">
        <v>8</v>
      </c>
      <c r="H208" s="493">
        <v>45817</v>
      </c>
      <c r="I208" s="503"/>
      <c r="J208" s="107" t="s">
        <v>135</v>
      </c>
      <c r="K208" s="507"/>
      <c r="L208" s="508"/>
      <c r="M208" s="365"/>
      <c r="N208" s="509"/>
      <c r="O208" s="510"/>
      <c r="P208" s="511"/>
      <c r="Q208" s="501">
        <v>45818</v>
      </c>
      <c r="R208" s="148">
        <f t="shared" si="14"/>
        <v>1</v>
      </c>
      <c r="S208" s="101" t="s">
        <v>758</v>
      </c>
      <c r="T208" s="69"/>
    </row>
    <row r="209" spans="1:20" ht="28.8" x14ac:dyDescent="0.3">
      <c r="A209" s="98">
        <f t="shared" ca="1" si="13"/>
        <v>255</v>
      </c>
      <c r="B209" s="491" t="s">
        <v>80</v>
      </c>
      <c r="C209" s="282">
        <v>45817</v>
      </c>
      <c r="D209" s="369">
        <v>106443054</v>
      </c>
      <c r="E209" s="110" t="s">
        <v>3313</v>
      </c>
      <c r="F209" s="344" t="s">
        <v>7</v>
      </c>
      <c r="G209" s="112" t="s">
        <v>4</v>
      </c>
      <c r="H209" s="493">
        <v>45817</v>
      </c>
      <c r="I209" s="25"/>
      <c r="J209" s="107" t="s">
        <v>2547</v>
      </c>
      <c r="K209" s="507"/>
      <c r="L209" s="508"/>
      <c r="M209" s="365"/>
      <c r="N209" s="509"/>
      <c r="O209" s="510"/>
      <c r="P209" s="511"/>
      <c r="Q209" s="500">
        <v>45818</v>
      </c>
      <c r="R209" s="148">
        <f t="shared" si="14"/>
        <v>1</v>
      </c>
      <c r="S209" s="101" t="s">
        <v>3020</v>
      </c>
      <c r="T209" s="201"/>
    </row>
    <row r="210" spans="1:20" ht="57.6" x14ac:dyDescent="0.3">
      <c r="A210" s="98">
        <f t="shared" ca="1" si="13"/>
        <v>270</v>
      </c>
      <c r="B210" s="491">
        <v>1550</v>
      </c>
      <c r="C210" s="282">
        <v>45818</v>
      </c>
      <c r="D210" s="369">
        <v>26906376</v>
      </c>
      <c r="E210" s="110" t="s">
        <v>3314</v>
      </c>
      <c r="F210" s="378" t="s">
        <v>3</v>
      </c>
      <c r="G210" s="221" t="s">
        <v>6</v>
      </c>
      <c r="H210" s="493">
        <v>45818</v>
      </c>
      <c r="I210" s="503"/>
      <c r="J210" s="107" t="s">
        <v>82</v>
      </c>
      <c r="K210" s="507"/>
      <c r="L210" s="508"/>
      <c r="M210" s="365"/>
      <c r="N210" s="509"/>
      <c r="O210" s="510"/>
      <c r="P210" s="511"/>
      <c r="Q210" s="501">
        <v>45818</v>
      </c>
      <c r="R210" s="148">
        <f>Q210/H210</f>
        <v>1</v>
      </c>
      <c r="S210" s="101" t="s">
        <v>1927</v>
      </c>
      <c r="T210" s="201"/>
    </row>
    <row r="211" spans="1:20" ht="86.4" x14ac:dyDescent="0.3">
      <c r="A211" s="98">
        <f t="shared" ca="1" si="13"/>
        <v>275</v>
      </c>
      <c r="B211" s="506">
        <v>1550</v>
      </c>
      <c r="C211" s="282">
        <v>45818</v>
      </c>
      <c r="D211" s="369">
        <v>36938890</v>
      </c>
      <c r="E211" s="270" t="s">
        <v>3315</v>
      </c>
      <c r="F211" s="344" t="s">
        <v>14</v>
      </c>
      <c r="G211" s="221" t="s">
        <v>6</v>
      </c>
      <c r="H211" s="493">
        <v>45818</v>
      </c>
      <c r="I211" s="503"/>
      <c r="J211" s="727" t="s">
        <v>253</v>
      </c>
      <c r="K211" s="494"/>
      <c r="L211" s="495"/>
      <c r="M211" s="496"/>
      <c r="N211" s="497"/>
      <c r="O211" s="498"/>
      <c r="P211" s="499"/>
      <c r="Q211" s="501">
        <v>45818</v>
      </c>
      <c r="R211" s="148">
        <f>Q211/H211</f>
        <v>1</v>
      </c>
      <c r="S211" s="101" t="s">
        <v>1927</v>
      </c>
      <c r="T211" s="57"/>
    </row>
    <row r="212" spans="1:20" ht="57.6" x14ac:dyDescent="0.3">
      <c r="A212" s="98">
        <f t="shared" ca="1" si="13"/>
        <v>278</v>
      </c>
      <c r="B212" s="491">
        <v>1550</v>
      </c>
      <c r="C212" s="282">
        <v>45818</v>
      </c>
      <c r="D212" s="369">
        <v>82025592</v>
      </c>
      <c r="E212" s="270" t="s">
        <v>3316</v>
      </c>
      <c r="F212" s="378" t="s">
        <v>33</v>
      </c>
      <c r="G212" s="221" t="s">
        <v>6</v>
      </c>
      <c r="H212" s="493">
        <v>45818</v>
      </c>
      <c r="I212" s="503"/>
      <c r="J212" s="107" t="s">
        <v>1315</v>
      </c>
      <c r="K212" s="518"/>
      <c r="L212" s="518"/>
      <c r="M212" s="519"/>
      <c r="N212" s="520"/>
      <c r="O212" s="520"/>
      <c r="P212" s="521"/>
      <c r="Q212" s="501">
        <v>45818</v>
      </c>
      <c r="R212" s="148">
        <f>Q212/H212</f>
        <v>1</v>
      </c>
      <c r="S212" s="101" t="s">
        <v>1936</v>
      </c>
      <c r="T212" s="201"/>
    </row>
    <row r="213" spans="1:20" ht="28.8" x14ac:dyDescent="0.3">
      <c r="A213" s="98">
        <f t="shared" ca="1" si="13"/>
        <v>279</v>
      </c>
      <c r="B213" s="491">
        <v>1550</v>
      </c>
      <c r="C213" s="282">
        <v>45818</v>
      </c>
      <c r="D213" s="369">
        <v>118690035</v>
      </c>
      <c r="E213" s="213" t="s">
        <v>3317</v>
      </c>
      <c r="F213" s="378" t="s">
        <v>3</v>
      </c>
      <c r="G213" s="221" t="s">
        <v>4</v>
      </c>
      <c r="H213" s="493">
        <v>45818</v>
      </c>
      <c r="I213" s="503"/>
      <c r="J213" s="107" t="s">
        <v>82</v>
      </c>
      <c r="K213" s="507"/>
      <c r="L213" s="508"/>
      <c r="M213" s="365"/>
      <c r="N213" s="509"/>
      <c r="O213" s="510"/>
      <c r="P213" s="511"/>
      <c r="Q213" s="501">
        <v>45818</v>
      </c>
      <c r="R213" s="148">
        <f>Q213-H213</f>
        <v>0</v>
      </c>
      <c r="S213" s="101" t="s">
        <v>3020</v>
      </c>
      <c r="T213" s="201"/>
    </row>
    <row r="214" spans="1:20" ht="57.6" x14ac:dyDescent="0.3">
      <c r="A214" s="98">
        <f t="shared" ca="1" si="13"/>
        <v>91</v>
      </c>
      <c r="B214" s="491" t="s">
        <v>301</v>
      </c>
      <c r="C214" s="282">
        <v>45812</v>
      </c>
      <c r="D214" s="505" t="s">
        <v>3318</v>
      </c>
      <c r="E214" s="213" t="s">
        <v>3319</v>
      </c>
      <c r="F214" s="344" t="s">
        <v>12</v>
      </c>
      <c r="G214" s="112" t="s">
        <v>8</v>
      </c>
      <c r="H214" s="493">
        <v>45812</v>
      </c>
      <c r="I214" s="25"/>
      <c r="J214" s="742" t="s">
        <v>3175</v>
      </c>
      <c r="K214" s="494"/>
      <c r="L214" s="495"/>
      <c r="M214" s="496"/>
      <c r="N214" s="497"/>
      <c r="O214" s="498"/>
      <c r="P214" s="499"/>
      <c r="Q214" s="500">
        <v>45819</v>
      </c>
      <c r="R214" s="148">
        <f>Q214-H214</f>
        <v>7</v>
      </c>
      <c r="S214" s="101" t="s">
        <v>3096</v>
      </c>
      <c r="T214" s="57"/>
    </row>
    <row r="215" spans="1:20" ht="144" x14ac:dyDescent="0.3">
      <c r="A215" s="98">
        <f t="shared" ca="1" si="13"/>
        <v>112</v>
      </c>
      <c r="B215" s="506">
        <v>1550</v>
      </c>
      <c r="C215" s="492">
        <v>45812</v>
      </c>
      <c r="D215" s="369">
        <v>78847842</v>
      </c>
      <c r="E215" s="212" t="s">
        <v>3320</v>
      </c>
      <c r="F215" s="344" t="s">
        <v>32</v>
      </c>
      <c r="G215" s="112" t="s">
        <v>10</v>
      </c>
      <c r="H215" s="493">
        <v>45812</v>
      </c>
      <c r="I215" s="25"/>
      <c r="J215" s="107" t="s">
        <v>106</v>
      </c>
      <c r="K215" s="494"/>
      <c r="L215" s="495"/>
      <c r="M215" s="496"/>
      <c r="N215" s="497"/>
      <c r="O215" s="498"/>
      <c r="P215" s="499"/>
      <c r="Q215" s="500">
        <v>45819</v>
      </c>
      <c r="R215" s="148">
        <f>Q215-H215</f>
        <v>7</v>
      </c>
      <c r="S215" s="101" t="s">
        <v>1806</v>
      </c>
      <c r="T215" s="57"/>
    </row>
    <row r="216" spans="1:20" ht="57.6" x14ac:dyDescent="0.3">
      <c r="A216" s="98">
        <f t="shared" ca="1" si="13"/>
        <v>114</v>
      </c>
      <c r="B216" s="506">
        <v>1550</v>
      </c>
      <c r="C216" s="492">
        <v>45813</v>
      </c>
      <c r="D216" s="369" t="s">
        <v>3321</v>
      </c>
      <c r="E216" s="271" t="s">
        <v>3322</v>
      </c>
      <c r="F216" s="344" t="s">
        <v>1</v>
      </c>
      <c r="G216" s="112" t="s">
        <v>4</v>
      </c>
      <c r="H216" s="493">
        <v>45813</v>
      </c>
      <c r="I216" s="25"/>
      <c r="J216" s="100" t="s">
        <v>3095</v>
      </c>
      <c r="K216" s="513"/>
      <c r="L216" s="514"/>
      <c r="M216" s="515"/>
      <c r="N216" s="31"/>
      <c r="O216" s="53"/>
      <c r="P216" s="55"/>
      <c r="Q216" s="500">
        <v>45819</v>
      </c>
      <c r="R216" s="148">
        <f>Q216-H216</f>
        <v>6</v>
      </c>
      <c r="S216" s="101" t="s">
        <v>3042</v>
      </c>
      <c r="T216" s="57"/>
    </row>
    <row r="217" spans="1:20" ht="86.4" x14ac:dyDescent="0.3">
      <c r="A217" s="98">
        <f t="shared" ca="1" si="13"/>
        <v>149</v>
      </c>
      <c r="B217" s="506">
        <v>1550</v>
      </c>
      <c r="C217" s="492">
        <v>45814</v>
      </c>
      <c r="D217" s="369"/>
      <c r="E217" s="270" t="s">
        <v>3323</v>
      </c>
      <c r="F217" s="344" t="s">
        <v>1</v>
      </c>
      <c r="G217" s="112" t="s">
        <v>6</v>
      </c>
      <c r="H217" s="493">
        <v>45814</v>
      </c>
      <c r="I217" s="25"/>
      <c r="J217" s="107" t="s">
        <v>2579</v>
      </c>
      <c r="K217" s="513"/>
      <c r="L217" s="514"/>
      <c r="M217" s="515"/>
      <c r="N217" s="31"/>
      <c r="O217" s="53"/>
      <c r="P217" s="55"/>
      <c r="Q217" s="500">
        <v>45819</v>
      </c>
      <c r="R217" s="148">
        <f>Q217/H217</f>
        <v>1.0001091369450386</v>
      </c>
      <c r="S217" s="101" t="s">
        <v>2808</v>
      </c>
      <c r="T217" s="57"/>
    </row>
    <row r="218" spans="1:20" ht="28.8" x14ac:dyDescent="0.3">
      <c r="A218" s="98">
        <f t="shared" ca="1" si="13"/>
        <v>151</v>
      </c>
      <c r="B218" s="506">
        <v>1550</v>
      </c>
      <c r="C218" s="492">
        <v>45814</v>
      </c>
      <c r="D218" s="369">
        <v>120508923</v>
      </c>
      <c r="E218" s="270" t="s">
        <v>3324</v>
      </c>
      <c r="F218" s="344" t="s">
        <v>1</v>
      </c>
      <c r="G218" s="112" t="s">
        <v>4</v>
      </c>
      <c r="H218" s="493">
        <v>45814</v>
      </c>
      <c r="I218" s="25"/>
      <c r="J218" s="107" t="s">
        <v>2544</v>
      </c>
      <c r="K218" s="513"/>
      <c r="L218" s="514"/>
      <c r="M218" s="515"/>
      <c r="N218" s="31"/>
      <c r="O218" s="53"/>
      <c r="P218" s="55"/>
      <c r="Q218" s="500">
        <v>45819</v>
      </c>
      <c r="R218" s="148">
        <f>Q218-H218</f>
        <v>5</v>
      </c>
      <c r="S218" s="101" t="s">
        <v>3020</v>
      </c>
      <c r="T218" s="57"/>
    </row>
    <row r="219" spans="1:20" ht="28.8" x14ac:dyDescent="0.3">
      <c r="A219" s="98">
        <f t="shared" ca="1" si="13"/>
        <v>165</v>
      </c>
      <c r="B219" s="506">
        <v>1550</v>
      </c>
      <c r="C219" s="492">
        <v>45814</v>
      </c>
      <c r="D219" s="369">
        <v>102713405</v>
      </c>
      <c r="E219" s="270" t="s">
        <v>3325</v>
      </c>
      <c r="F219" s="344" t="s">
        <v>32</v>
      </c>
      <c r="G219" s="112" t="s">
        <v>4</v>
      </c>
      <c r="H219" s="493">
        <v>45814</v>
      </c>
      <c r="I219" s="25"/>
      <c r="J219" s="107" t="s">
        <v>106</v>
      </c>
      <c r="K219" s="513"/>
      <c r="L219" s="514"/>
      <c r="M219" s="515"/>
      <c r="N219" s="31"/>
      <c r="O219" s="53"/>
      <c r="P219" s="55"/>
      <c r="Q219" s="500">
        <v>45819</v>
      </c>
      <c r="R219" s="148">
        <f>Q219-H219</f>
        <v>5</v>
      </c>
      <c r="S219" s="101" t="s">
        <v>720</v>
      </c>
      <c r="T219" s="57"/>
    </row>
    <row r="220" spans="1:20" ht="57.6" x14ac:dyDescent="0.3">
      <c r="A220" s="98">
        <f t="shared" ca="1" si="13"/>
        <v>216</v>
      </c>
      <c r="B220" s="506">
        <v>1550</v>
      </c>
      <c r="C220" s="492">
        <v>45817</v>
      </c>
      <c r="D220" s="369"/>
      <c r="E220" s="270" t="s">
        <v>3326</v>
      </c>
      <c r="F220" s="344" t="s">
        <v>51</v>
      </c>
      <c r="G220" s="112" t="s">
        <v>8</v>
      </c>
      <c r="H220" s="493">
        <v>45817</v>
      </c>
      <c r="I220" s="25"/>
      <c r="J220" s="107" t="s">
        <v>3095</v>
      </c>
      <c r="K220" s="518"/>
      <c r="L220" s="518"/>
      <c r="M220" s="519"/>
      <c r="N220" s="520"/>
      <c r="O220" s="520"/>
      <c r="P220" s="521"/>
      <c r="Q220" s="500">
        <v>45819</v>
      </c>
      <c r="R220" s="148">
        <f>Q220-H220</f>
        <v>2</v>
      </c>
      <c r="S220" s="101" t="s">
        <v>758</v>
      </c>
      <c r="T220" s="201"/>
    </row>
    <row r="221" spans="1:20" ht="57.6" x14ac:dyDescent="0.3">
      <c r="A221" s="98">
        <f t="shared" ca="1" si="13"/>
        <v>217</v>
      </c>
      <c r="B221" s="506">
        <v>1550</v>
      </c>
      <c r="C221" s="492">
        <v>45817</v>
      </c>
      <c r="D221" s="369"/>
      <c r="E221" s="270" t="s">
        <v>3327</v>
      </c>
      <c r="F221" s="344" t="s">
        <v>51</v>
      </c>
      <c r="G221" s="112" t="s">
        <v>8</v>
      </c>
      <c r="H221" s="493">
        <v>45817</v>
      </c>
      <c r="I221" s="25"/>
      <c r="J221" s="107" t="s">
        <v>3095</v>
      </c>
      <c r="K221" s="518"/>
      <c r="L221" s="518"/>
      <c r="M221" s="519"/>
      <c r="N221" s="520"/>
      <c r="O221" s="520"/>
      <c r="P221" s="521"/>
      <c r="Q221" s="500">
        <v>45819</v>
      </c>
      <c r="R221" s="148">
        <f>Q221-H221</f>
        <v>2</v>
      </c>
      <c r="S221" s="101" t="s">
        <v>1677</v>
      </c>
      <c r="T221" s="201"/>
    </row>
    <row r="222" spans="1:20" ht="57.6" x14ac:dyDescent="0.3">
      <c r="A222" s="98">
        <f t="shared" ca="1" si="13"/>
        <v>219</v>
      </c>
      <c r="B222" s="506">
        <v>1550</v>
      </c>
      <c r="C222" s="492">
        <v>45817</v>
      </c>
      <c r="D222" s="369"/>
      <c r="E222" s="270" t="s">
        <v>3328</v>
      </c>
      <c r="F222" s="344" t="s">
        <v>51</v>
      </c>
      <c r="G222" s="112" t="s">
        <v>8</v>
      </c>
      <c r="H222" s="493">
        <v>45817</v>
      </c>
      <c r="I222" s="25"/>
      <c r="J222" s="107" t="s">
        <v>3095</v>
      </c>
      <c r="K222" s="518"/>
      <c r="L222" s="518"/>
      <c r="M222" s="519"/>
      <c r="N222" s="520"/>
      <c r="O222" s="520"/>
      <c r="P222" s="521"/>
      <c r="Q222" s="500">
        <v>45819</v>
      </c>
      <c r="R222" s="148">
        <f>Q222-H222</f>
        <v>2</v>
      </c>
      <c r="S222" s="101" t="s">
        <v>758</v>
      </c>
      <c r="T222" s="201"/>
    </row>
    <row r="223" spans="1:20" ht="57.6" x14ac:dyDescent="0.3">
      <c r="A223" s="98">
        <f t="shared" ca="1" si="13"/>
        <v>220</v>
      </c>
      <c r="B223" s="506" t="s">
        <v>80</v>
      </c>
      <c r="C223" s="492">
        <v>45817</v>
      </c>
      <c r="D223" s="369"/>
      <c r="E223" s="261" t="s">
        <v>3329</v>
      </c>
      <c r="F223" s="344" t="s">
        <v>1314</v>
      </c>
      <c r="G223" s="112" t="s">
        <v>6</v>
      </c>
      <c r="H223" s="493">
        <v>45817</v>
      </c>
      <c r="I223" s="25"/>
      <c r="J223" s="107" t="s">
        <v>99</v>
      </c>
      <c r="K223" s="494"/>
      <c r="L223" s="495"/>
      <c r="M223" s="496"/>
      <c r="N223" s="497"/>
      <c r="O223" s="498"/>
      <c r="P223" s="499"/>
      <c r="Q223" s="500">
        <v>45819</v>
      </c>
      <c r="R223" s="148">
        <f>Q223/H223</f>
        <v>1.0000436519195932</v>
      </c>
      <c r="S223" s="101" t="s">
        <v>2747</v>
      </c>
      <c r="T223" s="201"/>
    </row>
    <row r="224" spans="1:20" ht="57.6" x14ac:dyDescent="0.3">
      <c r="A224" s="98">
        <f t="shared" ca="1" si="13"/>
        <v>221</v>
      </c>
      <c r="B224" s="506" t="s">
        <v>80</v>
      </c>
      <c r="C224" s="492">
        <v>45817</v>
      </c>
      <c r="D224" s="369"/>
      <c r="E224" s="262" t="s">
        <v>3330</v>
      </c>
      <c r="F224" s="344" t="s">
        <v>1314</v>
      </c>
      <c r="G224" s="112" t="s">
        <v>6</v>
      </c>
      <c r="H224" s="493">
        <v>45817</v>
      </c>
      <c r="I224" s="25"/>
      <c r="J224" s="107" t="s">
        <v>99</v>
      </c>
      <c r="K224" s="494"/>
      <c r="L224" s="495"/>
      <c r="M224" s="496"/>
      <c r="N224" s="497"/>
      <c r="O224" s="498"/>
      <c r="P224" s="499"/>
      <c r="Q224" s="516">
        <v>45819</v>
      </c>
      <c r="R224" s="148">
        <f>Q224/H224</f>
        <v>1.0000436519195932</v>
      </c>
      <c r="S224" s="101" t="s">
        <v>2747</v>
      </c>
      <c r="T224" s="201"/>
    </row>
    <row r="225" spans="1:20" ht="57.6" x14ac:dyDescent="0.3">
      <c r="A225" s="98">
        <f t="shared" ca="1" si="13"/>
        <v>222</v>
      </c>
      <c r="B225" s="506">
        <v>1550</v>
      </c>
      <c r="C225" s="492">
        <v>45817</v>
      </c>
      <c r="D225" s="369"/>
      <c r="E225" s="262" t="s">
        <v>3331</v>
      </c>
      <c r="F225" s="344" t="s">
        <v>1314</v>
      </c>
      <c r="G225" s="112" t="s">
        <v>6</v>
      </c>
      <c r="H225" s="493">
        <v>45817</v>
      </c>
      <c r="I225" s="25"/>
      <c r="J225" s="107" t="s">
        <v>99</v>
      </c>
      <c r="K225" s="494"/>
      <c r="L225" s="495"/>
      <c r="M225" s="496"/>
      <c r="N225" s="497"/>
      <c r="O225" s="498"/>
      <c r="P225" s="499"/>
      <c r="Q225" s="516">
        <v>45819</v>
      </c>
      <c r="R225" s="148">
        <f>Q225/H225</f>
        <v>1.0000436519195932</v>
      </c>
      <c r="S225" s="101" t="s">
        <v>1312</v>
      </c>
      <c r="T225" s="201"/>
    </row>
    <row r="226" spans="1:20" ht="57.6" x14ac:dyDescent="0.3">
      <c r="A226" s="98">
        <f t="shared" ca="1" si="13"/>
        <v>223</v>
      </c>
      <c r="B226" s="506">
        <v>1550</v>
      </c>
      <c r="C226" s="492">
        <v>45817</v>
      </c>
      <c r="D226" s="369"/>
      <c r="E226" s="263" t="s">
        <v>3332</v>
      </c>
      <c r="F226" s="344" t="s">
        <v>1314</v>
      </c>
      <c r="G226" s="112" t="s">
        <v>6</v>
      </c>
      <c r="H226" s="493">
        <v>45817</v>
      </c>
      <c r="I226" s="25"/>
      <c r="J226" s="107" t="s">
        <v>99</v>
      </c>
      <c r="K226" s="494"/>
      <c r="L226" s="495"/>
      <c r="M226" s="496"/>
      <c r="N226" s="497"/>
      <c r="O226" s="498"/>
      <c r="P226" s="499"/>
      <c r="Q226" s="516">
        <v>45819</v>
      </c>
      <c r="R226" s="148">
        <f>Q226/H226</f>
        <v>1.0000436519195932</v>
      </c>
      <c r="S226" s="101" t="s">
        <v>2808</v>
      </c>
      <c r="T226" s="201"/>
    </row>
    <row r="227" spans="1:20" ht="57.6" x14ac:dyDescent="0.3">
      <c r="A227" s="98">
        <f t="shared" ca="1" si="13"/>
        <v>225</v>
      </c>
      <c r="B227" s="506">
        <v>1550</v>
      </c>
      <c r="C227" s="492">
        <v>45817</v>
      </c>
      <c r="D227" s="369"/>
      <c r="E227" s="270" t="s">
        <v>3333</v>
      </c>
      <c r="F227" s="344" t="s">
        <v>1314</v>
      </c>
      <c r="G227" s="81" t="s">
        <v>6</v>
      </c>
      <c r="H227" s="493">
        <v>45817</v>
      </c>
      <c r="I227" s="25"/>
      <c r="J227" s="100" t="s">
        <v>99</v>
      </c>
      <c r="K227" s="513"/>
      <c r="L227" s="514"/>
      <c r="M227" s="515"/>
      <c r="N227" s="31"/>
      <c r="O227" s="53"/>
      <c r="P227" s="55"/>
      <c r="Q227" s="516">
        <v>45819</v>
      </c>
      <c r="R227" s="148">
        <f>Q227/H227</f>
        <v>1.0000436519195932</v>
      </c>
      <c r="S227" s="101" t="s">
        <v>1312</v>
      </c>
      <c r="T227" s="57"/>
    </row>
    <row r="228" spans="1:20" ht="57.6" x14ac:dyDescent="0.3">
      <c r="A228" s="98">
        <f t="shared" ca="1" si="13"/>
        <v>226</v>
      </c>
      <c r="B228" s="506">
        <v>1550</v>
      </c>
      <c r="C228" s="492">
        <v>45817</v>
      </c>
      <c r="D228" s="369"/>
      <c r="E228" s="270" t="s">
        <v>3334</v>
      </c>
      <c r="F228" s="344" t="s">
        <v>51</v>
      </c>
      <c r="G228" s="221" t="s">
        <v>4</v>
      </c>
      <c r="H228" s="493">
        <v>45817</v>
      </c>
      <c r="I228" s="25"/>
      <c r="J228" s="107" t="s">
        <v>3095</v>
      </c>
      <c r="K228" s="507"/>
      <c r="L228" s="508"/>
      <c r="M228" s="365"/>
      <c r="N228" s="509"/>
      <c r="O228" s="510"/>
      <c r="P228" s="511"/>
      <c r="Q228" s="516">
        <v>45819</v>
      </c>
      <c r="R228" s="148">
        <f>Q228-H228</f>
        <v>2</v>
      </c>
      <c r="S228" s="101" t="s">
        <v>720</v>
      </c>
      <c r="T228" s="201"/>
    </row>
    <row r="229" spans="1:20" ht="57.6" x14ac:dyDescent="0.3">
      <c r="A229" s="98">
        <f t="shared" ca="1" si="13"/>
        <v>228</v>
      </c>
      <c r="B229" s="506">
        <v>1550</v>
      </c>
      <c r="C229" s="492">
        <v>45817</v>
      </c>
      <c r="D229" s="369"/>
      <c r="E229" s="270" t="s">
        <v>3335</v>
      </c>
      <c r="F229" s="344" t="s">
        <v>1314</v>
      </c>
      <c r="G229" s="81" t="s">
        <v>6</v>
      </c>
      <c r="H229" s="493">
        <v>45817</v>
      </c>
      <c r="I229" s="25"/>
      <c r="J229" s="107" t="s">
        <v>99</v>
      </c>
      <c r="K229" s="513"/>
      <c r="L229" s="514"/>
      <c r="M229" s="515"/>
      <c r="N229" s="31"/>
      <c r="O229" s="53"/>
      <c r="P229" s="55"/>
      <c r="Q229" s="516">
        <v>45819</v>
      </c>
      <c r="R229" s="148">
        <f>Q229/H229</f>
        <v>1.0000436519195932</v>
      </c>
      <c r="S229" s="101" t="s">
        <v>1312</v>
      </c>
      <c r="T229" s="57"/>
    </row>
    <row r="230" spans="1:20" ht="57.6" x14ac:dyDescent="0.3">
      <c r="A230" s="98">
        <f t="shared" ca="1" si="13"/>
        <v>229</v>
      </c>
      <c r="B230" s="506">
        <v>1550</v>
      </c>
      <c r="C230" s="492">
        <v>45786</v>
      </c>
      <c r="D230" s="369"/>
      <c r="E230" s="270" t="s">
        <v>3336</v>
      </c>
      <c r="F230" s="344" t="s">
        <v>51</v>
      </c>
      <c r="G230" s="172" t="s">
        <v>8</v>
      </c>
      <c r="H230" s="493">
        <v>45817</v>
      </c>
      <c r="I230" s="25"/>
      <c r="J230" s="100" t="s">
        <v>3095</v>
      </c>
      <c r="K230" s="513"/>
      <c r="L230" s="514"/>
      <c r="M230" s="515"/>
      <c r="N230" s="31"/>
      <c r="O230" s="53"/>
      <c r="P230" s="55"/>
      <c r="Q230" s="516">
        <v>45819</v>
      </c>
      <c r="R230" s="148">
        <f>Q230-H230</f>
        <v>2</v>
      </c>
      <c r="S230" s="101" t="s">
        <v>267</v>
      </c>
      <c r="T230" s="201"/>
    </row>
    <row r="231" spans="1:20" ht="57.6" x14ac:dyDescent="0.3">
      <c r="A231" s="98">
        <f t="shared" ca="1" si="13"/>
        <v>234</v>
      </c>
      <c r="B231" s="506">
        <v>1550</v>
      </c>
      <c r="C231" s="492">
        <v>45817</v>
      </c>
      <c r="D231" s="369"/>
      <c r="E231" s="270" t="s">
        <v>3337</v>
      </c>
      <c r="F231" s="378" t="s">
        <v>1314</v>
      </c>
      <c r="G231" s="221" t="s">
        <v>6</v>
      </c>
      <c r="H231" s="493">
        <v>45817</v>
      </c>
      <c r="I231" s="503"/>
      <c r="J231" s="107" t="s">
        <v>99</v>
      </c>
      <c r="K231" s="494"/>
      <c r="L231" s="636"/>
      <c r="M231" s="496"/>
      <c r="N231" s="497"/>
      <c r="O231" s="498"/>
      <c r="P231" s="499"/>
      <c r="Q231" s="346">
        <v>45819</v>
      </c>
      <c r="R231" s="148">
        <f>Q231/H231</f>
        <v>1.0000436519195932</v>
      </c>
      <c r="S231" s="101" t="s">
        <v>1936</v>
      </c>
      <c r="T231" s="57"/>
    </row>
    <row r="232" spans="1:20" ht="57.6" x14ac:dyDescent="0.3">
      <c r="A232" s="98">
        <f t="shared" ca="1" si="13"/>
        <v>237</v>
      </c>
      <c r="B232" s="506">
        <v>1550</v>
      </c>
      <c r="C232" s="492">
        <v>45817</v>
      </c>
      <c r="D232" s="369"/>
      <c r="E232" s="270" t="s">
        <v>3338</v>
      </c>
      <c r="F232" s="378" t="s">
        <v>1314</v>
      </c>
      <c r="G232" s="172" t="s">
        <v>6</v>
      </c>
      <c r="H232" s="493">
        <v>45817</v>
      </c>
      <c r="I232" s="503"/>
      <c r="J232" s="107" t="s">
        <v>99</v>
      </c>
      <c r="K232" s="513"/>
      <c r="L232" s="582"/>
      <c r="M232" s="515"/>
      <c r="N232" s="31"/>
      <c r="O232" s="53"/>
      <c r="P232" s="55"/>
      <c r="Q232" s="346">
        <v>45819</v>
      </c>
      <c r="R232" s="148">
        <f>Q232/H232</f>
        <v>1.0000436519195932</v>
      </c>
      <c r="S232" s="101" t="s">
        <v>1936</v>
      </c>
      <c r="T232" s="57"/>
    </row>
    <row r="233" spans="1:20" ht="57.6" x14ac:dyDescent="0.3">
      <c r="A233" s="98">
        <f t="shared" ref="A233:A296" ca="1" si="15">A232+1</f>
        <v>238</v>
      </c>
      <c r="B233" s="554">
        <v>1550</v>
      </c>
      <c r="C233" s="516">
        <v>45817</v>
      </c>
      <c r="D233" s="369"/>
      <c r="E233" s="481" t="s">
        <v>3339</v>
      </c>
      <c r="F233" s="378" t="s">
        <v>1314</v>
      </c>
      <c r="G233" s="221" t="s">
        <v>6</v>
      </c>
      <c r="H233" s="493">
        <v>45817</v>
      </c>
      <c r="I233" s="503"/>
      <c r="J233" s="107" t="s">
        <v>99</v>
      </c>
      <c r="K233" s="513"/>
      <c r="L233" s="582"/>
      <c r="M233" s="515"/>
      <c r="N233" s="31"/>
      <c r="O233" s="53"/>
      <c r="P233" s="55"/>
      <c r="Q233" s="346">
        <v>45819</v>
      </c>
      <c r="R233" s="148">
        <f>Q233/H233</f>
        <v>1.0000436519195932</v>
      </c>
      <c r="S233" s="101" t="s">
        <v>1936</v>
      </c>
      <c r="T233" s="57"/>
    </row>
    <row r="234" spans="1:20" ht="57.6" x14ac:dyDescent="0.3">
      <c r="A234" s="98">
        <f t="shared" ca="1" si="15"/>
        <v>239</v>
      </c>
      <c r="B234" s="554" t="s">
        <v>80</v>
      </c>
      <c r="C234" s="516">
        <v>45817</v>
      </c>
      <c r="D234" s="369"/>
      <c r="E234" s="270" t="s">
        <v>3340</v>
      </c>
      <c r="F234" s="378" t="s">
        <v>1314</v>
      </c>
      <c r="G234" s="221" t="s">
        <v>6</v>
      </c>
      <c r="H234" s="493">
        <v>45817</v>
      </c>
      <c r="I234" s="503"/>
      <c r="J234" s="107" t="s">
        <v>99</v>
      </c>
      <c r="K234" s="513"/>
      <c r="L234" s="582"/>
      <c r="M234" s="515"/>
      <c r="N234" s="31"/>
      <c r="O234" s="53"/>
      <c r="P234" s="55"/>
      <c r="Q234" s="346">
        <v>45819</v>
      </c>
      <c r="R234" s="148">
        <f>Q234/H234</f>
        <v>1.0000436519195932</v>
      </c>
      <c r="S234" s="101" t="s">
        <v>2747</v>
      </c>
      <c r="T234" s="201"/>
    </row>
    <row r="235" spans="1:20" ht="57.6" x14ac:dyDescent="0.3">
      <c r="A235" s="98">
        <f t="shared" ca="1" si="15"/>
        <v>241</v>
      </c>
      <c r="B235" s="554" t="s">
        <v>301</v>
      </c>
      <c r="C235" s="581">
        <v>45817</v>
      </c>
      <c r="D235" s="369"/>
      <c r="E235" s="395" t="s">
        <v>3341</v>
      </c>
      <c r="F235" s="378" t="s">
        <v>51</v>
      </c>
      <c r="G235" s="221" t="s">
        <v>10</v>
      </c>
      <c r="H235" s="493">
        <v>45817</v>
      </c>
      <c r="I235" s="503"/>
      <c r="J235" s="107" t="s">
        <v>3095</v>
      </c>
      <c r="K235" s="518"/>
      <c r="L235" s="518"/>
      <c r="M235" s="519"/>
      <c r="N235" s="520"/>
      <c r="O235" s="520"/>
      <c r="P235" s="521"/>
      <c r="Q235" s="346">
        <v>45819</v>
      </c>
      <c r="R235" s="148">
        <f>Q235-H235</f>
        <v>2</v>
      </c>
      <c r="S235" s="101" t="s">
        <v>1366</v>
      </c>
      <c r="T235" s="57"/>
    </row>
    <row r="236" spans="1:20" ht="57.6" x14ac:dyDescent="0.3">
      <c r="A236" s="98">
        <f t="shared" ca="1" si="15"/>
        <v>242</v>
      </c>
      <c r="B236" s="583">
        <v>1550</v>
      </c>
      <c r="C236" s="581">
        <v>45817</v>
      </c>
      <c r="D236" s="369"/>
      <c r="E236" s="395" t="s">
        <v>3342</v>
      </c>
      <c r="F236" s="378" t="s">
        <v>51</v>
      </c>
      <c r="G236" s="221" t="s">
        <v>10</v>
      </c>
      <c r="H236" s="493">
        <v>45817</v>
      </c>
      <c r="I236" s="503"/>
      <c r="J236" s="107" t="s">
        <v>3095</v>
      </c>
      <c r="K236" s="518"/>
      <c r="L236" s="518"/>
      <c r="M236" s="519"/>
      <c r="N236" s="520"/>
      <c r="O236" s="520"/>
      <c r="P236" s="521"/>
      <c r="Q236" s="346">
        <v>45819</v>
      </c>
      <c r="R236" s="148">
        <f>Q236-H236</f>
        <v>2</v>
      </c>
      <c r="S236" s="101" t="s">
        <v>2213</v>
      </c>
      <c r="T236" s="57"/>
    </row>
    <row r="237" spans="1:20" ht="57.6" x14ac:dyDescent="0.3">
      <c r="A237" s="98">
        <f t="shared" ca="1" si="15"/>
        <v>244</v>
      </c>
      <c r="B237" s="583" t="s">
        <v>80</v>
      </c>
      <c r="C237" s="584">
        <v>45817</v>
      </c>
      <c r="D237" s="369"/>
      <c r="E237" s="271" t="s">
        <v>3343</v>
      </c>
      <c r="F237" s="344" t="s">
        <v>1314</v>
      </c>
      <c r="G237" s="112" t="s">
        <v>6</v>
      </c>
      <c r="H237" s="493">
        <v>45817</v>
      </c>
      <c r="I237" s="503"/>
      <c r="J237" s="107" t="s">
        <v>99</v>
      </c>
      <c r="K237" s="513"/>
      <c r="L237" s="514"/>
      <c r="M237" s="515"/>
      <c r="N237" s="31"/>
      <c r="O237" s="53"/>
      <c r="P237" s="55"/>
      <c r="Q237" s="346">
        <v>45819</v>
      </c>
      <c r="R237" s="148">
        <f>Q237/H237</f>
        <v>1.0000436519195932</v>
      </c>
      <c r="S237" s="101" t="s">
        <v>2747</v>
      </c>
      <c r="T237" s="57"/>
    </row>
    <row r="238" spans="1:20" ht="57.6" x14ac:dyDescent="0.3">
      <c r="A238" s="98">
        <f t="shared" ca="1" si="15"/>
        <v>245</v>
      </c>
      <c r="B238" s="583" t="s">
        <v>80</v>
      </c>
      <c r="C238" s="346">
        <v>45817</v>
      </c>
      <c r="D238" s="369"/>
      <c r="E238" s="271" t="s">
        <v>3344</v>
      </c>
      <c r="F238" s="344" t="s">
        <v>1314</v>
      </c>
      <c r="G238" s="112" t="s">
        <v>6</v>
      </c>
      <c r="H238" s="493">
        <v>45817</v>
      </c>
      <c r="I238" s="503"/>
      <c r="J238" s="107" t="s">
        <v>99</v>
      </c>
      <c r="K238" s="513"/>
      <c r="L238" s="514"/>
      <c r="M238" s="515"/>
      <c r="N238" s="31"/>
      <c r="O238" s="53"/>
      <c r="P238" s="55"/>
      <c r="Q238" s="346">
        <v>45819</v>
      </c>
      <c r="R238" s="148">
        <f>Q238/H238</f>
        <v>1.0000436519195932</v>
      </c>
      <c r="S238" s="101" t="s">
        <v>1936</v>
      </c>
      <c r="T238" s="57"/>
    </row>
    <row r="239" spans="1:20" ht="28.8" x14ac:dyDescent="0.3">
      <c r="A239" s="98">
        <f t="shared" ca="1" si="15"/>
        <v>247</v>
      </c>
      <c r="B239" s="583">
        <v>1550</v>
      </c>
      <c r="C239" s="346">
        <v>45817</v>
      </c>
      <c r="D239" s="369">
        <v>93935595</v>
      </c>
      <c r="E239" s="271" t="s">
        <v>3345</v>
      </c>
      <c r="F239" s="344" t="s">
        <v>3</v>
      </c>
      <c r="G239" s="112" t="s">
        <v>4</v>
      </c>
      <c r="H239" s="493">
        <v>45817</v>
      </c>
      <c r="I239" s="503"/>
      <c r="J239" s="107" t="s">
        <v>82</v>
      </c>
      <c r="K239" s="513"/>
      <c r="L239" s="514"/>
      <c r="M239" s="515"/>
      <c r="N239" s="31"/>
      <c r="O239" s="53"/>
      <c r="P239" s="55"/>
      <c r="Q239" s="346">
        <v>45819</v>
      </c>
      <c r="R239" s="148">
        <f>Q239-H239</f>
        <v>2</v>
      </c>
      <c r="S239" s="101" t="s">
        <v>3049</v>
      </c>
      <c r="T239" s="57"/>
    </row>
    <row r="240" spans="1:20" ht="57.6" x14ac:dyDescent="0.3">
      <c r="A240" s="98">
        <f t="shared" ca="1" si="15"/>
        <v>249</v>
      </c>
      <c r="B240" s="583">
        <v>1550</v>
      </c>
      <c r="C240" s="584">
        <v>45817</v>
      </c>
      <c r="D240" s="369"/>
      <c r="E240" s="271" t="s">
        <v>3346</v>
      </c>
      <c r="F240" s="344" t="s">
        <v>51</v>
      </c>
      <c r="G240" s="112" t="s">
        <v>4</v>
      </c>
      <c r="H240" s="493">
        <v>45817</v>
      </c>
      <c r="I240" s="503"/>
      <c r="J240" s="107" t="s">
        <v>3095</v>
      </c>
      <c r="K240" s="355"/>
      <c r="L240" s="518"/>
      <c r="M240" s="519"/>
      <c r="N240" s="520"/>
      <c r="O240" s="520"/>
      <c r="P240" s="521"/>
      <c r="Q240" s="346">
        <v>45819</v>
      </c>
      <c r="R240" s="148">
        <f>Q240-H240</f>
        <v>2</v>
      </c>
      <c r="S240" s="101" t="s">
        <v>3020</v>
      </c>
      <c r="T240" s="201"/>
    </row>
    <row r="241" spans="1:20" ht="57.6" x14ac:dyDescent="0.3">
      <c r="A241" s="98">
        <f t="shared" ca="1" si="15"/>
        <v>250</v>
      </c>
      <c r="B241" s="583" t="s">
        <v>80</v>
      </c>
      <c r="C241" s="346">
        <v>45817</v>
      </c>
      <c r="D241" s="369"/>
      <c r="E241" s="271" t="s">
        <v>3347</v>
      </c>
      <c r="F241" s="344" t="s">
        <v>1314</v>
      </c>
      <c r="G241" s="112" t="s">
        <v>6</v>
      </c>
      <c r="H241" s="493">
        <v>45817</v>
      </c>
      <c r="I241" s="503"/>
      <c r="J241" s="107" t="s">
        <v>99</v>
      </c>
      <c r="K241" s="513"/>
      <c r="L241" s="514"/>
      <c r="M241" s="515"/>
      <c r="N241" s="31"/>
      <c r="O241" s="53"/>
      <c r="P241" s="55"/>
      <c r="Q241" s="346">
        <v>45819</v>
      </c>
      <c r="R241" s="148">
        <f>Q241/H241</f>
        <v>1.0000436519195932</v>
      </c>
      <c r="S241" s="101" t="s">
        <v>2747</v>
      </c>
      <c r="T241" s="201"/>
    </row>
    <row r="242" spans="1:20" ht="28.8" x14ac:dyDescent="0.3">
      <c r="A242" s="98">
        <f t="shared" ca="1" si="15"/>
        <v>251</v>
      </c>
      <c r="B242" s="583">
        <v>1550</v>
      </c>
      <c r="C242" s="584">
        <v>45817</v>
      </c>
      <c r="D242" s="369">
        <v>102713405</v>
      </c>
      <c r="E242" s="271" t="s">
        <v>3348</v>
      </c>
      <c r="F242" s="344" t="s">
        <v>32</v>
      </c>
      <c r="G242" s="112" t="s">
        <v>4</v>
      </c>
      <c r="H242" s="493">
        <v>45817</v>
      </c>
      <c r="I242" s="503"/>
      <c r="J242" s="107" t="s">
        <v>106</v>
      </c>
      <c r="K242" s="518"/>
      <c r="L242" s="518"/>
      <c r="M242" s="519"/>
      <c r="N242" s="520"/>
      <c r="O242" s="520"/>
      <c r="P242" s="521"/>
      <c r="Q242" s="346">
        <v>45819</v>
      </c>
      <c r="R242" s="148">
        <f>Q242-H242</f>
        <v>2</v>
      </c>
      <c r="S242" s="101" t="s">
        <v>720</v>
      </c>
      <c r="T242" s="201"/>
    </row>
    <row r="243" spans="1:20" ht="57.6" x14ac:dyDescent="0.3">
      <c r="A243" s="98">
        <f t="shared" ca="1" si="15"/>
        <v>252</v>
      </c>
      <c r="B243" s="583">
        <v>1550</v>
      </c>
      <c r="C243" s="584">
        <v>45817</v>
      </c>
      <c r="D243" s="369"/>
      <c r="E243" s="483" t="s">
        <v>3349</v>
      </c>
      <c r="F243" s="101" t="s">
        <v>1314</v>
      </c>
      <c r="G243" s="112" t="s">
        <v>6</v>
      </c>
      <c r="H243" s="493">
        <v>45817</v>
      </c>
      <c r="I243" s="503"/>
      <c r="J243" s="107" t="s">
        <v>99</v>
      </c>
      <c r="K243" s="513"/>
      <c r="L243" s="514"/>
      <c r="M243" s="515"/>
      <c r="N243" s="31"/>
      <c r="O243" s="53"/>
      <c r="P243" s="55"/>
      <c r="Q243" s="346">
        <v>45819</v>
      </c>
      <c r="R243" s="148">
        <f>Q243/H243</f>
        <v>1.0000436519195932</v>
      </c>
      <c r="S243" s="101" t="s">
        <v>1860</v>
      </c>
      <c r="T243" s="201"/>
    </row>
    <row r="244" spans="1:20" ht="57.6" x14ac:dyDescent="0.3">
      <c r="A244" s="98">
        <f t="shared" ca="1" si="15"/>
        <v>253</v>
      </c>
      <c r="B244" s="583" t="s">
        <v>80</v>
      </c>
      <c r="C244" s="584">
        <v>45817</v>
      </c>
      <c r="D244" s="369"/>
      <c r="E244" s="213" t="s">
        <v>3350</v>
      </c>
      <c r="F244" s="344" t="s">
        <v>1314</v>
      </c>
      <c r="G244" s="112" t="s">
        <v>6</v>
      </c>
      <c r="H244" s="493">
        <v>45817</v>
      </c>
      <c r="I244" s="503"/>
      <c r="J244" s="107" t="s">
        <v>99</v>
      </c>
      <c r="K244" s="513"/>
      <c r="L244" s="514"/>
      <c r="M244" s="515"/>
      <c r="N244" s="31"/>
      <c r="O244" s="53"/>
      <c r="P244" s="55"/>
      <c r="Q244" s="346">
        <v>45819</v>
      </c>
      <c r="R244" s="148">
        <f>Q244/H244</f>
        <v>1.0000436519195932</v>
      </c>
      <c r="S244" s="101" t="s">
        <v>2747</v>
      </c>
      <c r="T244" s="201"/>
    </row>
    <row r="245" spans="1:20" ht="57.6" x14ac:dyDescent="0.3">
      <c r="A245" s="98">
        <f t="shared" ca="1" si="15"/>
        <v>254</v>
      </c>
      <c r="B245" s="583" t="s">
        <v>80</v>
      </c>
      <c r="C245" s="584">
        <v>45817</v>
      </c>
      <c r="D245" s="369"/>
      <c r="E245" s="213" t="s">
        <v>3351</v>
      </c>
      <c r="F245" s="344" t="s">
        <v>51</v>
      </c>
      <c r="G245" s="112" t="s">
        <v>4</v>
      </c>
      <c r="H245" s="493">
        <v>45817</v>
      </c>
      <c r="I245" s="25"/>
      <c r="J245" s="107" t="s">
        <v>3095</v>
      </c>
      <c r="K245" s="518"/>
      <c r="L245" s="518"/>
      <c r="M245" s="519"/>
      <c r="N245" s="520"/>
      <c r="O245" s="520"/>
      <c r="P245" s="521"/>
      <c r="Q245" s="516">
        <v>45819</v>
      </c>
      <c r="R245" s="148">
        <f>Q245-H245</f>
        <v>2</v>
      </c>
      <c r="S245" s="101" t="s">
        <v>3020</v>
      </c>
      <c r="T245" s="201"/>
    </row>
    <row r="246" spans="1:20" ht="36" customHeight="1" x14ac:dyDescent="0.3">
      <c r="A246" s="98">
        <f t="shared" ca="1" si="15"/>
        <v>256</v>
      </c>
      <c r="B246" s="583">
        <v>1550</v>
      </c>
      <c r="C246" s="584">
        <v>45817</v>
      </c>
      <c r="D246" s="369"/>
      <c r="E246" s="271" t="s">
        <v>3352</v>
      </c>
      <c r="F246" s="387" t="s">
        <v>51</v>
      </c>
      <c r="G246" s="172" t="s">
        <v>10</v>
      </c>
      <c r="H246" s="493">
        <v>45817</v>
      </c>
      <c r="I246" s="587"/>
      <c r="J246" s="107" t="s">
        <v>3095</v>
      </c>
      <c r="K246" s="518"/>
      <c r="L246" s="518"/>
      <c r="M246" s="519"/>
      <c r="N246" s="520"/>
      <c r="O246" s="520"/>
      <c r="P246" s="521"/>
      <c r="Q246" s="516">
        <v>45819</v>
      </c>
      <c r="R246" s="148">
        <f>Q246-H246</f>
        <v>2</v>
      </c>
      <c r="S246" s="101" t="s">
        <v>214</v>
      </c>
      <c r="T246" s="201"/>
    </row>
    <row r="247" spans="1:20" ht="36" customHeight="1" x14ac:dyDescent="0.3">
      <c r="A247" s="98">
        <f t="shared" ca="1" si="15"/>
        <v>257</v>
      </c>
      <c r="B247" s="583">
        <v>1550</v>
      </c>
      <c r="C247" s="584">
        <v>45817</v>
      </c>
      <c r="D247" s="369">
        <v>98976877</v>
      </c>
      <c r="E247" s="270" t="s">
        <v>3353</v>
      </c>
      <c r="F247" s="387" t="s">
        <v>39</v>
      </c>
      <c r="G247" s="172" t="s">
        <v>8</v>
      </c>
      <c r="H247" s="493">
        <v>45817</v>
      </c>
      <c r="I247" s="503"/>
      <c r="J247" s="107" t="s">
        <v>3354</v>
      </c>
      <c r="K247" s="518"/>
      <c r="L247" s="518"/>
      <c r="M247" s="519"/>
      <c r="N247" s="520"/>
      <c r="O247" s="520"/>
      <c r="P247" s="521"/>
      <c r="Q247" s="516">
        <v>45819</v>
      </c>
      <c r="R247" s="148">
        <f>Q247-H247</f>
        <v>2</v>
      </c>
      <c r="S247" s="101" t="s">
        <v>151</v>
      </c>
      <c r="T247" s="201"/>
    </row>
    <row r="248" spans="1:20" ht="36" customHeight="1" x14ac:dyDescent="0.3">
      <c r="A248" s="98">
        <f t="shared" ca="1" si="15"/>
        <v>258</v>
      </c>
      <c r="B248" s="583">
        <v>1550</v>
      </c>
      <c r="C248" s="584">
        <v>45818</v>
      </c>
      <c r="D248" s="369"/>
      <c r="E248" s="395" t="s">
        <v>3355</v>
      </c>
      <c r="F248" s="387" t="s">
        <v>1314</v>
      </c>
      <c r="G248" s="172" t="s">
        <v>6</v>
      </c>
      <c r="H248" s="493">
        <v>45818</v>
      </c>
      <c r="I248" s="503"/>
      <c r="J248" s="107" t="s">
        <v>99</v>
      </c>
      <c r="K248" s="518"/>
      <c r="L248" s="518"/>
      <c r="M248" s="519"/>
      <c r="N248" s="520"/>
      <c r="O248" s="520"/>
      <c r="P248" s="521"/>
      <c r="Q248" s="516">
        <v>45819</v>
      </c>
      <c r="R248" s="148">
        <f>Q248/H248</f>
        <v>1.0000218254834345</v>
      </c>
      <c r="S248" s="101" t="s">
        <v>1860</v>
      </c>
      <c r="T248" s="57"/>
    </row>
    <row r="249" spans="1:20" ht="36" customHeight="1" x14ac:dyDescent="0.3">
      <c r="A249" s="98">
        <f t="shared" ca="1" si="15"/>
        <v>259</v>
      </c>
      <c r="B249" s="583" t="s">
        <v>80</v>
      </c>
      <c r="C249" s="584">
        <v>45818</v>
      </c>
      <c r="D249" s="369"/>
      <c r="E249" s="395" t="s">
        <v>3356</v>
      </c>
      <c r="F249" s="387" t="s">
        <v>1314</v>
      </c>
      <c r="G249" s="172" t="s">
        <v>6</v>
      </c>
      <c r="H249" s="493">
        <v>45818</v>
      </c>
      <c r="I249" s="587"/>
      <c r="J249" s="107" t="s">
        <v>99</v>
      </c>
      <c r="K249" s="518"/>
      <c r="L249" s="518"/>
      <c r="M249" s="519"/>
      <c r="N249" s="520"/>
      <c r="O249" s="520"/>
      <c r="P249" s="521"/>
      <c r="Q249" s="516">
        <v>45819</v>
      </c>
      <c r="R249" s="148">
        <f>Q249/H249</f>
        <v>1.0000218254834345</v>
      </c>
      <c r="S249" s="101" t="s">
        <v>2747</v>
      </c>
      <c r="T249" s="201"/>
    </row>
    <row r="250" spans="1:20" ht="36" customHeight="1" x14ac:dyDescent="0.3">
      <c r="A250" s="98">
        <f t="shared" ca="1" si="15"/>
        <v>260</v>
      </c>
      <c r="B250" s="583">
        <v>1550</v>
      </c>
      <c r="C250" s="584">
        <v>45818</v>
      </c>
      <c r="D250" s="369"/>
      <c r="E250" s="395" t="s">
        <v>3357</v>
      </c>
      <c r="F250" s="387" t="s">
        <v>1314</v>
      </c>
      <c r="G250" s="172" t="s">
        <v>6</v>
      </c>
      <c r="H250" s="493">
        <v>45818</v>
      </c>
      <c r="I250" s="503"/>
      <c r="J250" s="100" t="s">
        <v>99</v>
      </c>
      <c r="K250" s="518"/>
      <c r="L250" s="518"/>
      <c r="M250" s="519"/>
      <c r="N250" s="520"/>
      <c r="O250" s="520"/>
      <c r="P250" s="521"/>
      <c r="Q250" s="516">
        <v>45819</v>
      </c>
      <c r="R250" s="148">
        <f>Q250/H250</f>
        <v>1.0000218254834345</v>
      </c>
      <c r="S250" s="101" t="s">
        <v>1860</v>
      </c>
      <c r="T250" s="57"/>
    </row>
    <row r="251" spans="1:20" ht="36" customHeight="1" x14ac:dyDescent="0.3">
      <c r="A251" s="98">
        <f t="shared" ca="1" si="15"/>
        <v>263</v>
      </c>
      <c r="B251" s="583">
        <v>1550</v>
      </c>
      <c r="C251" s="584">
        <v>45818</v>
      </c>
      <c r="D251" s="792"/>
      <c r="E251" s="270" t="s">
        <v>3358</v>
      </c>
      <c r="F251" s="387" t="s">
        <v>1314</v>
      </c>
      <c r="G251" s="81" t="s">
        <v>6</v>
      </c>
      <c r="H251" s="493">
        <v>45818</v>
      </c>
      <c r="I251" s="587"/>
      <c r="J251" s="107" t="s">
        <v>99</v>
      </c>
      <c r="K251" s="518"/>
      <c r="L251" s="518"/>
      <c r="M251" s="519"/>
      <c r="N251" s="520"/>
      <c r="O251" s="520"/>
      <c r="P251" s="521"/>
      <c r="Q251" s="516">
        <v>45819</v>
      </c>
      <c r="R251" s="148">
        <f>Q251/H251</f>
        <v>1.0000218254834345</v>
      </c>
      <c r="S251" s="101" t="s">
        <v>2597</v>
      </c>
      <c r="T251" s="201"/>
    </row>
    <row r="252" spans="1:20" ht="36" customHeight="1" x14ac:dyDescent="0.3">
      <c r="A252" s="98">
        <f t="shared" ca="1" si="15"/>
        <v>264</v>
      </c>
      <c r="B252" s="583">
        <v>1550</v>
      </c>
      <c r="C252" s="584">
        <v>45818</v>
      </c>
      <c r="D252" s="369">
        <v>15460304</v>
      </c>
      <c r="E252" s="270" t="s">
        <v>3359</v>
      </c>
      <c r="F252" s="387" t="s">
        <v>7</v>
      </c>
      <c r="G252" s="172" t="s">
        <v>4</v>
      </c>
      <c r="H252" s="493">
        <v>45818</v>
      </c>
      <c r="I252" s="503"/>
      <c r="J252" s="107" t="s">
        <v>2271</v>
      </c>
      <c r="K252" s="518"/>
      <c r="L252" s="518"/>
      <c r="M252" s="519"/>
      <c r="N252" s="520"/>
      <c r="O252" s="520"/>
      <c r="P252" s="521"/>
      <c r="Q252" s="346">
        <v>45819</v>
      </c>
      <c r="R252" s="148">
        <f>Q252-H252</f>
        <v>1</v>
      </c>
      <c r="S252" s="101" t="s">
        <v>720</v>
      </c>
      <c r="T252" s="201"/>
    </row>
    <row r="253" spans="1:20" ht="52.5" customHeight="1" x14ac:dyDescent="0.3">
      <c r="A253" s="98">
        <f t="shared" ca="1" si="15"/>
        <v>266</v>
      </c>
      <c r="B253" s="583">
        <v>1550</v>
      </c>
      <c r="C253" s="584">
        <v>45818</v>
      </c>
      <c r="D253" s="369"/>
      <c r="E253" s="270" t="s">
        <v>3360</v>
      </c>
      <c r="F253" s="387" t="s">
        <v>51</v>
      </c>
      <c r="G253" s="81" t="s">
        <v>4</v>
      </c>
      <c r="H253" s="493">
        <v>45818</v>
      </c>
      <c r="I253" s="503"/>
      <c r="J253" s="107" t="s">
        <v>3095</v>
      </c>
      <c r="K253" s="518"/>
      <c r="L253" s="518"/>
      <c r="M253" s="519"/>
      <c r="N253" s="520"/>
      <c r="O253" s="520"/>
      <c r="P253" s="521"/>
      <c r="Q253" s="346">
        <v>45819</v>
      </c>
      <c r="R253" s="148">
        <f>Q253-H253</f>
        <v>1</v>
      </c>
      <c r="S253" s="101" t="s">
        <v>2970</v>
      </c>
      <c r="T253" s="201"/>
    </row>
    <row r="254" spans="1:20" ht="36" customHeight="1" x14ac:dyDescent="0.3">
      <c r="A254" s="98">
        <f t="shared" ca="1" si="15"/>
        <v>267</v>
      </c>
      <c r="B254" s="583">
        <v>1550</v>
      </c>
      <c r="C254" s="584">
        <v>45818</v>
      </c>
      <c r="D254" s="369"/>
      <c r="E254" s="270" t="s">
        <v>3361</v>
      </c>
      <c r="F254" s="387" t="s">
        <v>51</v>
      </c>
      <c r="G254" s="81" t="s">
        <v>4</v>
      </c>
      <c r="H254" s="493">
        <v>45818</v>
      </c>
      <c r="I254" s="503"/>
      <c r="J254" s="107" t="s">
        <v>3095</v>
      </c>
      <c r="K254" s="518"/>
      <c r="L254" s="518"/>
      <c r="M254" s="519"/>
      <c r="N254" s="520"/>
      <c r="O254" s="520"/>
      <c r="P254" s="521"/>
      <c r="Q254" s="346">
        <v>45819</v>
      </c>
      <c r="R254" s="148">
        <f>Q254-H254</f>
        <v>1</v>
      </c>
      <c r="S254" s="101" t="s">
        <v>2974</v>
      </c>
      <c r="T254" s="201"/>
    </row>
    <row r="255" spans="1:20" ht="36" customHeight="1" x14ac:dyDescent="0.3">
      <c r="A255" s="98">
        <f t="shared" ca="1" si="15"/>
        <v>268</v>
      </c>
      <c r="B255" s="583">
        <v>1550</v>
      </c>
      <c r="C255" s="584">
        <v>45818</v>
      </c>
      <c r="D255" s="369"/>
      <c r="E255" s="270" t="s">
        <v>3362</v>
      </c>
      <c r="F255" s="387" t="s">
        <v>51</v>
      </c>
      <c r="G255" s="81" t="s">
        <v>4</v>
      </c>
      <c r="H255" s="493">
        <v>45818</v>
      </c>
      <c r="I255" s="503"/>
      <c r="J255" s="107" t="s">
        <v>3095</v>
      </c>
      <c r="K255" s="518"/>
      <c r="L255" s="518"/>
      <c r="M255" s="519"/>
      <c r="N255" s="520"/>
      <c r="O255" s="520"/>
      <c r="P255" s="521"/>
      <c r="Q255" s="346">
        <v>45819</v>
      </c>
      <c r="R255" s="148">
        <f>Q255-H255</f>
        <v>1</v>
      </c>
      <c r="S255" s="101" t="s">
        <v>2974</v>
      </c>
      <c r="T255" s="201"/>
    </row>
    <row r="256" spans="1:20" ht="36" customHeight="1" x14ac:dyDescent="0.3">
      <c r="A256" s="98">
        <f t="shared" ca="1" si="15"/>
        <v>269</v>
      </c>
      <c r="B256" s="583">
        <v>1550</v>
      </c>
      <c r="C256" s="584">
        <v>45818</v>
      </c>
      <c r="D256" s="369"/>
      <c r="E256" s="270" t="s">
        <v>3363</v>
      </c>
      <c r="F256" s="387" t="s">
        <v>51</v>
      </c>
      <c r="G256" s="81" t="s">
        <v>4</v>
      </c>
      <c r="H256" s="493">
        <v>45818</v>
      </c>
      <c r="I256" s="503"/>
      <c r="J256" s="107" t="s">
        <v>3095</v>
      </c>
      <c r="K256" s="518"/>
      <c r="L256" s="518"/>
      <c r="M256" s="519"/>
      <c r="N256" s="520"/>
      <c r="O256" s="520"/>
      <c r="P256" s="521"/>
      <c r="Q256" s="346">
        <v>45819</v>
      </c>
      <c r="R256" s="148">
        <f>Q256-H256</f>
        <v>1</v>
      </c>
      <c r="S256" s="101" t="s">
        <v>3049</v>
      </c>
      <c r="T256" s="201"/>
    </row>
    <row r="257" spans="1:20" ht="57.6" x14ac:dyDescent="0.3">
      <c r="A257" s="98">
        <f t="shared" ca="1" si="15"/>
        <v>271</v>
      </c>
      <c r="B257" s="583" t="s">
        <v>80</v>
      </c>
      <c r="C257" s="584">
        <v>45818</v>
      </c>
      <c r="D257" s="369"/>
      <c r="E257" s="395" t="s">
        <v>3364</v>
      </c>
      <c r="F257" s="378" t="s">
        <v>1314</v>
      </c>
      <c r="G257" s="221" t="s">
        <v>6</v>
      </c>
      <c r="H257" s="493">
        <v>45818</v>
      </c>
      <c r="I257" s="503"/>
      <c r="J257" s="107" t="s">
        <v>99</v>
      </c>
      <c r="K257" s="518"/>
      <c r="L257" s="518"/>
      <c r="M257" s="519"/>
      <c r="N257" s="520"/>
      <c r="O257" s="520"/>
      <c r="P257" s="521"/>
      <c r="Q257" s="346">
        <v>45819</v>
      </c>
      <c r="R257" s="148">
        <f>Q257/H257</f>
        <v>1.0000218254834345</v>
      </c>
      <c r="S257" s="813" t="s">
        <v>2747</v>
      </c>
      <c r="T257" s="57"/>
    </row>
    <row r="258" spans="1:20" ht="57.6" x14ac:dyDescent="0.3">
      <c r="A258" s="98">
        <f t="shared" ca="1" si="15"/>
        <v>272</v>
      </c>
      <c r="B258" s="583">
        <v>1550</v>
      </c>
      <c r="C258" s="584">
        <v>45818</v>
      </c>
      <c r="D258" s="369"/>
      <c r="E258" s="395" t="s">
        <v>3365</v>
      </c>
      <c r="F258" s="387" t="s">
        <v>1314</v>
      </c>
      <c r="G258" s="221" t="s">
        <v>6</v>
      </c>
      <c r="H258" s="493">
        <v>45818</v>
      </c>
      <c r="I258" s="587"/>
      <c r="J258" s="107" t="s">
        <v>99</v>
      </c>
      <c r="K258" s="518"/>
      <c r="L258" s="518"/>
      <c r="M258" s="519"/>
      <c r="N258" s="520"/>
      <c r="O258" s="520"/>
      <c r="P258" s="521"/>
      <c r="Q258" s="346">
        <v>45819</v>
      </c>
      <c r="R258" s="148">
        <f>Q258/H258</f>
        <v>1.0000218254834345</v>
      </c>
      <c r="S258" s="813" t="s">
        <v>1312</v>
      </c>
      <c r="T258" s="57"/>
    </row>
    <row r="259" spans="1:20" ht="57.6" x14ac:dyDescent="0.3">
      <c r="A259" s="98">
        <f t="shared" ca="1" si="15"/>
        <v>273</v>
      </c>
      <c r="B259" s="583">
        <v>1550</v>
      </c>
      <c r="C259" s="584">
        <v>45818</v>
      </c>
      <c r="D259" s="369"/>
      <c r="E259" s="395" t="s">
        <v>3366</v>
      </c>
      <c r="F259" s="378" t="s">
        <v>1314</v>
      </c>
      <c r="G259" s="221" t="s">
        <v>6</v>
      </c>
      <c r="H259" s="493">
        <v>45818</v>
      </c>
      <c r="I259" s="503"/>
      <c r="J259" s="107" t="s">
        <v>99</v>
      </c>
      <c r="K259" s="518"/>
      <c r="L259" s="518"/>
      <c r="M259" s="519"/>
      <c r="N259" s="520"/>
      <c r="O259" s="520"/>
      <c r="P259" s="521"/>
      <c r="Q259" s="346">
        <v>45819</v>
      </c>
      <c r="R259" s="148">
        <f>Q259/H259</f>
        <v>1.0000218254834345</v>
      </c>
      <c r="S259" s="813" t="s">
        <v>1936</v>
      </c>
      <c r="T259" s="57"/>
    </row>
    <row r="260" spans="1:20" ht="57.6" x14ac:dyDescent="0.3">
      <c r="A260" s="98">
        <f t="shared" ca="1" si="15"/>
        <v>274</v>
      </c>
      <c r="B260" s="554">
        <v>1550</v>
      </c>
      <c r="C260" s="584">
        <v>45818</v>
      </c>
      <c r="D260" s="369"/>
      <c r="E260" s="395" t="s">
        <v>3367</v>
      </c>
      <c r="F260" s="378" t="s">
        <v>1314</v>
      </c>
      <c r="G260" s="221" t="s">
        <v>6</v>
      </c>
      <c r="H260" s="493">
        <v>45818</v>
      </c>
      <c r="I260" s="503"/>
      <c r="J260" s="107" t="s">
        <v>99</v>
      </c>
      <c r="K260" s="513"/>
      <c r="L260" s="514"/>
      <c r="M260" s="515"/>
      <c r="N260" s="31"/>
      <c r="O260" s="53"/>
      <c r="P260" s="55"/>
      <c r="Q260" s="346">
        <v>45819</v>
      </c>
      <c r="R260" s="148">
        <f>Q260/H260</f>
        <v>1.0000218254834345</v>
      </c>
      <c r="S260" s="813" t="s">
        <v>1936</v>
      </c>
      <c r="T260" s="57"/>
    </row>
    <row r="261" spans="1:20" ht="57.6" x14ac:dyDescent="0.3">
      <c r="A261" s="98">
        <f t="shared" ca="1" si="15"/>
        <v>280</v>
      </c>
      <c r="B261" s="583">
        <v>1550</v>
      </c>
      <c r="C261" s="584">
        <v>45818</v>
      </c>
      <c r="D261" s="369"/>
      <c r="E261" s="213" t="s">
        <v>3368</v>
      </c>
      <c r="F261" s="378" t="s">
        <v>51</v>
      </c>
      <c r="G261" s="221" t="s">
        <v>10</v>
      </c>
      <c r="H261" s="493">
        <v>45818</v>
      </c>
      <c r="I261" s="25"/>
      <c r="J261" s="107" t="s">
        <v>3095</v>
      </c>
      <c r="K261" s="518"/>
      <c r="L261" s="518"/>
      <c r="M261" s="519"/>
      <c r="N261" s="520"/>
      <c r="O261" s="520"/>
      <c r="P261" s="521"/>
      <c r="Q261" s="346">
        <v>45819</v>
      </c>
      <c r="R261" s="148">
        <f>Q261-H261</f>
        <v>1</v>
      </c>
      <c r="S261" s="101" t="s">
        <v>2213</v>
      </c>
      <c r="T261" s="201"/>
    </row>
    <row r="262" spans="1:20" ht="57.6" x14ac:dyDescent="0.3">
      <c r="A262" s="98">
        <f t="shared" ca="1" si="15"/>
        <v>282</v>
      </c>
      <c r="B262" s="583" t="s">
        <v>80</v>
      </c>
      <c r="C262" s="584">
        <v>45818</v>
      </c>
      <c r="D262" s="369"/>
      <c r="E262" s="264" t="s">
        <v>3369</v>
      </c>
      <c r="F262" s="378" t="s">
        <v>1314</v>
      </c>
      <c r="G262" s="221" t="s">
        <v>6</v>
      </c>
      <c r="H262" s="493">
        <v>45818</v>
      </c>
      <c r="I262" s="503"/>
      <c r="J262" s="107" t="s">
        <v>99</v>
      </c>
      <c r="K262" s="513"/>
      <c r="L262" s="514"/>
      <c r="M262" s="515"/>
      <c r="N262" s="31"/>
      <c r="O262" s="53"/>
      <c r="P262" s="55"/>
      <c r="Q262" s="346">
        <v>45819</v>
      </c>
      <c r="R262" s="148">
        <f>Q262/H262</f>
        <v>1.0000218254834345</v>
      </c>
      <c r="S262" s="101" t="s">
        <v>2747</v>
      </c>
      <c r="T262" s="201"/>
    </row>
    <row r="263" spans="1:20" ht="57.6" x14ac:dyDescent="0.3">
      <c r="A263" s="98">
        <f t="shared" ca="1" si="15"/>
        <v>283</v>
      </c>
      <c r="B263" s="583">
        <v>1550</v>
      </c>
      <c r="C263" s="584">
        <v>45818</v>
      </c>
      <c r="D263" s="369"/>
      <c r="E263" s="264" t="s">
        <v>3218</v>
      </c>
      <c r="F263" s="378" t="s">
        <v>1314</v>
      </c>
      <c r="G263" s="221" t="s">
        <v>6</v>
      </c>
      <c r="H263" s="493">
        <v>45818</v>
      </c>
      <c r="I263" s="503"/>
      <c r="J263" s="107" t="s">
        <v>99</v>
      </c>
      <c r="K263" s="513"/>
      <c r="L263" s="514"/>
      <c r="M263" s="515"/>
      <c r="N263" s="31"/>
      <c r="O263" s="53"/>
      <c r="P263" s="55"/>
      <c r="Q263" s="346">
        <v>45819</v>
      </c>
      <c r="R263" s="148">
        <f>Q263/H263</f>
        <v>1.0000218254834345</v>
      </c>
      <c r="S263" s="101" t="s">
        <v>2597</v>
      </c>
      <c r="T263" s="57"/>
    </row>
    <row r="264" spans="1:20" ht="57.6" x14ac:dyDescent="0.3">
      <c r="A264" s="98">
        <f t="shared" ca="1" si="15"/>
        <v>284</v>
      </c>
      <c r="B264" s="583">
        <v>1550</v>
      </c>
      <c r="C264" s="584">
        <v>45818</v>
      </c>
      <c r="D264" s="369"/>
      <c r="E264" s="393" t="s">
        <v>3370</v>
      </c>
      <c r="F264" s="378" t="s">
        <v>1314</v>
      </c>
      <c r="G264" s="221" t="s">
        <v>6</v>
      </c>
      <c r="H264" s="493">
        <v>45818</v>
      </c>
      <c r="I264" s="503"/>
      <c r="J264" s="107" t="s">
        <v>99</v>
      </c>
      <c r="K264" s="513"/>
      <c r="L264" s="514"/>
      <c r="M264" s="515"/>
      <c r="N264" s="31"/>
      <c r="O264" s="53"/>
      <c r="P264" s="55"/>
      <c r="Q264" s="346">
        <v>45819</v>
      </c>
      <c r="R264" s="148">
        <f>Q264/H264</f>
        <v>1.0000218254834345</v>
      </c>
      <c r="S264" s="101" t="s">
        <v>2597</v>
      </c>
      <c r="T264" s="57"/>
    </row>
    <row r="265" spans="1:20" ht="28.8" x14ac:dyDescent="0.3">
      <c r="A265" s="98">
        <f t="shared" ca="1" si="15"/>
        <v>287</v>
      </c>
      <c r="B265" s="583">
        <v>1550</v>
      </c>
      <c r="C265" s="584">
        <v>45818</v>
      </c>
      <c r="D265" s="369"/>
      <c r="E265" s="270" t="s">
        <v>3371</v>
      </c>
      <c r="F265" s="378" t="s">
        <v>21</v>
      </c>
      <c r="G265" s="221" t="s">
        <v>4</v>
      </c>
      <c r="H265" s="493">
        <v>45818</v>
      </c>
      <c r="I265" s="503"/>
      <c r="J265" s="107" t="s">
        <v>2367</v>
      </c>
      <c r="K265" s="513"/>
      <c r="L265" s="514"/>
      <c r="M265" s="515"/>
      <c r="N265" s="31"/>
      <c r="O265" s="53"/>
      <c r="P265" s="55"/>
      <c r="Q265" s="346">
        <v>45819</v>
      </c>
      <c r="R265" s="148">
        <f>Q265-H265</f>
        <v>1</v>
      </c>
      <c r="S265" s="101" t="s">
        <v>267</v>
      </c>
      <c r="T265" s="57"/>
    </row>
    <row r="266" spans="1:20" ht="57.6" x14ac:dyDescent="0.3">
      <c r="A266" s="98">
        <f t="shared" ca="1" si="15"/>
        <v>288</v>
      </c>
      <c r="B266" s="583">
        <v>1550</v>
      </c>
      <c r="C266" s="346">
        <v>45818</v>
      </c>
      <c r="D266" s="541"/>
      <c r="E266" s="270" t="s">
        <v>3372</v>
      </c>
      <c r="F266" s="387" t="s">
        <v>51</v>
      </c>
      <c r="G266" s="172" t="s">
        <v>4</v>
      </c>
      <c r="H266" s="493">
        <v>45818</v>
      </c>
      <c r="I266" s="587"/>
      <c r="J266" s="107" t="s">
        <v>3095</v>
      </c>
      <c r="K266" s="513"/>
      <c r="L266" s="514"/>
      <c r="M266" s="515"/>
      <c r="N266" s="31"/>
      <c r="O266" s="53"/>
      <c r="P266" s="55"/>
      <c r="Q266" s="346">
        <v>45819</v>
      </c>
      <c r="R266" s="148">
        <f>Q266-H266</f>
        <v>1</v>
      </c>
      <c r="S266" s="101" t="s">
        <v>267</v>
      </c>
      <c r="T266" s="57"/>
    </row>
    <row r="267" spans="1:20" ht="57.6" x14ac:dyDescent="0.3">
      <c r="A267" s="98">
        <f t="shared" ca="1" si="15"/>
        <v>289</v>
      </c>
      <c r="B267" s="583">
        <v>1550</v>
      </c>
      <c r="C267" s="584">
        <v>45818</v>
      </c>
      <c r="D267" s="369"/>
      <c r="E267" s="270" t="s">
        <v>3373</v>
      </c>
      <c r="F267" s="387" t="s">
        <v>51</v>
      </c>
      <c r="G267" s="172" t="s">
        <v>4</v>
      </c>
      <c r="H267" s="493">
        <v>45818</v>
      </c>
      <c r="I267" s="587"/>
      <c r="J267" s="107" t="s">
        <v>3095</v>
      </c>
      <c r="K267" s="513"/>
      <c r="L267" s="514"/>
      <c r="M267" s="515"/>
      <c r="N267" s="31"/>
      <c r="O267" s="53"/>
      <c r="P267" s="55"/>
      <c r="Q267" s="346">
        <v>45819</v>
      </c>
      <c r="R267" s="148">
        <f>Q267-H267</f>
        <v>1</v>
      </c>
      <c r="S267" s="101" t="s">
        <v>2979</v>
      </c>
      <c r="T267" s="57"/>
    </row>
    <row r="268" spans="1:20" ht="57.6" x14ac:dyDescent="0.3">
      <c r="A268" s="98">
        <f t="shared" ca="1" si="15"/>
        <v>290</v>
      </c>
      <c r="B268" s="583">
        <v>1550</v>
      </c>
      <c r="C268" s="584">
        <v>45818</v>
      </c>
      <c r="D268" s="369"/>
      <c r="E268" s="270" t="s">
        <v>3374</v>
      </c>
      <c r="F268" s="387" t="s">
        <v>51</v>
      </c>
      <c r="G268" s="172" t="s">
        <v>4</v>
      </c>
      <c r="H268" s="493">
        <v>45818</v>
      </c>
      <c r="I268" s="587"/>
      <c r="J268" s="107" t="s">
        <v>3095</v>
      </c>
      <c r="K268" s="513"/>
      <c r="L268" s="514"/>
      <c r="M268" s="515"/>
      <c r="N268" s="31"/>
      <c r="O268" s="53"/>
      <c r="P268" s="55"/>
      <c r="Q268" s="346">
        <v>45819</v>
      </c>
      <c r="R268" s="148">
        <f>Q268-H268</f>
        <v>1</v>
      </c>
      <c r="S268" s="101" t="s">
        <v>2979</v>
      </c>
      <c r="T268" s="57"/>
    </row>
    <row r="269" spans="1:20" ht="57.6" x14ac:dyDescent="0.3">
      <c r="A269" s="98">
        <f t="shared" ca="1" si="15"/>
        <v>295</v>
      </c>
      <c r="B269" s="583">
        <v>1550</v>
      </c>
      <c r="C269" s="584">
        <v>45819</v>
      </c>
      <c r="D269" s="369"/>
      <c r="E269" s="270" t="s">
        <v>3375</v>
      </c>
      <c r="F269" s="344" t="s">
        <v>51</v>
      </c>
      <c r="G269" s="172" t="s">
        <v>4</v>
      </c>
      <c r="H269" s="493">
        <v>45819</v>
      </c>
      <c r="I269" s="585"/>
      <c r="J269" s="107" t="s">
        <v>3095</v>
      </c>
      <c r="K269" s="518"/>
      <c r="L269" s="518"/>
      <c r="M269" s="519"/>
      <c r="N269" s="520"/>
      <c r="O269" s="520"/>
      <c r="P269" s="521"/>
      <c r="Q269" s="346">
        <v>45819</v>
      </c>
      <c r="R269" s="148">
        <f>Q269-H269</f>
        <v>0</v>
      </c>
      <c r="S269" s="101" t="s">
        <v>2979</v>
      </c>
      <c r="T269" s="201"/>
    </row>
    <row r="270" spans="1:20" ht="57.6" x14ac:dyDescent="0.3">
      <c r="A270" s="98">
        <f t="shared" ca="1" si="15"/>
        <v>297</v>
      </c>
      <c r="B270" s="554" t="s">
        <v>80</v>
      </c>
      <c r="C270" s="581">
        <v>45819</v>
      </c>
      <c r="D270" s="369"/>
      <c r="E270" s="270" t="s">
        <v>3376</v>
      </c>
      <c r="F270" s="344" t="s">
        <v>1314</v>
      </c>
      <c r="G270" s="172" t="s">
        <v>6</v>
      </c>
      <c r="H270" s="493">
        <v>45819</v>
      </c>
      <c r="I270" s="585"/>
      <c r="J270" s="107" t="s">
        <v>99</v>
      </c>
      <c r="K270" s="513"/>
      <c r="L270" s="514"/>
      <c r="M270" s="515"/>
      <c r="N270" s="31"/>
      <c r="O270" s="53"/>
      <c r="P270" s="55"/>
      <c r="Q270" s="346">
        <v>45819</v>
      </c>
      <c r="R270" s="148">
        <f>Q270/H270</f>
        <v>1</v>
      </c>
      <c r="S270" s="101" t="s">
        <v>2747</v>
      </c>
      <c r="T270" s="57"/>
    </row>
    <row r="271" spans="1:20" ht="57.6" x14ac:dyDescent="0.3">
      <c r="A271" s="98">
        <f t="shared" ca="1" si="15"/>
        <v>298</v>
      </c>
      <c r="B271" s="554">
        <v>1550</v>
      </c>
      <c r="C271" s="581">
        <v>45819</v>
      </c>
      <c r="D271" s="369"/>
      <c r="E271" s="270" t="s">
        <v>3377</v>
      </c>
      <c r="F271" s="344" t="s">
        <v>12</v>
      </c>
      <c r="G271" s="172" t="s">
        <v>4</v>
      </c>
      <c r="H271" s="493">
        <v>45819</v>
      </c>
      <c r="I271" s="585"/>
      <c r="J271" s="742" t="s">
        <v>3175</v>
      </c>
      <c r="K271" s="518"/>
      <c r="L271" s="518"/>
      <c r="M271" s="519"/>
      <c r="N271" s="520"/>
      <c r="O271" s="520"/>
      <c r="P271" s="521"/>
      <c r="Q271" s="346">
        <v>45819</v>
      </c>
      <c r="R271" s="148">
        <f>Q271-H271</f>
        <v>0</v>
      </c>
      <c r="S271" s="101" t="s">
        <v>3378</v>
      </c>
      <c r="T271" s="57"/>
    </row>
    <row r="272" spans="1:20" ht="28.8" x14ac:dyDescent="0.3">
      <c r="A272" s="98">
        <f t="shared" ca="1" si="15"/>
        <v>302</v>
      </c>
      <c r="B272" s="583">
        <v>1550</v>
      </c>
      <c r="C272" s="346">
        <v>45819</v>
      </c>
      <c r="D272" s="369"/>
      <c r="E272" s="270" t="s">
        <v>3379</v>
      </c>
      <c r="F272" s="344" t="s">
        <v>21</v>
      </c>
      <c r="G272" s="172" t="s">
        <v>4</v>
      </c>
      <c r="H272" s="493">
        <v>45819</v>
      </c>
      <c r="I272" s="585"/>
      <c r="J272" s="107" t="s">
        <v>3380</v>
      </c>
      <c r="K272" s="513"/>
      <c r="L272" s="514"/>
      <c r="M272" s="515"/>
      <c r="N272" s="31"/>
      <c r="O272" s="53"/>
      <c r="P272" s="55"/>
      <c r="Q272" s="346">
        <v>45819</v>
      </c>
      <c r="R272" s="148">
        <f>Q272-H272</f>
        <v>0</v>
      </c>
      <c r="S272" s="101" t="s">
        <v>2979</v>
      </c>
      <c r="T272" s="57"/>
    </row>
    <row r="273" spans="1:20" ht="28.8" x14ac:dyDescent="0.3">
      <c r="A273" s="98">
        <f t="shared" ca="1" si="15"/>
        <v>308</v>
      </c>
      <c r="B273" s="583">
        <v>1550</v>
      </c>
      <c r="C273" s="346">
        <v>45819</v>
      </c>
      <c r="D273" s="369">
        <v>28938984</v>
      </c>
      <c r="E273" s="270" t="s">
        <v>3381</v>
      </c>
      <c r="F273" s="344" t="s">
        <v>1</v>
      </c>
      <c r="G273" s="172" t="s">
        <v>4</v>
      </c>
      <c r="H273" s="493">
        <v>45819</v>
      </c>
      <c r="I273" s="25"/>
      <c r="J273" s="107" t="s">
        <v>2352</v>
      </c>
      <c r="K273" s="513"/>
      <c r="L273" s="514"/>
      <c r="M273" s="515"/>
      <c r="N273" s="31"/>
      <c r="O273" s="53"/>
      <c r="P273" s="55"/>
      <c r="Q273" s="346">
        <v>45819</v>
      </c>
      <c r="R273" s="148">
        <f>Q273-H273</f>
        <v>0</v>
      </c>
      <c r="S273" s="101" t="s">
        <v>4</v>
      </c>
      <c r="T273" s="201"/>
    </row>
    <row r="274" spans="1:20" ht="57.6" x14ac:dyDescent="0.3">
      <c r="A274" s="98">
        <f t="shared" ca="1" si="15"/>
        <v>312</v>
      </c>
      <c r="B274" s="583" t="s">
        <v>80</v>
      </c>
      <c r="C274" s="346">
        <v>45819</v>
      </c>
      <c r="D274" s="369">
        <v>15990141</v>
      </c>
      <c r="E274" s="213" t="s">
        <v>3382</v>
      </c>
      <c r="F274" s="344" t="s">
        <v>22</v>
      </c>
      <c r="G274" s="172" t="s">
        <v>6</v>
      </c>
      <c r="H274" s="493">
        <v>45819</v>
      </c>
      <c r="I274" s="25"/>
      <c r="J274" s="107" t="s">
        <v>3383</v>
      </c>
      <c r="K274" s="513"/>
      <c r="L274" s="514"/>
      <c r="M274" s="515"/>
      <c r="N274" s="31"/>
      <c r="O274" s="53"/>
      <c r="P274" s="55"/>
      <c r="Q274" s="346">
        <v>45819</v>
      </c>
      <c r="R274" s="148">
        <f>Q274/H274</f>
        <v>1</v>
      </c>
      <c r="S274" s="810" t="s">
        <v>2597</v>
      </c>
      <c r="T274" s="201"/>
    </row>
    <row r="275" spans="1:20" ht="28.8" x14ac:dyDescent="0.3">
      <c r="A275" s="98">
        <f t="shared" ca="1" si="15"/>
        <v>313</v>
      </c>
      <c r="B275" s="583">
        <v>1550</v>
      </c>
      <c r="C275" s="346">
        <v>45819</v>
      </c>
      <c r="D275" s="369">
        <v>82847800</v>
      </c>
      <c r="E275" s="110" t="s">
        <v>3384</v>
      </c>
      <c r="F275" s="378" t="s">
        <v>1</v>
      </c>
      <c r="G275" s="172" t="s">
        <v>4</v>
      </c>
      <c r="H275" s="493">
        <v>45819</v>
      </c>
      <c r="I275" s="503"/>
      <c r="J275" s="107" t="s">
        <v>3385</v>
      </c>
      <c r="K275" s="513"/>
      <c r="L275" s="514"/>
      <c r="M275" s="515"/>
      <c r="N275" s="31"/>
      <c r="O275" s="53"/>
      <c r="P275" s="55"/>
      <c r="Q275" s="346">
        <v>45819</v>
      </c>
      <c r="R275" s="148">
        <f t="shared" ref="R275:R281" si="16">Q275-H275</f>
        <v>0</v>
      </c>
      <c r="S275" s="811" t="s">
        <v>3020</v>
      </c>
      <c r="T275" s="57"/>
    </row>
    <row r="276" spans="1:20" ht="28.8" x14ac:dyDescent="0.3">
      <c r="A276" s="98">
        <f t="shared" ca="1" si="15"/>
        <v>316</v>
      </c>
      <c r="B276" s="583">
        <v>1550</v>
      </c>
      <c r="C276" s="346">
        <v>45819</v>
      </c>
      <c r="D276" s="369"/>
      <c r="E276" s="110" t="s">
        <v>3386</v>
      </c>
      <c r="F276" s="378" t="s">
        <v>21</v>
      </c>
      <c r="G276" s="172" t="s">
        <v>4</v>
      </c>
      <c r="H276" s="493">
        <v>45819</v>
      </c>
      <c r="I276" s="503"/>
      <c r="J276" s="107" t="s">
        <v>3380</v>
      </c>
      <c r="K276" s="513"/>
      <c r="L276" s="514"/>
      <c r="M276" s="515"/>
      <c r="N276" s="31"/>
      <c r="O276" s="53"/>
      <c r="P276" s="55"/>
      <c r="Q276" s="346">
        <v>45819</v>
      </c>
      <c r="R276" s="148">
        <f t="shared" si="16"/>
        <v>0</v>
      </c>
      <c r="S276" s="811" t="s">
        <v>2979</v>
      </c>
      <c r="T276" s="257"/>
    </row>
    <row r="277" spans="1:20" ht="57.6" x14ac:dyDescent="0.3">
      <c r="A277" s="98">
        <f t="shared" ca="1" si="15"/>
        <v>136</v>
      </c>
      <c r="B277" s="554" t="s">
        <v>80</v>
      </c>
      <c r="C277" s="581">
        <v>45813</v>
      </c>
      <c r="D277" s="369">
        <v>32992300</v>
      </c>
      <c r="E277" s="212" t="s">
        <v>3387</v>
      </c>
      <c r="F277" s="344" t="s">
        <v>48</v>
      </c>
      <c r="G277" s="81" t="s">
        <v>10</v>
      </c>
      <c r="H277" s="493">
        <v>45813</v>
      </c>
      <c r="I277" s="25"/>
      <c r="J277" s="107" t="s">
        <v>3095</v>
      </c>
      <c r="K277" s="518"/>
      <c r="L277" s="518"/>
      <c r="M277" s="519"/>
      <c r="N277" s="520"/>
      <c r="O277" s="520"/>
      <c r="P277" s="521"/>
      <c r="Q277" s="516">
        <v>45820</v>
      </c>
      <c r="R277" s="148">
        <f t="shared" si="16"/>
        <v>7</v>
      </c>
      <c r="S277" s="811" t="s">
        <v>214</v>
      </c>
      <c r="T277" s="57" t="s">
        <v>3388</v>
      </c>
    </row>
    <row r="278" spans="1:20" ht="57.6" x14ac:dyDescent="0.3">
      <c r="A278" s="98">
        <f t="shared" ca="1" si="15"/>
        <v>143</v>
      </c>
      <c r="B278" s="591">
        <v>1550</v>
      </c>
      <c r="C278" s="787">
        <v>45813</v>
      </c>
      <c r="D278" s="537">
        <v>98849778</v>
      </c>
      <c r="E278" s="275" t="s">
        <v>3389</v>
      </c>
      <c r="F278" s="420" t="s">
        <v>1</v>
      </c>
      <c r="G278" s="417" t="s">
        <v>8</v>
      </c>
      <c r="H278" s="560">
        <v>45813</v>
      </c>
      <c r="I278" s="756"/>
      <c r="J278" s="107" t="s">
        <v>3095</v>
      </c>
      <c r="K278" s="513"/>
      <c r="L278" s="514"/>
      <c r="M278" s="515"/>
      <c r="N278" s="31"/>
      <c r="O278" s="53"/>
      <c r="P278" s="55"/>
      <c r="Q278" s="516">
        <v>45820</v>
      </c>
      <c r="R278" s="148">
        <f t="shared" si="16"/>
        <v>7</v>
      </c>
      <c r="S278" s="101" t="s">
        <v>2712</v>
      </c>
      <c r="T278" s="57"/>
    </row>
    <row r="279" spans="1:20" ht="115.2" x14ac:dyDescent="0.3">
      <c r="A279" s="98">
        <f t="shared" ca="1" si="15"/>
        <v>167</v>
      </c>
      <c r="B279" s="111">
        <v>1550</v>
      </c>
      <c r="C279" s="512">
        <v>45814</v>
      </c>
      <c r="D279" s="219">
        <v>113502850</v>
      </c>
      <c r="E279" s="275" t="s">
        <v>3390</v>
      </c>
      <c r="F279" s="111" t="s">
        <v>32</v>
      </c>
      <c r="G279" s="125" t="s">
        <v>10</v>
      </c>
      <c r="H279" s="568">
        <v>45814</v>
      </c>
      <c r="I279" s="341"/>
      <c r="J279" s="107" t="s">
        <v>106</v>
      </c>
      <c r="K279" s="513"/>
      <c r="L279" s="514"/>
      <c r="M279" s="515"/>
      <c r="N279" s="31"/>
      <c r="O279" s="53"/>
      <c r="P279" s="55"/>
      <c r="Q279" s="516">
        <v>45820</v>
      </c>
      <c r="R279" s="148">
        <f t="shared" si="16"/>
        <v>6</v>
      </c>
      <c r="S279" s="101" t="s">
        <v>1835</v>
      </c>
      <c r="T279" s="57"/>
    </row>
    <row r="280" spans="1:20" ht="57.6" x14ac:dyDescent="0.3">
      <c r="A280" s="98">
        <f t="shared" ca="1" si="15"/>
        <v>209</v>
      </c>
      <c r="B280" s="595" t="s">
        <v>301</v>
      </c>
      <c r="C280" s="596">
        <v>45817</v>
      </c>
      <c r="D280" s="369">
        <v>106455796</v>
      </c>
      <c r="E280" s="277" t="s">
        <v>2387</v>
      </c>
      <c r="F280" s="401" t="s">
        <v>48</v>
      </c>
      <c r="G280" s="81" t="s">
        <v>8</v>
      </c>
      <c r="H280" s="493">
        <v>45817</v>
      </c>
      <c r="I280" s="597"/>
      <c r="J280" s="107" t="s">
        <v>3095</v>
      </c>
      <c r="K280" s="513"/>
      <c r="L280" s="514"/>
      <c r="M280" s="515"/>
      <c r="N280" s="31"/>
      <c r="O280" s="53"/>
      <c r="P280" s="55"/>
      <c r="Q280" s="516">
        <v>45820</v>
      </c>
      <c r="R280" s="148">
        <f t="shared" si="16"/>
        <v>3</v>
      </c>
      <c r="S280" s="101" t="s">
        <v>3309</v>
      </c>
      <c r="T280" s="257" t="s">
        <v>3391</v>
      </c>
    </row>
    <row r="281" spans="1:20" ht="57.6" x14ac:dyDescent="0.3">
      <c r="A281" s="98">
        <f t="shared" ca="1" si="15"/>
        <v>246</v>
      </c>
      <c r="B281" s="598">
        <v>1550</v>
      </c>
      <c r="C281" s="348">
        <v>45817</v>
      </c>
      <c r="D281" s="369">
        <v>15605809</v>
      </c>
      <c r="E281" s="271" t="s">
        <v>3392</v>
      </c>
      <c r="F281" s="387" t="s">
        <v>1</v>
      </c>
      <c r="G281" s="112" t="s">
        <v>4</v>
      </c>
      <c r="H281" s="493">
        <v>45817</v>
      </c>
      <c r="I281" s="586"/>
      <c r="J281" s="727" t="s">
        <v>3095</v>
      </c>
      <c r="K281" s="513"/>
      <c r="L281" s="514"/>
      <c r="M281" s="515"/>
      <c r="N281" s="31"/>
      <c r="O281" s="53"/>
      <c r="P281" s="55"/>
      <c r="Q281" s="346">
        <v>45820</v>
      </c>
      <c r="R281" s="148">
        <f t="shared" si="16"/>
        <v>3</v>
      </c>
      <c r="S281" s="101" t="s">
        <v>267</v>
      </c>
      <c r="T281" s="57"/>
    </row>
    <row r="282" spans="1:20" ht="43.2" x14ac:dyDescent="0.3">
      <c r="A282" s="98">
        <f t="shared" ca="1" si="15"/>
        <v>248</v>
      </c>
      <c r="B282" s="598" t="s">
        <v>80</v>
      </c>
      <c r="C282" s="348">
        <v>45817</v>
      </c>
      <c r="D282" s="369">
        <v>49019066</v>
      </c>
      <c r="E282" s="271" t="s">
        <v>3393</v>
      </c>
      <c r="F282" s="388" t="s">
        <v>48</v>
      </c>
      <c r="G282" s="112" t="s">
        <v>6</v>
      </c>
      <c r="H282" s="493">
        <v>45817</v>
      </c>
      <c r="I282" s="587"/>
      <c r="J282" s="100" t="s">
        <v>99</v>
      </c>
      <c r="K282" s="513"/>
      <c r="L282" s="514"/>
      <c r="M282" s="515"/>
      <c r="N282" s="31"/>
      <c r="O282" s="53"/>
      <c r="P282" s="55"/>
      <c r="Q282" s="346">
        <v>45820</v>
      </c>
      <c r="R282" s="148">
        <f>Q282/H282</f>
        <v>1.0000654778793898</v>
      </c>
      <c r="S282" s="101" t="s">
        <v>2747</v>
      </c>
      <c r="T282" s="57" t="s">
        <v>3394</v>
      </c>
    </row>
    <row r="283" spans="1:20" ht="100.8" x14ac:dyDescent="0.3">
      <c r="A283" s="98">
        <f t="shared" ca="1" si="15"/>
        <v>281</v>
      </c>
      <c r="B283" s="598">
        <v>1550</v>
      </c>
      <c r="C283" s="348">
        <v>45818</v>
      </c>
      <c r="D283" s="369">
        <v>82439737</v>
      </c>
      <c r="E283" s="270" t="s">
        <v>3395</v>
      </c>
      <c r="F283" s="400" t="s">
        <v>32</v>
      </c>
      <c r="G283" s="172" t="s">
        <v>10</v>
      </c>
      <c r="H283" s="493">
        <v>45818</v>
      </c>
      <c r="I283" s="764">
        <v>10000296709</v>
      </c>
      <c r="J283" s="107" t="s">
        <v>106</v>
      </c>
      <c r="K283" s="518"/>
      <c r="L283" s="518"/>
      <c r="M283" s="519"/>
      <c r="N283" s="520"/>
      <c r="O283" s="520"/>
      <c r="P283" s="521"/>
      <c r="Q283" s="346">
        <v>45820</v>
      </c>
      <c r="R283" s="148">
        <f t="shared" ref="R283:R293" si="17">Q283-H283</f>
        <v>2</v>
      </c>
      <c r="S283" s="101" t="s">
        <v>2213</v>
      </c>
      <c r="T283" s="201" t="s">
        <v>2768</v>
      </c>
    </row>
    <row r="284" spans="1:20" ht="57.6" x14ac:dyDescent="0.3">
      <c r="A284" s="98">
        <f t="shared" ca="1" si="15"/>
        <v>307</v>
      </c>
      <c r="B284" s="598">
        <v>1550</v>
      </c>
      <c r="C284" s="348">
        <v>45819</v>
      </c>
      <c r="D284" s="369">
        <v>115512934</v>
      </c>
      <c r="E284" s="270" t="s">
        <v>3396</v>
      </c>
      <c r="F284" s="386" t="s">
        <v>11</v>
      </c>
      <c r="G284" s="81" t="s">
        <v>4</v>
      </c>
      <c r="H284" s="493">
        <v>45819</v>
      </c>
      <c r="I284" s="585"/>
      <c r="J284" s="727" t="s">
        <v>3095</v>
      </c>
      <c r="K284" s="518"/>
      <c r="L284" s="518"/>
      <c r="M284" s="519"/>
      <c r="N284" s="520"/>
      <c r="O284" s="520"/>
      <c r="P284" s="521"/>
      <c r="Q284" s="346">
        <v>45820</v>
      </c>
      <c r="R284" s="148">
        <f t="shared" si="17"/>
        <v>1</v>
      </c>
      <c r="S284" s="101" t="s">
        <v>4</v>
      </c>
      <c r="T284" s="387"/>
    </row>
    <row r="285" spans="1:20" ht="57.6" x14ac:dyDescent="0.3">
      <c r="A285" s="98">
        <f t="shared" ca="1" si="15"/>
        <v>309</v>
      </c>
      <c r="B285" s="598">
        <v>1550</v>
      </c>
      <c r="C285" s="348">
        <v>45819</v>
      </c>
      <c r="D285" s="369"/>
      <c r="E285" s="213" t="s">
        <v>3397</v>
      </c>
      <c r="F285" s="344" t="s">
        <v>51</v>
      </c>
      <c r="G285" s="172" t="s">
        <v>4</v>
      </c>
      <c r="H285" s="493">
        <v>45819</v>
      </c>
      <c r="I285" s="25"/>
      <c r="J285" s="107" t="s">
        <v>3095</v>
      </c>
      <c r="K285" s="518"/>
      <c r="L285" s="518"/>
      <c r="M285" s="519"/>
      <c r="N285" s="520"/>
      <c r="O285" s="520"/>
      <c r="P285" s="521"/>
      <c r="Q285" s="346">
        <v>45820</v>
      </c>
      <c r="R285" s="148">
        <f t="shared" si="17"/>
        <v>1</v>
      </c>
      <c r="S285" s="101" t="s">
        <v>2974</v>
      </c>
      <c r="T285" s="201"/>
    </row>
    <row r="286" spans="1:20" ht="57.6" x14ac:dyDescent="0.3">
      <c r="A286" s="98">
        <f t="shared" ca="1" si="15"/>
        <v>310</v>
      </c>
      <c r="B286" s="598">
        <v>1550</v>
      </c>
      <c r="C286" s="348">
        <v>45819</v>
      </c>
      <c r="D286" s="369"/>
      <c r="E286" s="110" t="s">
        <v>3398</v>
      </c>
      <c r="F286" s="344" t="s">
        <v>51</v>
      </c>
      <c r="G286" s="172" t="s">
        <v>4</v>
      </c>
      <c r="H286" s="493">
        <v>45819</v>
      </c>
      <c r="I286" s="25"/>
      <c r="J286" s="107" t="s">
        <v>3095</v>
      </c>
      <c r="K286" s="518"/>
      <c r="L286" s="518"/>
      <c r="M286" s="519"/>
      <c r="N286" s="520"/>
      <c r="O286" s="520"/>
      <c r="P286" s="521"/>
      <c r="Q286" s="346">
        <v>45820</v>
      </c>
      <c r="R286" s="148">
        <f t="shared" si="17"/>
        <v>1</v>
      </c>
      <c r="S286" s="101" t="s">
        <v>267</v>
      </c>
      <c r="T286" s="201"/>
    </row>
    <row r="287" spans="1:20" ht="57.6" x14ac:dyDescent="0.3">
      <c r="A287" s="98">
        <f t="shared" ca="1" si="15"/>
        <v>314</v>
      </c>
      <c r="B287" s="598">
        <v>1550</v>
      </c>
      <c r="C287" s="348">
        <v>45819</v>
      </c>
      <c r="D287" s="792"/>
      <c r="E287" s="110" t="s">
        <v>3399</v>
      </c>
      <c r="F287" s="378" t="s">
        <v>51</v>
      </c>
      <c r="G287" s="172" t="s">
        <v>4</v>
      </c>
      <c r="H287" s="493">
        <v>45819</v>
      </c>
      <c r="I287" s="503"/>
      <c r="J287" s="107" t="s">
        <v>3095</v>
      </c>
      <c r="K287" s="513"/>
      <c r="L287" s="514"/>
      <c r="M287" s="515"/>
      <c r="N287" s="31"/>
      <c r="O287" s="53"/>
      <c r="P287" s="55"/>
      <c r="Q287" s="346">
        <v>45820</v>
      </c>
      <c r="R287" s="148">
        <f t="shared" si="17"/>
        <v>1</v>
      </c>
      <c r="S287" s="101" t="s">
        <v>2979</v>
      </c>
      <c r="T287" s="57"/>
    </row>
    <row r="288" spans="1:20" ht="57.6" x14ac:dyDescent="0.3">
      <c r="A288" s="98">
        <f t="shared" ca="1" si="15"/>
        <v>315</v>
      </c>
      <c r="B288" s="598">
        <v>1550</v>
      </c>
      <c r="C288" s="348">
        <v>45819</v>
      </c>
      <c r="D288" s="369"/>
      <c r="E288" s="270" t="s">
        <v>3400</v>
      </c>
      <c r="F288" s="388" t="s">
        <v>51</v>
      </c>
      <c r="G288" s="221" t="s">
        <v>4</v>
      </c>
      <c r="H288" s="493">
        <v>45819</v>
      </c>
      <c r="I288" s="587"/>
      <c r="J288" s="107" t="s">
        <v>3095</v>
      </c>
      <c r="K288" s="513"/>
      <c r="L288" s="514"/>
      <c r="M288" s="515"/>
      <c r="N288" s="31"/>
      <c r="O288" s="53"/>
      <c r="P288" s="55"/>
      <c r="Q288" s="346">
        <v>45820</v>
      </c>
      <c r="R288" s="148">
        <f t="shared" si="17"/>
        <v>1</v>
      </c>
      <c r="S288" s="101" t="s">
        <v>3020</v>
      </c>
      <c r="T288" s="57"/>
    </row>
    <row r="289" spans="1:20" ht="28.8" x14ac:dyDescent="0.3">
      <c r="A289" s="98">
        <f t="shared" ca="1" si="15"/>
        <v>319</v>
      </c>
      <c r="B289" s="598">
        <v>1550</v>
      </c>
      <c r="C289" s="348">
        <v>45819</v>
      </c>
      <c r="D289" s="369">
        <v>102256438</v>
      </c>
      <c r="E289" s="270" t="s">
        <v>3401</v>
      </c>
      <c r="F289" s="388" t="s">
        <v>7</v>
      </c>
      <c r="G289" s="221" t="s">
        <v>4</v>
      </c>
      <c r="H289" s="493">
        <v>45819</v>
      </c>
      <c r="I289" s="587"/>
      <c r="J289" s="100" t="s">
        <v>2367</v>
      </c>
      <c r="K289" s="513"/>
      <c r="L289" s="514"/>
      <c r="M289" s="515"/>
      <c r="N289" s="31"/>
      <c r="O289" s="53"/>
      <c r="P289" s="55"/>
      <c r="Q289" s="346">
        <v>45820</v>
      </c>
      <c r="R289" s="148">
        <f t="shared" si="17"/>
        <v>1</v>
      </c>
      <c r="S289" s="101" t="s">
        <v>3049</v>
      </c>
      <c r="T289" s="57"/>
    </row>
    <row r="290" spans="1:20" ht="57.6" x14ac:dyDescent="0.3">
      <c r="A290" s="98">
        <f t="shared" ca="1" si="15"/>
        <v>324</v>
      </c>
      <c r="B290" s="598">
        <v>1550</v>
      </c>
      <c r="C290" s="348">
        <v>45819</v>
      </c>
      <c r="D290" s="369">
        <v>26740079</v>
      </c>
      <c r="E290" s="270" t="s">
        <v>3402</v>
      </c>
      <c r="F290" s="388" t="s">
        <v>12</v>
      </c>
      <c r="G290" s="221" t="s">
        <v>4</v>
      </c>
      <c r="H290" s="493">
        <v>45819</v>
      </c>
      <c r="I290" s="587"/>
      <c r="J290" s="742" t="s">
        <v>3175</v>
      </c>
      <c r="K290" s="513"/>
      <c r="L290" s="514"/>
      <c r="M290" s="515"/>
      <c r="N290" s="31"/>
      <c r="O290" s="53"/>
      <c r="P290" s="604"/>
      <c r="Q290" s="346">
        <v>45820</v>
      </c>
      <c r="R290" s="148">
        <f t="shared" si="17"/>
        <v>1</v>
      </c>
      <c r="S290" s="101" t="s">
        <v>3049</v>
      </c>
      <c r="T290" s="57"/>
    </row>
    <row r="291" spans="1:20" ht="388.8" x14ac:dyDescent="0.3">
      <c r="A291" s="98">
        <f t="shared" ca="1" si="15"/>
        <v>326</v>
      </c>
      <c r="B291" s="598">
        <v>1550</v>
      </c>
      <c r="C291" s="348">
        <v>45819</v>
      </c>
      <c r="D291" s="369">
        <v>40114880</v>
      </c>
      <c r="E291" s="270" t="s">
        <v>3403</v>
      </c>
      <c r="F291" s="388" t="s">
        <v>1</v>
      </c>
      <c r="G291" s="221" t="s">
        <v>10</v>
      </c>
      <c r="H291" s="493">
        <v>45819</v>
      </c>
      <c r="I291" s="587"/>
      <c r="J291" s="107" t="s">
        <v>2367</v>
      </c>
      <c r="K291" s="513"/>
      <c r="L291" s="514"/>
      <c r="M291" s="515"/>
      <c r="N291" s="31"/>
      <c r="O291" s="53"/>
      <c r="P291" s="55"/>
      <c r="Q291" s="346">
        <v>45820</v>
      </c>
      <c r="R291" s="148">
        <f t="shared" si="17"/>
        <v>1</v>
      </c>
      <c r="S291" s="101" t="s">
        <v>2213</v>
      </c>
      <c r="T291" s="57"/>
    </row>
    <row r="292" spans="1:20" ht="57.6" x14ac:dyDescent="0.3">
      <c r="A292" s="98">
        <f t="shared" ca="1" si="15"/>
        <v>333</v>
      </c>
      <c r="B292" s="150">
        <v>1550</v>
      </c>
      <c r="C292" s="606">
        <v>45820</v>
      </c>
      <c r="D292" s="792"/>
      <c r="E292" s="270" t="s">
        <v>3404</v>
      </c>
      <c r="F292" s="386" t="s">
        <v>51</v>
      </c>
      <c r="G292" s="112" t="s">
        <v>4</v>
      </c>
      <c r="H292" s="493">
        <v>45820</v>
      </c>
      <c r="I292" s="585"/>
      <c r="J292" s="107" t="s">
        <v>3095</v>
      </c>
      <c r="K292" s="513"/>
      <c r="L292" s="514"/>
      <c r="M292" s="515"/>
      <c r="N292" s="31"/>
      <c r="O292" s="53"/>
      <c r="P292" s="55"/>
      <c r="Q292" s="346">
        <v>45820</v>
      </c>
      <c r="R292" s="148">
        <f t="shared" si="17"/>
        <v>0</v>
      </c>
      <c r="S292" s="101" t="s">
        <v>2979</v>
      </c>
      <c r="T292" s="57"/>
    </row>
    <row r="293" spans="1:20" ht="43.2" x14ac:dyDescent="0.3">
      <c r="A293" s="98">
        <f t="shared" ca="1" si="15"/>
        <v>334</v>
      </c>
      <c r="B293" s="150">
        <v>1550</v>
      </c>
      <c r="C293" s="606">
        <v>45820</v>
      </c>
      <c r="D293" s="369">
        <v>101818955</v>
      </c>
      <c r="E293" s="270" t="s">
        <v>3405</v>
      </c>
      <c r="F293" s="388" t="s">
        <v>3</v>
      </c>
      <c r="G293" s="221" t="s">
        <v>8</v>
      </c>
      <c r="H293" s="493">
        <v>45820</v>
      </c>
      <c r="I293" s="587"/>
      <c r="J293" s="107" t="s">
        <v>82</v>
      </c>
      <c r="K293" s="513"/>
      <c r="L293" s="514"/>
      <c r="M293" s="515"/>
      <c r="N293" s="31"/>
      <c r="O293" s="53"/>
      <c r="P293" s="55"/>
      <c r="Q293" s="516">
        <v>45820</v>
      </c>
      <c r="R293" s="148">
        <f t="shared" si="17"/>
        <v>0</v>
      </c>
      <c r="S293" s="101" t="s">
        <v>758</v>
      </c>
      <c r="T293" s="57"/>
    </row>
    <row r="294" spans="1:20" ht="43.2" x14ac:dyDescent="0.3">
      <c r="A294" s="98">
        <f t="shared" ca="1" si="15"/>
        <v>335</v>
      </c>
      <c r="B294" s="150">
        <v>1550</v>
      </c>
      <c r="C294" s="606">
        <v>45820</v>
      </c>
      <c r="D294" s="369">
        <v>39967026</v>
      </c>
      <c r="E294" s="270" t="s">
        <v>3406</v>
      </c>
      <c r="F294" s="386" t="s">
        <v>35</v>
      </c>
      <c r="G294" s="112" t="s">
        <v>6</v>
      </c>
      <c r="H294" s="493">
        <v>45820</v>
      </c>
      <c r="I294" s="585"/>
      <c r="J294" s="727" t="s">
        <v>253</v>
      </c>
      <c r="K294" s="513"/>
      <c r="L294" s="514"/>
      <c r="M294" s="515"/>
      <c r="N294" s="31"/>
      <c r="O294" s="53"/>
      <c r="P294" s="55"/>
      <c r="Q294" s="346">
        <v>45820</v>
      </c>
      <c r="R294" s="148">
        <f>Q294/H294</f>
        <v>1</v>
      </c>
      <c r="S294" s="101" t="s">
        <v>1312</v>
      </c>
      <c r="T294" s="57"/>
    </row>
    <row r="295" spans="1:20" ht="57.6" x14ac:dyDescent="0.3">
      <c r="A295" s="98">
        <f t="shared" ca="1" si="15"/>
        <v>343</v>
      </c>
      <c r="B295" s="150">
        <v>1550</v>
      </c>
      <c r="C295" s="606">
        <v>45820</v>
      </c>
      <c r="D295" s="369"/>
      <c r="E295" s="270" t="s">
        <v>3407</v>
      </c>
      <c r="F295" s="386" t="s">
        <v>51</v>
      </c>
      <c r="G295" s="112" t="s">
        <v>4</v>
      </c>
      <c r="H295" s="493">
        <v>45820</v>
      </c>
      <c r="I295" s="585"/>
      <c r="J295" s="107" t="s">
        <v>3095</v>
      </c>
      <c r="K295" s="518"/>
      <c r="L295" s="518"/>
      <c r="M295" s="519"/>
      <c r="N295" s="520"/>
      <c r="O295" s="520"/>
      <c r="P295" s="521"/>
      <c r="Q295" s="346">
        <v>45820</v>
      </c>
      <c r="R295" s="148">
        <f>Q295-H295</f>
        <v>0</v>
      </c>
      <c r="S295" s="101" t="s">
        <v>3049</v>
      </c>
      <c r="T295" s="57"/>
    </row>
    <row r="296" spans="1:20" ht="100.8" x14ac:dyDescent="0.3">
      <c r="A296" s="98">
        <f t="shared" ca="1" si="15"/>
        <v>345</v>
      </c>
      <c r="B296" s="150">
        <v>1550</v>
      </c>
      <c r="C296" s="606">
        <v>45820</v>
      </c>
      <c r="D296" s="369">
        <v>55852238</v>
      </c>
      <c r="E296" s="270" t="s">
        <v>3408</v>
      </c>
      <c r="F296" s="388" t="s">
        <v>1</v>
      </c>
      <c r="G296" s="221" t="s">
        <v>6</v>
      </c>
      <c r="H296" s="493">
        <v>45820</v>
      </c>
      <c r="I296" s="587"/>
      <c r="J296" s="107" t="s">
        <v>2367</v>
      </c>
      <c r="K296" s="513"/>
      <c r="L296" s="514"/>
      <c r="M296" s="515"/>
      <c r="N296" s="31"/>
      <c r="O296" s="53"/>
      <c r="P296" s="55"/>
      <c r="Q296" s="346">
        <v>45820</v>
      </c>
      <c r="R296" s="148">
        <f>Q296/H296</f>
        <v>1</v>
      </c>
      <c r="S296" s="101" t="s">
        <v>1936</v>
      </c>
      <c r="T296" s="57"/>
    </row>
    <row r="297" spans="1:20" ht="57.6" x14ac:dyDescent="0.3">
      <c r="A297" s="98">
        <f t="shared" ref="A297:A360" ca="1" si="18">A296+1</f>
        <v>348</v>
      </c>
      <c r="B297" s="150">
        <v>1550</v>
      </c>
      <c r="C297" s="606">
        <v>45820</v>
      </c>
      <c r="D297" s="369"/>
      <c r="E297" s="270" t="s">
        <v>3409</v>
      </c>
      <c r="F297" s="378" t="s">
        <v>51</v>
      </c>
      <c r="G297" s="221" t="s">
        <v>4</v>
      </c>
      <c r="H297" s="493">
        <v>45820</v>
      </c>
      <c r="I297" s="503"/>
      <c r="J297" s="100" t="s">
        <v>3095</v>
      </c>
      <c r="K297" s="513"/>
      <c r="L297" s="514"/>
      <c r="M297" s="515"/>
      <c r="N297" s="31"/>
      <c r="O297" s="53"/>
      <c r="P297" s="55"/>
      <c r="Q297" s="346">
        <v>45820</v>
      </c>
      <c r="R297" s="148">
        <f>Q297-H297</f>
        <v>0</v>
      </c>
      <c r="S297" s="101" t="s">
        <v>4</v>
      </c>
      <c r="T297" s="57"/>
    </row>
    <row r="298" spans="1:20" ht="28.8" x14ac:dyDescent="0.3">
      <c r="A298" s="98">
        <f t="shared" ca="1" si="18"/>
        <v>351</v>
      </c>
      <c r="B298" s="150">
        <v>1550</v>
      </c>
      <c r="C298" s="606">
        <v>45820</v>
      </c>
      <c r="D298" s="369">
        <v>73152153</v>
      </c>
      <c r="E298" s="270" t="s">
        <v>3410</v>
      </c>
      <c r="F298" s="378" t="s">
        <v>1</v>
      </c>
      <c r="G298" s="221" t="s">
        <v>4</v>
      </c>
      <c r="H298" s="493">
        <v>45820</v>
      </c>
      <c r="I298" s="503"/>
      <c r="J298" s="100" t="s">
        <v>3411</v>
      </c>
      <c r="K298" s="513"/>
      <c r="L298" s="514"/>
      <c r="M298" s="515"/>
      <c r="N298" s="31"/>
      <c r="O298" s="53"/>
      <c r="P298" s="55"/>
      <c r="Q298" s="346">
        <v>45820</v>
      </c>
      <c r="R298" s="148">
        <f>Q298-H298</f>
        <v>0</v>
      </c>
      <c r="S298" s="101" t="s">
        <v>4</v>
      </c>
      <c r="T298" s="57"/>
    </row>
    <row r="299" spans="1:20" ht="57.6" x14ac:dyDescent="0.3">
      <c r="A299" s="98">
        <f t="shared" ca="1" si="18"/>
        <v>356</v>
      </c>
      <c r="B299" s="150">
        <v>1550</v>
      </c>
      <c r="C299" s="606">
        <v>45820</v>
      </c>
      <c r="D299" s="537">
        <v>18057330</v>
      </c>
      <c r="E299" s="270" t="s">
        <v>3412</v>
      </c>
      <c r="F299" s="420" t="s">
        <v>1</v>
      </c>
      <c r="G299" s="417" t="s">
        <v>6</v>
      </c>
      <c r="H299" s="493">
        <v>45820</v>
      </c>
      <c r="I299" s="585"/>
      <c r="J299" s="100" t="s">
        <v>2306</v>
      </c>
      <c r="K299" s="513"/>
      <c r="L299" s="514"/>
      <c r="M299" s="515"/>
      <c r="N299" s="31"/>
      <c r="O299" s="53"/>
      <c r="P299" s="55"/>
      <c r="Q299" s="516">
        <v>45820</v>
      </c>
      <c r="R299" s="148">
        <f>Q299/H299</f>
        <v>1</v>
      </c>
      <c r="S299" s="101" t="s">
        <v>2597</v>
      </c>
      <c r="T299" s="57"/>
    </row>
    <row r="300" spans="1:20" ht="43.2" x14ac:dyDescent="0.3">
      <c r="A300" s="98">
        <f t="shared" ca="1" si="18"/>
        <v>362</v>
      </c>
      <c r="B300" s="111">
        <v>1550</v>
      </c>
      <c r="C300" s="512">
        <v>45820</v>
      </c>
      <c r="D300" s="219"/>
      <c r="E300" s="270" t="s">
        <v>3413</v>
      </c>
      <c r="F300" s="111" t="s">
        <v>49</v>
      </c>
      <c r="G300" s="127" t="s">
        <v>6</v>
      </c>
      <c r="H300" s="599">
        <v>45820</v>
      </c>
      <c r="I300" s="25"/>
      <c r="J300" s="100" t="s">
        <v>266</v>
      </c>
      <c r="K300" s="513"/>
      <c r="L300" s="514"/>
      <c r="M300" s="515"/>
      <c r="N300" s="31"/>
      <c r="O300" s="53"/>
      <c r="P300" s="55"/>
      <c r="Q300" s="516">
        <v>45820</v>
      </c>
      <c r="R300" s="148">
        <f>Q300/H300</f>
        <v>1</v>
      </c>
      <c r="S300" s="101" t="s">
        <v>1860</v>
      </c>
      <c r="T300" s="57"/>
    </row>
    <row r="301" spans="1:20" ht="57.6" x14ac:dyDescent="0.3">
      <c r="A301" s="98">
        <f t="shared" ca="1" si="18"/>
        <v>150</v>
      </c>
      <c r="B301" s="554">
        <v>1550</v>
      </c>
      <c r="C301" s="581">
        <v>45814</v>
      </c>
      <c r="D301" s="369">
        <v>26482924</v>
      </c>
      <c r="E301" s="270" t="s">
        <v>3414</v>
      </c>
      <c r="F301" s="401" t="s">
        <v>1</v>
      </c>
      <c r="G301" s="81" t="s">
        <v>4</v>
      </c>
      <c r="H301" s="493">
        <v>45814</v>
      </c>
      <c r="I301" s="25"/>
      <c r="J301" s="100" t="s">
        <v>3095</v>
      </c>
      <c r="K301" s="513"/>
      <c r="L301" s="514"/>
      <c r="M301" s="515"/>
      <c r="N301" s="31"/>
      <c r="O301" s="53"/>
      <c r="P301" s="55"/>
      <c r="Q301" s="516">
        <v>45821</v>
      </c>
      <c r="R301" s="148">
        <f>Q301-H301</f>
        <v>7</v>
      </c>
      <c r="S301" s="101" t="s">
        <v>3049</v>
      </c>
      <c r="T301" s="201" t="s">
        <v>3415</v>
      </c>
    </row>
    <row r="302" spans="1:20" ht="28.8" x14ac:dyDescent="0.3">
      <c r="A302" s="98">
        <f t="shared" ca="1" si="18"/>
        <v>285</v>
      </c>
      <c r="B302" s="583">
        <v>1550</v>
      </c>
      <c r="C302" s="584">
        <v>45818</v>
      </c>
      <c r="D302" s="369">
        <v>53651006</v>
      </c>
      <c r="E302" s="270" t="s">
        <v>3416</v>
      </c>
      <c r="F302" s="388" t="s">
        <v>1</v>
      </c>
      <c r="G302" s="221" t="s">
        <v>4</v>
      </c>
      <c r="H302" s="493">
        <v>45818</v>
      </c>
      <c r="I302" s="503"/>
      <c r="J302" s="100" t="s">
        <v>3385</v>
      </c>
      <c r="K302" s="513"/>
      <c r="L302" s="514"/>
      <c r="M302" s="515"/>
      <c r="N302" s="31"/>
      <c r="O302" s="53"/>
      <c r="P302" s="55"/>
      <c r="Q302" s="346">
        <v>45821</v>
      </c>
      <c r="R302" s="148">
        <f>Q302-H302</f>
        <v>3</v>
      </c>
      <c r="S302" s="101" t="s">
        <v>3020</v>
      </c>
      <c r="T302" s="57"/>
    </row>
    <row r="303" spans="1:20" ht="57.6" x14ac:dyDescent="0.3">
      <c r="A303" s="98">
        <f t="shared" ca="1" si="18"/>
        <v>294</v>
      </c>
      <c r="B303" s="583" t="s">
        <v>301</v>
      </c>
      <c r="C303" s="584">
        <v>45818</v>
      </c>
      <c r="D303" s="369"/>
      <c r="E303" s="213" t="s">
        <v>3417</v>
      </c>
      <c r="F303" s="111" t="s">
        <v>51</v>
      </c>
      <c r="G303" s="127" t="s">
        <v>8</v>
      </c>
      <c r="H303" s="599">
        <v>45818</v>
      </c>
      <c r="I303" s="25"/>
      <c r="J303" s="100" t="s">
        <v>3095</v>
      </c>
      <c r="K303" s="513"/>
      <c r="L303" s="514"/>
      <c r="M303" s="515"/>
      <c r="N303" s="31"/>
      <c r="O303" s="53"/>
      <c r="P303" s="55"/>
      <c r="Q303" s="346">
        <v>45821</v>
      </c>
      <c r="R303" s="148">
        <f>Q303-H303</f>
        <v>3</v>
      </c>
      <c r="S303" s="101" t="s">
        <v>3418</v>
      </c>
      <c r="T303" s="57"/>
    </row>
    <row r="304" spans="1:20" ht="57.6" x14ac:dyDescent="0.3">
      <c r="A304" s="98">
        <f t="shared" ca="1" si="18"/>
        <v>300</v>
      </c>
      <c r="B304" s="111" t="s">
        <v>80</v>
      </c>
      <c r="C304" s="512">
        <v>45819</v>
      </c>
      <c r="D304" s="369"/>
      <c r="E304" s="264" t="s">
        <v>3419</v>
      </c>
      <c r="F304" s="111" t="s">
        <v>1314</v>
      </c>
      <c r="G304" s="127" t="s">
        <v>6</v>
      </c>
      <c r="H304" s="599">
        <v>45819</v>
      </c>
      <c r="I304" s="25"/>
      <c r="J304" s="100" t="s">
        <v>99</v>
      </c>
      <c r="K304" s="513"/>
      <c r="L304" s="514"/>
      <c r="M304" s="515"/>
      <c r="N304" s="31"/>
      <c r="O304" s="53"/>
      <c r="P304" s="55"/>
      <c r="Q304" s="346">
        <v>45821</v>
      </c>
      <c r="R304" s="148">
        <f t="shared" ref="R304:R315" si="19">Q304/H304</f>
        <v>1.0000436500141863</v>
      </c>
      <c r="S304" s="101" t="s">
        <v>1936</v>
      </c>
      <c r="T304" s="57"/>
    </row>
    <row r="305" spans="1:20" ht="57.6" x14ac:dyDescent="0.3">
      <c r="A305" s="98">
        <f t="shared" ca="1" si="18"/>
        <v>301</v>
      </c>
      <c r="B305" s="126" t="s">
        <v>80</v>
      </c>
      <c r="C305" s="206">
        <v>45819</v>
      </c>
      <c r="D305" s="369"/>
      <c r="E305" s="393" t="s">
        <v>3420</v>
      </c>
      <c r="F305" s="386" t="s">
        <v>1314</v>
      </c>
      <c r="G305" s="221" t="s">
        <v>6</v>
      </c>
      <c r="H305" s="493">
        <v>45819</v>
      </c>
      <c r="I305" s="341"/>
      <c r="J305" s="100" t="s">
        <v>99</v>
      </c>
      <c r="K305" s="513"/>
      <c r="L305" s="514"/>
      <c r="M305" s="515"/>
      <c r="N305" s="31"/>
      <c r="O305" s="53"/>
      <c r="P305" s="55"/>
      <c r="Q305" s="346">
        <v>45821</v>
      </c>
      <c r="R305" s="148">
        <f t="shared" si="19"/>
        <v>1.0000436500141863</v>
      </c>
      <c r="S305" s="101" t="s">
        <v>1936</v>
      </c>
      <c r="T305" s="201"/>
    </row>
    <row r="306" spans="1:20" ht="57.6" x14ac:dyDescent="0.3">
      <c r="A306" s="98">
        <f t="shared" ca="1" si="18"/>
        <v>303</v>
      </c>
      <c r="B306" s="126" t="s">
        <v>80</v>
      </c>
      <c r="C306" s="206">
        <v>45819</v>
      </c>
      <c r="D306" s="369"/>
      <c r="E306" s="270" t="s">
        <v>3421</v>
      </c>
      <c r="F306" s="111" t="s">
        <v>1314</v>
      </c>
      <c r="G306" s="127" t="s">
        <v>6</v>
      </c>
      <c r="H306" s="599">
        <v>45819</v>
      </c>
      <c r="I306" s="25"/>
      <c r="J306" s="100" t="s">
        <v>99</v>
      </c>
      <c r="K306" s="513"/>
      <c r="L306" s="514"/>
      <c r="M306" s="515"/>
      <c r="N306" s="31"/>
      <c r="O306" s="53"/>
      <c r="P306" s="55"/>
      <c r="Q306" s="346">
        <v>45821</v>
      </c>
      <c r="R306" s="148">
        <f t="shared" si="19"/>
        <v>1.0000436500141863</v>
      </c>
      <c r="S306" s="101" t="s">
        <v>2747</v>
      </c>
      <c r="T306" s="57"/>
    </row>
    <row r="307" spans="1:20" ht="57.6" x14ac:dyDescent="0.3">
      <c r="A307" s="98">
        <f t="shared" ca="1" si="18"/>
        <v>304</v>
      </c>
      <c r="B307" s="126">
        <v>1550</v>
      </c>
      <c r="C307" s="206">
        <v>45819</v>
      </c>
      <c r="D307" s="369"/>
      <c r="E307" s="270" t="s">
        <v>3422</v>
      </c>
      <c r="F307" s="111" t="s">
        <v>1314</v>
      </c>
      <c r="G307" s="127" t="s">
        <v>6</v>
      </c>
      <c r="H307" s="599">
        <v>45819</v>
      </c>
      <c r="I307" s="25"/>
      <c r="J307" s="100" t="s">
        <v>99</v>
      </c>
      <c r="K307" s="513"/>
      <c r="L307" s="514"/>
      <c r="M307" s="515"/>
      <c r="N307" s="31"/>
      <c r="O307" s="53"/>
      <c r="P307" s="55"/>
      <c r="Q307" s="346">
        <v>45821</v>
      </c>
      <c r="R307" s="148">
        <f t="shared" si="19"/>
        <v>1.0000436500141863</v>
      </c>
      <c r="S307" s="101"/>
      <c r="T307" s="201"/>
    </row>
    <row r="308" spans="1:20" ht="57.6" x14ac:dyDescent="0.3">
      <c r="A308" s="98">
        <f t="shared" ca="1" si="18"/>
        <v>306</v>
      </c>
      <c r="B308" s="126">
        <v>1550</v>
      </c>
      <c r="C308" s="206">
        <v>45819</v>
      </c>
      <c r="D308" s="369"/>
      <c r="E308" s="270" t="s">
        <v>3423</v>
      </c>
      <c r="F308" s="101" t="s">
        <v>1314</v>
      </c>
      <c r="G308" s="172" t="s">
        <v>6</v>
      </c>
      <c r="H308" s="493">
        <v>45819</v>
      </c>
      <c r="I308" s="585"/>
      <c r="J308" s="100" t="s">
        <v>99</v>
      </c>
      <c r="K308" s="513"/>
      <c r="L308" s="514"/>
      <c r="M308" s="515"/>
      <c r="N308" s="31"/>
      <c r="O308" s="53"/>
      <c r="P308" s="55"/>
      <c r="Q308" s="346">
        <v>45821</v>
      </c>
      <c r="R308" s="148">
        <f t="shared" si="19"/>
        <v>1.0000436500141863</v>
      </c>
      <c r="S308" s="101" t="s">
        <v>1936</v>
      </c>
      <c r="T308" s="201"/>
    </row>
    <row r="309" spans="1:20" ht="57.6" x14ac:dyDescent="0.3">
      <c r="A309" s="98">
        <f t="shared" ca="1" si="18"/>
        <v>317</v>
      </c>
      <c r="B309" s="126">
        <v>1550</v>
      </c>
      <c r="C309" s="206">
        <v>45819</v>
      </c>
      <c r="D309" s="369"/>
      <c r="E309" s="270" t="s">
        <v>3424</v>
      </c>
      <c r="F309" s="126" t="s">
        <v>1314</v>
      </c>
      <c r="G309" s="127" t="s">
        <v>6</v>
      </c>
      <c r="H309" s="599">
        <v>45819</v>
      </c>
      <c r="I309" s="503"/>
      <c r="J309" s="100" t="s">
        <v>99</v>
      </c>
      <c r="K309" s="513"/>
      <c r="L309" s="514"/>
      <c r="M309" s="515"/>
      <c r="N309" s="31"/>
      <c r="O309" s="53"/>
      <c r="P309" s="55"/>
      <c r="Q309" s="346">
        <v>45821</v>
      </c>
      <c r="R309" s="148">
        <f t="shared" si="19"/>
        <v>1.0000436500141863</v>
      </c>
      <c r="S309" s="101" t="s">
        <v>2597</v>
      </c>
      <c r="T309" s="57"/>
    </row>
    <row r="310" spans="1:20" ht="57.6" x14ac:dyDescent="0.3">
      <c r="A310" s="98">
        <f t="shared" ca="1" si="18"/>
        <v>318</v>
      </c>
      <c r="B310" s="126">
        <v>1550</v>
      </c>
      <c r="C310" s="348">
        <v>45819</v>
      </c>
      <c r="D310" s="369"/>
      <c r="E310" s="270" t="s">
        <v>3425</v>
      </c>
      <c r="F310" s="387" t="s">
        <v>1314</v>
      </c>
      <c r="G310" s="172" t="s">
        <v>6</v>
      </c>
      <c r="H310" s="493">
        <v>45819</v>
      </c>
      <c r="I310" s="587"/>
      <c r="J310" s="107" t="s">
        <v>99</v>
      </c>
      <c r="K310" s="513"/>
      <c r="L310" s="514"/>
      <c r="M310" s="515"/>
      <c r="N310" s="31"/>
      <c r="O310" s="53"/>
      <c r="P310" s="55"/>
      <c r="Q310" s="346">
        <v>45821</v>
      </c>
      <c r="R310" s="148">
        <f t="shared" si="19"/>
        <v>1.0000436500141863</v>
      </c>
      <c r="S310" s="101" t="s">
        <v>2597</v>
      </c>
      <c r="T310" s="57"/>
    </row>
    <row r="311" spans="1:20" ht="57.6" x14ac:dyDescent="0.3">
      <c r="A311" s="98">
        <f t="shared" ca="1" si="18"/>
        <v>321</v>
      </c>
      <c r="B311" s="600">
        <v>1550</v>
      </c>
      <c r="C311" s="206">
        <v>45819</v>
      </c>
      <c r="D311" s="369"/>
      <c r="E311" s="270" t="s">
        <v>3426</v>
      </c>
      <c r="F311" s="388" t="s">
        <v>1314</v>
      </c>
      <c r="G311" s="221" t="s">
        <v>6</v>
      </c>
      <c r="H311" s="493">
        <v>45819</v>
      </c>
      <c r="I311" s="594"/>
      <c r="J311" s="107" t="s">
        <v>99</v>
      </c>
      <c r="K311" s="513"/>
      <c r="L311" s="514"/>
      <c r="M311" s="515"/>
      <c r="N311" s="31"/>
      <c r="O311" s="53"/>
      <c r="P311" s="55"/>
      <c r="Q311" s="346">
        <v>45821</v>
      </c>
      <c r="R311" s="148">
        <f t="shared" si="19"/>
        <v>1.0000436500141863</v>
      </c>
      <c r="S311" s="101" t="s">
        <v>1860</v>
      </c>
      <c r="T311" s="57"/>
    </row>
    <row r="312" spans="1:20" ht="57.6" x14ac:dyDescent="0.3">
      <c r="A312" s="98">
        <f t="shared" ca="1" si="18"/>
        <v>322</v>
      </c>
      <c r="B312" s="600">
        <v>1550</v>
      </c>
      <c r="C312" s="206">
        <v>45819</v>
      </c>
      <c r="D312" s="369"/>
      <c r="E312" s="270" t="s">
        <v>3427</v>
      </c>
      <c r="F312" s="388" t="s">
        <v>1314</v>
      </c>
      <c r="G312" s="221" t="s">
        <v>6</v>
      </c>
      <c r="H312" s="493">
        <v>45819</v>
      </c>
      <c r="I312" s="503"/>
      <c r="J312" s="100" t="s">
        <v>99</v>
      </c>
      <c r="K312" s="513"/>
      <c r="L312" s="514"/>
      <c r="M312" s="515"/>
      <c r="N312" s="31"/>
      <c r="O312" s="53"/>
      <c r="P312" s="55"/>
      <c r="Q312" s="346">
        <v>45821</v>
      </c>
      <c r="R312" s="148">
        <f t="shared" si="19"/>
        <v>1.0000436500141863</v>
      </c>
      <c r="S312" s="101" t="s">
        <v>2747</v>
      </c>
      <c r="T312" s="57"/>
    </row>
    <row r="313" spans="1:20" ht="57.6" x14ac:dyDescent="0.3">
      <c r="A313" s="98">
        <f t="shared" ca="1" si="18"/>
        <v>323</v>
      </c>
      <c r="B313" s="600">
        <v>1550</v>
      </c>
      <c r="C313" s="347">
        <v>45819</v>
      </c>
      <c r="D313" s="369"/>
      <c r="E313" s="270" t="s">
        <v>3428</v>
      </c>
      <c r="F313" s="388" t="s">
        <v>1314</v>
      </c>
      <c r="G313" s="221" t="s">
        <v>6</v>
      </c>
      <c r="H313" s="493">
        <v>45819</v>
      </c>
      <c r="I313" s="503"/>
      <c r="J313" s="100" t="s">
        <v>99</v>
      </c>
      <c r="K313" s="513"/>
      <c r="L313" s="514"/>
      <c r="M313" s="515"/>
      <c r="N313" s="31"/>
      <c r="O313" s="53"/>
      <c r="P313" s="55"/>
      <c r="Q313" s="346">
        <v>45821</v>
      </c>
      <c r="R313" s="148">
        <f t="shared" si="19"/>
        <v>1.0000436500141863</v>
      </c>
      <c r="S313" s="101" t="s">
        <v>1927</v>
      </c>
      <c r="T313" s="57"/>
    </row>
    <row r="314" spans="1:20" ht="57.6" x14ac:dyDescent="0.3">
      <c r="A314" s="98">
        <f t="shared" ca="1" si="18"/>
        <v>339</v>
      </c>
      <c r="B314" s="785">
        <v>1550</v>
      </c>
      <c r="C314" s="786">
        <v>45820</v>
      </c>
      <c r="D314" s="537"/>
      <c r="E314" s="270" t="s">
        <v>3429</v>
      </c>
      <c r="F314" s="420" t="s">
        <v>1314</v>
      </c>
      <c r="G314" s="417" t="s">
        <v>6</v>
      </c>
      <c r="H314" s="493">
        <v>45820</v>
      </c>
      <c r="I314" s="341"/>
      <c r="J314" s="100" t="s">
        <v>99</v>
      </c>
      <c r="K314" s="513"/>
      <c r="L314" s="514"/>
      <c r="M314" s="515"/>
      <c r="N314" s="31"/>
      <c r="O314" s="53"/>
      <c r="P314" s="55"/>
      <c r="Q314" s="346">
        <v>45821</v>
      </c>
      <c r="R314" s="148">
        <f t="shared" si="19"/>
        <v>1.0000218245307726</v>
      </c>
      <c r="S314" s="101" t="s">
        <v>1936</v>
      </c>
      <c r="T314" s="57"/>
    </row>
    <row r="315" spans="1:20" ht="57.6" x14ac:dyDescent="0.3">
      <c r="A315" s="98">
        <f t="shared" ca="1" si="18"/>
        <v>344</v>
      </c>
      <c r="B315" s="111" t="s">
        <v>3430</v>
      </c>
      <c r="C315" s="512">
        <v>45820</v>
      </c>
      <c r="D315" s="219"/>
      <c r="E315" s="270" t="s">
        <v>3431</v>
      </c>
      <c r="F315" s="420" t="s">
        <v>1314</v>
      </c>
      <c r="G315" s="417" t="s">
        <v>6</v>
      </c>
      <c r="H315" s="493">
        <v>45820</v>
      </c>
      <c r="I315" s="341"/>
      <c r="J315" s="100" t="s">
        <v>99</v>
      </c>
      <c r="K315" s="513"/>
      <c r="L315" s="514"/>
      <c r="M315" s="515"/>
      <c r="N315" s="31"/>
      <c r="O315" s="53"/>
      <c r="P315" s="55"/>
      <c r="Q315" s="346">
        <v>45821</v>
      </c>
      <c r="R315" s="148">
        <f t="shared" si="19"/>
        <v>1.0000218245307726</v>
      </c>
      <c r="S315" s="101" t="s">
        <v>2747</v>
      </c>
      <c r="T315" s="57"/>
    </row>
    <row r="316" spans="1:20" ht="57.6" x14ac:dyDescent="0.3">
      <c r="A316" s="98">
        <f t="shared" ca="1" si="18"/>
        <v>346</v>
      </c>
      <c r="B316" s="151">
        <v>1550</v>
      </c>
      <c r="C316" s="609">
        <v>45820</v>
      </c>
      <c r="D316" s="369"/>
      <c r="E316" s="270" t="s">
        <v>3432</v>
      </c>
      <c r="F316" s="101" t="s">
        <v>51</v>
      </c>
      <c r="G316" s="81" t="s">
        <v>4</v>
      </c>
      <c r="H316" s="493">
        <v>45820</v>
      </c>
      <c r="I316" s="25"/>
      <c r="J316" s="107" t="s">
        <v>3095</v>
      </c>
      <c r="K316" s="518"/>
      <c r="L316" s="518"/>
      <c r="M316" s="519"/>
      <c r="N316" s="520"/>
      <c r="O316" s="520"/>
      <c r="P316" s="521"/>
      <c r="Q316" s="346">
        <v>45821</v>
      </c>
      <c r="R316" s="148">
        <f>Q316-H316</f>
        <v>1</v>
      </c>
      <c r="S316" s="101" t="s">
        <v>2974</v>
      </c>
      <c r="T316" s="57"/>
    </row>
    <row r="317" spans="1:20" ht="57.6" x14ac:dyDescent="0.3">
      <c r="A317" s="98">
        <f t="shared" ca="1" si="18"/>
        <v>349</v>
      </c>
      <c r="B317" s="111">
        <v>1550</v>
      </c>
      <c r="C317" s="512">
        <v>45820</v>
      </c>
      <c r="D317" s="789"/>
      <c r="E317" s="270" t="s">
        <v>3433</v>
      </c>
      <c r="F317" s="378" t="s">
        <v>51</v>
      </c>
      <c r="G317" s="221" t="s">
        <v>4</v>
      </c>
      <c r="H317" s="493">
        <v>45820</v>
      </c>
      <c r="I317" s="503"/>
      <c r="J317" s="100" t="s">
        <v>3095</v>
      </c>
      <c r="K317" s="513"/>
      <c r="L317" s="514"/>
      <c r="M317" s="515"/>
      <c r="N317" s="31"/>
      <c r="O317" s="53"/>
      <c r="P317" s="55"/>
      <c r="Q317" s="346">
        <v>45821</v>
      </c>
      <c r="R317" s="148">
        <f>Q317-H317</f>
        <v>1</v>
      </c>
      <c r="S317" s="101" t="s">
        <v>3049</v>
      </c>
      <c r="T317" s="57"/>
    </row>
    <row r="318" spans="1:20" ht="57.6" x14ac:dyDescent="0.3">
      <c r="A318" s="98">
        <f t="shared" ca="1" si="18"/>
        <v>352</v>
      </c>
      <c r="B318" s="111">
        <v>1550</v>
      </c>
      <c r="C318" s="512">
        <v>45820</v>
      </c>
      <c r="D318" s="369"/>
      <c r="E318" s="270" t="s">
        <v>3434</v>
      </c>
      <c r="F318" s="378" t="s">
        <v>51</v>
      </c>
      <c r="G318" s="221" t="s">
        <v>4</v>
      </c>
      <c r="H318" s="493">
        <v>45820</v>
      </c>
      <c r="I318" s="503"/>
      <c r="J318" s="100" t="s">
        <v>3095</v>
      </c>
      <c r="K318" s="513"/>
      <c r="L318" s="514"/>
      <c r="M318" s="515"/>
      <c r="N318" s="31"/>
      <c r="O318" s="53"/>
      <c r="P318" s="55"/>
      <c r="Q318" s="346">
        <v>45821</v>
      </c>
      <c r="R318" s="148">
        <f>Q318-H318</f>
        <v>1</v>
      </c>
      <c r="S318" s="101" t="s">
        <v>3049</v>
      </c>
      <c r="T318" s="57"/>
    </row>
    <row r="319" spans="1:20" ht="57.6" x14ac:dyDescent="0.3">
      <c r="A319" s="98">
        <f t="shared" ca="1" si="18"/>
        <v>354</v>
      </c>
      <c r="B319" s="111" t="s">
        <v>80</v>
      </c>
      <c r="C319" s="512">
        <v>45820</v>
      </c>
      <c r="D319" s="369"/>
      <c r="E319" s="393" t="s">
        <v>3435</v>
      </c>
      <c r="F319" s="378" t="s">
        <v>1314</v>
      </c>
      <c r="G319" s="221" t="s">
        <v>6</v>
      </c>
      <c r="H319" s="493" t="s">
        <v>3436</v>
      </c>
      <c r="I319" s="503"/>
      <c r="J319" s="100" t="s">
        <v>99</v>
      </c>
      <c r="K319" s="513"/>
      <c r="L319" s="514"/>
      <c r="M319" s="515"/>
      <c r="N319" s="31"/>
      <c r="O319" s="53"/>
      <c r="P319" s="55"/>
      <c r="Q319" s="346">
        <v>45821</v>
      </c>
      <c r="R319" s="148" t="e">
        <f>Q319/H319</f>
        <v>#VALUE!</v>
      </c>
      <c r="S319" s="101" t="s">
        <v>2747</v>
      </c>
      <c r="T319" s="57"/>
    </row>
    <row r="320" spans="1:20" ht="57.6" x14ac:dyDescent="0.3">
      <c r="A320" s="98">
        <f t="shared" ca="1" si="18"/>
        <v>355</v>
      </c>
      <c r="B320" s="111">
        <v>1550</v>
      </c>
      <c r="C320" s="512">
        <v>45820</v>
      </c>
      <c r="D320" s="369"/>
      <c r="E320" s="393" t="s">
        <v>3437</v>
      </c>
      <c r="F320" s="378" t="s">
        <v>1314</v>
      </c>
      <c r="G320" s="221" t="s">
        <v>6</v>
      </c>
      <c r="H320" s="493" t="s">
        <v>3436</v>
      </c>
      <c r="I320" s="585"/>
      <c r="J320" s="100" t="s">
        <v>99</v>
      </c>
      <c r="K320" s="513"/>
      <c r="L320" s="514"/>
      <c r="M320" s="515"/>
      <c r="N320" s="31"/>
      <c r="O320" s="53"/>
      <c r="P320" s="55"/>
      <c r="Q320" s="346">
        <v>45821</v>
      </c>
      <c r="R320" s="148" t="e">
        <f>Q320/H320</f>
        <v>#VALUE!</v>
      </c>
      <c r="S320" s="101" t="s">
        <v>1860</v>
      </c>
      <c r="T320" s="57"/>
    </row>
    <row r="321" spans="1:20" ht="57.6" x14ac:dyDescent="0.3">
      <c r="A321" s="98">
        <f t="shared" ca="1" si="18"/>
        <v>358</v>
      </c>
      <c r="B321" s="111">
        <v>1550</v>
      </c>
      <c r="C321" s="512">
        <v>45820</v>
      </c>
      <c r="D321" s="369"/>
      <c r="E321" s="270" t="s">
        <v>3438</v>
      </c>
      <c r="F321" s="344" t="s">
        <v>51</v>
      </c>
      <c r="G321" s="221" t="s">
        <v>4</v>
      </c>
      <c r="H321" s="493">
        <v>45820</v>
      </c>
      <c r="I321" s="587"/>
      <c r="J321" s="100" t="s">
        <v>3095</v>
      </c>
      <c r="K321" s="513"/>
      <c r="L321" s="514"/>
      <c r="M321" s="515"/>
      <c r="N321" s="31"/>
      <c r="O321" s="53"/>
      <c r="P321" s="55"/>
      <c r="Q321" s="516">
        <v>45821</v>
      </c>
      <c r="R321" s="148">
        <f>Q321-H321</f>
        <v>1</v>
      </c>
      <c r="S321" s="101" t="s">
        <v>3020</v>
      </c>
      <c r="T321" s="57"/>
    </row>
    <row r="322" spans="1:20" ht="57.6" x14ac:dyDescent="0.3">
      <c r="A322" s="98">
        <f t="shared" ca="1" si="18"/>
        <v>359</v>
      </c>
      <c r="B322" s="111">
        <v>1550</v>
      </c>
      <c r="C322" s="512">
        <v>45820</v>
      </c>
      <c r="D322" s="369"/>
      <c r="E322" s="393" t="s">
        <v>3439</v>
      </c>
      <c r="F322" s="388" t="s">
        <v>1314</v>
      </c>
      <c r="G322" s="221" t="s">
        <v>6</v>
      </c>
      <c r="H322" s="493" t="s">
        <v>3436</v>
      </c>
      <c r="I322" s="585"/>
      <c r="J322" s="107" t="s">
        <v>99</v>
      </c>
      <c r="K322" s="513"/>
      <c r="L322" s="514"/>
      <c r="M322" s="515"/>
      <c r="N322" s="31"/>
      <c r="O322" s="53"/>
      <c r="P322" s="55"/>
      <c r="Q322" s="346">
        <v>45821</v>
      </c>
      <c r="R322" s="148" t="e">
        <f>Q322/H322</f>
        <v>#VALUE!</v>
      </c>
      <c r="S322" s="101" t="s">
        <v>1927</v>
      </c>
      <c r="T322" s="57"/>
    </row>
    <row r="323" spans="1:20" ht="43.2" x14ac:dyDescent="0.3">
      <c r="A323" s="98">
        <f t="shared" ca="1" si="18"/>
        <v>363</v>
      </c>
      <c r="B323" s="111">
        <v>1550</v>
      </c>
      <c r="C323" s="512">
        <v>45820</v>
      </c>
      <c r="D323" s="369">
        <v>101888759</v>
      </c>
      <c r="E323" s="270" t="s">
        <v>3440</v>
      </c>
      <c r="F323" s="378" t="s">
        <v>3</v>
      </c>
      <c r="G323" s="221" t="s">
        <v>6</v>
      </c>
      <c r="H323" s="493">
        <v>45820</v>
      </c>
      <c r="I323" s="503"/>
      <c r="J323" s="100" t="s">
        <v>82</v>
      </c>
      <c r="K323" s="513"/>
      <c r="L323" s="514"/>
      <c r="M323" s="515"/>
      <c r="N323" s="31"/>
      <c r="O323" s="53"/>
      <c r="P323" s="55"/>
      <c r="Q323" s="516">
        <v>45821</v>
      </c>
      <c r="R323" s="148">
        <f>Q323/H323</f>
        <v>1.0000218245307726</v>
      </c>
      <c r="S323" s="101" t="s">
        <v>2597</v>
      </c>
      <c r="T323" s="57"/>
    </row>
    <row r="324" spans="1:20" ht="28.8" x14ac:dyDescent="0.3">
      <c r="A324" s="98">
        <f t="shared" ca="1" si="18"/>
        <v>364</v>
      </c>
      <c r="B324" s="111">
        <v>1550</v>
      </c>
      <c r="C324" s="512">
        <v>45820</v>
      </c>
      <c r="D324" s="369">
        <v>120574365</v>
      </c>
      <c r="E324" s="270" t="s">
        <v>3441</v>
      </c>
      <c r="F324" s="378" t="s">
        <v>1</v>
      </c>
      <c r="G324" s="221" t="s">
        <v>4</v>
      </c>
      <c r="H324" s="493">
        <v>45820</v>
      </c>
      <c r="I324" s="587"/>
      <c r="J324" s="100" t="s">
        <v>2271</v>
      </c>
      <c r="K324" s="513"/>
      <c r="L324" s="514"/>
      <c r="M324" s="515"/>
      <c r="N324" s="31"/>
      <c r="O324" s="53"/>
      <c r="P324" s="55"/>
      <c r="Q324" s="516">
        <v>45821</v>
      </c>
      <c r="R324" s="148">
        <f>Q324-H324</f>
        <v>1</v>
      </c>
      <c r="S324" s="101" t="s">
        <v>3049</v>
      </c>
      <c r="T324" s="57"/>
    </row>
    <row r="325" spans="1:20" ht="57.6" x14ac:dyDescent="0.3">
      <c r="A325" s="98">
        <f t="shared" ca="1" si="18"/>
        <v>365</v>
      </c>
      <c r="B325" s="150">
        <v>1550</v>
      </c>
      <c r="C325" s="606">
        <v>45820</v>
      </c>
      <c r="D325" s="537"/>
      <c r="E325" s="270" t="s">
        <v>3442</v>
      </c>
      <c r="F325" s="378" t="s">
        <v>51</v>
      </c>
      <c r="G325" s="221" t="s">
        <v>10</v>
      </c>
      <c r="H325" s="493">
        <v>45820</v>
      </c>
      <c r="I325" s="585"/>
      <c r="J325" s="100" t="s">
        <v>3095</v>
      </c>
      <c r="K325" s="513"/>
      <c r="L325" s="514"/>
      <c r="M325" s="515"/>
      <c r="N325" s="31"/>
      <c r="O325" s="53"/>
      <c r="P325" s="55"/>
      <c r="Q325" s="516">
        <v>45821</v>
      </c>
      <c r="R325" s="148">
        <f>Q325-H325</f>
        <v>1</v>
      </c>
      <c r="S325" s="101" t="s">
        <v>214</v>
      </c>
      <c r="T325" s="57"/>
    </row>
    <row r="326" spans="1:20" ht="57.6" x14ac:dyDescent="0.3">
      <c r="A326" s="98">
        <f t="shared" ca="1" si="18"/>
        <v>366</v>
      </c>
      <c r="B326" s="150">
        <v>1550</v>
      </c>
      <c r="C326" s="606">
        <v>45820</v>
      </c>
      <c r="D326" s="219"/>
      <c r="E326" s="270" t="s">
        <v>3443</v>
      </c>
      <c r="F326" s="378" t="s">
        <v>51</v>
      </c>
      <c r="G326" s="221" t="s">
        <v>10</v>
      </c>
      <c r="H326" s="493">
        <v>45820</v>
      </c>
      <c r="I326" s="585"/>
      <c r="J326" s="100" t="s">
        <v>3095</v>
      </c>
      <c r="K326" s="513"/>
      <c r="L326" s="514"/>
      <c r="M326" s="515"/>
      <c r="N326" s="31"/>
      <c r="O326" s="53"/>
      <c r="P326" s="55"/>
      <c r="Q326" s="516">
        <v>45821</v>
      </c>
      <c r="R326" s="148">
        <f>Q326-H326</f>
        <v>1</v>
      </c>
      <c r="S326" s="101" t="s">
        <v>214</v>
      </c>
      <c r="T326" s="57"/>
    </row>
    <row r="327" spans="1:20" ht="57.6" x14ac:dyDescent="0.3">
      <c r="A327" s="98">
        <f t="shared" ca="1" si="18"/>
        <v>367</v>
      </c>
      <c r="B327" s="151">
        <v>1550</v>
      </c>
      <c r="C327" s="609">
        <v>45820</v>
      </c>
      <c r="D327" s="369"/>
      <c r="E327" s="270" t="s">
        <v>3444</v>
      </c>
      <c r="F327" s="400" t="s">
        <v>51</v>
      </c>
      <c r="G327" s="172" t="s">
        <v>10</v>
      </c>
      <c r="H327" s="493">
        <v>45820</v>
      </c>
      <c r="I327" s="585"/>
      <c r="J327" s="100" t="s">
        <v>3095</v>
      </c>
      <c r="K327" s="513"/>
      <c r="L327" s="514"/>
      <c r="M327" s="515"/>
      <c r="N327" s="31"/>
      <c r="O327" s="53"/>
      <c r="P327" s="55"/>
      <c r="Q327" s="516">
        <v>45821</v>
      </c>
      <c r="R327" s="148">
        <f>Q327-H327</f>
        <v>1</v>
      </c>
      <c r="S327" s="101" t="s">
        <v>214</v>
      </c>
      <c r="T327" s="57"/>
    </row>
    <row r="328" spans="1:20" ht="67.5" customHeight="1" x14ac:dyDescent="0.3">
      <c r="A328" s="98">
        <f t="shared" ca="1" si="18"/>
        <v>382</v>
      </c>
      <c r="B328" s="111" t="s">
        <v>80</v>
      </c>
      <c r="C328" s="609">
        <v>45821</v>
      </c>
      <c r="D328" s="369">
        <v>53270878</v>
      </c>
      <c r="E328" s="271" t="s">
        <v>3445</v>
      </c>
      <c r="F328" s="386" t="s">
        <v>7</v>
      </c>
      <c r="G328" s="112" t="s">
        <v>6</v>
      </c>
      <c r="H328" s="493">
        <v>45821</v>
      </c>
      <c r="I328" s="798"/>
      <c r="J328" s="102" t="s">
        <v>2513</v>
      </c>
      <c r="K328" s="513"/>
      <c r="L328" s="514"/>
      <c r="M328" s="515"/>
      <c r="N328" s="31"/>
      <c r="O328" s="53"/>
      <c r="P328" s="55"/>
      <c r="Q328" s="516">
        <v>45821</v>
      </c>
      <c r="R328" s="148">
        <f>Q328/H328</f>
        <v>1</v>
      </c>
      <c r="S328" s="101" t="s">
        <v>2747</v>
      </c>
      <c r="T328" s="57"/>
    </row>
    <row r="329" spans="1:20" ht="72" customHeight="1" x14ac:dyDescent="0.3">
      <c r="A329" s="98">
        <f t="shared" ca="1" si="18"/>
        <v>394</v>
      </c>
      <c r="B329" s="111" t="s">
        <v>301</v>
      </c>
      <c r="C329" s="609">
        <v>45821</v>
      </c>
      <c r="D329" s="369"/>
      <c r="E329" s="393" t="s">
        <v>3446</v>
      </c>
      <c r="F329" s="388" t="s">
        <v>51</v>
      </c>
      <c r="G329" s="112" t="s">
        <v>10</v>
      </c>
      <c r="H329" s="493">
        <v>45821</v>
      </c>
      <c r="I329" s="587"/>
      <c r="J329" s="100" t="s">
        <v>3095</v>
      </c>
      <c r="K329" s="513"/>
      <c r="L329" s="582"/>
      <c r="M329" s="515"/>
      <c r="N329" s="31"/>
      <c r="O329" s="53"/>
      <c r="P329" s="55"/>
      <c r="Q329" s="516">
        <v>45821</v>
      </c>
      <c r="R329" s="148">
        <f>Q329-H329</f>
        <v>0</v>
      </c>
      <c r="S329" s="101" t="s">
        <v>1366</v>
      </c>
      <c r="T329" s="57"/>
    </row>
    <row r="330" spans="1:20" ht="57.6" x14ac:dyDescent="0.3">
      <c r="A330" s="98">
        <f t="shared" ca="1" si="18"/>
        <v>189</v>
      </c>
      <c r="B330" s="111">
        <v>1550</v>
      </c>
      <c r="C330" s="512">
        <v>45817</v>
      </c>
      <c r="D330" s="369">
        <v>8681910</v>
      </c>
      <c r="E330" s="270" t="s">
        <v>3447</v>
      </c>
      <c r="F330" s="386" t="s">
        <v>39</v>
      </c>
      <c r="G330" s="112" t="s">
        <v>4</v>
      </c>
      <c r="H330" s="493">
        <v>45817</v>
      </c>
      <c r="I330" s="585">
        <v>10000296318</v>
      </c>
      <c r="J330" s="100" t="s">
        <v>22</v>
      </c>
      <c r="K330" s="518"/>
      <c r="L330" s="518"/>
      <c r="M330" s="519"/>
      <c r="N330" s="520"/>
      <c r="O330" s="520"/>
      <c r="P330" s="521"/>
      <c r="Q330" s="516">
        <v>45824</v>
      </c>
      <c r="R330" s="148">
        <f>Q330-H330</f>
        <v>7</v>
      </c>
      <c r="S330" s="101" t="s">
        <v>2974</v>
      </c>
      <c r="T330" s="201"/>
    </row>
    <row r="331" spans="1:20" ht="28.8" x14ac:dyDescent="0.3">
      <c r="A331" s="98">
        <f t="shared" ca="1" si="18"/>
        <v>311</v>
      </c>
      <c r="B331" s="126" t="s">
        <v>1826</v>
      </c>
      <c r="C331" s="206">
        <v>45819</v>
      </c>
      <c r="D331" s="369">
        <v>37253107</v>
      </c>
      <c r="E331" s="270" t="s">
        <v>3448</v>
      </c>
      <c r="F331" s="344" t="s">
        <v>22</v>
      </c>
      <c r="G331" s="221" t="s">
        <v>6</v>
      </c>
      <c r="H331" s="493">
        <v>45819</v>
      </c>
      <c r="I331" s="25"/>
      <c r="J331" s="100" t="s">
        <v>3383</v>
      </c>
      <c r="K331" s="513"/>
      <c r="L331" s="514"/>
      <c r="M331" s="515"/>
      <c r="N331" s="31"/>
      <c r="O331" s="53"/>
      <c r="P331" s="55"/>
      <c r="Q331" s="346">
        <v>45824</v>
      </c>
      <c r="R331" s="148">
        <f>Q331/H331</f>
        <v>1.0001091250354657</v>
      </c>
      <c r="S331" s="101" t="s">
        <v>2808</v>
      </c>
      <c r="T331" s="201"/>
    </row>
    <row r="332" spans="1:20" ht="57.6" x14ac:dyDescent="0.3">
      <c r="A332" s="98">
        <f t="shared" ca="1" si="18"/>
        <v>327</v>
      </c>
      <c r="B332" s="126" t="s">
        <v>80</v>
      </c>
      <c r="C332" s="347">
        <v>45820</v>
      </c>
      <c r="D332" s="369" t="s">
        <v>3449</v>
      </c>
      <c r="E332" s="270" t="s">
        <v>3450</v>
      </c>
      <c r="F332" s="378" t="s">
        <v>23</v>
      </c>
      <c r="G332" s="221" t="s">
        <v>6</v>
      </c>
      <c r="H332" s="493">
        <v>45820</v>
      </c>
      <c r="I332" s="503"/>
      <c r="J332" s="100" t="s">
        <v>135</v>
      </c>
      <c r="K332" s="513"/>
      <c r="L332" s="514"/>
      <c r="M332" s="515"/>
      <c r="N332" s="31"/>
      <c r="O332" s="53"/>
      <c r="P332" s="55"/>
      <c r="Q332" s="346">
        <v>45824</v>
      </c>
      <c r="R332" s="148">
        <f>Q332/H332</f>
        <v>1.0000872981230904</v>
      </c>
      <c r="S332" s="101" t="s">
        <v>2747</v>
      </c>
      <c r="T332" s="57"/>
    </row>
    <row r="333" spans="1:20" ht="57.6" x14ac:dyDescent="0.3">
      <c r="A333" s="98">
        <f t="shared" ca="1" si="18"/>
        <v>368</v>
      </c>
      <c r="B333" s="111">
        <v>1550</v>
      </c>
      <c r="C333" s="502">
        <v>45820</v>
      </c>
      <c r="D333" s="369"/>
      <c r="E333" s="270" t="s">
        <v>3451</v>
      </c>
      <c r="F333" s="344" t="s">
        <v>1314</v>
      </c>
      <c r="G333" s="112" t="s">
        <v>6</v>
      </c>
      <c r="H333" s="493">
        <v>45821</v>
      </c>
      <c r="I333" s="503"/>
      <c r="J333" s="100" t="s">
        <v>99</v>
      </c>
      <c r="K333" s="518"/>
      <c r="L333" s="518"/>
      <c r="M333" s="519"/>
      <c r="N333" s="520"/>
      <c r="O333" s="520"/>
      <c r="P333" s="521"/>
      <c r="Q333" s="346">
        <v>45824</v>
      </c>
      <c r="R333" s="148">
        <f>Q333/H333</f>
        <v>1.0000654721634186</v>
      </c>
      <c r="S333" s="101" t="s">
        <v>1936</v>
      </c>
      <c r="T333" s="201"/>
    </row>
    <row r="334" spans="1:20" ht="57.6" x14ac:dyDescent="0.3">
      <c r="A334" s="98">
        <f t="shared" ca="1" si="18"/>
        <v>371</v>
      </c>
      <c r="B334" s="111">
        <v>1550</v>
      </c>
      <c r="C334" s="502">
        <v>45821</v>
      </c>
      <c r="D334" s="369"/>
      <c r="E334" s="270" t="s">
        <v>3452</v>
      </c>
      <c r="F334" s="388" t="s">
        <v>51</v>
      </c>
      <c r="G334" s="221" t="s">
        <v>4</v>
      </c>
      <c r="H334" s="493">
        <v>45821</v>
      </c>
      <c r="I334" s="594"/>
      <c r="J334" s="107" t="s">
        <v>3095</v>
      </c>
      <c r="K334" s="513"/>
      <c r="L334" s="514"/>
      <c r="M334" s="515"/>
      <c r="N334" s="31"/>
      <c r="O334" s="53"/>
      <c r="P334" s="55"/>
      <c r="Q334" s="346">
        <v>45824</v>
      </c>
      <c r="R334" s="148">
        <f>Q334-H334</f>
        <v>3</v>
      </c>
      <c r="S334" s="101" t="s">
        <v>2974</v>
      </c>
      <c r="T334" s="57"/>
    </row>
    <row r="335" spans="1:20" ht="57.6" x14ac:dyDescent="0.3">
      <c r="A335" s="98">
        <f t="shared" ca="1" si="18"/>
        <v>372</v>
      </c>
      <c r="B335" s="111">
        <v>1550</v>
      </c>
      <c r="C335" s="502">
        <v>45821</v>
      </c>
      <c r="D335" s="369"/>
      <c r="E335" s="270" t="s">
        <v>3453</v>
      </c>
      <c r="F335" s="344" t="s">
        <v>51</v>
      </c>
      <c r="G335" s="112" t="s">
        <v>4</v>
      </c>
      <c r="H335" s="493">
        <v>45821</v>
      </c>
      <c r="I335" s="25"/>
      <c r="J335" s="100" t="s">
        <v>3095</v>
      </c>
      <c r="K335" s="513"/>
      <c r="L335" s="514"/>
      <c r="M335" s="515"/>
      <c r="N335" s="31"/>
      <c r="O335" s="53"/>
      <c r="P335" s="55"/>
      <c r="Q335" s="346">
        <v>45824</v>
      </c>
      <c r="R335" s="148">
        <f>Q335-H335</f>
        <v>3</v>
      </c>
      <c r="S335" s="101" t="s">
        <v>720</v>
      </c>
      <c r="T335" s="57"/>
    </row>
    <row r="336" spans="1:20" ht="57.6" x14ac:dyDescent="0.3">
      <c r="A336" s="98">
        <f t="shared" ca="1" si="18"/>
        <v>374</v>
      </c>
      <c r="B336" s="111">
        <v>1550</v>
      </c>
      <c r="C336" s="502">
        <v>45821</v>
      </c>
      <c r="D336" s="789"/>
      <c r="E336" s="393" t="s">
        <v>3454</v>
      </c>
      <c r="F336" s="344" t="s">
        <v>1314</v>
      </c>
      <c r="G336" s="112" t="s">
        <v>6</v>
      </c>
      <c r="H336" s="493">
        <v>45821</v>
      </c>
      <c r="I336" s="25"/>
      <c r="J336" s="100" t="s">
        <v>99</v>
      </c>
      <c r="K336" s="513"/>
      <c r="L336" s="514"/>
      <c r="M336" s="515"/>
      <c r="N336" s="31"/>
      <c r="O336" s="53"/>
      <c r="P336" s="55"/>
      <c r="Q336" s="346">
        <v>45824</v>
      </c>
      <c r="R336" s="148">
        <f>Q336/H336</f>
        <v>1.0000654721634186</v>
      </c>
      <c r="S336" s="101" t="s">
        <v>1927</v>
      </c>
      <c r="T336" s="57"/>
    </row>
    <row r="337" spans="1:20" ht="57.6" x14ac:dyDescent="0.3">
      <c r="A337" s="98">
        <f t="shared" ca="1" si="18"/>
        <v>375</v>
      </c>
      <c r="B337" s="111">
        <v>1550</v>
      </c>
      <c r="C337" s="502">
        <v>45821</v>
      </c>
      <c r="D337" s="369"/>
      <c r="E337" s="393" t="s">
        <v>3455</v>
      </c>
      <c r="F337" s="344" t="s">
        <v>1314</v>
      </c>
      <c r="G337" s="112" t="s">
        <v>6</v>
      </c>
      <c r="H337" s="493">
        <v>45821</v>
      </c>
      <c r="I337" s="25"/>
      <c r="J337" s="100" t="s">
        <v>99</v>
      </c>
      <c r="K337" s="513"/>
      <c r="L337" s="514"/>
      <c r="M337" s="515"/>
      <c r="N337" s="31"/>
      <c r="O337" s="53"/>
      <c r="P337" s="55"/>
      <c r="Q337" s="346">
        <v>45824</v>
      </c>
      <c r="R337" s="148">
        <f>Q337/H337</f>
        <v>1.0000654721634186</v>
      </c>
      <c r="S337" s="101" t="s">
        <v>2747</v>
      </c>
      <c r="T337" s="57"/>
    </row>
    <row r="338" spans="1:20" ht="57.6" x14ac:dyDescent="0.3">
      <c r="A338" s="98">
        <f t="shared" ca="1" si="18"/>
        <v>376</v>
      </c>
      <c r="B338" s="111">
        <v>1550</v>
      </c>
      <c r="C338" s="502">
        <v>45821</v>
      </c>
      <c r="D338" s="369"/>
      <c r="E338" s="270" t="s">
        <v>3456</v>
      </c>
      <c r="F338" s="344" t="s">
        <v>51</v>
      </c>
      <c r="G338" s="112" t="s">
        <v>4</v>
      </c>
      <c r="H338" s="493">
        <v>45821</v>
      </c>
      <c r="I338" s="25"/>
      <c r="J338" s="107" t="s">
        <v>3095</v>
      </c>
      <c r="K338" s="513"/>
      <c r="L338" s="514"/>
      <c r="M338" s="515"/>
      <c r="N338" s="31"/>
      <c r="O338" s="53"/>
      <c r="P338" s="55"/>
      <c r="Q338" s="516">
        <v>45824</v>
      </c>
      <c r="R338" s="148">
        <f>Q338-H338</f>
        <v>3</v>
      </c>
      <c r="S338" s="101" t="s">
        <v>2979</v>
      </c>
      <c r="T338" s="57"/>
    </row>
    <row r="339" spans="1:20" ht="57.6" x14ac:dyDescent="0.3">
      <c r="A339" s="98">
        <f t="shared" ca="1" si="18"/>
        <v>377</v>
      </c>
      <c r="B339" s="111">
        <v>1550</v>
      </c>
      <c r="C339" s="502">
        <v>45821</v>
      </c>
      <c r="D339" s="369"/>
      <c r="E339" s="270" t="s">
        <v>3457</v>
      </c>
      <c r="F339" s="344" t="s">
        <v>51</v>
      </c>
      <c r="G339" s="112" t="s">
        <v>4</v>
      </c>
      <c r="H339" s="493">
        <v>45821</v>
      </c>
      <c r="I339" s="25"/>
      <c r="J339" s="100" t="s">
        <v>3095</v>
      </c>
      <c r="K339" s="513"/>
      <c r="L339" s="514"/>
      <c r="M339" s="515"/>
      <c r="N339" s="31"/>
      <c r="O339" s="53"/>
      <c r="P339" s="55"/>
      <c r="Q339" s="516">
        <v>45824</v>
      </c>
      <c r="R339" s="148">
        <f>Q339-H339</f>
        <v>3</v>
      </c>
      <c r="S339" s="101" t="s">
        <v>3049</v>
      </c>
      <c r="T339" s="257"/>
    </row>
    <row r="340" spans="1:20" ht="57.6" x14ac:dyDescent="0.3">
      <c r="A340" s="98">
        <f t="shared" ca="1" si="18"/>
        <v>378</v>
      </c>
      <c r="B340" s="111" t="s">
        <v>80</v>
      </c>
      <c r="C340" s="502">
        <v>45821</v>
      </c>
      <c r="D340" s="369"/>
      <c r="E340" s="393" t="s">
        <v>3458</v>
      </c>
      <c r="F340" s="344" t="s">
        <v>1314</v>
      </c>
      <c r="G340" s="112" t="s">
        <v>6</v>
      </c>
      <c r="H340" s="493">
        <v>45821</v>
      </c>
      <c r="I340" s="25"/>
      <c r="J340" s="100" t="s">
        <v>99</v>
      </c>
      <c r="K340" s="513"/>
      <c r="L340" s="514"/>
      <c r="M340" s="515"/>
      <c r="N340" s="31"/>
      <c r="O340" s="53"/>
      <c r="P340" s="55"/>
      <c r="Q340" s="516">
        <v>45824</v>
      </c>
      <c r="R340" s="148">
        <f>Q340/H340</f>
        <v>1.0000654721634186</v>
      </c>
      <c r="S340" s="101" t="s">
        <v>2747</v>
      </c>
      <c r="T340" s="57"/>
    </row>
    <row r="341" spans="1:20" ht="57.6" x14ac:dyDescent="0.3">
      <c r="A341" s="98">
        <f t="shared" ca="1" si="18"/>
        <v>379</v>
      </c>
      <c r="B341" s="111" t="s">
        <v>80</v>
      </c>
      <c r="C341" s="502">
        <v>45821</v>
      </c>
      <c r="D341" s="369"/>
      <c r="E341" s="393" t="s">
        <v>3459</v>
      </c>
      <c r="F341" s="344" t="s">
        <v>1314</v>
      </c>
      <c r="G341" s="112" t="s">
        <v>6</v>
      </c>
      <c r="H341" s="493">
        <v>45821</v>
      </c>
      <c r="I341" s="25"/>
      <c r="J341" s="100" t="s">
        <v>99</v>
      </c>
      <c r="K341" s="513"/>
      <c r="L341" s="514"/>
      <c r="M341" s="515"/>
      <c r="N341" s="31"/>
      <c r="O341" s="53"/>
      <c r="P341" s="55"/>
      <c r="Q341" s="516">
        <v>45824</v>
      </c>
      <c r="R341" s="148">
        <f>Q341/H341</f>
        <v>1.0000654721634186</v>
      </c>
      <c r="S341" s="101" t="s">
        <v>2747</v>
      </c>
      <c r="T341" s="57"/>
    </row>
    <row r="342" spans="1:20" ht="57.6" x14ac:dyDescent="0.3">
      <c r="A342" s="98">
        <f t="shared" ca="1" si="18"/>
        <v>380</v>
      </c>
      <c r="B342" s="111" t="s">
        <v>80</v>
      </c>
      <c r="C342" s="502">
        <v>45821</v>
      </c>
      <c r="D342" s="369"/>
      <c r="E342" s="393" t="s">
        <v>3460</v>
      </c>
      <c r="F342" s="344" t="s">
        <v>1314</v>
      </c>
      <c r="G342" s="112" t="s">
        <v>6</v>
      </c>
      <c r="H342" s="493">
        <v>45821</v>
      </c>
      <c r="I342" s="503"/>
      <c r="J342" s="100" t="s">
        <v>99</v>
      </c>
      <c r="K342" s="513"/>
      <c r="L342" s="514"/>
      <c r="M342" s="515"/>
      <c r="N342" s="31"/>
      <c r="O342" s="53"/>
      <c r="P342" s="55"/>
      <c r="Q342" s="516">
        <v>45824</v>
      </c>
      <c r="R342" s="148">
        <f>Q342/H342</f>
        <v>1.0000654721634186</v>
      </c>
      <c r="S342" s="101" t="s">
        <v>2747</v>
      </c>
      <c r="T342" s="57"/>
    </row>
    <row r="343" spans="1:20" ht="57.6" x14ac:dyDescent="0.3">
      <c r="A343" s="98">
        <f t="shared" ca="1" si="18"/>
        <v>381</v>
      </c>
      <c r="B343" s="111" t="s">
        <v>80</v>
      </c>
      <c r="C343" s="512">
        <v>45821</v>
      </c>
      <c r="D343" s="369"/>
      <c r="E343" s="393" t="s">
        <v>3461</v>
      </c>
      <c r="F343" s="386" t="s">
        <v>1314</v>
      </c>
      <c r="G343" s="376" t="s">
        <v>6</v>
      </c>
      <c r="H343" s="493">
        <v>45821</v>
      </c>
      <c r="I343" s="517"/>
      <c r="J343" s="100" t="s">
        <v>99</v>
      </c>
      <c r="K343" s="513"/>
      <c r="L343" s="514"/>
      <c r="M343" s="515"/>
      <c r="N343" s="31"/>
      <c r="O343" s="53"/>
      <c r="P343" s="55"/>
      <c r="Q343" s="516">
        <v>45824</v>
      </c>
      <c r="R343" s="148">
        <f>Q343/H343</f>
        <v>1.0000654721634186</v>
      </c>
      <c r="S343" s="101" t="s">
        <v>2747</v>
      </c>
      <c r="T343" s="57"/>
    </row>
    <row r="344" spans="1:20" ht="57.6" x14ac:dyDescent="0.3">
      <c r="A344" s="98">
        <f t="shared" ca="1" si="18"/>
        <v>388</v>
      </c>
      <c r="B344" s="111" t="s">
        <v>301</v>
      </c>
      <c r="C344" s="512">
        <v>45821</v>
      </c>
      <c r="D344" s="369"/>
      <c r="E344" s="270" t="s">
        <v>3462</v>
      </c>
      <c r="F344" s="388" t="s">
        <v>33</v>
      </c>
      <c r="G344" s="376" t="s">
        <v>6</v>
      </c>
      <c r="H344" s="493">
        <v>45821</v>
      </c>
      <c r="I344" s="503"/>
      <c r="J344" s="100" t="s">
        <v>1315</v>
      </c>
      <c r="K344" s="513"/>
      <c r="L344" s="514"/>
      <c r="M344" s="515"/>
      <c r="N344" s="31"/>
      <c r="O344" s="53"/>
      <c r="P344" s="55"/>
      <c r="Q344" s="346">
        <v>45824</v>
      </c>
      <c r="R344" s="148">
        <f>Q344/H344</f>
        <v>1.0000654721634186</v>
      </c>
      <c r="S344" s="101" t="s">
        <v>1934</v>
      </c>
      <c r="T344" s="57"/>
    </row>
    <row r="345" spans="1:20" ht="57.6" x14ac:dyDescent="0.3">
      <c r="A345" s="98">
        <f t="shared" ca="1" si="18"/>
        <v>389</v>
      </c>
      <c r="B345" s="111">
        <v>1550</v>
      </c>
      <c r="C345" s="512">
        <v>45821</v>
      </c>
      <c r="D345" s="369"/>
      <c r="E345" s="270" t="s">
        <v>3463</v>
      </c>
      <c r="F345" s="388" t="s">
        <v>51</v>
      </c>
      <c r="G345" s="376" t="s">
        <v>4</v>
      </c>
      <c r="H345" s="493">
        <v>45821</v>
      </c>
      <c r="I345" s="503"/>
      <c r="J345" s="100" t="s">
        <v>3095</v>
      </c>
      <c r="K345" s="513"/>
      <c r="L345" s="514"/>
      <c r="M345" s="515"/>
      <c r="N345" s="31"/>
      <c r="O345" s="53"/>
      <c r="P345" s="55"/>
      <c r="Q345" s="346">
        <v>45824</v>
      </c>
      <c r="R345" s="148">
        <f>Q345-H345</f>
        <v>3</v>
      </c>
      <c r="S345" s="101" t="s">
        <v>3049</v>
      </c>
      <c r="T345" s="57"/>
    </row>
    <row r="346" spans="1:20" ht="57.6" x14ac:dyDescent="0.3">
      <c r="A346" s="98">
        <f t="shared" ca="1" si="18"/>
        <v>391</v>
      </c>
      <c r="B346" s="111">
        <v>1550</v>
      </c>
      <c r="C346" s="512">
        <v>45821</v>
      </c>
      <c r="D346" s="369"/>
      <c r="E346" s="270" t="s">
        <v>3464</v>
      </c>
      <c r="F346" s="388" t="s">
        <v>51</v>
      </c>
      <c r="G346" s="376" t="s">
        <v>4</v>
      </c>
      <c r="H346" s="493">
        <v>45821</v>
      </c>
      <c r="I346" s="503"/>
      <c r="J346" s="100" t="s">
        <v>3095</v>
      </c>
      <c r="K346" s="513"/>
      <c r="L346" s="514"/>
      <c r="M346" s="515"/>
      <c r="N346" s="31"/>
      <c r="O346" s="53"/>
      <c r="P346" s="55"/>
      <c r="Q346" s="346">
        <v>45824</v>
      </c>
      <c r="R346" s="148">
        <f>Q346-H346</f>
        <v>3</v>
      </c>
      <c r="S346" s="101" t="s">
        <v>3020</v>
      </c>
      <c r="T346" s="57"/>
    </row>
    <row r="347" spans="1:20" ht="57.6" x14ac:dyDescent="0.3">
      <c r="A347" s="98">
        <f t="shared" ca="1" si="18"/>
        <v>392</v>
      </c>
      <c r="B347" s="111">
        <v>1550</v>
      </c>
      <c r="C347" s="512">
        <v>45821</v>
      </c>
      <c r="D347" s="369"/>
      <c r="E347" s="270" t="s">
        <v>3465</v>
      </c>
      <c r="F347" s="378" t="s">
        <v>1314</v>
      </c>
      <c r="G347" s="112" t="s">
        <v>6</v>
      </c>
      <c r="H347" s="493">
        <v>45821</v>
      </c>
      <c r="I347" s="503"/>
      <c r="J347" s="100" t="s">
        <v>99</v>
      </c>
      <c r="K347" s="513"/>
      <c r="L347" s="514"/>
      <c r="M347" s="515"/>
      <c r="N347" s="31"/>
      <c r="O347" s="53"/>
      <c r="P347" s="55"/>
      <c r="Q347" s="346">
        <v>45824</v>
      </c>
      <c r="R347" s="148">
        <f>Q347/H347</f>
        <v>1.0000654721634186</v>
      </c>
      <c r="S347" s="101" t="s">
        <v>1893</v>
      </c>
      <c r="T347" s="57"/>
    </row>
    <row r="348" spans="1:20" ht="57.6" x14ac:dyDescent="0.3">
      <c r="A348" s="98">
        <f t="shared" ca="1" si="18"/>
        <v>393</v>
      </c>
      <c r="B348" s="111" t="s">
        <v>301</v>
      </c>
      <c r="C348" s="512">
        <v>45821</v>
      </c>
      <c r="D348" s="369"/>
      <c r="E348" s="393" t="s">
        <v>3466</v>
      </c>
      <c r="F348" s="378" t="s">
        <v>51</v>
      </c>
      <c r="G348" s="112" t="s">
        <v>10</v>
      </c>
      <c r="H348" s="493">
        <v>45821</v>
      </c>
      <c r="I348" s="503"/>
      <c r="J348" s="100" t="s">
        <v>3095</v>
      </c>
      <c r="K348" s="513"/>
      <c r="L348" s="514"/>
      <c r="M348" s="515"/>
      <c r="N348" s="31"/>
      <c r="O348" s="53"/>
      <c r="P348" s="55"/>
      <c r="Q348" s="516">
        <v>45824</v>
      </c>
      <c r="R348" s="148">
        <f>Q348-H348</f>
        <v>3</v>
      </c>
      <c r="S348" s="101" t="s">
        <v>1366</v>
      </c>
      <c r="T348" s="57"/>
    </row>
    <row r="349" spans="1:20" ht="57.6" x14ac:dyDescent="0.3">
      <c r="A349" s="98">
        <f t="shared" ca="1" si="18"/>
        <v>396</v>
      </c>
      <c r="B349" s="111" t="s">
        <v>80</v>
      </c>
      <c r="C349" s="512">
        <v>45822</v>
      </c>
      <c r="D349" s="369"/>
      <c r="E349" s="395" t="s">
        <v>3467</v>
      </c>
      <c r="F349" s="386" t="s">
        <v>1314</v>
      </c>
      <c r="G349" s="376" t="s">
        <v>6</v>
      </c>
      <c r="H349" s="493">
        <v>45823</v>
      </c>
      <c r="I349" s="25"/>
      <c r="J349" s="100" t="s">
        <v>99</v>
      </c>
      <c r="K349" s="518"/>
      <c r="L349" s="518"/>
      <c r="M349" s="519"/>
      <c r="N349" s="520"/>
      <c r="O349" s="520"/>
      <c r="P349" s="521"/>
      <c r="Q349" s="516">
        <v>45824</v>
      </c>
      <c r="R349" s="148">
        <f t="shared" ref="R349:R355" si="20">Q349/H349</f>
        <v>1.0000218231019358</v>
      </c>
      <c r="S349" s="101" t="s">
        <v>3468</v>
      </c>
      <c r="T349" s="201"/>
    </row>
    <row r="350" spans="1:20" ht="57.6" x14ac:dyDescent="0.3">
      <c r="A350" s="98">
        <f t="shared" ca="1" si="18"/>
        <v>397</v>
      </c>
      <c r="B350" s="111" t="s">
        <v>80</v>
      </c>
      <c r="C350" s="512">
        <v>45822</v>
      </c>
      <c r="D350" s="369"/>
      <c r="E350" s="395" t="s">
        <v>3469</v>
      </c>
      <c r="F350" s="386" t="s">
        <v>1314</v>
      </c>
      <c r="G350" s="112" t="s">
        <v>6</v>
      </c>
      <c r="H350" s="493">
        <v>45823</v>
      </c>
      <c r="I350" s="585"/>
      <c r="J350" s="107" t="s">
        <v>99</v>
      </c>
      <c r="K350" s="513"/>
      <c r="L350" s="582"/>
      <c r="M350" s="515"/>
      <c r="N350" s="31"/>
      <c r="O350" s="53"/>
      <c r="P350" s="55"/>
      <c r="Q350" s="516">
        <v>45824</v>
      </c>
      <c r="R350" s="148">
        <f t="shared" si="20"/>
        <v>1.0000218231019358</v>
      </c>
      <c r="S350" s="101" t="s">
        <v>3468</v>
      </c>
      <c r="T350" s="201"/>
    </row>
    <row r="351" spans="1:20" ht="57.6" x14ac:dyDescent="0.3">
      <c r="A351" s="98">
        <f t="shared" ca="1" si="18"/>
        <v>398</v>
      </c>
      <c r="B351" s="111" t="s">
        <v>80</v>
      </c>
      <c r="C351" s="512">
        <v>45822</v>
      </c>
      <c r="D351" s="369"/>
      <c r="E351" s="395" t="s">
        <v>3470</v>
      </c>
      <c r="F351" s="386" t="s">
        <v>1314</v>
      </c>
      <c r="G351" s="112" t="s">
        <v>6</v>
      </c>
      <c r="H351" s="493">
        <v>45823</v>
      </c>
      <c r="I351" s="585"/>
      <c r="J351" s="100" t="s">
        <v>99</v>
      </c>
      <c r="K351" s="518"/>
      <c r="L351" s="518"/>
      <c r="M351" s="519"/>
      <c r="N351" s="520"/>
      <c r="O351" s="520"/>
      <c r="P351" s="521"/>
      <c r="Q351" s="516">
        <v>45824</v>
      </c>
      <c r="R351" s="148">
        <f t="shared" si="20"/>
        <v>1.0000218231019358</v>
      </c>
      <c r="S351" s="101" t="s">
        <v>3468</v>
      </c>
      <c r="T351" s="201"/>
    </row>
    <row r="352" spans="1:20" ht="57.6" x14ac:dyDescent="0.3">
      <c r="A352" s="98">
        <f t="shared" ca="1" si="18"/>
        <v>399</v>
      </c>
      <c r="B352" s="111" t="s">
        <v>80</v>
      </c>
      <c r="C352" s="512">
        <v>45822</v>
      </c>
      <c r="D352" s="369"/>
      <c r="E352" s="395" t="s">
        <v>3471</v>
      </c>
      <c r="F352" s="386" t="s">
        <v>1314</v>
      </c>
      <c r="G352" s="112" t="s">
        <v>6</v>
      </c>
      <c r="H352" s="493">
        <v>45823</v>
      </c>
      <c r="I352" s="585"/>
      <c r="J352" s="100" t="s">
        <v>99</v>
      </c>
      <c r="K352" s="518"/>
      <c r="L352" s="518"/>
      <c r="M352" s="519"/>
      <c r="N352" s="520"/>
      <c r="O352" s="520"/>
      <c r="P352" s="521"/>
      <c r="Q352" s="516">
        <v>45824</v>
      </c>
      <c r="R352" s="148">
        <f t="shared" si="20"/>
        <v>1.0000218231019358</v>
      </c>
      <c r="S352" s="101" t="s">
        <v>3468</v>
      </c>
      <c r="T352" s="201"/>
    </row>
    <row r="353" spans="1:20" ht="57.6" x14ac:dyDescent="0.3">
      <c r="A353" s="98">
        <f t="shared" ca="1" si="18"/>
        <v>400</v>
      </c>
      <c r="B353" s="111" t="s">
        <v>80</v>
      </c>
      <c r="C353" s="512">
        <v>45822</v>
      </c>
      <c r="D353" s="369"/>
      <c r="E353" s="395" t="s">
        <v>3472</v>
      </c>
      <c r="F353" s="386" t="s">
        <v>1314</v>
      </c>
      <c r="G353" s="112" t="s">
        <v>6</v>
      </c>
      <c r="H353" s="493">
        <v>45823</v>
      </c>
      <c r="I353" s="585"/>
      <c r="J353" s="100" t="s">
        <v>99</v>
      </c>
      <c r="K353" s="513"/>
      <c r="L353" s="582"/>
      <c r="M353" s="515"/>
      <c r="N353" s="31"/>
      <c r="O353" s="53"/>
      <c r="P353" s="55"/>
      <c r="Q353" s="516">
        <v>45824</v>
      </c>
      <c r="R353" s="148">
        <f t="shared" si="20"/>
        <v>1.0000218231019358</v>
      </c>
      <c r="S353" s="101" t="s">
        <v>3468</v>
      </c>
      <c r="T353" s="201"/>
    </row>
    <row r="354" spans="1:20" ht="57.6" x14ac:dyDescent="0.3">
      <c r="A354" s="98">
        <f t="shared" ca="1" si="18"/>
        <v>401</v>
      </c>
      <c r="B354" s="111" t="s">
        <v>80</v>
      </c>
      <c r="C354" s="512">
        <v>45822</v>
      </c>
      <c r="D354" s="792"/>
      <c r="E354" s="395" t="s">
        <v>3473</v>
      </c>
      <c r="F354" s="386" t="s">
        <v>1314</v>
      </c>
      <c r="G354" s="112" t="s">
        <v>6</v>
      </c>
      <c r="H354" s="493">
        <v>45823</v>
      </c>
      <c r="I354" s="585"/>
      <c r="J354" s="100" t="s">
        <v>99</v>
      </c>
      <c r="K354" s="518"/>
      <c r="L354" s="518"/>
      <c r="M354" s="519"/>
      <c r="N354" s="520"/>
      <c r="O354" s="520"/>
      <c r="P354" s="521"/>
      <c r="Q354" s="516">
        <v>45824</v>
      </c>
      <c r="R354" s="148">
        <f t="shared" si="20"/>
        <v>1.0000218231019358</v>
      </c>
      <c r="S354" s="101" t="s">
        <v>3468</v>
      </c>
      <c r="T354" s="201"/>
    </row>
    <row r="355" spans="1:20" ht="57.6" x14ac:dyDescent="0.3">
      <c r="A355" s="98">
        <f t="shared" ca="1" si="18"/>
        <v>402</v>
      </c>
      <c r="B355" s="111" t="s">
        <v>80</v>
      </c>
      <c r="C355" s="512">
        <v>45822</v>
      </c>
      <c r="D355" s="369"/>
      <c r="E355" s="395" t="s">
        <v>3474</v>
      </c>
      <c r="F355" s="386" t="s">
        <v>1314</v>
      </c>
      <c r="G355" s="112" t="s">
        <v>6</v>
      </c>
      <c r="H355" s="493">
        <v>45823</v>
      </c>
      <c r="I355" s="585"/>
      <c r="J355" s="100" t="s">
        <v>99</v>
      </c>
      <c r="K355" s="518"/>
      <c r="L355" s="518"/>
      <c r="M355" s="519"/>
      <c r="N355" s="520"/>
      <c r="O355" s="520"/>
      <c r="P355" s="521"/>
      <c r="Q355" s="516">
        <v>45824</v>
      </c>
      <c r="R355" s="148">
        <f t="shared" si="20"/>
        <v>1.0000218231019358</v>
      </c>
      <c r="S355" s="101" t="s">
        <v>3468</v>
      </c>
      <c r="T355" s="201"/>
    </row>
    <row r="356" spans="1:20" ht="57.6" x14ac:dyDescent="0.3">
      <c r="A356" s="98">
        <f t="shared" ca="1" si="18"/>
        <v>403</v>
      </c>
      <c r="B356" s="111">
        <v>1550</v>
      </c>
      <c r="C356" s="512">
        <v>45824</v>
      </c>
      <c r="D356" s="369"/>
      <c r="E356" s="271" t="s">
        <v>3475</v>
      </c>
      <c r="F356" s="386" t="s">
        <v>21</v>
      </c>
      <c r="G356" s="112" t="s">
        <v>8</v>
      </c>
      <c r="H356" s="493">
        <v>45824</v>
      </c>
      <c r="I356" s="585"/>
      <c r="J356" s="100" t="s">
        <v>3095</v>
      </c>
      <c r="K356" s="518"/>
      <c r="L356" s="518"/>
      <c r="M356" s="519"/>
      <c r="N356" s="520"/>
      <c r="O356" s="520"/>
      <c r="P356" s="521"/>
      <c r="Q356" s="516">
        <v>45824</v>
      </c>
      <c r="R356" s="148">
        <f>Q356-H356</f>
        <v>0</v>
      </c>
      <c r="S356" s="101" t="s">
        <v>1916</v>
      </c>
      <c r="T356" s="201"/>
    </row>
    <row r="357" spans="1:20" ht="57.6" x14ac:dyDescent="0.3">
      <c r="A357" s="98">
        <f t="shared" ca="1" si="18"/>
        <v>404</v>
      </c>
      <c r="B357" s="111">
        <v>1550</v>
      </c>
      <c r="C357" s="512">
        <v>45824</v>
      </c>
      <c r="D357" s="369"/>
      <c r="E357" s="263" t="s">
        <v>3476</v>
      </c>
      <c r="F357" s="386" t="s">
        <v>1314</v>
      </c>
      <c r="G357" s="112" t="s">
        <v>6</v>
      </c>
      <c r="H357" s="493">
        <v>45823</v>
      </c>
      <c r="I357" s="585"/>
      <c r="J357" s="100" t="s">
        <v>99</v>
      </c>
      <c r="K357" s="518"/>
      <c r="L357" s="518"/>
      <c r="M357" s="519"/>
      <c r="N357" s="520"/>
      <c r="O357" s="520"/>
      <c r="P357" s="521"/>
      <c r="Q357" s="516">
        <v>45824</v>
      </c>
      <c r="R357" s="148">
        <f>Q357/H357</f>
        <v>1.0000218231019358</v>
      </c>
      <c r="S357" s="101" t="s">
        <v>1860</v>
      </c>
      <c r="T357" s="201"/>
    </row>
    <row r="358" spans="1:20" ht="57.6" x14ac:dyDescent="0.3">
      <c r="A358" s="98">
        <f t="shared" ca="1" si="18"/>
        <v>405</v>
      </c>
      <c r="B358" s="111">
        <v>1550</v>
      </c>
      <c r="C358" s="512">
        <v>45824</v>
      </c>
      <c r="D358" s="369"/>
      <c r="E358" s="264" t="s">
        <v>3477</v>
      </c>
      <c r="F358" s="386" t="s">
        <v>1314</v>
      </c>
      <c r="G358" s="112" t="s">
        <v>6</v>
      </c>
      <c r="H358" s="493">
        <v>45823</v>
      </c>
      <c r="I358" s="341"/>
      <c r="J358" s="100" t="s">
        <v>99</v>
      </c>
      <c r="K358" s="518"/>
      <c r="L358" s="518"/>
      <c r="M358" s="519"/>
      <c r="N358" s="520"/>
      <c r="O358" s="520"/>
      <c r="P358" s="521"/>
      <c r="Q358" s="516">
        <v>45824</v>
      </c>
      <c r="R358" s="148">
        <f>Q358/H358</f>
        <v>1.0000218231019358</v>
      </c>
      <c r="S358" s="101" t="s">
        <v>1936</v>
      </c>
      <c r="T358" s="201"/>
    </row>
    <row r="359" spans="1:20" ht="43.2" x14ac:dyDescent="0.3">
      <c r="A359" s="98">
        <f t="shared" ca="1" si="18"/>
        <v>406</v>
      </c>
      <c r="B359" s="111">
        <v>1550</v>
      </c>
      <c r="C359" s="512">
        <v>45824</v>
      </c>
      <c r="D359" s="369">
        <v>107106124</v>
      </c>
      <c r="E359" s="271" t="s">
        <v>3478</v>
      </c>
      <c r="F359" s="386" t="s">
        <v>7</v>
      </c>
      <c r="G359" s="376" t="s">
        <v>4</v>
      </c>
      <c r="H359" s="493">
        <v>45824</v>
      </c>
      <c r="I359" s="341"/>
      <c r="J359" s="100" t="s">
        <v>3479</v>
      </c>
      <c r="K359" s="518"/>
      <c r="L359" s="518"/>
      <c r="M359" s="519"/>
      <c r="N359" s="520"/>
      <c r="O359" s="520"/>
      <c r="P359" s="521"/>
      <c r="Q359" s="516">
        <v>45824</v>
      </c>
      <c r="R359" s="148">
        <f>Q359-H359</f>
        <v>0</v>
      </c>
      <c r="S359" s="101" t="s">
        <v>3049</v>
      </c>
      <c r="T359" s="201"/>
    </row>
    <row r="360" spans="1:20" ht="57.6" x14ac:dyDescent="0.3">
      <c r="A360" s="98">
        <f t="shared" ca="1" si="18"/>
        <v>408</v>
      </c>
      <c r="B360" s="111">
        <v>1550</v>
      </c>
      <c r="C360" s="512">
        <v>45824</v>
      </c>
      <c r="D360" s="369">
        <v>12746371</v>
      </c>
      <c r="E360" s="271" t="s">
        <v>3480</v>
      </c>
      <c r="F360" s="386" t="s">
        <v>33</v>
      </c>
      <c r="G360" s="376" t="s">
        <v>6</v>
      </c>
      <c r="H360" s="493">
        <v>45824</v>
      </c>
      <c r="I360" s="594"/>
      <c r="J360" s="100" t="s">
        <v>1315</v>
      </c>
      <c r="K360" s="518"/>
      <c r="L360" s="518"/>
      <c r="M360" s="519"/>
      <c r="N360" s="520"/>
      <c r="O360" s="520"/>
      <c r="P360" s="521"/>
      <c r="Q360" s="516">
        <v>45824</v>
      </c>
      <c r="R360" s="148">
        <f>Q360/H360</f>
        <v>1</v>
      </c>
      <c r="S360" s="101" t="s">
        <v>1927</v>
      </c>
      <c r="T360" s="201"/>
    </row>
    <row r="361" spans="1:20" ht="57.6" x14ac:dyDescent="0.3">
      <c r="A361" s="98">
        <f t="shared" ref="A361:A424" ca="1" si="21">A360+1</f>
        <v>409</v>
      </c>
      <c r="B361" s="111">
        <v>1550</v>
      </c>
      <c r="C361" s="512">
        <v>45824</v>
      </c>
      <c r="D361" s="369"/>
      <c r="E361" s="271" t="s">
        <v>3481</v>
      </c>
      <c r="F361" s="386" t="s">
        <v>51</v>
      </c>
      <c r="G361" s="112" t="s">
        <v>8</v>
      </c>
      <c r="H361" s="493">
        <v>45824</v>
      </c>
      <c r="I361" s="503"/>
      <c r="J361" s="100" t="s">
        <v>3095</v>
      </c>
      <c r="K361" s="518"/>
      <c r="L361" s="518"/>
      <c r="M361" s="519"/>
      <c r="N361" s="520"/>
      <c r="O361" s="520"/>
      <c r="P361" s="521"/>
      <c r="Q361" s="516">
        <v>45824</v>
      </c>
      <c r="R361" s="148">
        <f>Q361-H361</f>
        <v>0</v>
      </c>
      <c r="S361" s="101" t="s">
        <v>151</v>
      </c>
      <c r="T361" s="201"/>
    </row>
    <row r="362" spans="1:20" ht="72" x14ac:dyDescent="0.3">
      <c r="A362" s="98">
        <f t="shared" ca="1" si="21"/>
        <v>286</v>
      </c>
      <c r="B362" s="126">
        <v>1550</v>
      </c>
      <c r="C362" s="206">
        <v>45818</v>
      </c>
      <c r="D362" s="369">
        <v>45240027</v>
      </c>
      <c r="E362" s="213" t="s">
        <v>3482</v>
      </c>
      <c r="F362" s="388" t="s">
        <v>22</v>
      </c>
      <c r="G362" s="221" t="s">
        <v>4</v>
      </c>
      <c r="H362" s="493">
        <v>45818</v>
      </c>
      <c r="I362" s="594"/>
      <c r="J362" s="728" t="s">
        <v>3483</v>
      </c>
      <c r="K362" s="513" t="s">
        <v>262</v>
      </c>
      <c r="L362" s="514"/>
      <c r="M362" s="515"/>
      <c r="N362" s="31"/>
      <c r="O362" s="53"/>
      <c r="P362" s="55"/>
      <c r="Q362" s="346">
        <v>45825</v>
      </c>
      <c r="R362" s="148">
        <f>Q362-H362</f>
        <v>7</v>
      </c>
      <c r="S362" s="101" t="s">
        <v>3049</v>
      </c>
      <c r="T362" s="57"/>
    </row>
    <row r="363" spans="1:20" ht="43.2" x14ac:dyDescent="0.3">
      <c r="A363" s="98">
        <f t="shared" ca="1" si="21"/>
        <v>373</v>
      </c>
      <c r="B363" s="111" t="s">
        <v>80</v>
      </c>
      <c r="C363" s="512">
        <v>45821</v>
      </c>
      <c r="D363" s="369">
        <v>33713685</v>
      </c>
      <c r="E363" s="270" t="s">
        <v>3484</v>
      </c>
      <c r="F363" s="344" t="s">
        <v>22</v>
      </c>
      <c r="G363" s="112" t="s">
        <v>6</v>
      </c>
      <c r="H363" s="493">
        <v>45821</v>
      </c>
      <c r="I363" s="25"/>
      <c r="J363" s="100" t="s">
        <v>3485</v>
      </c>
      <c r="K363" s="513"/>
      <c r="L363" s="514"/>
      <c r="M363" s="515"/>
      <c r="N363" s="31"/>
      <c r="O363" s="53"/>
      <c r="P363" s="55"/>
      <c r="Q363" s="346">
        <v>45825</v>
      </c>
      <c r="R363" s="148">
        <f>Q363/H363</f>
        <v>1.0000872962178913</v>
      </c>
      <c r="S363" s="101" t="s">
        <v>2597</v>
      </c>
      <c r="T363" s="57"/>
    </row>
    <row r="364" spans="1:20" ht="57.6" x14ac:dyDescent="0.3">
      <c r="A364" s="98">
        <f t="shared" ca="1" si="21"/>
        <v>412</v>
      </c>
      <c r="B364" s="111">
        <v>1550</v>
      </c>
      <c r="C364" s="512">
        <v>45824</v>
      </c>
      <c r="D364" s="369"/>
      <c r="E364" s="270" t="s">
        <v>3486</v>
      </c>
      <c r="F364" s="386" t="s">
        <v>1314</v>
      </c>
      <c r="G364" s="112" t="s">
        <v>6</v>
      </c>
      <c r="H364" s="493">
        <v>45824</v>
      </c>
      <c r="I364" s="341"/>
      <c r="J364" s="125" t="s">
        <v>99</v>
      </c>
      <c r="K364" s="513"/>
      <c r="L364" s="514"/>
      <c r="M364" s="515"/>
      <c r="N364" s="31"/>
      <c r="O364" s="53"/>
      <c r="P364" s="55"/>
      <c r="Q364" s="516">
        <v>45825</v>
      </c>
      <c r="R364" s="148">
        <f>Q364/H364</f>
        <v>1.0000218226256983</v>
      </c>
      <c r="S364" s="101" t="s">
        <v>1936</v>
      </c>
      <c r="T364" s="57"/>
    </row>
    <row r="365" spans="1:20" ht="57.6" x14ac:dyDescent="0.3">
      <c r="A365" s="98">
        <f t="shared" ca="1" si="21"/>
        <v>413</v>
      </c>
      <c r="B365" s="111" t="s">
        <v>80</v>
      </c>
      <c r="C365" s="512">
        <v>45824</v>
      </c>
      <c r="D365" s="369"/>
      <c r="E365" s="270" t="s">
        <v>3487</v>
      </c>
      <c r="F365" s="386" t="s">
        <v>1</v>
      </c>
      <c r="G365" s="112" t="s">
        <v>6</v>
      </c>
      <c r="H365" s="493">
        <v>45824</v>
      </c>
      <c r="I365" s="341"/>
      <c r="J365" s="107" t="s">
        <v>2432</v>
      </c>
      <c r="K365" s="518"/>
      <c r="L365" s="518"/>
      <c r="M365" s="519"/>
      <c r="N365" s="520"/>
      <c r="O365" s="520"/>
      <c r="P365" s="521"/>
      <c r="Q365" s="516">
        <v>45825</v>
      </c>
      <c r="R365" s="148">
        <f>Q365/H365</f>
        <v>1.0000218226256983</v>
      </c>
      <c r="S365" s="101" t="s">
        <v>2747</v>
      </c>
      <c r="T365" s="201"/>
    </row>
    <row r="366" spans="1:20" ht="216" x14ac:dyDescent="0.3">
      <c r="A366" s="98">
        <f t="shared" ca="1" si="21"/>
        <v>419</v>
      </c>
      <c r="B366" s="111">
        <v>1550</v>
      </c>
      <c r="C366" s="512">
        <v>45824</v>
      </c>
      <c r="D366" s="369">
        <v>112264646</v>
      </c>
      <c r="E366" s="270" t="s">
        <v>3488</v>
      </c>
      <c r="F366" s="344" t="s">
        <v>1</v>
      </c>
      <c r="G366" s="112" t="s">
        <v>6</v>
      </c>
      <c r="H366" s="493">
        <v>45824</v>
      </c>
      <c r="I366" s="25"/>
      <c r="J366" s="100" t="s">
        <v>2367</v>
      </c>
      <c r="K366" s="513"/>
      <c r="L366" s="514"/>
      <c r="M366" s="515"/>
      <c r="N366" s="31"/>
      <c r="O366" s="53"/>
      <c r="P366" s="55"/>
      <c r="Q366" s="516">
        <v>45825</v>
      </c>
      <c r="R366" s="148">
        <f>Q366/H366</f>
        <v>1.0000218226256983</v>
      </c>
      <c r="S366" s="101" t="s">
        <v>1312</v>
      </c>
      <c r="T366" s="257"/>
    </row>
    <row r="367" spans="1:20" ht="57.6" x14ac:dyDescent="0.3">
      <c r="A367" s="98">
        <f t="shared" ca="1" si="21"/>
        <v>420</v>
      </c>
      <c r="B367" s="111">
        <v>1550</v>
      </c>
      <c r="C367" s="512">
        <v>45824</v>
      </c>
      <c r="D367" s="369">
        <v>110827090</v>
      </c>
      <c r="E367" s="270" t="s">
        <v>3489</v>
      </c>
      <c r="F367" s="344" t="s">
        <v>11</v>
      </c>
      <c r="G367" s="112" t="s">
        <v>4</v>
      </c>
      <c r="H367" s="493">
        <v>45824</v>
      </c>
      <c r="I367" s="25"/>
      <c r="J367" s="728" t="s">
        <v>3095</v>
      </c>
      <c r="K367" s="518"/>
      <c r="L367" s="518"/>
      <c r="M367" s="519"/>
      <c r="N367" s="520"/>
      <c r="O367" s="520"/>
      <c r="P367" s="521"/>
      <c r="Q367" s="516">
        <v>45825</v>
      </c>
      <c r="R367" s="148">
        <f>Q367-H367</f>
        <v>1</v>
      </c>
      <c r="S367" s="101" t="s">
        <v>2979</v>
      </c>
      <c r="T367" s="201"/>
    </row>
    <row r="368" spans="1:20" ht="230.4" x14ac:dyDescent="0.3">
      <c r="A368" s="98">
        <f t="shared" ca="1" si="21"/>
        <v>421</v>
      </c>
      <c r="B368" s="111" t="s">
        <v>301</v>
      </c>
      <c r="C368" s="502">
        <v>45824</v>
      </c>
      <c r="D368" s="369"/>
      <c r="E368" s="270" t="s">
        <v>3490</v>
      </c>
      <c r="F368" s="386" t="s">
        <v>9</v>
      </c>
      <c r="G368" s="112" t="s">
        <v>10</v>
      </c>
      <c r="H368" s="493">
        <v>45824</v>
      </c>
      <c r="I368" s="341"/>
      <c r="J368" s="100" t="s">
        <v>453</v>
      </c>
      <c r="K368" s="518"/>
      <c r="L368" s="518"/>
      <c r="M368" s="519"/>
      <c r="N368" s="520"/>
      <c r="O368" s="520"/>
      <c r="P368" s="521"/>
      <c r="Q368" s="516">
        <v>45825</v>
      </c>
      <c r="R368" s="148">
        <f>Q368-H368</f>
        <v>1</v>
      </c>
      <c r="S368" s="101" t="s">
        <v>214</v>
      </c>
      <c r="T368" s="57"/>
    </row>
    <row r="369" spans="1:20" ht="57.6" x14ac:dyDescent="0.3">
      <c r="A369" s="98">
        <f t="shared" ca="1" si="21"/>
        <v>422</v>
      </c>
      <c r="B369" s="111" t="s">
        <v>301</v>
      </c>
      <c r="C369" s="502">
        <v>45824</v>
      </c>
      <c r="D369" s="369"/>
      <c r="E369" s="270" t="s">
        <v>3491</v>
      </c>
      <c r="F369" s="386" t="s">
        <v>51</v>
      </c>
      <c r="G369" s="112" t="s">
        <v>10</v>
      </c>
      <c r="H369" s="493">
        <v>45824</v>
      </c>
      <c r="I369" s="341"/>
      <c r="J369" s="100" t="s">
        <v>3095</v>
      </c>
      <c r="K369" s="513"/>
      <c r="L369" s="514"/>
      <c r="M369" s="515"/>
      <c r="N369" s="31"/>
      <c r="O369" s="53"/>
      <c r="P369" s="55"/>
      <c r="Q369" s="516">
        <v>45825</v>
      </c>
      <c r="R369" s="148">
        <f>Q369-H369</f>
        <v>1</v>
      </c>
      <c r="S369" s="101" t="s">
        <v>1366</v>
      </c>
      <c r="T369" s="57"/>
    </row>
    <row r="370" spans="1:20" ht="57.6" x14ac:dyDescent="0.3">
      <c r="A370" s="98">
        <f t="shared" ca="1" si="21"/>
        <v>423</v>
      </c>
      <c r="B370" s="111">
        <v>1550</v>
      </c>
      <c r="C370" s="502">
        <v>45824</v>
      </c>
      <c r="D370" s="369"/>
      <c r="E370" s="270" t="s">
        <v>3492</v>
      </c>
      <c r="F370" s="386" t="s">
        <v>51</v>
      </c>
      <c r="G370" s="112" t="s">
        <v>10</v>
      </c>
      <c r="H370" s="493">
        <v>45824</v>
      </c>
      <c r="I370" s="341"/>
      <c r="J370" s="100" t="s">
        <v>3095</v>
      </c>
      <c r="K370" s="513"/>
      <c r="L370" s="514"/>
      <c r="M370" s="515"/>
      <c r="N370" s="31"/>
      <c r="O370" s="53"/>
      <c r="P370" s="55"/>
      <c r="Q370" s="516">
        <v>45825</v>
      </c>
      <c r="R370" s="148">
        <f>Q370-H370</f>
        <v>1</v>
      </c>
      <c r="S370" s="101" t="s">
        <v>1319</v>
      </c>
      <c r="T370" s="57"/>
    </row>
    <row r="371" spans="1:20" ht="57.6" x14ac:dyDescent="0.3">
      <c r="A371" s="98">
        <f t="shared" ca="1" si="21"/>
        <v>424</v>
      </c>
      <c r="B371" s="126" t="s">
        <v>301</v>
      </c>
      <c r="C371" s="512">
        <v>45824</v>
      </c>
      <c r="D371" s="369"/>
      <c r="E371" s="270" t="s">
        <v>3493</v>
      </c>
      <c r="F371" s="344" t="s">
        <v>51</v>
      </c>
      <c r="G371" s="112" t="s">
        <v>10</v>
      </c>
      <c r="H371" s="493">
        <v>45824</v>
      </c>
      <c r="I371" s="25"/>
      <c r="J371" s="100" t="s">
        <v>3095</v>
      </c>
      <c r="K371" s="513"/>
      <c r="L371" s="514"/>
      <c r="M371" s="515"/>
      <c r="N371" s="31"/>
      <c r="O371" s="53"/>
      <c r="P371" s="55"/>
      <c r="Q371" s="516">
        <v>45825</v>
      </c>
      <c r="R371" s="148">
        <f>Q371-H371</f>
        <v>1</v>
      </c>
      <c r="S371" s="101" t="s">
        <v>1366</v>
      </c>
      <c r="T371" s="57"/>
    </row>
    <row r="372" spans="1:20" ht="57.6" x14ac:dyDescent="0.3">
      <c r="A372" s="98">
        <f t="shared" ca="1" si="21"/>
        <v>425</v>
      </c>
      <c r="B372" s="126">
        <v>1550</v>
      </c>
      <c r="C372" s="206">
        <v>45824</v>
      </c>
      <c r="D372" s="369"/>
      <c r="E372" s="271" t="s">
        <v>3494</v>
      </c>
      <c r="F372" s="344" t="s">
        <v>1314</v>
      </c>
      <c r="G372" s="112" t="s">
        <v>6</v>
      </c>
      <c r="H372" s="493">
        <v>45824</v>
      </c>
      <c r="I372" s="25"/>
      <c r="J372" s="100" t="s">
        <v>99</v>
      </c>
      <c r="K372" s="518"/>
      <c r="L372" s="518"/>
      <c r="M372" s="519"/>
      <c r="N372" s="520"/>
      <c r="O372" s="520"/>
      <c r="P372" s="521"/>
      <c r="Q372" s="516">
        <v>45825</v>
      </c>
      <c r="R372" s="148">
        <f t="shared" ref="R372:R379" si="22">Q372/H372</f>
        <v>1.0000218226256983</v>
      </c>
      <c r="S372" s="200" t="s">
        <v>2597</v>
      </c>
      <c r="T372" s="530"/>
    </row>
    <row r="373" spans="1:20" ht="48.75" customHeight="1" x14ac:dyDescent="0.3">
      <c r="A373" s="98">
        <f t="shared" ca="1" si="21"/>
        <v>426</v>
      </c>
      <c r="B373" s="126">
        <v>1550</v>
      </c>
      <c r="C373" s="206">
        <v>45824</v>
      </c>
      <c r="D373" s="369"/>
      <c r="E373" s="271" t="s">
        <v>3495</v>
      </c>
      <c r="F373" s="386" t="s">
        <v>1314</v>
      </c>
      <c r="G373" s="112" t="s">
        <v>6</v>
      </c>
      <c r="H373" s="493">
        <v>45824</v>
      </c>
      <c r="I373" s="585"/>
      <c r="J373" s="107" t="s">
        <v>99</v>
      </c>
      <c r="K373" s="518"/>
      <c r="L373" s="518"/>
      <c r="M373" s="519"/>
      <c r="N373" s="520"/>
      <c r="O373" s="520"/>
      <c r="P373" s="521"/>
      <c r="Q373" s="516">
        <v>45825</v>
      </c>
      <c r="R373" s="148">
        <f t="shared" si="22"/>
        <v>1.0000218226256983</v>
      </c>
      <c r="S373" s="101" t="s">
        <v>2597</v>
      </c>
      <c r="T373" s="201"/>
    </row>
    <row r="374" spans="1:20" ht="48.75" customHeight="1" x14ac:dyDescent="0.3">
      <c r="A374" s="98">
        <f t="shared" ca="1" si="21"/>
        <v>427</v>
      </c>
      <c r="B374" s="126">
        <v>1550</v>
      </c>
      <c r="C374" s="206">
        <v>45825</v>
      </c>
      <c r="D374" s="369"/>
      <c r="E374" s="271" t="s">
        <v>3496</v>
      </c>
      <c r="F374" s="386" t="s">
        <v>1314</v>
      </c>
      <c r="G374" s="112" t="s">
        <v>6</v>
      </c>
      <c r="H374" s="493">
        <v>45825</v>
      </c>
      <c r="I374" s="585"/>
      <c r="J374" s="107" t="s">
        <v>99</v>
      </c>
      <c r="K374" s="513"/>
      <c r="L374" s="514"/>
      <c r="M374" s="515"/>
      <c r="N374" s="31"/>
      <c r="O374" s="53"/>
      <c r="P374" s="55"/>
      <c r="Q374" s="516">
        <v>45825</v>
      </c>
      <c r="R374" s="148">
        <f t="shared" si="22"/>
        <v>1</v>
      </c>
      <c r="S374" s="101" t="s">
        <v>1893</v>
      </c>
      <c r="T374" s="57"/>
    </row>
    <row r="375" spans="1:20" ht="48.75" customHeight="1" x14ac:dyDescent="0.3">
      <c r="A375" s="98">
        <f t="shared" ca="1" si="21"/>
        <v>429</v>
      </c>
      <c r="B375" s="111">
        <v>1550</v>
      </c>
      <c r="C375" s="206">
        <v>45825</v>
      </c>
      <c r="D375" s="369"/>
      <c r="E375" s="270" t="s">
        <v>3497</v>
      </c>
      <c r="F375" s="386" t="s">
        <v>1314</v>
      </c>
      <c r="G375" s="112" t="s">
        <v>6</v>
      </c>
      <c r="H375" s="493">
        <v>45825</v>
      </c>
      <c r="I375" s="341"/>
      <c r="J375" s="100" t="s">
        <v>99</v>
      </c>
      <c r="K375" s="513"/>
      <c r="L375" s="514"/>
      <c r="M375" s="515"/>
      <c r="N375" s="31"/>
      <c r="O375" s="53"/>
      <c r="P375" s="55"/>
      <c r="Q375" s="516">
        <v>45825</v>
      </c>
      <c r="R375" s="148">
        <f t="shared" si="22"/>
        <v>1</v>
      </c>
      <c r="S375" s="101" t="s">
        <v>1312</v>
      </c>
      <c r="T375" s="57"/>
    </row>
    <row r="376" spans="1:20" ht="48.75" customHeight="1" x14ac:dyDescent="0.3">
      <c r="A376" s="98">
        <f t="shared" ca="1" si="21"/>
        <v>433</v>
      </c>
      <c r="B376" s="111">
        <v>1550</v>
      </c>
      <c r="C376" s="512">
        <v>45825</v>
      </c>
      <c r="D376" s="369"/>
      <c r="E376" s="270" t="s">
        <v>3498</v>
      </c>
      <c r="F376" s="386" t="s">
        <v>1314</v>
      </c>
      <c r="G376" s="112" t="s">
        <v>6</v>
      </c>
      <c r="H376" s="493">
        <v>45825</v>
      </c>
      <c r="I376" s="341"/>
      <c r="J376" s="100" t="s">
        <v>99</v>
      </c>
      <c r="K376" s="513"/>
      <c r="L376" s="514"/>
      <c r="M376" s="515"/>
      <c r="N376" s="31"/>
      <c r="O376" s="53"/>
      <c r="P376" s="55"/>
      <c r="Q376" s="516">
        <v>45825</v>
      </c>
      <c r="R376" s="148">
        <f t="shared" si="22"/>
        <v>1</v>
      </c>
      <c r="S376" s="101" t="s">
        <v>1893</v>
      </c>
      <c r="T376" s="57"/>
    </row>
    <row r="377" spans="1:20" ht="48.75" customHeight="1" x14ac:dyDescent="0.3">
      <c r="A377" s="98">
        <f t="shared" ca="1" si="21"/>
        <v>434</v>
      </c>
      <c r="B377" s="111">
        <v>1550</v>
      </c>
      <c r="C377" s="512">
        <v>45825</v>
      </c>
      <c r="D377" s="369"/>
      <c r="E377" s="213" t="s">
        <v>3499</v>
      </c>
      <c r="F377" s="386" t="s">
        <v>1314</v>
      </c>
      <c r="G377" s="221" t="s">
        <v>6</v>
      </c>
      <c r="H377" s="493">
        <v>45825</v>
      </c>
      <c r="I377" s="594"/>
      <c r="J377" s="100" t="s">
        <v>99</v>
      </c>
      <c r="K377" s="518"/>
      <c r="L377" s="518"/>
      <c r="M377" s="519"/>
      <c r="N377" s="520"/>
      <c r="O377" s="520"/>
      <c r="P377" s="521"/>
      <c r="Q377" s="516">
        <v>45825</v>
      </c>
      <c r="R377" s="148">
        <f t="shared" si="22"/>
        <v>1</v>
      </c>
      <c r="S377" s="101" t="s">
        <v>1860</v>
      </c>
      <c r="T377" s="57"/>
    </row>
    <row r="378" spans="1:20" ht="48.75" customHeight="1" x14ac:dyDescent="0.3">
      <c r="A378" s="98">
        <f t="shared" ca="1" si="21"/>
        <v>437</v>
      </c>
      <c r="B378" s="126">
        <v>1550</v>
      </c>
      <c r="C378" s="206">
        <v>45825</v>
      </c>
      <c r="D378" s="369"/>
      <c r="E378" s="212" t="s">
        <v>3500</v>
      </c>
      <c r="F378" s="386" t="s">
        <v>1314</v>
      </c>
      <c r="G378" s="221" t="s">
        <v>6</v>
      </c>
      <c r="H378" s="493">
        <v>45825</v>
      </c>
      <c r="I378" s="594"/>
      <c r="J378" s="100" t="s">
        <v>99</v>
      </c>
      <c r="K378" s="518"/>
      <c r="L378" s="518"/>
      <c r="M378" s="519"/>
      <c r="N378" s="520"/>
      <c r="O378" s="520"/>
      <c r="P378" s="521"/>
      <c r="Q378" s="516">
        <v>45825</v>
      </c>
      <c r="R378" s="148">
        <f t="shared" si="22"/>
        <v>1</v>
      </c>
      <c r="S378" s="101" t="s">
        <v>1927</v>
      </c>
      <c r="T378" s="257"/>
    </row>
    <row r="379" spans="1:20" ht="57.6" x14ac:dyDescent="0.3">
      <c r="A379" s="98">
        <f t="shared" ca="1" si="21"/>
        <v>438</v>
      </c>
      <c r="B379" s="126">
        <v>1550</v>
      </c>
      <c r="C379" s="206">
        <v>45825</v>
      </c>
      <c r="D379" s="369"/>
      <c r="E379" s="271" t="s">
        <v>3501</v>
      </c>
      <c r="F379" s="386" t="s">
        <v>1314</v>
      </c>
      <c r="G379" s="377" t="s">
        <v>6</v>
      </c>
      <c r="H379" s="493">
        <v>45825</v>
      </c>
      <c r="I379" s="594"/>
      <c r="J379" s="125" t="s">
        <v>99</v>
      </c>
      <c r="K379" s="518"/>
      <c r="L379" s="518"/>
      <c r="M379" s="519"/>
      <c r="N379" s="520"/>
      <c r="O379" s="520"/>
      <c r="P379" s="521"/>
      <c r="Q379" s="516">
        <v>45825</v>
      </c>
      <c r="R379" s="148">
        <f t="shared" si="22"/>
        <v>1</v>
      </c>
      <c r="S379" s="101" t="s">
        <v>1927</v>
      </c>
      <c r="T379" s="57"/>
    </row>
    <row r="380" spans="1:20" ht="43.2" x14ac:dyDescent="0.3">
      <c r="A380" s="98">
        <f t="shared" ca="1" si="21"/>
        <v>440</v>
      </c>
      <c r="B380" s="126">
        <v>1550</v>
      </c>
      <c r="C380" s="206">
        <v>45825</v>
      </c>
      <c r="D380" s="369">
        <v>4066154</v>
      </c>
      <c r="E380" s="271" t="s">
        <v>3502</v>
      </c>
      <c r="F380" s="386" t="s">
        <v>49</v>
      </c>
      <c r="G380" s="376" t="s">
        <v>8</v>
      </c>
      <c r="H380" s="493">
        <v>45825</v>
      </c>
      <c r="I380" s="341"/>
      <c r="J380" s="125" t="s">
        <v>266</v>
      </c>
      <c r="K380" s="518"/>
      <c r="L380" s="518"/>
      <c r="M380" s="519"/>
      <c r="N380" s="520"/>
      <c r="O380" s="520"/>
      <c r="P380" s="521"/>
      <c r="Q380" s="516">
        <v>45825</v>
      </c>
      <c r="R380" s="148">
        <f>Q380-H380</f>
        <v>0</v>
      </c>
      <c r="S380" s="101" t="s">
        <v>3503</v>
      </c>
      <c r="T380" s="201"/>
    </row>
    <row r="381" spans="1:20" ht="57.6" x14ac:dyDescent="0.3">
      <c r="A381" s="98">
        <f t="shared" ca="1" si="21"/>
        <v>441</v>
      </c>
      <c r="B381" s="126" t="s">
        <v>301</v>
      </c>
      <c r="C381" s="206">
        <v>45825</v>
      </c>
      <c r="D381" s="369"/>
      <c r="E381" s="263" t="s">
        <v>3504</v>
      </c>
      <c r="F381" s="386" t="s">
        <v>1314</v>
      </c>
      <c r="G381" s="377" t="s">
        <v>6</v>
      </c>
      <c r="H381" s="493">
        <v>45825</v>
      </c>
      <c r="I381" s="594"/>
      <c r="J381" s="100" t="s">
        <v>99</v>
      </c>
      <c r="K381" s="518"/>
      <c r="L381" s="518"/>
      <c r="M381" s="519"/>
      <c r="N381" s="520"/>
      <c r="O381" s="520"/>
      <c r="P381" s="521"/>
      <c r="Q381" s="516">
        <v>45825</v>
      </c>
      <c r="R381" s="148">
        <f>Q381/H381</f>
        <v>1</v>
      </c>
      <c r="S381" s="101" t="s">
        <v>1860</v>
      </c>
      <c r="T381" s="201"/>
    </row>
    <row r="382" spans="1:20" ht="57.6" x14ac:dyDescent="0.3">
      <c r="A382" s="98">
        <f t="shared" ca="1" si="21"/>
        <v>442</v>
      </c>
      <c r="B382" s="126">
        <v>1550</v>
      </c>
      <c r="C382" s="206">
        <v>45825</v>
      </c>
      <c r="D382" s="369"/>
      <c r="E382" s="264" t="s">
        <v>3505</v>
      </c>
      <c r="F382" s="386" t="s">
        <v>1314</v>
      </c>
      <c r="G382" s="377" t="s">
        <v>6</v>
      </c>
      <c r="H382" s="493">
        <v>45825</v>
      </c>
      <c r="I382" s="594"/>
      <c r="J382" s="100" t="s">
        <v>99</v>
      </c>
      <c r="K382" s="518"/>
      <c r="L382" s="518"/>
      <c r="M382" s="519"/>
      <c r="N382" s="520"/>
      <c r="O382" s="520"/>
      <c r="P382" s="521"/>
      <c r="Q382" s="516">
        <v>45825</v>
      </c>
      <c r="R382" s="148">
        <f>Q382/H382</f>
        <v>1</v>
      </c>
      <c r="S382" s="101" t="s">
        <v>1927</v>
      </c>
      <c r="T382" s="201"/>
    </row>
    <row r="383" spans="1:20" ht="57.6" x14ac:dyDescent="0.3">
      <c r="A383" s="98">
        <f t="shared" ca="1" si="21"/>
        <v>445</v>
      </c>
      <c r="B383" s="126">
        <v>1550</v>
      </c>
      <c r="C383" s="206">
        <v>45825</v>
      </c>
      <c r="D383" s="369"/>
      <c r="E383" s="264" t="s">
        <v>3506</v>
      </c>
      <c r="F383" s="386" t="s">
        <v>1314</v>
      </c>
      <c r="G383" s="377" t="s">
        <v>6</v>
      </c>
      <c r="H383" s="493">
        <v>45825</v>
      </c>
      <c r="I383" s="594"/>
      <c r="J383" s="100" t="s">
        <v>99</v>
      </c>
      <c r="K383" s="518"/>
      <c r="L383" s="518"/>
      <c r="M383" s="519"/>
      <c r="N383" s="520"/>
      <c r="O383" s="520"/>
      <c r="P383" s="521"/>
      <c r="Q383" s="516">
        <v>45825</v>
      </c>
      <c r="R383" s="148">
        <f>Q383/H383</f>
        <v>1</v>
      </c>
      <c r="S383" s="101" t="s">
        <v>1936</v>
      </c>
      <c r="T383" s="57"/>
    </row>
    <row r="384" spans="1:20" ht="57.6" x14ac:dyDescent="0.3">
      <c r="A384" s="98">
        <f t="shared" ca="1" si="21"/>
        <v>446</v>
      </c>
      <c r="B384" s="111">
        <v>1550</v>
      </c>
      <c r="C384" s="512">
        <v>45825</v>
      </c>
      <c r="D384" s="369"/>
      <c r="E384" s="264" t="s">
        <v>3507</v>
      </c>
      <c r="F384" s="386" t="s">
        <v>1314</v>
      </c>
      <c r="G384" s="377" t="s">
        <v>6</v>
      </c>
      <c r="H384" s="493">
        <v>45825</v>
      </c>
      <c r="I384" s="594"/>
      <c r="J384" s="100" t="s">
        <v>99</v>
      </c>
      <c r="K384" s="518"/>
      <c r="L384" s="518"/>
      <c r="M384" s="519"/>
      <c r="N384" s="520"/>
      <c r="O384" s="520"/>
      <c r="P384" s="521"/>
      <c r="Q384" s="516">
        <v>45825</v>
      </c>
      <c r="R384" s="148">
        <f>Q384/H384</f>
        <v>1</v>
      </c>
      <c r="S384" s="101" t="s">
        <v>1936</v>
      </c>
      <c r="T384" s="57"/>
    </row>
    <row r="385" spans="1:20" ht="57.6" x14ac:dyDescent="0.3">
      <c r="A385" s="98">
        <f t="shared" ca="1" si="21"/>
        <v>450</v>
      </c>
      <c r="B385" s="111" t="s">
        <v>301</v>
      </c>
      <c r="C385" s="512">
        <v>45825</v>
      </c>
      <c r="D385" s="369"/>
      <c r="E385" s="393" t="s">
        <v>3508</v>
      </c>
      <c r="F385" s="386" t="s">
        <v>51</v>
      </c>
      <c r="G385" s="377" t="s">
        <v>10</v>
      </c>
      <c r="H385" s="493">
        <v>45825</v>
      </c>
      <c r="I385" s="594"/>
      <c r="J385" s="100" t="s">
        <v>3095</v>
      </c>
      <c r="K385" s="518"/>
      <c r="L385" s="518"/>
      <c r="M385" s="519"/>
      <c r="N385" s="520"/>
      <c r="O385" s="520"/>
      <c r="P385" s="521"/>
      <c r="Q385" s="346">
        <v>45825</v>
      </c>
      <c r="R385" s="148">
        <f t="shared" ref="R385:R391" si="23">Q385-H385</f>
        <v>0</v>
      </c>
      <c r="S385" s="101" t="s">
        <v>1366</v>
      </c>
      <c r="T385" s="201"/>
    </row>
    <row r="386" spans="1:20" ht="57.6" x14ac:dyDescent="0.3">
      <c r="A386" s="98">
        <f t="shared" ca="1" si="21"/>
        <v>451</v>
      </c>
      <c r="B386" s="111" t="s">
        <v>301</v>
      </c>
      <c r="C386" s="512">
        <v>45825</v>
      </c>
      <c r="D386" s="369"/>
      <c r="E386" s="463" t="s">
        <v>3509</v>
      </c>
      <c r="F386" s="386" t="s">
        <v>51</v>
      </c>
      <c r="G386" s="377" t="s">
        <v>10</v>
      </c>
      <c r="H386" s="493">
        <v>45825</v>
      </c>
      <c r="I386" s="594"/>
      <c r="J386" s="100" t="s">
        <v>3095</v>
      </c>
      <c r="K386" s="518"/>
      <c r="L386" s="518"/>
      <c r="M386" s="519"/>
      <c r="N386" s="520"/>
      <c r="O386" s="520"/>
      <c r="P386" s="521"/>
      <c r="Q386" s="346">
        <v>45825</v>
      </c>
      <c r="R386" s="148">
        <f t="shared" si="23"/>
        <v>0</v>
      </c>
      <c r="S386" s="101" t="s">
        <v>214</v>
      </c>
      <c r="T386" s="201"/>
    </row>
    <row r="387" spans="1:20" ht="57.6" x14ac:dyDescent="0.3">
      <c r="A387" s="98">
        <f t="shared" ca="1" si="21"/>
        <v>452</v>
      </c>
      <c r="B387" s="111">
        <v>1550</v>
      </c>
      <c r="C387" s="512">
        <v>45825</v>
      </c>
      <c r="D387" s="369"/>
      <c r="E387" s="393" t="s">
        <v>3510</v>
      </c>
      <c r="F387" s="386" t="s">
        <v>51</v>
      </c>
      <c r="G387" s="377" t="s">
        <v>10</v>
      </c>
      <c r="H387" s="493">
        <v>45825</v>
      </c>
      <c r="I387" s="594"/>
      <c r="J387" s="125" t="s">
        <v>3095</v>
      </c>
      <c r="K387" s="518"/>
      <c r="L387" s="518"/>
      <c r="M387" s="519"/>
      <c r="N387" s="520"/>
      <c r="O387" s="520"/>
      <c r="P387" s="521"/>
      <c r="Q387" s="346">
        <v>45825</v>
      </c>
      <c r="R387" s="148">
        <f t="shared" si="23"/>
        <v>0</v>
      </c>
      <c r="S387" s="101" t="s">
        <v>755</v>
      </c>
      <c r="T387" s="201"/>
    </row>
    <row r="388" spans="1:20" ht="57.6" x14ac:dyDescent="0.3">
      <c r="A388" s="98">
        <f t="shared" ca="1" si="21"/>
        <v>453</v>
      </c>
      <c r="B388" s="111">
        <v>1550</v>
      </c>
      <c r="C388" s="512">
        <v>45825</v>
      </c>
      <c r="D388" s="369"/>
      <c r="E388" s="393" t="s">
        <v>3511</v>
      </c>
      <c r="F388" s="386" t="s">
        <v>51</v>
      </c>
      <c r="G388" s="377" t="s">
        <v>10</v>
      </c>
      <c r="H388" s="493">
        <v>45825</v>
      </c>
      <c r="I388" s="594"/>
      <c r="J388" s="100" t="s">
        <v>3095</v>
      </c>
      <c r="K388" s="518"/>
      <c r="L388" s="518"/>
      <c r="M388" s="519"/>
      <c r="N388" s="520"/>
      <c r="O388" s="520"/>
      <c r="P388" s="521"/>
      <c r="Q388" s="346">
        <v>45825</v>
      </c>
      <c r="R388" s="148">
        <f t="shared" si="23"/>
        <v>0</v>
      </c>
      <c r="S388" s="101" t="s">
        <v>2213</v>
      </c>
      <c r="T388" s="201"/>
    </row>
    <row r="389" spans="1:20" ht="57.6" x14ac:dyDescent="0.3">
      <c r="A389" s="98">
        <f t="shared" ca="1" si="21"/>
        <v>454</v>
      </c>
      <c r="B389" s="111">
        <v>1550</v>
      </c>
      <c r="C389" s="512">
        <v>45825</v>
      </c>
      <c r="D389" s="369">
        <v>112294405</v>
      </c>
      <c r="E389" s="393" t="s">
        <v>3512</v>
      </c>
      <c r="F389" s="386" t="s">
        <v>15</v>
      </c>
      <c r="G389" s="377" t="s">
        <v>10</v>
      </c>
      <c r="H389" s="493">
        <v>45825</v>
      </c>
      <c r="I389" s="341"/>
      <c r="J389" s="728" t="s">
        <v>3095</v>
      </c>
      <c r="K389" s="518"/>
      <c r="L389" s="518"/>
      <c r="M389" s="519"/>
      <c r="N389" s="520"/>
      <c r="O389" s="520"/>
      <c r="P389" s="521"/>
      <c r="Q389" s="346">
        <v>45825</v>
      </c>
      <c r="R389" s="148">
        <f t="shared" si="23"/>
        <v>0</v>
      </c>
      <c r="S389" s="101" t="s">
        <v>755</v>
      </c>
      <c r="T389" s="201"/>
    </row>
    <row r="390" spans="1:20" ht="144" x14ac:dyDescent="0.3">
      <c r="A390" s="98">
        <f t="shared" ca="1" si="21"/>
        <v>33</v>
      </c>
      <c r="B390" s="219" t="s">
        <v>301</v>
      </c>
      <c r="C390" s="650">
        <v>45810</v>
      </c>
      <c r="D390" s="369">
        <v>78907640</v>
      </c>
      <c r="E390" s="270" t="s">
        <v>3513</v>
      </c>
      <c r="F390" s="385" t="s">
        <v>7</v>
      </c>
      <c r="G390" s="373" t="s">
        <v>10</v>
      </c>
      <c r="H390" s="524">
        <v>45810</v>
      </c>
      <c r="I390" s="545"/>
      <c r="J390" s="299" t="s">
        <v>2513</v>
      </c>
      <c r="K390" s="802"/>
      <c r="L390" s="802"/>
      <c r="M390" s="805"/>
      <c r="N390" s="802"/>
      <c r="O390" s="802"/>
      <c r="P390" s="805"/>
      <c r="Q390" s="529">
        <v>45826</v>
      </c>
      <c r="R390" s="148">
        <f t="shared" si="23"/>
        <v>16</v>
      </c>
      <c r="S390" s="200" t="s">
        <v>1729</v>
      </c>
      <c r="T390" s="814"/>
    </row>
    <row r="391" spans="1:20" ht="57.6" x14ac:dyDescent="0.3">
      <c r="A391" s="98">
        <f t="shared" ca="1" si="21"/>
        <v>430</v>
      </c>
      <c r="B391" s="126">
        <v>1550</v>
      </c>
      <c r="C391" s="206">
        <v>45825</v>
      </c>
      <c r="D391" s="369"/>
      <c r="E391" s="270" t="s">
        <v>3514</v>
      </c>
      <c r="F391" s="386" t="s">
        <v>51</v>
      </c>
      <c r="G391" s="221" t="s">
        <v>8</v>
      </c>
      <c r="H391" s="493">
        <v>45825</v>
      </c>
      <c r="I391" s="594"/>
      <c r="J391" s="107" t="s">
        <v>3095</v>
      </c>
      <c r="K391" s="518"/>
      <c r="L391" s="518"/>
      <c r="M391" s="519"/>
      <c r="N391" s="520"/>
      <c r="O391" s="520"/>
      <c r="P391" s="521"/>
      <c r="Q391" s="346">
        <v>45826</v>
      </c>
      <c r="R391" s="148">
        <f t="shared" si="23"/>
        <v>1</v>
      </c>
      <c r="S391" s="101" t="s">
        <v>1677</v>
      </c>
      <c r="T391" s="201"/>
    </row>
    <row r="392" spans="1:20" ht="57.6" x14ac:dyDescent="0.3">
      <c r="A392" s="98">
        <f t="shared" ca="1" si="21"/>
        <v>448</v>
      </c>
      <c r="B392" s="111" t="s">
        <v>80</v>
      </c>
      <c r="C392" s="512">
        <v>45825</v>
      </c>
      <c r="D392" s="369"/>
      <c r="E392" s="270" t="s">
        <v>3515</v>
      </c>
      <c r="F392" s="386" t="s">
        <v>1314</v>
      </c>
      <c r="G392" s="221" t="s">
        <v>6</v>
      </c>
      <c r="H392" s="493">
        <v>45825</v>
      </c>
      <c r="I392" s="594"/>
      <c r="J392" s="107" t="s">
        <v>99</v>
      </c>
      <c r="K392" s="518"/>
      <c r="L392" s="518"/>
      <c r="M392" s="519"/>
      <c r="N392" s="520"/>
      <c r="O392" s="520"/>
      <c r="P392" s="521"/>
      <c r="Q392" s="346">
        <v>45826</v>
      </c>
      <c r="R392" s="148">
        <f>Q392/H392</f>
        <v>1.0000218221494817</v>
      </c>
      <c r="S392" s="101" t="s">
        <v>2747</v>
      </c>
      <c r="T392" s="201"/>
    </row>
    <row r="393" spans="1:20" ht="57.6" x14ac:dyDescent="0.3">
      <c r="A393" s="98">
        <f t="shared" ca="1" si="21"/>
        <v>449</v>
      </c>
      <c r="B393" s="111" t="s">
        <v>80</v>
      </c>
      <c r="C393" s="512">
        <v>45825</v>
      </c>
      <c r="D393" s="369"/>
      <c r="E393" s="393" t="s">
        <v>3516</v>
      </c>
      <c r="F393" s="386" t="s">
        <v>1314</v>
      </c>
      <c r="G393" s="221" t="s">
        <v>6</v>
      </c>
      <c r="H393" s="493">
        <v>45825</v>
      </c>
      <c r="I393" s="594"/>
      <c r="J393" s="107" t="s">
        <v>99</v>
      </c>
      <c r="K393" s="518"/>
      <c r="L393" s="518"/>
      <c r="M393" s="519"/>
      <c r="N393" s="520"/>
      <c r="O393" s="520"/>
      <c r="P393" s="521"/>
      <c r="Q393" s="346">
        <v>45826</v>
      </c>
      <c r="R393" s="148">
        <f>Q393/H393</f>
        <v>1.0000218221494817</v>
      </c>
      <c r="S393" s="101" t="s">
        <v>2747</v>
      </c>
      <c r="T393" s="201"/>
    </row>
    <row r="394" spans="1:20" ht="57.6" x14ac:dyDescent="0.3">
      <c r="A394" s="98">
        <f t="shared" ca="1" si="21"/>
        <v>455</v>
      </c>
      <c r="B394" s="111">
        <v>1550</v>
      </c>
      <c r="C394" s="512">
        <v>45826</v>
      </c>
      <c r="D394" s="369"/>
      <c r="E394" s="395" t="s">
        <v>3517</v>
      </c>
      <c r="F394" s="386" t="s">
        <v>1314</v>
      </c>
      <c r="G394" s="221" t="s">
        <v>6</v>
      </c>
      <c r="H394" s="493">
        <v>45826</v>
      </c>
      <c r="I394" s="594"/>
      <c r="J394" s="107" t="s">
        <v>99</v>
      </c>
      <c r="K394" s="518"/>
      <c r="L394" s="518"/>
      <c r="M394" s="519"/>
      <c r="N394" s="520"/>
      <c r="O394" s="520"/>
      <c r="P394" s="521"/>
      <c r="Q394" s="346">
        <v>45826</v>
      </c>
      <c r="R394" s="148">
        <f>Q394/H394</f>
        <v>1</v>
      </c>
      <c r="S394" s="101" t="s">
        <v>1893</v>
      </c>
      <c r="T394" s="201"/>
    </row>
    <row r="395" spans="1:20" ht="57.6" x14ac:dyDescent="0.3">
      <c r="A395" s="98">
        <f t="shared" ca="1" si="21"/>
        <v>456</v>
      </c>
      <c r="B395" s="111">
        <v>1550</v>
      </c>
      <c r="C395" s="512">
        <v>45826</v>
      </c>
      <c r="D395" s="369"/>
      <c r="E395" s="395" t="s">
        <v>3518</v>
      </c>
      <c r="F395" s="386" t="s">
        <v>1314</v>
      </c>
      <c r="G395" s="221" t="s">
        <v>6</v>
      </c>
      <c r="H395" s="493">
        <v>45826</v>
      </c>
      <c r="I395" s="594"/>
      <c r="J395" s="107" t="s">
        <v>99</v>
      </c>
      <c r="K395" s="518"/>
      <c r="L395" s="518"/>
      <c r="M395" s="519"/>
      <c r="N395" s="520"/>
      <c r="O395" s="520"/>
      <c r="P395" s="521"/>
      <c r="Q395" s="346">
        <v>45826</v>
      </c>
      <c r="R395" s="148">
        <f>Q395/H395</f>
        <v>1</v>
      </c>
      <c r="S395" s="101" t="s">
        <v>1893</v>
      </c>
      <c r="T395" s="201"/>
    </row>
    <row r="396" spans="1:20" ht="72" x14ac:dyDescent="0.3">
      <c r="A396" s="98">
        <f t="shared" ca="1" si="21"/>
        <v>464</v>
      </c>
      <c r="B396" s="126">
        <v>1550</v>
      </c>
      <c r="C396" s="206">
        <v>45826</v>
      </c>
      <c r="D396" s="369">
        <v>33678839</v>
      </c>
      <c r="E396" s="213" t="s">
        <v>3519</v>
      </c>
      <c r="F396" s="386" t="s">
        <v>1</v>
      </c>
      <c r="G396" s="221" t="s">
        <v>6</v>
      </c>
      <c r="H396" s="797">
        <v>45826</v>
      </c>
      <c r="I396" s="594"/>
      <c r="J396" s="107" t="s">
        <v>2432</v>
      </c>
      <c r="K396" s="518"/>
      <c r="L396" s="518"/>
      <c r="M396" s="519"/>
      <c r="N396" s="520"/>
      <c r="O396" s="520"/>
      <c r="P396" s="521"/>
      <c r="Q396" s="346">
        <v>45826</v>
      </c>
      <c r="R396" s="148">
        <f>Q396/H396</f>
        <v>1</v>
      </c>
      <c r="S396" s="101" t="s">
        <v>2808</v>
      </c>
      <c r="T396" s="201"/>
    </row>
    <row r="397" spans="1:20" ht="302.39999999999998" x14ac:dyDescent="0.3">
      <c r="A397" s="98">
        <f t="shared" ca="1" si="21"/>
        <v>467</v>
      </c>
      <c r="B397" s="126">
        <v>1550</v>
      </c>
      <c r="C397" s="206">
        <v>45826</v>
      </c>
      <c r="D397" s="369">
        <v>101765673</v>
      </c>
      <c r="E397" s="263" t="s">
        <v>3520</v>
      </c>
      <c r="F397" s="386" t="s">
        <v>1</v>
      </c>
      <c r="G397" s="221" t="s">
        <v>10</v>
      </c>
      <c r="H397" s="493">
        <v>45826</v>
      </c>
      <c r="I397" s="341"/>
      <c r="J397" s="107" t="s">
        <v>2432</v>
      </c>
      <c r="K397" s="518"/>
      <c r="L397" s="518"/>
      <c r="M397" s="519"/>
      <c r="N397" s="520"/>
      <c r="O397" s="520"/>
      <c r="P397" s="521"/>
      <c r="Q397" s="346">
        <v>45826</v>
      </c>
      <c r="R397" s="148">
        <f>Q397-H397</f>
        <v>0</v>
      </c>
      <c r="S397" s="101" t="s">
        <v>1319</v>
      </c>
      <c r="T397" s="201"/>
    </row>
    <row r="398" spans="1:20" ht="57.6" x14ac:dyDescent="0.3">
      <c r="A398" s="98">
        <f t="shared" ca="1" si="21"/>
        <v>468</v>
      </c>
      <c r="B398" s="126" t="s">
        <v>301</v>
      </c>
      <c r="C398" s="206">
        <v>45826</v>
      </c>
      <c r="D398" s="369"/>
      <c r="E398" s="263" t="s">
        <v>3521</v>
      </c>
      <c r="F398" s="386" t="s">
        <v>51</v>
      </c>
      <c r="G398" s="377" t="s">
        <v>10</v>
      </c>
      <c r="H398" s="493">
        <v>45826</v>
      </c>
      <c r="I398" s="594"/>
      <c r="J398" s="100" t="s">
        <v>3095</v>
      </c>
      <c r="K398" s="518"/>
      <c r="L398" s="518"/>
      <c r="M398" s="519"/>
      <c r="N398" s="520"/>
      <c r="O398" s="520"/>
      <c r="P398" s="521"/>
      <c r="Q398" s="346">
        <v>45826</v>
      </c>
      <c r="R398" s="148">
        <f>Q398-H398</f>
        <v>0</v>
      </c>
      <c r="S398" s="101" t="s">
        <v>1366</v>
      </c>
      <c r="T398" s="201"/>
    </row>
    <row r="399" spans="1:20" ht="43.2" x14ac:dyDescent="0.3">
      <c r="A399" s="98">
        <f t="shared" ca="1" si="21"/>
        <v>472</v>
      </c>
      <c r="B399" s="126" t="s">
        <v>301</v>
      </c>
      <c r="C399" s="206">
        <v>45826</v>
      </c>
      <c r="D399" s="369">
        <v>75832739</v>
      </c>
      <c r="E399" s="263" t="s">
        <v>3522</v>
      </c>
      <c r="F399" s="386" t="s">
        <v>49</v>
      </c>
      <c r="G399" s="377" t="s">
        <v>10</v>
      </c>
      <c r="H399" s="493">
        <v>45826</v>
      </c>
      <c r="I399" s="341"/>
      <c r="J399" s="113" t="s">
        <v>266</v>
      </c>
      <c r="K399" s="518"/>
      <c r="L399" s="518"/>
      <c r="M399" s="519"/>
      <c r="N399" s="520"/>
      <c r="O399" s="520"/>
      <c r="P399" s="521"/>
      <c r="Q399" s="346">
        <v>45826</v>
      </c>
      <c r="R399" s="148">
        <f>Q399-H399</f>
        <v>0</v>
      </c>
      <c r="S399" s="101" t="s">
        <v>2716</v>
      </c>
      <c r="T399" s="201"/>
    </row>
    <row r="400" spans="1:20" ht="43.2" x14ac:dyDescent="0.3">
      <c r="A400" s="98">
        <f t="shared" ca="1" si="21"/>
        <v>265</v>
      </c>
      <c r="B400" s="126">
        <v>1550</v>
      </c>
      <c r="C400" s="206">
        <v>45818</v>
      </c>
      <c r="D400" s="369">
        <v>80962580</v>
      </c>
      <c r="E400" s="213" t="s">
        <v>2967</v>
      </c>
      <c r="F400" s="388" t="s">
        <v>32</v>
      </c>
      <c r="G400" s="377" t="s">
        <v>4</v>
      </c>
      <c r="H400" s="493">
        <v>45818</v>
      </c>
      <c r="I400" s="594"/>
      <c r="J400" s="107" t="s">
        <v>106</v>
      </c>
      <c r="K400" s="518"/>
      <c r="L400" s="518"/>
      <c r="M400" s="519"/>
      <c r="N400" s="520"/>
      <c r="O400" s="520"/>
      <c r="P400" s="521"/>
      <c r="Q400" s="346">
        <v>45827</v>
      </c>
      <c r="R400" s="148">
        <f>Q400-H400</f>
        <v>9</v>
      </c>
      <c r="S400" s="101" t="s">
        <v>2970</v>
      </c>
      <c r="T400" s="201"/>
    </row>
    <row r="401" spans="1:20" ht="57.6" x14ac:dyDescent="0.3">
      <c r="A401" s="98">
        <f t="shared" ca="1" si="21"/>
        <v>347</v>
      </c>
      <c r="B401" s="111" t="s">
        <v>301</v>
      </c>
      <c r="C401" s="512">
        <v>45820</v>
      </c>
      <c r="D401" s="369">
        <v>44876823</v>
      </c>
      <c r="E401" s="110" t="s">
        <v>3523</v>
      </c>
      <c r="F401" s="388" t="s">
        <v>33</v>
      </c>
      <c r="G401" s="377" t="s">
        <v>6</v>
      </c>
      <c r="H401" s="493">
        <v>45820</v>
      </c>
      <c r="I401" s="594"/>
      <c r="J401" s="107" t="s">
        <v>1315</v>
      </c>
      <c r="K401" s="513"/>
      <c r="L401" s="514"/>
      <c r="M401" s="515"/>
      <c r="N401" s="31"/>
      <c r="O401" s="53"/>
      <c r="P401" s="55"/>
      <c r="Q401" s="346">
        <v>45827</v>
      </c>
      <c r="R401" s="148">
        <f>Q401/H401</f>
        <v>1.0001527717154082</v>
      </c>
      <c r="S401" s="101" t="s">
        <v>1934</v>
      </c>
      <c r="T401" s="57"/>
    </row>
    <row r="402" spans="1:20" ht="57.6" x14ac:dyDescent="0.3">
      <c r="A402" s="98">
        <f t="shared" ca="1" si="21"/>
        <v>385</v>
      </c>
      <c r="B402" s="111">
        <v>1550</v>
      </c>
      <c r="C402" s="512">
        <v>45821</v>
      </c>
      <c r="D402" s="369"/>
      <c r="E402" s="212" t="s">
        <v>3524</v>
      </c>
      <c r="F402" s="386" t="s">
        <v>51</v>
      </c>
      <c r="G402" s="376" t="s">
        <v>8</v>
      </c>
      <c r="H402" s="493">
        <v>45821</v>
      </c>
      <c r="I402" s="341"/>
      <c r="J402" s="107" t="s">
        <v>3095</v>
      </c>
      <c r="K402" s="513"/>
      <c r="L402" s="514"/>
      <c r="M402" s="515"/>
      <c r="N402" s="31"/>
      <c r="O402" s="53"/>
      <c r="P402" s="55"/>
      <c r="Q402" s="516">
        <v>45827</v>
      </c>
      <c r="R402" s="148">
        <f>Q402-H402</f>
        <v>6</v>
      </c>
      <c r="S402" s="101" t="s">
        <v>1916</v>
      </c>
      <c r="T402" s="57"/>
    </row>
    <row r="403" spans="1:20" ht="57.6" x14ac:dyDescent="0.3">
      <c r="A403" s="98">
        <f t="shared" ca="1" si="21"/>
        <v>386</v>
      </c>
      <c r="B403" s="111">
        <v>1550</v>
      </c>
      <c r="C403" s="512">
        <v>45821</v>
      </c>
      <c r="D403" s="369"/>
      <c r="E403" s="212" t="s">
        <v>3525</v>
      </c>
      <c r="F403" s="386" t="s">
        <v>51</v>
      </c>
      <c r="G403" s="376" t="s">
        <v>8</v>
      </c>
      <c r="H403" s="493">
        <v>45821</v>
      </c>
      <c r="I403" s="341"/>
      <c r="J403" s="107" t="s">
        <v>3095</v>
      </c>
      <c r="K403" s="513"/>
      <c r="L403" s="514"/>
      <c r="M403" s="515"/>
      <c r="N403" s="31"/>
      <c r="O403" s="53"/>
      <c r="P403" s="55"/>
      <c r="Q403" s="516">
        <v>45827</v>
      </c>
      <c r="R403" s="148">
        <f>Q403-H403</f>
        <v>6</v>
      </c>
      <c r="S403" s="101" t="s">
        <v>758</v>
      </c>
      <c r="T403" s="57"/>
    </row>
    <row r="404" spans="1:20" ht="57.6" x14ac:dyDescent="0.3">
      <c r="A404" s="98">
        <f t="shared" ca="1" si="21"/>
        <v>458</v>
      </c>
      <c r="B404" s="111" t="s">
        <v>80</v>
      </c>
      <c r="C404" s="512">
        <v>45826</v>
      </c>
      <c r="D404" s="789"/>
      <c r="E404" s="110" t="s">
        <v>3526</v>
      </c>
      <c r="F404" s="386" t="s">
        <v>1314</v>
      </c>
      <c r="G404" s="377" t="s">
        <v>6</v>
      </c>
      <c r="H404" s="493">
        <v>45826</v>
      </c>
      <c r="I404" s="594"/>
      <c r="J404" s="107" t="s">
        <v>99</v>
      </c>
      <c r="K404" s="518"/>
      <c r="L404" s="518"/>
      <c r="M404" s="519"/>
      <c r="N404" s="520"/>
      <c r="O404" s="520"/>
      <c r="P404" s="521"/>
      <c r="Q404" s="346">
        <v>45827</v>
      </c>
      <c r="R404" s="148">
        <f>Q404/H404</f>
        <v>1.0000218216732859</v>
      </c>
      <c r="S404" s="101" t="s">
        <v>2747</v>
      </c>
      <c r="T404" s="201"/>
    </row>
    <row r="405" spans="1:20" ht="57.6" x14ac:dyDescent="0.3">
      <c r="A405" s="98">
        <f t="shared" ca="1" si="21"/>
        <v>459</v>
      </c>
      <c r="B405" s="111" t="s">
        <v>80</v>
      </c>
      <c r="C405" s="512">
        <v>45826</v>
      </c>
      <c r="D405" s="369"/>
      <c r="E405" s="110" t="s">
        <v>3527</v>
      </c>
      <c r="F405" s="386" t="s">
        <v>1314</v>
      </c>
      <c r="G405" s="377" t="s">
        <v>6</v>
      </c>
      <c r="H405" s="493">
        <v>45826</v>
      </c>
      <c r="I405" s="594"/>
      <c r="J405" s="107" t="s">
        <v>99</v>
      </c>
      <c r="K405" s="518"/>
      <c r="L405" s="518"/>
      <c r="M405" s="519"/>
      <c r="N405" s="520"/>
      <c r="O405" s="520"/>
      <c r="P405" s="521"/>
      <c r="Q405" s="346">
        <v>45827</v>
      </c>
      <c r="R405" s="148">
        <f>Q405/H405</f>
        <v>1.0000218216732859</v>
      </c>
      <c r="S405" s="101" t="s">
        <v>2747</v>
      </c>
      <c r="T405" s="201"/>
    </row>
    <row r="406" spans="1:20" ht="57.6" x14ac:dyDescent="0.3">
      <c r="A406" s="98">
        <f t="shared" ca="1" si="21"/>
        <v>462</v>
      </c>
      <c r="B406" s="111" t="s">
        <v>80</v>
      </c>
      <c r="C406" s="512">
        <v>45826</v>
      </c>
      <c r="D406" s="369"/>
      <c r="E406" s="270" t="s">
        <v>3424</v>
      </c>
      <c r="F406" s="386" t="s">
        <v>1314</v>
      </c>
      <c r="G406" s="377" t="s">
        <v>6</v>
      </c>
      <c r="H406" s="493">
        <v>45826</v>
      </c>
      <c r="I406" s="594"/>
      <c r="J406" s="100" t="s">
        <v>99</v>
      </c>
      <c r="K406" s="518"/>
      <c r="L406" s="518"/>
      <c r="M406" s="519"/>
      <c r="N406" s="520"/>
      <c r="O406" s="520"/>
      <c r="P406" s="521"/>
      <c r="Q406" s="346">
        <v>45827</v>
      </c>
      <c r="R406" s="148">
        <f>Q406/H406</f>
        <v>1.0000218216732859</v>
      </c>
      <c r="S406" s="101" t="s">
        <v>2747</v>
      </c>
      <c r="T406" s="201"/>
    </row>
    <row r="407" spans="1:20" ht="28.8" x14ac:dyDescent="0.3">
      <c r="A407" s="98">
        <f t="shared" ca="1" si="21"/>
        <v>463</v>
      </c>
      <c r="B407" s="126">
        <v>1550</v>
      </c>
      <c r="C407" s="206">
        <v>45826</v>
      </c>
      <c r="D407" s="369">
        <v>58378723</v>
      </c>
      <c r="E407" s="483" t="s">
        <v>3528</v>
      </c>
      <c r="F407" s="386" t="s">
        <v>23</v>
      </c>
      <c r="G407" s="377" t="s">
        <v>6</v>
      </c>
      <c r="H407" s="797">
        <v>45826</v>
      </c>
      <c r="I407" s="594"/>
      <c r="J407" s="107" t="s">
        <v>135</v>
      </c>
      <c r="K407" s="518"/>
      <c r="L407" s="518"/>
      <c r="M407" s="519"/>
      <c r="N407" s="520"/>
      <c r="O407" s="520"/>
      <c r="P407" s="521"/>
      <c r="Q407" s="346">
        <v>45827</v>
      </c>
      <c r="R407" s="148">
        <f>Q407/H407</f>
        <v>1.0000218216732859</v>
      </c>
      <c r="S407" s="101" t="s">
        <v>1312</v>
      </c>
      <c r="T407" s="201"/>
    </row>
    <row r="408" spans="1:20" ht="57.6" x14ac:dyDescent="0.3">
      <c r="A408" s="98">
        <f t="shared" ca="1" si="21"/>
        <v>465</v>
      </c>
      <c r="B408" s="126">
        <v>1550</v>
      </c>
      <c r="C408" s="206">
        <v>45826</v>
      </c>
      <c r="D408" s="369"/>
      <c r="E408" s="110" t="s">
        <v>3529</v>
      </c>
      <c r="F408" s="386" t="s">
        <v>1314</v>
      </c>
      <c r="G408" s="377" t="s">
        <v>6</v>
      </c>
      <c r="H408" s="493">
        <v>45826</v>
      </c>
      <c r="I408" s="594"/>
      <c r="J408" s="107" t="s">
        <v>99</v>
      </c>
      <c r="K408" s="518"/>
      <c r="L408" s="518"/>
      <c r="M408" s="519"/>
      <c r="N408" s="520"/>
      <c r="O408" s="520"/>
      <c r="P408" s="521"/>
      <c r="Q408" s="346">
        <v>45827</v>
      </c>
      <c r="R408" s="148">
        <f>Q408/H408</f>
        <v>1.0000218216732859</v>
      </c>
      <c r="S408" s="101" t="s">
        <v>3020</v>
      </c>
      <c r="T408" s="201"/>
    </row>
    <row r="409" spans="1:20" ht="57.6" x14ac:dyDescent="0.3">
      <c r="A409" s="98">
        <f t="shared" ca="1" si="21"/>
        <v>469</v>
      </c>
      <c r="B409" s="126">
        <v>1550</v>
      </c>
      <c r="C409" s="206">
        <v>45826</v>
      </c>
      <c r="D409" s="369"/>
      <c r="E409" s="393" t="s">
        <v>3530</v>
      </c>
      <c r="F409" s="386" t="s">
        <v>51</v>
      </c>
      <c r="G409" s="377" t="s">
        <v>10</v>
      </c>
      <c r="H409" s="493">
        <v>45826</v>
      </c>
      <c r="I409" s="594"/>
      <c r="J409" s="100" t="s">
        <v>3095</v>
      </c>
      <c r="K409" s="518"/>
      <c r="L409" s="518"/>
      <c r="M409" s="519"/>
      <c r="N409" s="520"/>
      <c r="O409" s="520"/>
      <c r="P409" s="521"/>
      <c r="Q409" s="346">
        <v>45827</v>
      </c>
      <c r="R409" s="148">
        <f t="shared" ref="R409:R414" si="24">Q409-H409</f>
        <v>1</v>
      </c>
      <c r="S409" s="101" t="s">
        <v>755</v>
      </c>
      <c r="T409" s="201"/>
    </row>
    <row r="410" spans="1:20" ht="259.2" x14ac:dyDescent="0.3">
      <c r="A410" s="98">
        <f t="shared" ca="1" si="21"/>
        <v>470</v>
      </c>
      <c r="B410" s="126" t="s">
        <v>301</v>
      </c>
      <c r="C410" s="206">
        <v>45826</v>
      </c>
      <c r="D410" s="369">
        <v>120508958</v>
      </c>
      <c r="E410" s="393" t="s">
        <v>3531</v>
      </c>
      <c r="F410" s="386" t="s">
        <v>1</v>
      </c>
      <c r="G410" s="377" t="s">
        <v>10</v>
      </c>
      <c r="H410" s="493">
        <v>45826</v>
      </c>
      <c r="I410" s="341"/>
      <c r="J410" s="102" t="s">
        <v>2306</v>
      </c>
      <c r="K410" s="518"/>
      <c r="L410" s="518"/>
      <c r="M410" s="519"/>
      <c r="N410" s="520"/>
      <c r="O410" s="520"/>
      <c r="P410" s="521"/>
      <c r="Q410" s="346">
        <v>45827</v>
      </c>
      <c r="R410" s="148">
        <f t="shared" si="24"/>
        <v>1</v>
      </c>
      <c r="S410" s="101" t="s">
        <v>2716</v>
      </c>
      <c r="T410" s="201"/>
    </row>
    <row r="411" spans="1:20" ht="57.6" x14ac:dyDescent="0.3">
      <c r="A411" s="98">
        <f t="shared" ca="1" si="21"/>
        <v>471</v>
      </c>
      <c r="B411" s="126" t="s">
        <v>301</v>
      </c>
      <c r="C411" s="206">
        <v>45826</v>
      </c>
      <c r="D411" s="369"/>
      <c r="E411" s="393" t="s">
        <v>3532</v>
      </c>
      <c r="F411" s="386" t="s">
        <v>51</v>
      </c>
      <c r="G411" s="377" t="s">
        <v>10</v>
      </c>
      <c r="H411" s="493">
        <v>45826</v>
      </c>
      <c r="I411" s="594"/>
      <c r="J411" s="107" t="s">
        <v>3095</v>
      </c>
      <c r="K411" s="518"/>
      <c r="L411" s="518"/>
      <c r="M411" s="519"/>
      <c r="N411" s="520"/>
      <c r="O411" s="520"/>
      <c r="P411" s="521"/>
      <c r="Q411" s="346">
        <v>45827</v>
      </c>
      <c r="R411" s="148">
        <f t="shared" si="24"/>
        <v>1</v>
      </c>
      <c r="S411" s="101" t="s">
        <v>2716</v>
      </c>
      <c r="T411" s="201"/>
    </row>
    <row r="412" spans="1:20" ht="144" x14ac:dyDescent="0.3">
      <c r="A412" s="98">
        <f t="shared" ca="1" si="21"/>
        <v>473</v>
      </c>
      <c r="B412" s="126" t="s">
        <v>301</v>
      </c>
      <c r="C412" s="206">
        <v>45826</v>
      </c>
      <c r="D412" s="369">
        <v>96561556</v>
      </c>
      <c r="E412" s="393" t="s">
        <v>3533</v>
      </c>
      <c r="F412" s="386" t="s">
        <v>24</v>
      </c>
      <c r="G412" s="377" t="s">
        <v>10</v>
      </c>
      <c r="H412" s="493">
        <v>45826</v>
      </c>
      <c r="I412" s="594"/>
      <c r="J412" s="728" t="s">
        <v>3483</v>
      </c>
      <c r="K412" s="518"/>
      <c r="L412" s="518"/>
      <c r="M412" s="519"/>
      <c r="N412" s="520"/>
      <c r="O412" s="520"/>
      <c r="P412" s="521"/>
      <c r="Q412" s="346">
        <v>45827</v>
      </c>
      <c r="R412" s="148">
        <f t="shared" si="24"/>
        <v>1</v>
      </c>
      <c r="S412" s="101" t="s">
        <v>214</v>
      </c>
      <c r="T412" s="201"/>
    </row>
    <row r="413" spans="1:20" ht="86.4" x14ac:dyDescent="0.3">
      <c r="A413" s="98">
        <f t="shared" ca="1" si="21"/>
        <v>477</v>
      </c>
      <c r="B413" s="126">
        <v>1550</v>
      </c>
      <c r="C413" s="206">
        <v>45827</v>
      </c>
      <c r="D413" s="369">
        <v>12515914</v>
      </c>
      <c r="E413" s="271" t="s">
        <v>3534</v>
      </c>
      <c r="F413" s="386" t="s">
        <v>23</v>
      </c>
      <c r="G413" s="377" t="s">
        <v>8</v>
      </c>
      <c r="H413" s="797">
        <v>45827</v>
      </c>
      <c r="I413" s="341"/>
      <c r="J413" s="100" t="s">
        <v>135</v>
      </c>
      <c r="K413" s="518"/>
      <c r="L413" s="518"/>
      <c r="M413" s="519"/>
      <c r="N413" s="520"/>
      <c r="O413" s="520"/>
      <c r="P413" s="521"/>
      <c r="Q413" s="346">
        <v>45827</v>
      </c>
      <c r="R413" s="148">
        <f t="shared" si="24"/>
        <v>0</v>
      </c>
      <c r="S413" s="101" t="s">
        <v>8</v>
      </c>
      <c r="T413" s="201"/>
    </row>
    <row r="414" spans="1:20" ht="57.6" x14ac:dyDescent="0.3">
      <c r="A414" s="98">
        <f t="shared" ca="1" si="21"/>
        <v>230</v>
      </c>
      <c r="B414" s="111">
        <v>1550</v>
      </c>
      <c r="C414" s="512">
        <v>45817</v>
      </c>
      <c r="D414" s="369"/>
      <c r="E414" s="270" t="s">
        <v>3535</v>
      </c>
      <c r="F414" s="388" t="s">
        <v>51</v>
      </c>
      <c r="G414" s="377" t="s">
        <v>8</v>
      </c>
      <c r="H414" s="493">
        <v>45817</v>
      </c>
      <c r="I414" s="594"/>
      <c r="J414" s="125" t="s">
        <v>3095</v>
      </c>
      <c r="K414" s="518"/>
      <c r="L414" s="518"/>
      <c r="M414" s="519"/>
      <c r="N414" s="520"/>
      <c r="O414" s="520"/>
      <c r="P414" s="521"/>
      <c r="Q414" s="346">
        <v>45828</v>
      </c>
      <c r="R414" s="148">
        <f t="shared" si="24"/>
        <v>11</v>
      </c>
      <c r="S414" s="101" t="s">
        <v>94</v>
      </c>
      <c r="T414" s="57"/>
    </row>
    <row r="415" spans="1:20" ht="43.2" x14ac:dyDescent="0.3">
      <c r="A415" s="98">
        <f t="shared" ca="1" si="21"/>
        <v>296</v>
      </c>
      <c r="B415" s="126" t="s">
        <v>80</v>
      </c>
      <c r="C415" s="206">
        <v>45819</v>
      </c>
      <c r="D415" s="369">
        <v>103663533</v>
      </c>
      <c r="E415" s="270" t="s">
        <v>3536</v>
      </c>
      <c r="F415" s="388" t="s">
        <v>17</v>
      </c>
      <c r="G415" s="377" t="s">
        <v>6</v>
      </c>
      <c r="H415" s="493">
        <v>45819</v>
      </c>
      <c r="I415" s="594"/>
      <c r="J415" s="100" t="s">
        <v>82</v>
      </c>
      <c r="K415" s="513"/>
      <c r="L415" s="514"/>
      <c r="M415" s="515"/>
      <c r="N415" s="31"/>
      <c r="O415" s="53"/>
      <c r="P415" s="55"/>
      <c r="Q415" s="346">
        <v>45828</v>
      </c>
      <c r="R415" s="148">
        <f>Q415/H415</f>
        <v>1.0001964250638382</v>
      </c>
      <c r="S415" s="101" t="s">
        <v>2747</v>
      </c>
      <c r="T415" s="57"/>
    </row>
    <row r="416" spans="1:20" ht="129.6" x14ac:dyDescent="0.3">
      <c r="A416" s="98">
        <f t="shared" ca="1" si="21"/>
        <v>325</v>
      </c>
      <c r="B416" s="126">
        <v>1550</v>
      </c>
      <c r="C416" s="206">
        <v>45819</v>
      </c>
      <c r="D416" s="369">
        <v>119386704</v>
      </c>
      <c r="E416" s="270" t="s">
        <v>3537</v>
      </c>
      <c r="F416" s="388" t="s">
        <v>17</v>
      </c>
      <c r="G416" s="377" t="s">
        <v>10</v>
      </c>
      <c r="H416" s="493">
        <v>45819</v>
      </c>
      <c r="I416" s="594"/>
      <c r="J416" s="100" t="s">
        <v>82</v>
      </c>
      <c r="K416" s="513"/>
      <c r="L416" s="514"/>
      <c r="M416" s="515"/>
      <c r="N416" s="31"/>
      <c r="O416" s="53"/>
      <c r="P416" s="55"/>
      <c r="Q416" s="346">
        <v>45828</v>
      </c>
      <c r="R416" s="148">
        <f>Q416-H416</f>
        <v>9</v>
      </c>
      <c r="S416" s="101" t="s">
        <v>1806</v>
      </c>
      <c r="T416" s="57"/>
    </row>
    <row r="417" spans="1:20" ht="57.6" x14ac:dyDescent="0.3">
      <c r="A417" s="98">
        <f t="shared" ca="1" si="21"/>
        <v>387</v>
      </c>
      <c r="B417" s="111">
        <v>1550</v>
      </c>
      <c r="C417" s="512">
        <v>45821</v>
      </c>
      <c r="D417" s="369"/>
      <c r="E417" s="270" t="s">
        <v>3538</v>
      </c>
      <c r="F417" s="386" t="s">
        <v>51</v>
      </c>
      <c r="G417" s="376" t="s">
        <v>8</v>
      </c>
      <c r="H417" s="493">
        <v>45821</v>
      </c>
      <c r="I417" s="341"/>
      <c r="J417" s="102" t="s">
        <v>3095</v>
      </c>
      <c r="K417" s="513"/>
      <c r="L417" s="514"/>
      <c r="M417" s="515"/>
      <c r="N417" s="31"/>
      <c r="O417" s="53"/>
      <c r="P417" s="55"/>
      <c r="Q417" s="346">
        <v>45828</v>
      </c>
      <c r="R417" s="148">
        <f>Q417-H417</f>
        <v>7</v>
      </c>
      <c r="S417" s="101" t="s">
        <v>1916</v>
      </c>
      <c r="T417" s="57"/>
    </row>
    <row r="418" spans="1:20" ht="57.6" x14ac:dyDescent="0.3">
      <c r="A418" s="98">
        <f t="shared" ca="1" si="21"/>
        <v>416</v>
      </c>
      <c r="B418" s="111" t="s">
        <v>80</v>
      </c>
      <c r="C418" s="512">
        <v>45824</v>
      </c>
      <c r="D418" s="369"/>
      <c r="E418" s="270" t="s">
        <v>3539</v>
      </c>
      <c r="F418" s="386" t="s">
        <v>12</v>
      </c>
      <c r="G418" s="376" t="s">
        <v>6</v>
      </c>
      <c r="H418" s="493">
        <v>45824</v>
      </c>
      <c r="I418" s="341"/>
      <c r="J418" s="729" t="s">
        <v>159</v>
      </c>
      <c r="K418" s="513"/>
      <c r="L418" s="514"/>
      <c r="M418" s="515"/>
      <c r="N418" s="31"/>
      <c r="O418" s="53"/>
      <c r="P418" s="55"/>
      <c r="Q418" s="516">
        <v>45828</v>
      </c>
      <c r="R418" s="148">
        <f>Q418/H418</f>
        <v>1.0000872905027933</v>
      </c>
      <c r="S418" s="101" t="s">
        <v>2747</v>
      </c>
      <c r="T418" s="57"/>
    </row>
    <row r="419" spans="1:20" ht="57.6" x14ac:dyDescent="0.3">
      <c r="A419" s="98">
        <f t="shared" ca="1" si="21"/>
        <v>432</v>
      </c>
      <c r="B419" s="111" t="s">
        <v>301</v>
      </c>
      <c r="C419" s="512">
        <v>45825</v>
      </c>
      <c r="D419" s="369">
        <v>95639179</v>
      </c>
      <c r="E419" s="270" t="s">
        <v>3540</v>
      </c>
      <c r="F419" s="386" t="s">
        <v>12</v>
      </c>
      <c r="G419" s="377" t="s">
        <v>8</v>
      </c>
      <c r="H419" s="493">
        <v>45822</v>
      </c>
      <c r="I419" s="594"/>
      <c r="J419" s="729" t="s">
        <v>3175</v>
      </c>
      <c r="K419" s="513"/>
      <c r="L419" s="514"/>
      <c r="M419" s="515"/>
      <c r="N419" s="31"/>
      <c r="O419" s="53"/>
      <c r="P419" s="55"/>
      <c r="Q419" s="516">
        <v>45828</v>
      </c>
      <c r="R419" s="148">
        <f>Q419-H419</f>
        <v>6</v>
      </c>
      <c r="S419" s="101" t="s">
        <v>1912</v>
      </c>
      <c r="T419" s="57"/>
    </row>
    <row r="420" spans="1:20" ht="28.8" x14ac:dyDescent="0.3">
      <c r="A420" s="98">
        <f t="shared" ca="1" si="21"/>
        <v>436</v>
      </c>
      <c r="B420" s="111" t="s">
        <v>80</v>
      </c>
      <c r="C420" s="512">
        <v>45825</v>
      </c>
      <c r="D420" s="369">
        <v>75292122</v>
      </c>
      <c r="E420" s="270" t="s">
        <v>3541</v>
      </c>
      <c r="F420" s="386" t="s">
        <v>17</v>
      </c>
      <c r="G420" s="377" t="s">
        <v>6</v>
      </c>
      <c r="H420" s="493">
        <v>45825</v>
      </c>
      <c r="I420" s="594"/>
      <c r="J420" s="107" t="s">
        <v>82</v>
      </c>
      <c r="K420" s="513"/>
      <c r="L420" s="514"/>
      <c r="M420" s="515"/>
      <c r="N420" s="31"/>
      <c r="O420" s="53"/>
      <c r="P420" s="55"/>
      <c r="Q420" s="516">
        <v>45828</v>
      </c>
      <c r="R420" s="148">
        <f>Q420/H420</f>
        <v>1.0000654664484452</v>
      </c>
      <c r="S420" s="101" t="s">
        <v>2747</v>
      </c>
      <c r="T420" s="57"/>
    </row>
    <row r="421" spans="1:20" ht="57.6" x14ac:dyDescent="0.3">
      <c r="A421" s="98">
        <f t="shared" ca="1" si="21"/>
        <v>439</v>
      </c>
      <c r="B421" s="126" t="s">
        <v>80</v>
      </c>
      <c r="C421" s="206">
        <v>45825</v>
      </c>
      <c r="D421" s="369" t="s">
        <v>3542</v>
      </c>
      <c r="E421" s="271" t="s">
        <v>3543</v>
      </c>
      <c r="F421" s="386" t="s">
        <v>12</v>
      </c>
      <c r="G421" s="377" t="s">
        <v>6</v>
      </c>
      <c r="H421" s="493">
        <v>45825</v>
      </c>
      <c r="I421" s="594"/>
      <c r="J421" s="729" t="s">
        <v>159</v>
      </c>
      <c r="K421" s="513"/>
      <c r="L421" s="514"/>
      <c r="M421" s="515"/>
      <c r="N421" s="31"/>
      <c r="O421" s="53"/>
      <c r="P421" s="55"/>
      <c r="Q421" s="516">
        <v>45828</v>
      </c>
      <c r="R421" s="148">
        <f>Q421/H421</f>
        <v>1.0000654664484452</v>
      </c>
      <c r="S421" s="101" t="s">
        <v>2747</v>
      </c>
      <c r="T421" s="57"/>
    </row>
    <row r="422" spans="1:20" ht="57.6" x14ac:dyDescent="0.3">
      <c r="A422" s="98">
        <f t="shared" ca="1" si="21"/>
        <v>444</v>
      </c>
      <c r="B422" s="126">
        <v>1550</v>
      </c>
      <c r="C422" s="206">
        <v>45825</v>
      </c>
      <c r="D422" s="369"/>
      <c r="E422" s="270" t="s">
        <v>3544</v>
      </c>
      <c r="F422" s="386" t="s">
        <v>51</v>
      </c>
      <c r="G422" s="376" t="s">
        <v>8</v>
      </c>
      <c r="H422" s="493">
        <v>45825</v>
      </c>
      <c r="I422" s="341"/>
      <c r="J422" s="100" t="s">
        <v>3095</v>
      </c>
      <c r="K422" s="518"/>
      <c r="L422" s="518"/>
      <c r="M422" s="519"/>
      <c r="N422" s="520"/>
      <c r="O422" s="520"/>
      <c r="P422" s="521"/>
      <c r="Q422" s="516">
        <v>45828</v>
      </c>
      <c r="R422" s="148">
        <f>Q422-H422</f>
        <v>3</v>
      </c>
      <c r="S422" s="101" t="s">
        <v>758</v>
      </c>
      <c r="T422" s="57"/>
    </row>
    <row r="423" spans="1:20" ht="144" x14ac:dyDescent="0.3">
      <c r="A423" s="98">
        <f t="shared" ca="1" si="21"/>
        <v>474</v>
      </c>
      <c r="B423" s="126">
        <v>1550</v>
      </c>
      <c r="C423" s="206">
        <v>45826</v>
      </c>
      <c r="D423" s="369">
        <v>31145744</v>
      </c>
      <c r="E423" s="270" t="s">
        <v>3545</v>
      </c>
      <c r="F423" s="386" t="s">
        <v>39</v>
      </c>
      <c r="G423" s="377" t="s">
        <v>10</v>
      </c>
      <c r="H423" s="493">
        <v>45826</v>
      </c>
      <c r="I423" s="594"/>
      <c r="J423" s="113" t="s">
        <v>3546</v>
      </c>
      <c r="K423" s="518"/>
      <c r="L423" s="518"/>
      <c r="M423" s="519"/>
      <c r="N423" s="520"/>
      <c r="O423" s="520"/>
      <c r="P423" s="521"/>
      <c r="Q423" s="346">
        <v>45828</v>
      </c>
      <c r="R423" s="148">
        <f>Q423-H423</f>
        <v>2</v>
      </c>
      <c r="S423" s="101" t="s">
        <v>755</v>
      </c>
      <c r="T423" s="201"/>
    </row>
    <row r="424" spans="1:20" ht="57.6" x14ac:dyDescent="0.3">
      <c r="A424" s="98">
        <f t="shared" ca="1" si="21"/>
        <v>476</v>
      </c>
      <c r="B424" s="126" t="s">
        <v>80</v>
      </c>
      <c r="C424" s="206">
        <v>45827</v>
      </c>
      <c r="D424" s="369">
        <v>84904496</v>
      </c>
      <c r="E424" s="271" t="s">
        <v>3547</v>
      </c>
      <c r="F424" s="386" t="s">
        <v>24</v>
      </c>
      <c r="G424" s="376" t="s">
        <v>6</v>
      </c>
      <c r="H424" s="797">
        <v>45827</v>
      </c>
      <c r="I424" s="341"/>
      <c r="J424" s="728" t="s">
        <v>383</v>
      </c>
      <c r="K424" s="518"/>
      <c r="L424" s="518"/>
      <c r="M424" s="519"/>
      <c r="N424" s="520"/>
      <c r="O424" s="520"/>
      <c r="P424" s="521"/>
      <c r="Q424" s="346">
        <v>45828</v>
      </c>
      <c r="R424" s="148">
        <f>Q424/H424</f>
        <v>1.0000218211971108</v>
      </c>
      <c r="S424" s="101" t="s">
        <v>2747</v>
      </c>
      <c r="T424" s="201"/>
    </row>
    <row r="425" spans="1:20" ht="107.25" customHeight="1" x14ac:dyDescent="0.3">
      <c r="A425" s="98">
        <f t="shared" ref="A425:A488" ca="1" si="25">A424+1</f>
        <v>479</v>
      </c>
      <c r="B425" s="126" t="s">
        <v>80</v>
      </c>
      <c r="C425" s="206">
        <v>45827</v>
      </c>
      <c r="D425" s="369">
        <v>3177475</v>
      </c>
      <c r="E425" s="271" t="s">
        <v>3548</v>
      </c>
      <c r="F425" s="386" t="s">
        <v>12</v>
      </c>
      <c r="G425" s="377" t="s">
        <v>6</v>
      </c>
      <c r="H425" s="797">
        <v>45827</v>
      </c>
      <c r="I425" s="594"/>
      <c r="J425" s="729" t="s">
        <v>159</v>
      </c>
      <c r="K425" s="355"/>
      <c r="L425" s="518"/>
      <c r="M425" s="519"/>
      <c r="N425" s="520"/>
      <c r="O425" s="520"/>
      <c r="P425" s="521"/>
      <c r="Q425" s="346">
        <v>45828</v>
      </c>
      <c r="R425" s="148">
        <f>Q425/H425</f>
        <v>1.0000218211971108</v>
      </c>
      <c r="S425" s="101" t="s">
        <v>2747</v>
      </c>
      <c r="T425" s="201"/>
    </row>
    <row r="426" spans="1:20" ht="43.2" x14ac:dyDescent="0.3">
      <c r="A426" s="98">
        <f t="shared" ca="1" si="25"/>
        <v>481</v>
      </c>
      <c r="B426" s="126" t="s">
        <v>301</v>
      </c>
      <c r="C426" s="206">
        <v>45827</v>
      </c>
      <c r="D426" s="369">
        <v>120567148</v>
      </c>
      <c r="E426" s="271" t="s">
        <v>3549</v>
      </c>
      <c r="F426" s="386" t="s">
        <v>23</v>
      </c>
      <c r="G426" s="377" t="s">
        <v>6</v>
      </c>
      <c r="H426" s="797">
        <v>45827</v>
      </c>
      <c r="I426" s="594"/>
      <c r="J426" s="100" t="s">
        <v>135</v>
      </c>
      <c r="K426" s="518"/>
      <c r="L426" s="518"/>
      <c r="M426" s="519"/>
      <c r="N426" s="520"/>
      <c r="O426" s="520"/>
      <c r="P426" s="521"/>
      <c r="Q426" s="346">
        <v>45828</v>
      </c>
      <c r="R426" s="148">
        <f>Q426/H426</f>
        <v>1.0000218211971108</v>
      </c>
      <c r="S426" s="101" t="s">
        <v>1934</v>
      </c>
      <c r="T426" s="201"/>
    </row>
    <row r="427" spans="1:20" ht="187.2" x14ac:dyDescent="0.3">
      <c r="A427" s="98">
        <f t="shared" ca="1" si="25"/>
        <v>395</v>
      </c>
      <c r="B427" s="111" t="s">
        <v>301</v>
      </c>
      <c r="C427" s="512">
        <v>45821</v>
      </c>
      <c r="D427" s="369">
        <v>13625349</v>
      </c>
      <c r="E427" s="393" t="s">
        <v>3550</v>
      </c>
      <c r="F427" s="386" t="s">
        <v>12</v>
      </c>
      <c r="G427" s="376" t="s">
        <v>10</v>
      </c>
      <c r="H427" s="493">
        <v>45821</v>
      </c>
      <c r="I427" s="341"/>
      <c r="J427" s="729" t="s">
        <v>3175</v>
      </c>
      <c r="K427" s="518"/>
      <c r="L427" s="518"/>
      <c r="M427" s="519"/>
      <c r="N427" s="520"/>
      <c r="O427" s="520"/>
      <c r="P427" s="521"/>
      <c r="Q427" s="516">
        <v>45832</v>
      </c>
      <c r="R427" s="148">
        <f>Q427-H427</f>
        <v>11</v>
      </c>
      <c r="S427" s="101" t="s">
        <v>1366</v>
      </c>
      <c r="T427" s="201"/>
    </row>
    <row r="428" spans="1:20" ht="28.8" x14ac:dyDescent="0.3">
      <c r="A428" s="98">
        <f t="shared" ca="1" si="25"/>
        <v>417</v>
      </c>
      <c r="B428" s="111">
        <v>1550</v>
      </c>
      <c r="C428" s="512">
        <v>45824</v>
      </c>
      <c r="D428" s="369">
        <v>120572214</v>
      </c>
      <c r="E428" s="268" t="s">
        <v>3551</v>
      </c>
      <c r="F428" s="386" t="s">
        <v>1</v>
      </c>
      <c r="G428" s="376" t="s">
        <v>4</v>
      </c>
      <c r="H428" s="493">
        <v>45824</v>
      </c>
      <c r="I428" s="341"/>
      <c r="J428" s="100" t="s">
        <v>2352</v>
      </c>
      <c r="K428" s="513"/>
      <c r="L428" s="514"/>
      <c r="M428" s="515"/>
      <c r="N428" s="31"/>
      <c r="O428" s="53"/>
      <c r="P428" s="55"/>
      <c r="Q428" s="516">
        <v>45832</v>
      </c>
      <c r="R428" s="148">
        <f>Q428-H428</f>
        <v>8</v>
      </c>
      <c r="S428" s="101" t="s">
        <v>4</v>
      </c>
      <c r="T428" s="57"/>
    </row>
    <row r="429" spans="1:20" ht="230.4" x14ac:dyDescent="0.3">
      <c r="A429" s="98">
        <f t="shared" ca="1" si="25"/>
        <v>483</v>
      </c>
      <c r="B429" s="126" t="s">
        <v>301</v>
      </c>
      <c r="C429" s="206">
        <v>45827</v>
      </c>
      <c r="D429" s="369">
        <v>38504049</v>
      </c>
      <c r="E429" s="399" t="s">
        <v>3552</v>
      </c>
      <c r="F429" s="386" t="s">
        <v>1</v>
      </c>
      <c r="G429" s="377" t="s">
        <v>10</v>
      </c>
      <c r="H429" s="797">
        <v>45827</v>
      </c>
      <c r="I429" s="594"/>
      <c r="J429" s="728" t="s">
        <v>3095</v>
      </c>
      <c r="K429" s="518"/>
      <c r="L429" s="518"/>
      <c r="M429" s="519"/>
      <c r="N429" s="520"/>
      <c r="O429" s="520"/>
      <c r="P429" s="521"/>
      <c r="Q429" s="346">
        <v>45832</v>
      </c>
      <c r="R429" s="148">
        <f>Q429-H429</f>
        <v>5</v>
      </c>
      <c r="S429" s="101" t="s">
        <v>2716</v>
      </c>
      <c r="T429" s="201"/>
    </row>
    <row r="430" spans="1:20" ht="72" x14ac:dyDescent="0.3">
      <c r="A430" s="98">
        <f t="shared" ca="1" si="25"/>
        <v>488</v>
      </c>
      <c r="B430" s="126">
        <v>1150</v>
      </c>
      <c r="C430" s="206">
        <v>45828</v>
      </c>
      <c r="D430" s="369">
        <v>71392467</v>
      </c>
      <c r="E430" s="268" t="s">
        <v>3553</v>
      </c>
      <c r="F430" s="386" t="s">
        <v>1</v>
      </c>
      <c r="G430" s="376" t="s">
        <v>6</v>
      </c>
      <c r="H430" s="797">
        <v>45828</v>
      </c>
      <c r="I430" s="594"/>
      <c r="J430" s="100" t="s">
        <v>2432</v>
      </c>
      <c r="K430" s="518"/>
      <c r="L430" s="518"/>
      <c r="M430" s="519"/>
      <c r="N430" s="520"/>
      <c r="O430" s="520"/>
      <c r="P430" s="521"/>
      <c r="Q430" s="346">
        <v>45832</v>
      </c>
      <c r="R430" s="148">
        <f>Q430/H430</f>
        <v>1.0000872828838265</v>
      </c>
      <c r="S430" s="101" t="s">
        <v>1312</v>
      </c>
      <c r="T430" s="201"/>
    </row>
    <row r="431" spans="1:20" ht="43.2" x14ac:dyDescent="0.3">
      <c r="A431" s="98">
        <f t="shared" ca="1" si="25"/>
        <v>492</v>
      </c>
      <c r="B431" s="126">
        <v>1550</v>
      </c>
      <c r="C431" s="206">
        <v>45832</v>
      </c>
      <c r="D431" s="369">
        <v>120582910</v>
      </c>
      <c r="E431" s="270" t="s">
        <v>3554</v>
      </c>
      <c r="F431" s="386" t="s">
        <v>23</v>
      </c>
      <c r="G431" s="376" t="s">
        <v>6</v>
      </c>
      <c r="H431" s="797">
        <v>45832</v>
      </c>
      <c r="I431" s="594"/>
      <c r="J431" s="100" t="s">
        <v>135</v>
      </c>
      <c r="K431" s="518"/>
      <c r="L431" s="518"/>
      <c r="M431" s="519"/>
      <c r="N431" s="520"/>
      <c r="O431" s="520"/>
      <c r="P431" s="521"/>
      <c r="Q431" s="346">
        <v>45832</v>
      </c>
      <c r="R431" s="148">
        <f>Q431/H431</f>
        <v>1</v>
      </c>
      <c r="S431" s="101" t="s">
        <v>2808</v>
      </c>
      <c r="T431" s="201"/>
    </row>
    <row r="432" spans="1:20" ht="57.6" x14ac:dyDescent="0.3">
      <c r="A432" s="98">
        <f t="shared" ca="1" si="25"/>
        <v>495</v>
      </c>
      <c r="B432" s="126" t="s">
        <v>80</v>
      </c>
      <c r="C432" s="206">
        <v>45832</v>
      </c>
      <c r="D432" s="369">
        <v>63362627</v>
      </c>
      <c r="E432" s="270" t="s">
        <v>3555</v>
      </c>
      <c r="F432" s="386" t="s">
        <v>49</v>
      </c>
      <c r="G432" s="376" t="s">
        <v>6</v>
      </c>
      <c r="H432" s="797">
        <v>45832</v>
      </c>
      <c r="I432" s="594"/>
      <c r="J432" s="729" t="s">
        <v>159</v>
      </c>
      <c r="K432" s="355"/>
      <c r="L432" s="613"/>
      <c r="M432" s="358"/>
      <c r="N432" s="520"/>
      <c r="O432" s="520"/>
      <c r="P432" s="521"/>
      <c r="Q432" s="346">
        <v>45832</v>
      </c>
      <c r="R432" s="148">
        <f>Q432/H432</f>
        <v>1</v>
      </c>
      <c r="S432" s="101" t="s">
        <v>2747</v>
      </c>
      <c r="T432" s="201"/>
    </row>
    <row r="433" spans="1:20" ht="57.6" x14ac:dyDescent="0.3">
      <c r="A433" s="98">
        <f t="shared" ca="1" si="25"/>
        <v>170</v>
      </c>
      <c r="B433" s="111" t="s">
        <v>80</v>
      </c>
      <c r="C433" s="512">
        <v>45815</v>
      </c>
      <c r="D433" s="369">
        <v>109869656</v>
      </c>
      <c r="E433" s="270" t="s">
        <v>3556</v>
      </c>
      <c r="F433" s="386" t="s">
        <v>12</v>
      </c>
      <c r="G433" s="376" t="s">
        <v>6</v>
      </c>
      <c r="H433" s="493">
        <v>45817</v>
      </c>
      <c r="I433" s="341"/>
      <c r="J433" s="729" t="s">
        <v>159</v>
      </c>
      <c r="K433" s="513"/>
      <c r="L433" s="514"/>
      <c r="M433" s="515"/>
      <c r="N433" s="31"/>
      <c r="O433" s="53"/>
      <c r="P433" s="55"/>
      <c r="Q433" s="516">
        <v>45833</v>
      </c>
      <c r="R433" s="148">
        <f>Q433/H433</f>
        <v>1.0003492153567453</v>
      </c>
      <c r="S433" s="101" t="s">
        <v>720</v>
      </c>
      <c r="T433" s="201"/>
    </row>
    <row r="434" spans="1:20" ht="57.6" x14ac:dyDescent="0.3">
      <c r="A434" s="98">
        <f t="shared" ca="1" si="25"/>
        <v>370</v>
      </c>
      <c r="B434" s="150" t="s">
        <v>80</v>
      </c>
      <c r="C434" s="606">
        <v>45821</v>
      </c>
      <c r="D434" s="537">
        <v>66155444</v>
      </c>
      <c r="E434" s="275" t="s">
        <v>3557</v>
      </c>
      <c r="F434" s="426" t="s">
        <v>48</v>
      </c>
      <c r="G434" s="454" t="s">
        <v>6</v>
      </c>
      <c r="H434" s="560">
        <v>45821</v>
      </c>
      <c r="I434" s="607"/>
      <c r="J434" s="456" t="s">
        <v>99</v>
      </c>
      <c r="K434" s="744"/>
      <c r="L434" s="518"/>
      <c r="M434" s="519"/>
      <c r="N434" s="520"/>
      <c r="O434" s="520"/>
      <c r="P434" s="521"/>
      <c r="Q434" s="346">
        <v>45833</v>
      </c>
      <c r="R434" s="148">
        <f>Q434/H434</f>
        <v>1.000261888653674</v>
      </c>
      <c r="S434" s="101" t="s">
        <v>2747</v>
      </c>
      <c r="T434" s="201" t="s">
        <v>3558</v>
      </c>
    </row>
    <row r="435" spans="1:20" ht="86.4" x14ac:dyDescent="0.3">
      <c r="A435" s="98">
        <f t="shared" ca="1" si="25"/>
        <v>482</v>
      </c>
      <c r="B435" s="126">
        <v>1550</v>
      </c>
      <c r="C435" s="206">
        <v>45827</v>
      </c>
      <c r="D435" s="219">
        <v>8278024</v>
      </c>
      <c r="E435" s="175" t="s">
        <v>3559</v>
      </c>
      <c r="F435" s="111" t="s">
        <v>15</v>
      </c>
      <c r="G435" s="127" t="s">
        <v>10</v>
      </c>
      <c r="H435" s="619">
        <v>45827</v>
      </c>
      <c r="I435" s="594"/>
      <c r="J435" s="728" t="s">
        <v>3095</v>
      </c>
      <c r="K435" s="608"/>
      <c r="L435" s="518"/>
      <c r="M435" s="519"/>
      <c r="N435" s="520"/>
      <c r="O435" s="520"/>
      <c r="P435" s="521"/>
      <c r="Q435" s="346">
        <v>45833</v>
      </c>
      <c r="R435" s="148">
        <f>Q435-H435</f>
        <v>6</v>
      </c>
      <c r="S435" s="101" t="s">
        <v>755</v>
      </c>
      <c r="T435" s="201"/>
    </row>
    <row r="436" spans="1:20" ht="72" x14ac:dyDescent="0.3">
      <c r="A436" s="98">
        <f t="shared" ca="1" si="25"/>
        <v>497</v>
      </c>
      <c r="B436" s="126">
        <v>1550</v>
      </c>
      <c r="C436" s="206">
        <v>45832</v>
      </c>
      <c r="D436" s="219">
        <v>114177015</v>
      </c>
      <c r="E436" s="109" t="s">
        <v>3560</v>
      </c>
      <c r="F436" s="386" t="s">
        <v>1</v>
      </c>
      <c r="G436" s="376" t="s">
        <v>6</v>
      </c>
      <c r="H436" s="797">
        <v>45832</v>
      </c>
      <c r="I436" s="594"/>
      <c r="J436" s="100" t="s">
        <v>2367</v>
      </c>
      <c r="K436" s="518"/>
      <c r="L436" s="518"/>
      <c r="M436" s="519"/>
      <c r="N436" s="520"/>
      <c r="O436" s="520"/>
      <c r="P436" s="521"/>
      <c r="Q436" s="346">
        <v>45833</v>
      </c>
      <c r="R436" s="148">
        <f>Q436/H436</f>
        <v>1.0000218188165473</v>
      </c>
      <c r="S436" s="101" t="s">
        <v>1312</v>
      </c>
      <c r="T436" s="201"/>
    </row>
    <row r="437" spans="1:20" ht="57.6" x14ac:dyDescent="0.3">
      <c r="A437" s="98">
        <f t="shared" ca="1" si="25"/>
        <v>498</v>
      </c>
      <c r="B437" s="126">
        <v>1550</v>
      </c>
      <c r="C437" s="206">
        <v>45832</v>
      </c>
      <c r="D437" s="219">
        <v>69668523</v>
      </c>
      <c r="E437" s="109" t="s">
        <v>3561</v>
      </c>
      <c r="F437" s="111" t="s">
        <v>15</v>
      </c>
      <c r="G437" s="125" t="s">
        <v>6</v>
      </c>
      <c r="H437" s="619">
        <v>45832</v>
      </c>
      <c r="I437" s="594"/>
      <c r="J437" s="800" t="s">
        <v>99</v>
      </c>
      <c r="K437" s="608"/>
      <c r="L437" s="518"/>
      <c r="M437" s="519"/>
      <c r="N437" s="520"/>
      <c r="O437" s="520"/>
      <c r="P437" s="521"/>
      <c r="Q437" s="346">
        <v>45833</v>
      </c>
      <c r="R437" s="148">
        <f>Q437/H437</f>
        <v>1.0000218188165473</v>
      </c>
      <c r="S437" s="101" t="s">
        <v>2808</v>
      </c>
      <c r="T437" s="201"/>
    </row>
    <row r="438" spans="1:20" ht="28.8" x14ac:dyDescent="0.3">
      <c r="A438" s="98">
        <f t="shared" ca="1" si="25"/>
        <v>499</v>
      </c>
      <c r="B438" s="195">
        <v>1550</v>
      </c>
      <c r="C438" s="603">
        <v>45832</v>
      </c>
      <c r="D438" s="369">
        <v>52032507</v>
      </c>
      <c r="E438" s="277" t="s">
        <v>3562</v>
      </c>
      <c r="F438" s="401" t="s">
        <v>3</v>
      </c>
      <c r="G438" s="796" t="s">
        <v>8</v>
      </c>
      <c r="H438" s="797">
        <v>45832</v>
      </c>
      <c r="I438" s="799"/>
      <c r="J438" s="461" t="s">
        <v>82</v>
      </c>
      <c r="K438" s="518"/>
      <c r="L438" s="518"/>
      <c r="M438" s="519"/>
      <c r="N438" s="520"/>
      <c r="O438" s="520"/>
      <c r="P438" s="521"/>
      <c r="Q438" s="346">
        <v>45833</v>
      </c>
      <c r="R438" s="148">
        <f t="shared" ref="R438:R457" si="26">Q438-H438</f>
        <v>1</v>
      </c>
      <c r="S438" s="101" t="s">
        <v>528</v>
      </c>
      <c r="T438" s="201"/>
    </row>
    <row r="439" spans="1:20" ht="57.6" x14ac:dyDescent="0.3">
      <c r="A439" s="98">
        <f t="shared" ca="1" si="25"/>
        <v>232</v>
      </c>
      <c r="B439" s="111">
        <v>1550</v>
      </c>
      <c r="C439" s="512">
        <v>45817</v>
      </c>
      <c r="D439" s="369"/>
      <c r="E439" s="271" t="s">
        <v>3563</v>
      </c>
      <c r="F439" s="126" t="s">
        <v>51</v>
      </c>
      <c r="G439" s="127" t="s">
        <v>8</v>
      </c>
      <c r="H439" s="568">
        <v>45817</v>
      </c>
      <c r="I439" s="341"/>
      <c r="J439" s="125" t="s">
        <v>3095</v>
      </c>
      <c r="K439" s="608"/>
      <c r="L439" s="518"/>
      <c r="M439" s="519"/>
      <c r="N439" s="520"/>
      <c r="O439" s="520"/>
      <c r="P439" s="521"/>
      <c r="Q439" s="346">
        <v>45834</v>
      </c>
      <c r="R439" s="148">
        <f t="shared" si="26"/>
        <v>17</v>
      </c>
      <c r="S439" s="101" t="s">
        <v>1677</v>
      </c>
      <c r="T439" s="201"/>
    </row>
    <row r="440" spans="1:20" ht="57.6" x14ac:dyDescent="0.3">
      <c r="A440" s="98">
        <f t="shared" ca="1" si="25"/>
        <v>233</v>
      </c>
      <c r="B440" s="111">
        <v>1550</v>
      </c>
      <c r="C440" s="512">
        <v>45817</v>
      </c>
      <c r="D440" s="369"/>
      <c r="E440" s="793" t="s">
        <v>3564</v>
      </c>
      <c r="F440" s="126" t="s">
        <v>51</v>
      </c>
      <c r="G440" s="127" t="s">
        <v>8</v>
      </c>
      <c r="H440" s="568">
        <v>45817</v>
      </c>
      <c r="I440" s="594"/>
      <c r="J440" s="125" t="s">
        <v>3095</v>
      </c>
      <c r="K440" s="608"/>
      <c r="L440" s="518"/>
      <c r="M440" s="519"/>
      <c r="N440" s="520"/>
      <c r="O440" s="520"/>
      <c r="P440" s="521"/>
      <c r="Q440" s="346">
        <v>45834</v>
      </c>
      <c r="R440" s="148">
        <f t="shared" si="26"/>
        <v>17</v>
      </c>
      <c r="S440" s="101" t="s">
        <v>94</v>
      </c>
      <c r="T440" s="201"/>
    </row>
    <row r="441" spans="1:20" ht="57.6" x14ac:dyDescent="0.3">
      <c r="A441" s="98">
        <f t="shared" ca="1" si="25"/>
        <v>235</v>
      </c>
      <c r="B441" s="150">
        <v>1550</v>
      </c>
      <c r="C441" s="606">
        <v>45817</v>
      </c>
      <c r="D441" s="537"/>
      <c r="E441" s="269" t="s">
        <v>3565</v>
      </c>
      <c r="F441" s="126" t="s">
        <v>51</v>
      </c>
      <c r="G441" s="127" t="s">
        <v>8</v>
      </c>
      <c r="H441" s="568">
        <v>45817</v>
      </c>
      <c r="I441" s="594"/>
      <c r="J441" s="125" t="s">
        <v>3095</v>
      </c>
      <c r="K441" s="608"/>
      <c r="L441" s="518"/>
      <c r="M441" s="519"/>
      <c r="N441" s="520"/>
      <c r="O441" s="520"/>
      <c r="P441" s="521"/>
      <c r="Q441" s="346">
        <v>45834</v>
      </c>
      <c r="R441" s="148">
        <f t="shared" si="26"/>
        <v>17</v>
      </c>
      <c r="S441" s="101" t="s">
        <v>1916</v>
      </c>
      <c r="T441" s="57"/>
    </row>
    <row r="442" spans="1:20" ht="57.6" x14ac:dyDescent="0.3">
      <c r="A442" s="98">
        <f t="shared" ca="1" si="25"/>
        <v>236</v>
      </c>
      <c r="B442" s="111">
        <v>1550</v>
      </c>
      <c r="C442" s="512">
        <v>45817</v>
      </c>
      <c r="D442" s="219"/>
      <c r="E442" s="109" t="s">
        <v>3566</v>
      </c>
      <c r="F442" s="126" t="s">
        <v>51</v>
      </c>
      <c r="G442" s="127" t="s">
        <v>8</v>
      </c>
      <c r="H442" s="611">
        <v>45817</v>
      </c>
      <c r="I442" s="594"/>
      <c r="J442" s="100" t="s">
        <v>3095</v>
      </c>
      <c r="K442" s="518"/>
      <c r="L442" s="518"/>
      <c r="M442" s="519"/>
      <c r="N442" s="520"/>
      <c r="O442" s="520"/>
      <c r="P442" s="521"/>
      <c r="Q442" s="346">
        <v>45834</v>
      </c>
      <c r="R442" s="148">
        <f t="shared" si="26"/>
        <v>17</v>
      </c>
      <c r="S442" s="101" t="s">
        <v>1916</v>
      </c>
      <c r="T442" s="57"/>
    </row>
    <row r="443" spans="1:20" ht="57.6" x14ac:dyDescent="0.3">
      <c r="A443" s="98">
        <f t="shared" ca="1" si="25"/>
        <v>243</v>
      </c>
      <c r="B443" s="126">
        <v>1550</v>
      </c>
      <c r="C443" s="206">
        <v>45817</v>
      </c>
      <c r="D443" s="219"/>
      <c r="E443" s="175" t="s">
        <v>3567</v>
      </c>
      <c r="F443" s="111" t="s">
        <v>51</v>
      </c>
      <c r="G443" s="125" t="s">
        <v>8</v>
      </c>
      <c r="H443" s="599">
        <v>45817</v>
      </c>
      <c r="I443" s="341"/>
      <c r="J443" s="100" t="s">
        <v>3095</v>
      </c>
      <c r="K443" s="513"/>
      <c r="L443" s="514"/>
      <c r="M443" s="515"/>
      <c r="N443" s="31"/>
      <c r="O443" s="53"/>
      <c r="P443" s="55"/>
      <c r="Q443" s="346">
        <v>45834</v>
      </c>
      <c r="R443" s="148">
        <f t="shared" si="26"/>
        <v>17</v>
      </c>
      <c r="S443" s="101" t="s">
        <v>758</v>
      </c>
      <c r="T443" s="57"/>
    </row>
    <row r="444" spans="1:20" ht="57.6" x14ac:dyDescent="0.3">
      <c r="A444" s="98">
        <f t="shared" ca="1" si="25"/>
        <v>261</v>
      </c>
      <c r="B444" s="126">
        <v>1550</v>
      </c>
      <c r="C444" s="206">
        <v>45818</v>
      </c>
      <c r="D444" s="219"/>
      <c r="E444" s="483" t="s">
        <v>3568</v>
      </c>
      <c r="F444" s="126" t="s">
        <v>51</v>
      </c>
      <c r="G444" s="127" t="s">
        <v>8</v>
      </c>
      <c r="H444" s="568">
        <v>45818</v>
      </c>
      <c r="I444" s="594"/>
      <c r="J444" s="125" t="s">
        <v>3095</v>
      </c>
      <c r="K444" s="569"/>
      <c r="L444" s="514"/>
      <c r="M444" s="515"/>
      <c r="N444" s="31"/>
      <c r="O444" s="53"/>
      <c r="P444" s="55"/>
      <c r="Q444" s="516">
        <v>45834</v>
      </c>
      <c r="R444" s="148">
        <f t="shared" si="26"/>
        <v>16</v>
      </c>
      <c r="S444" s="101" t="s">
        <v>528</v>
      </c>
      <c r="T444" s="57"/>
    </row>
    <row r="445" spans="1:20" ht="57.6" x14ac:dyDescent="0.3">
      <c r="A445" s="98">
        <f t="shared" ca="1" si="25"/>
        <v>262</v>
      </c>
      <c r="B445" s="195">
        <v>1550</v>
      </c>
      <c r="C445" s="603">
        <v>45818</v>
      </c>
      <c r="D445" s="369"/>
      <c r="E445" s="110" t="s">
        <v>3569</v>
      </c>
      <c r="F445" s="126" t="s">
        <v>51</v>
      </c>
      <c r="G445" s="127" t="s">
        <v>8</v>
      </c>
      <c r="H445" s="568">
        <v>45818</v>
      </c>
      <c r="I445" s="594"/>
      <c r="J445" s="125" t="s">
        <v>3095</v>
      </c>
      <c r="K445" s="569"/>
      <c r="L445" s="582"/>
      <c r="M445" s="515"/>
      <c r="N445" s="31"/>
      <c r="O445" s="53"/>
      <c r="P445" s="55"/>
      <c r="Q445" s="516">
        <v>45834</v>
      </c>
      <c r="R445" s="148">
        <f t="shared" si="26"/>
        <v>16</v>
      </c>
      <c r="S445" s="101" t="s">
        <v>758</v>
      </c>
      <c r="T445" s="57"/>
    </row>
    <row r="446" spans="1:20" ht="57.6" x14ac:dyDescent="0.3">
      <c r="A446" s="98">
        <f t="shared" ca="1" si="25"/>
        <v>276</v>
      </c>
      <c r="B446" s="111">
        <v>1550</v>
      </c>
      <c r="C446" s="206">
        <v>45818</v>
      </c>
      <c r="D446" s="369"/>
      <c r="E446" s="270" t="s">
        <v>3570</v>
      </c>
      <c r="F446" s="126" t="s">
        <v>51</v>
      </c>
      <c r="G446" s="127" t="s">
        <v>8</v>
      </c>
      <c r="H446" s="599">
        <v>45818</v>
      </c>
      <c r="I446" s="594"/>
      <c r="J446" s="125" t="s">
        <v>3095</v>
      </c>
      <c r="K446" s="518"/>
      <c r="L446" s="518"/>
      <c r="M446" s="519"/>
      <c r="N446" s="520"/>
      <c r="O446" s="520"/>
      <c r="P446" s="521"/>
      <c r="Q446" s="346">
        <v>45834</v>
      </c>
      <c r="R446" s="148">
        <f t="shared" si="26"/>
        <v>16</v>
      </c>
      <c r="S446" s="101" t="s">
        <v>528</v>
      </c>
      <c r="T446" s="201"/>
    </row>
    <row r="447" spans="1:20" ht="57.6" x14ac:dyDescent="0.3">
      <c r="A447" s="98">
        <f t="shared" ca="1" si="25"/>
        <v>277</v>
      </c>
      <c r="B447" s="111">
        <v>1550</v>
      </c>
      <c r="C447" s="512">
        <v>45818</v>
      </c>
      <c r="D447" s="369"/>
      <c r="E447" s="270" t="s">
        <v>3571</v>
      </c>
      <c r="F447" s="126" t="s">
        <v>51</v>
      </c>
      <c r="G447" s="127" t="s">
        <v>8</v>
      </c>
      <c r="H447" s="599">
        <v>45818</v>
      </c>
      <c r="I447" s="341"/>
      <c r="J447" s="125" t="s">
        <v>3095</v>
      </c>
      <c r="K447" s="513"/>
      <c r="L447" s="514"/>
      <c r="M447" s="515"/>
      <c r="N447" s="31"/>
      <c r="O447" s="53"/>
      <c r="P447" s="55"/>
      <c r="Q447" s="516">
        <v>45834</v>
      </c>
      <c r="R447" s="148">
        <f t="shared" si="26"/>
        <v>16</v>
      </c>
      <c r="S447" s="101" t="s">
        <v>94</v>
      </c>
      <c r="T447" s="57"/>
    </row>
    <row r="448" spans="1:20" ht="57.6" x14ac:dyDescent="0.3">
      <c r="A448" s="98">
        <f t="shared" ca="1" si="25"/>
        <v>291</v>
      </c>
      <c r="B448" s="126">
        <v>1550</v>
      </c>
      <c r="C448" s="206">
        <v>45818</v>
      </c>
      <c r="D448" s="369"/>
      <c r="E448" s="213" t="s">
        <v>3572</v>
      </c>
      <c r="F448" s="126" t="s">
        <v>51</v>
      </c>
      <c r="G448" s="127" t="s">
        <v>8</v>
      </c>
      <c r="H448" s="568">
        <v>45818</v>
      </c>
      <c r="I448" s="594"/>
      <c r="J448" s="125" t="s">
        <v>3095</v>
      </c>
      <c r="K448" s="569"/>
      <c r="L448" s="514"/>
      <c r="M448" s="515"/>
      <c r="N448" s="31"/>
      <c r="O448" s="53"/>
      <c r="P448" s="55"/>
      <c r="Q448" s="346">
        <v>45834</v>
      </c>
      <c r="R448" s="148">
        <f t="shared" si="26"/>
        <v>16</v>
      </c>
      <c r="S448" s="101" t="s">
        <v>1677</v>
      </c>
      <c r="T448" s="57"/>
    </row>
    <row r="449" spans="1:20" ht="57.6" x14ac:dyDescent="0.3">
      <c r="A449" s="98">
        <f t="shared" ca="1" si="25"/>
        <v>292</v>
      </c>
      <c r="B449" s="126">
        <v>1550</v>
      </c>
      <c r="C449" s="206">
        <v>45818</v>
      </c>
      <c r="D449" s="369"/>
      <c r="E449" s="110" t="s">
        <v>3573</v>
      </c>
      <c r="F449" s="126" t="s">
        <v>51</v>
      </c>
      <c r="G449" s="127" t="s">
        <v>8</v>
      </c>
      <c r="H449" s="568">
        <v>45818</v>
      </c>
      <c r="I449" s="594"/>
      <c r="J449" s="125" t="s">
        <v>3095</v>
      </c>
      <c r="K449" s="569"/>
      <c r="L449" s="514"/>
      <c r="M449" s="515"/>
      <c r="N449" s="31"/>
      <c r="O449" s="53"/>
      <c r="P449" s="55"/>
      <c r="Q449" s="346">
        <v>45834</v>
      </c>
      <c r="R449" s="148">
        <f t="shared" si="26"/>
        <v>16</v>
      </c>
      <c r="S449" s="101" t="s">
        <v>1677</v>
      </c>
      <c r="T449" s="57"/>
    </row>
    <row r="450" spans="1:20" ht="57.6" x14ac:dyDescent="0.3">
      <c r="A450" s="98">
        <f t="shared" ca="1" si="25"/>
        <v>293</v>
      </c>
      <c r="B450" s="126">
        <v>1550</v>
      </c>
      <c r="C450" s="206">
        <v>45818</v>
      </c>
      <c r="D450" s="369"/>
      <c r="E450" s="270" t="s">
        <v>3574</v>
      </c>
      <c r="F450" s="388" t="s">
        <v>51</v>
      </c>
      <c r="G450" s="377" t="s">
        <v>8</v>
      </c>
      <c r="H450" s="493">
        <v>45818</v>
      </c>
      <c r="I450" s="594"/>
      <c r="J450" s="100" t="s">
        <v>3095</v>
      </c>
      <c r="K450" s="513"/>
      <c r="L450" s="514"/>
      <c r="M450" s="515"/>
      <c r="N450" s="31"/>
      <c r="O450" s="53"/>
      <c r="P450" s="55"/>
      <c r="Q450" s="346">
        <v>45834</v>
      </c>
      <c r="R450" s="148">
        <f t="shared" si="26"/>
        <v>16</v>
      </c>
      <c r="S450" s="101" t="s">
        <v>1677</v>
      </c>
      <c r="T450" s="57"/>
    </row>
    <row r="451" spans="1:20" ht="57.6" x14ac:dyDescent="0.3">
      <c r="A451" s="98">
        <f t="shared" ca="1" si="25"/>
        <v>299</v>
      </c>
      <c r="B451" s="111">
        <v>1550</v>
      </c>
      <c r="C451" s="512">
        <v>45819</v>
      </c>
      <c r="D451" s="369"/>
      <c r="E451" s="270" t="s">
        <v>3575</v>
      </c>
      <c r="F451" s="111" t="s">
        <v>51</v>
      </c>
      <c r="G451" s="127" t="s">
        <v>8</v>
      </c>
      <c r="H451" s="568">
        <v>45819</v>
      </c>
      <c r="I451" s="341"/>
      <c r="J451" s="125" t="s">
        <v>3095</v>
      </c>
      <c r="K451" s="608"/>
      <c r="L451" s="518"/>
      <c r="M451" s="519"/>
      <c r="N451" s="520"/>
      <c r="O451" s="520"/>
      <c r="P451" s="521"/>
      <c r="Q451" s="346">
        <v>45834</v>
      </c>
      <c r="R451" s="148">
        <f t="shared" si="26"/>
        <v>15</v>
      </c>
      <c r="S451" s="101" t="s">
        <v>528</v>
      </c>
      <c r="T451" s="57"/>
    </row>
    <row r="452" spans="1:20" ht="57.6" x14ac:dyDescent="0.3">
      <c r="A452" s="98">
        <f t="shared" ca="1" si="25"/>
        <v>305</v>
      </c>
      <c r="B452" s="126">
        <v>1550</v>
      </c>
      <c r="C452" s="206">
        <v>45819</v>
      </c>
      <c r="D452" s="369"/>
      <c r="E452" s="213" t="s">
        <v>3576</v>
      </c>
      <c r="F452" s="111" t="s">
        <v>51</v>
      </c>
      <c r="G452" s="125" t="s">
        <v>8</v>
      </c>
      <c r="H452" s="568">
        <v>45819</v>
      </c>
      <c r="I452" s="341"/>
      <c r="J452" s="125" t="s">
        <v>3095</v>
      </c>
      <c r="K452" s="608"/>
      <c r="L452" s="518"/>
      <c r="M452" s="519"/>
      <c r="N452" s="520"/>
      <c r="O452" s="520"/>
      <c r="P452" s="521"/>
      <c r="Q452" s="346">
        <v>45834</v>
      </c>
      <c r="R452" s="148">
        <f t="shared" si="26"/>
        <v>15</v>
      </c>
      <c r="S452" s="101" t="s">
        <v>1677</v>
      </c>
      <c r="T452" s="201"/>
    </row>
    <row r="453" spans="1:20" ht="57.6" x14ac:dyDescent="0.3">
      <c r="A453" s="98">
        <f t="shared" ca="1" si="25"/>
        <v>329</v>
      </c>
      <c r="B453" s="111">
        <v>1550</v>
      </c>
      <c r="C453" s="512">
        <v>45820</v>
      </c>
      <c r="D453" s="369"/>
      <c r="E453" s="213" t="s">
        <v>3577</v>
      </c>
      <c r="F453" s="111" t="s">
        <v>51</v>
      </c>
      <c r="G453" s="125" t="s">
        <v>8</v>
      </c>
      <c r="H453" s="568">
        <v>45820</v>
      </c>
      <c r="I453" s="341"/>
      <c r="J453" s="125" t="s">
        <v>3095</v>
      </c>
      <c r="K453" s="513"/>
      <c r="L453" s="514"/>
      <c r="M453" s="515"/>
      <c r="N453" s="31"/>
      <c r="O453" s="53"/>
      <c r="P453" s="55"/>
      <c r="Q453" s="346">
        <v>45834</v>
      </c>
      <c r="R453" s="148">
        <f t="shared" si="26"/>
        <v>14</v>
      </c>
      <c r="S453" s="101" t="s">
        <v>528</v>
      </c>
      <c r="T453" s="57"/>
    </row>
    <row r="454" spans="1:20" ht="57.6" x14ac:dyDescent="0.3">
      <c r="A454" s="98">
        <f t="shared" ca="1" si="25"/>
        <v>330</v>
      </c>
      <c r="B454" s="111">
        <v>1550</v>
      </c>
      <c r="C454" s="512">
        <v>45820</v>
      </c>
      <c r="D454" s="369"/>
      <c r="E454" s="213" t="s">
        <v>3578</v>
      </c>
      <c r="F454" s="111" t="s">
        <v>51</v>
      </c>
      <c r="G454" s="125" t="s">
        <v>8</v>
      </c>
      <c r="H454" s="568">
        <v>45820</v>
      </c>
      <c r="I454" s="341"/>
      <c r="J454" s="125" t="s">
        <v>3095</v>
      </c>
      <c r="K454" s="513"/>
      <c r="L454" s="514"/>
      <c r="M454" s="515"/>
      <c r="N454" s="31"/>
      <c r="O454" s="53"/>
      <c r="P454" s="55"/>
      <c r="Q454" s="346">
        <v>45834</v>
      </c>
      <c r="R454" s="148">
        <f t="shared" si="26"/>
        <v>14</v>
      </c>
      <c r="S454" s="101" t="s">
        <v>151</v>
      </c>
      <c r="T454" s="57"/>
    </row>
    <row r="455" spans="1:20" ht="57.6" x14ac:dyDescent="0.3">
      <c r="A455" s="98">
        <f t="shared" ca="1" si="25"/>
        <v>331</v>
      </c>
      <c r="B455" s="111">
        <v>1550</v>
      </c>
      <c r="C455" s="512">
        <v>45820</v>
      </c>
      <c r="D455" s="369"/>
      <c r="E455" s="213" t="s">
        <v>3579</v>
      </c>
      <c r="F455" s="111" t="s">
        <v>51</v>
      </c>
      <c r="G455" s="127" t="s">
        <v>8</v>
      </c>
      <c r="H455" s="568">
        <v>45820</v>
      </c>
      <c r="I455" s="341"/>
      <c r="J455" s="125" t="s">
        <v>3095</v>
      </c>
      <c r="K455" s="513"/>
      <c r="L455" s="514"/>
      <c r="M455" s="515"/>
      <c r="N455" s="31"/>
      <c r="O455" s="53"/>
      <c r="P455" s="55"/>
      <c r="Q455" s="516">
        <v>45834</v>
      </c>
      <c r="R455" s="148">
        <f t="shared" si="26"/>
        <v>14</v>
      </c>
      <c r="S455" s="101" t="s">
        <v>758</v>
      </c>
      <c r="T455" s="57"/>
    </row>
    <row r="456" spans="1:20" ht="57.6" x14ac:dyDescent="0.3">
      <c r="A456" s="98">
        <f t="shared" ca="1" si="25"/>
        <v>332</v>
      </c>
      <c r="B456" s="111">
        <v>1550</v>
      </c>
      <c r="C456" s="512">
        <v>45820</v>
      </c>
      <c r="D456" s="369"/>
      <c r="E456" s="213" t="s">
        <v>3580</v>
      </c>
      <c r="F456" s="111" t="s">
        <v>51</v>
      </c>
      <c r="G456" s="125" t="s">
        <v>8</v>
      </c>
      <c r="H456" s="568">
        <v>45820</v>
      </c>
      <c r="I456" s="341"/>
      <c r="J456" s="125" t="s">
        <v>3095</v>
      </c>
      <c r="K456" s="513"/>
      <c r="L456" s="514"/>
      <c r="M456" s="515"/>
      <c r="N456" s="31"/>
      <c r="O456" s="53"/>
      <c r="P456" s="55"/>
      <c r="Q456" s="346">
        <v>45834</v>
      </c>
      <c r="R456" s="148">
        <f t="shared" si="26"/>
        <v>14</v>
      </c>
      <c r="S456" s="101" t="s">
        <v>1916</v>
      </c>
      <c r="T456" s="57"/>
    </row>
    <row r="457" spans="1:20" ht="57.6" x14ac:dyDescent="0.3">
      <c r="A457" s="98">
        <f t="shared" ca="1" si="25"/>
        <v>336</v>
      </c>
      <c r="B457" s="111">
        <v>1550</v>
      </c>
      <c r="C457" s="512">
        <v>45820</v>
      </c>
      <c r="D457" s="369"/>
      <c r="E457" s="213" t="s">
        <v>3581</v>
      </c>
      <c r="F457" s="386" t="s">
        <v>51</v>
      </c>
      <c r="G457" s="125" t="s">
        <v>8</v>
      </c>
      <c r="H457" s="568">
        <v>45820</v>
      </c>
      <c r="I457" s="341"/>
      <c r="J457" s="107" t="s">
        <v>3095</v>
      </c>
      <c r="K457" s="513"/>
      <c r="L457" s="514"/>
      <c r="M457" s="515"/>
      <c r="N457" s="31"/>
      <c r="O457" s="53"/>
      <c r="P457" s="55"/>
      <c r="Q457" s="346">
        <v>45834</v>
      </c>
      <c r="R457" s="148">
        <f t="shared" si="26"/>
        <v>14</v>
      </c>
      <c r="S457" s="101" t="s">
        <v>758</v>
      </c>
      <c r="T457" s="57"/>
    </row>
    <row r="458" spans="1:20" ht="172.8" x14ac:dyDescent="0.3">
      <c r="A458" s="98">
        <f t="shared" ca="1" si="25"/>
        <v>337</v>
      </c>
      <c r="B458" s="111" t="s">
        <v>301</v>
      </c>
      <c r="C458" s="512">
        <v>45820</v>
      </c>
      <c r="D458" s="369">
        <v>120547635</v>
      </c>
      <c r="E458" s="213" t="s">
        <v>3582</v>
      </c>
      <c r="F458" s="111" t="s">
        <v>21</v>
      </c>
      <c r="G458" s="125" t="s">
        <v>6</v>
      </c>
      <c r="H458" s="568">
        <v>45820</v>
      </c>
      <c r="I458" s="341"/>
      <c r="J458" s="125" t="s">
        <v>99</v>
      </c>
      <c r="K458" s="569"/>
      <c r="L458" s="514"/>
      <c r="M458" s="515"/>
      <c r="N458" s="31"/>
      <c r="O458" s="53"/>
      <c r="P458" s="55"/>
      <c r="Q458" s="346">
        <v>45834</v>
      </c>
      <c r="R458" s="148">
        <f>Q458/H458</f>
        <v>1.0003055434308163</v>
      </c>
      <c r="S458" s="101" t="s">
        <v>2808</v>
      </c>
      <c r="T458" s="57"/>
    </row>
    <row r="459" spans="1:20" ht="57.6" x14ac:dyDescent="0.3">
      <c r="A459" s="98">
        <f t="shared" ca="1" si="25"/>
        <v>338</v>
      </c>
      <c r="B459" s="111">
        <v>1550</v>
      </c>
      <c r="C459" s="512">
        <v>45820</v>
      </c>
      <c r="D459" s="369"/>
      <c r="E459" s="110" t="s">
        <v>3583</v>
      </c>
      <c r="F459" s="111" t="s">
        <v>51</v>
      </c>
      <c r="G459" s="125" t="s">
        <v>8</v>
      </c>
      <c r="H459" s="568">
        <v>45820</v>
      </c>
      <c r="I459" s="341"/>
      <c r="J459" s="125" t="s">
        <v>3095</v>
      </c>
      <c r="K459" s="569"/>
      <c r="L459" s="514"/>
      <c r="M459" s="515"/>
      <c r="N459" s="31"/>
      <c r="O459" s="53"/>
      <c r="P459" s="55"/>
      <c r="Q459" s="346">
        <v>45834</v>
      </c>
      <c r="R459" s="148">
        <f t="shared" ref="R459:R479" si="27">Q459-H459</f>
        <v>14</v>
      </c>
      <c r="S459" s="101" t="s">
        <v>151</v>
      </c>
      <c r="T459" s="57"/>
    </row>
    <row r="460" spans="1:20" ht="57.6" x14ac:dyDescent="0.3">
      <c r="A460" s="98">
        <f t="shared" ca="1" si="25"/>
        <v>340</v>
      </c>
      <c r="B460" s="111">
        <v>1550</v>
      </c>
      <c r="C460" s="512">
        <v>45820</v>
      </c>
      <c r="D460" s="369"/>
      <c r="E460" s="270" t="s">
        <v>3584</v>
      </c>
      <c r="F460" s="386" t="s">
        <v>51</v>
      </c>
      <c r="G460" s="376" t="s">
        <v>8</v>
      </c>
      <c r="H460" s="493">
        <v>45820</v>
      </c>
      <c r="I460" s="585"/>
      <c r="J460" s="125" t="s">
        <v>3095</v>
      </c>
      <c r="K460" s="513"/>
      <c r="L460" s="514"/>
      <c r="M460" s="515"/>
      <c r="N460" s="31"/>
      <c r="O460" s="53"/>
      <c r="P460" s="55"/>
      <c r="Q460" s="516">
        <v>45834</v>
      </c>
      <c r="R460" s="148">
        <f t="shared" si="27"/>
        <v>14</v>
      </c>
      <c r="S460" s="101" t="s">
        <v>1727</v>
      </c>
      <c r="T460" s="57"/>
    </row>
    <row r="461" spans="1:20" ht="57.6" x14ac:dyDescent="0.3">
      <c r="A461" s="98">
        <f t="shared" ca="1" si="25"/>
        <v>341</v>
      </c>
      <c r="B461" s="111">
        <v>1550</v>
      </c>
      <c r="C461" s="512">
        <v>45820</v>
      </c>
      <c r="D461" s="369"/>
      <c r="E461" s="270" t="s">
        <v>3585</v>
      </c>
      <c r="F461" s="111" t="s">
        <v>51</v>
      </c>
      <c r="G461" s="125" t="s">
        <v>8</v>
      </c>
      <c r="H461" s="568">
        <v>45820</v>
      </c>
      <c r="I461" s="341"/>
      <c r="J461" s="125" t="s">
        <v>3095</v>
      </c>
      <c r="K461" s="608"/>
      <c r="L461" s="518"/>
      <c r="M461" s="519"/>
      <c r="N461" s="520"/>
      <c r="O461" s="520"/>
      <c r="P461" s="521"/>
      <c r="Q461" s="346">
        <v>45834</v>
      </c>
      <c r="R461" s="148">
        <f t="shared" si="27"/>
        <v>14</v>
      </c>
      <c r="S461" s="101" t="s">
        <v>1727</v>
      </c>
      <c r="T461" s="201"/>
    </row>
    <row r="462" spans="1:20" ht="57.6" x14ac:dyDescent="0.3">
      <c r="A462" s="98">
        <f t="shared" ca="1" si="25"/>
        <v>342</v>
      </c>
      <c r="B462" s="111">
        <v>1550</v>
      </c>
      <c r="C462" s="512">
        <v>45820</v>
      </c>
      <c r="D462" s="369"/>
      <c r="E462" s="270" t="s">
        <v>3586</v>
      </c>
      <c r="F462" s="111" t="s">
        <v>51</v>
      </c>
      <c r="G462" s="125" t="s">
        <v>8</v>
      </c>
      <c r="H462" s="568">
        <v>45820</v>
      </c>
      <c r="I462" s="341"/>
      <c r="J462" s="125" t="s">
        <v>3095</v>
      </c>
      <c r="K462" s="608"/>
      <c r="L462" s="518"/>
      <c r="M462" s="519"/>
      <c r="N462" s="520"/>
      <c r="O462" s="520"/>
      <c r="P462" s="521"/>
      <c r="Q462" s="346">
        <v>45834</v>
      </c>
      <c r="R462" s="148">
        <f t="shared" si="27"/>
        <v>14</v>
      </c>
      <c r="S462" s="101" t="s">
        <v>1727</v>
      </c>
      <c r="T462" s="57"/>
    </row>
    <row r="463" spans="1:20" ht="57.6" x14ac:dyDescent="0.3">
      <c r="A463" s="98">
        <f t="shared" ca="1" si="25"/>
        <v>350</v>
      </c>
      <c r="B463" s="111">
        <v>1550</v>
      </c>
      <c r="C463" s="512">
        <v>45820</v>
      </c>
      <c r="D463" s="369"/>
      <c r="E463" s="270" t="s">
        <v>3587</v>
      </c>
      <c r="F463" s="388" t="s">
        <v>51</v>
      </c>
      <c r="G463" s="377" t="s">
        <v>8</v>
      </c>
      <c r="H463" s="493">
        <v>45820</v>
      </c>
      <c r="I463" s="594"/>
      <c r="J463" s="125" t="s">
        <v>3095</v>
      </c>
      <c r="K463" s="513"/>
      <c r="L463" s="514"/>
      <c r="M463" s="515"/>
      <c r="N463" s="31"/>
      <c r="O463" s="53"/>
      <c r="P463" s="55"/>
      <c r="Q463" s="346">
        <v>45834</v>
      </c>
      <c r="R463" s="148">
        <f t="shared" si="27"/>
        <v>14</v>
      </c>
      <c r="S463" s="101" t="s">
        <v>8</v>
      </c>
      <c r="T463" s="57"/>
    </row>
    <row r="464" spans="1:20" ht="57.6" x14ac:dyDescent="0.3">
      <c r="A464" s="98">
        <f t="shared" ca="1" si="25"/>
        <v>353</v>
      </c>
      <c r="B464" s="111">
        <v>1550</v>
      </c>
      <c r="C464" s="512">
        <v>45820</v>
      </c>
      <c r="D464" s="369"/>
      <c r="E464" s="270" t="s">
        <v>3588</v>
      </c>
      <c r="F464" s="388" t="s">
        <v>51</v>
      </c>
      <c r="G464" s="377" t="s">
        <v>8</v>
      </c>
      <c r="H464" s="493">
        <v>45820</v>
      </c>
      <c r="I464" s="594"/>
      <c r="J464" s="125" t="s">
        <v>3095</v>
      </c>
      <c r="K464" s="513"/>
      <c r="L464" s="514"/>
      <c r="M464" s="515"/>
      <c r="N464" s="31"/>
      <c r="O464" s="53"/>
      <c r="P464" s="55"/>
      <c r="Q464" s="346">
        <v>45834</v>
      </c>
      <c r="R464" s="148">
        <f t="shared" si="27"/>
        <v>14</v>
      </c>
      <c r="S464" s="101" t="s">
        <v>1916</v>
      </c>
      <c r="T464" s="57"/>
    </row>
    <row r="465" spans="1:20" ht="57.6" x14ac:dyDescent="0.3">
      <c r="A465" s="98">
        <f t="shared" ca="1" si="25"/>
        <v>360</v>
      </c>
      <c r="B465" s="111">
        <v>1550</v>
      </c>
      <c r="C465" s="512">
        <v>45820</v>
      </c>
      <c r="D465" s="369"/>
      <c r="E465" s="270" t="s">
        <v>3589</v>
      </c>
      <c r="F465" s="126" t="s">
        <v>51</v>
      </c>
      <c r="G465" s="127" t="s">
        <v>8</v>
      </c>
      <c r="H465" s="568">
        <v>45820</v>
      </c>
      <c r="I465" s="594"/>
      <c r="J465" s="125" t="s">
        <v>3095</v>
      </c>
      <c r="K465" s="569"/>
      <c r="L465" s="514"/>
      <c r="M465" s="515"/>
      <c r="N465" s="31"/>
      <c r="O465" s="53"/>
      <c r="P465" s="55"/>
      <c r="Q465" s="516">
        <v>45834</v>
      </c>
      <c r="R465" s="148">
        <f t="shared" si="27"/>
        <v>14</v>
      </c>
      <c r="S465" s="101" t="s">
        <v>758</v>
      </c>
      <c r="T465" s="57"/>
    </row>
    <row r="466" spans="1:20" ht="57.6" x14ac:dyDescent="0.3">
      <c r="A466" s="98">
        <f t="shared" ca="1" si="25"/>
        <v>361</v>
      </c>
      <c r="B466" s="554">
        <v>1550</v>
      </c>
      <c r="C466" s="516">
        <v>45820</v>
      </c>
      <c r="D466" s="369"/>
      <c r="E466" s="270" t="s">
        <v>3590</v>
      </c>
      <c r="F466" s="386" t="s">
        <v>51</v>
      </c>
      <c r="G466" s="172" t="s">
        <v>8</v>
      </c>
      <c r="H466" s="599">
        <v>45820</v>
      </c>
      <c r="I466" s="517"/>
      <c r="J466" s="102" t="s">
        <v>3095</v>
      </c>
      <c r="K466" s="513"/>
      <c r="L466" s="514"/>
      <c r="M466" s="515"/>
      <c r="N466" s="31"/>
      <c r="O466" s="53"/>
      <c r="P466" s="55"/>
      <c r="Q466" s="516">
        <v>45834</v>
      </c>
      <c r="R466" s="148">
        <f t="shared" si="27"/>
        <v>14</v>
      </c>
      <c r="S466" s="101" t="s">
        <v>1916</v>
      </c>
      <c r="T466" s="57"/>
    </row>
    <row r="467" spans="1:20" ht="57.6" x14ac:dyDescent="0.3">
      <c r="A467" s="98">
        <f t="shared" ca="1" si="25"/>
        <v>369</v>
      </c>
      <c r="B467" s="554">
        <v>1550</v>
      </c>
      <c r="C467" s="516">
        <v>45821</v>
      </c>
      <c r="D467" s="369"/>
      <c r="E467" s="270" t="s">
        <v>3591</v>
      </c>
      <c r="F467" s="386" t="s">
        <v>51</v>
      </c>
      <c r="G467" s="81" t="s">
        <v>8</v>
      </c>
      <c r="H467" s="599">
        <v>45821</v>
      </c>
      <c r="I467" s="587"/>
      <c r="J467" s="100" t="s">
        <v>3095</v>
      </c>
      <c r="K467" s="518"/>
      <c r="L467" s="518"/>
      <c r="M467" s="519"/>
      <c r="N467" s="520"/>
      <c r="O467" s="520"/>
      <c r="P467" s="521"/>
      <c r="Q467" s="346">
        <v>45834</v>
      </c>
      <c r="R467" s="148">
        <f t="shared" si="27"/>
        <v>13</v>
      </c>
      <c r="S467" s="101" t="s">
        <v>1727</v>
      </c>
      <c r="T467" s="101"/>
    </row>
    <row r="468" spans="1:20" ht="57.6" x14ac:dyDescent="0.3">
      <c r="A468" s="98">
        <f t="shared" ca="1" si="25"/>
        <v>383</v>
      </c>
      <c r="B468" s="554">
        <v>1550</v>
      </c>
      <c r="C468" s="516">
        <v>45821</v>
      </c>
      <c r="D468" s="369"/>
      <c r="E468" s="270" t="s">
        <v>3592</v>
      </c>
      <c r="F468" s="111" t="s">
        <v>51</v>
      </c>
      <c r="G468" s="125" t="s">
        <v>8</v>
      </c>
      <c r="H468" s="568">
        <v>45821</v>
      </c>
      <c r="I468" s="341"/>
      <c r="J468" s="125" t="s">
        <v>3095</v>
      </c>
      <c r="K468" s="569"/>
      <c r="L468" s="514"/>
      <c r="M468" s="515"/>
      <c r="N468" s="31"/>
      <c r="O468" s="53"/>
      <c r="P468" s="55"/>
      <c r="Q468" s="516">
        <v>45834</v>
      </c>
      <c r="R468" s="148">
        <f t="shared" si="27"/>
        <v>13</v>
      </c>
      <c r="S468" s="101" t="s">
        <v>758</v>
      </c>
      <c r="T468" s="57"/>
    </row>
    <row r="469" spans="1:20" ht="57.75" customHeight="1" x14ac:dyDescent="0.3">
      <c r="A469" s="98">
        <f t="shared" ca="1" si="25"/>
        <v>384</v>
      </c>
      <c r="B469" s="554">
        <v>1550</v>
      </c>
      <c r="C469" s="516">
        <v>45821</v>
      </c>
      <c r="D469" s="369"/>
      <c r="E469" s="271" t="s">
        <v>3593</v>
      </c>
      <c r="F469" s="386" t="s">
        <v>51</v>
      </c>
      <c r="G469" s="376" t="s">
        <v>8</v>
      </c>
      <c r="H469" s="493">
        <v>45821</v>
      </c>
      <c r="I469" s="125"/>
      <c r="J469" s="107" t="s">
        <v>3095</v>
      </c>
      <c r="K469" s="513"/>
      <c r="L469" s="514"/>
      <c r="M469" s="515"/>
      <c r="N469" s="31"/>
      <c r="O469" s="53"/>
      <c r="P469" s="55"/>
      <c r="Q469" s="516">
        <v>45834</v>
      </c>
      <c r="R469" s="148">
        <f t="shared" si="27"/>
        <v>13</v>
      </c>
      <c r="S469" s="101" t="s">
        <v>758</v>
      </c>
      <c r="T469" s="57"/>
    </row>
    <row r="470" spans="1:20" ht="57.75" customHeight="1" x14ac:dyDescent="0.3">
      <c r="A470" s="98">
        <f t="shared" ca="1" si="25"/>
        <v>390</v>
      </c>
      <c r="B470" s="554" t="s">
        <v>301</v>
      </c>
      <c r="C470" s="516">
        <v>45821</v>
      </c>
      <c r="D470" s="369">
        <v>118648268</v>
      </c>
      <c r="E470" s="213" t="s">
        <v>3594</v>
      </c>
      <c r="F470" s="388" t="s">
        <v>1</v>
      </c>
      <c r="G470" s="125" t="s">
        <v>8</v>
      </c>
      <c r="H470" s="493">
        <v>45821</v>
      </c>
      <c r="I470" s="594"/>
      <c r="J470" s="728" t="s">
        <v>3095</v>
      </c>
      <c r="K470" s="513"/>
      <c r="L470" s="514"/>
      <c r="M470" s="515"/>
      <c r="N470" s="31"/>
      <c r="O470" s="53"/>
      <c r="P470" s="55"/>
      <c r="Q470" s="346">
        <v>45834</v>
      </c>
      <c r="R470" s="148">
        <f t="shared" si="27"/>
        <v>13</v>
      </c>
      <c r="S470" s="101" t="s">
        <v>1912</v>
      </c>
      <c r="T470" s="57"/>
    </row>
    <row r="471" spans="1:20" ht="85.5" customHeight="1" x14ac:dyDescent="0.3">
      <c r="A471" s="98">
        <f t="shared" ca="1" si="25"/>
        <v>407</v>
      </c>
      <c r="B471" s="554">
        <v>1550</v>
      </c>
      <c r="C471" s="516">
        <v>45824</v>
      </c>
      <c r="D471" s="369"/>
      <c r="E471" s="483" t="s">
        <v>3595</v>
      </c>
      <c r="F471" s="111" t="s">
        <v>51</v>
      </c>
      <c r="G471" s="125" t="s">
        <v>8</v>
      </c>
      <c r="H471" s="493">
        <v>45824</v>
      </c>
      <c r="I471" s="594"/>
      <c r="J471" s="125" t="s">
        <v>3095</v>
      </c>
      <c r="K471" s="518"/>
      <c r="L471" s="518"/>
      <c r="M471" s="519"/>
      <c r="N471" s="520"/>
      <c r="O471" s="520"/>
      <c r="P471" s="521"/>
      <c r="Q471" s="516">
        <v>45834</v>
      </c>
      <c r="R471" s="148">
        <f t="shared" si="27"/>
        <v>10</v>
      </c>
      <c r="S471" s="101" t="s">
        <v>758</v>
      </c>
      <c r="T471" s="201"/>
    </row>
    <row r="472" spans="1:20" ht="57.6" x14ac:dyDescent="0.3">
      <c r="A472" s="98">
        <f t="shared" ca="1" si="25"/>
        <v>411</v>
      </c>
      <c r="B472" s="554">
        <v>1550</v>
      </c>
      <c r="C472" s="516">
        <v>45824</v>
      </c>
      <c r="D472" s="369">
        <v>69974497</v>
      </c>
      <c r="E472" s="213" t="s">
        <v>3596</v>
      </c>
      <c r="F472" s="111" t="s">
        <v>39</v>
      </c>
      <c r="G472" s="125" t="s">
        <v>8</v>
      </c>
      <c r="H472" s="493">
        <v>45824</v>
      </c>
      <c r="I472" s="594"/>
      <c r="J472" s="127" t="s">
        <v>22</v>
      </c>
      <c r="K472" s="518"/>
      <c r="L472" s="518"/>
      <c r="M472" s="519"/>
      <c r="N472" s="520"/>
      <c r="O472" s="520"/>
      <c r="P472" s="521"/>
      <c r="Q472" s="516">
        <v>45834</v>
      </c>
      <c r="R472" s="148">
        <f t="shared" si="27"/>
        <v>10</v>
      </c>
      <c r="S472" s="101" t="s">
        <v>151</v>
      </c>
      <c r="T472" s="201"/>
    </row>
    <row r="473" spans="1:20" ht="57.6" x14ac:dyDescent="0.3">
      <c r="A473" s="98">
        <f t="shared" ca="1" si="25"/>
        <v>414</v>
      </c>
      <c r="B473" s="554">
        <v>1550</v>
      </c>
      <c r="C473" s="516">
        <v>45824</v>
      </c>
      <c r="D473" s="369"/>
      <c r="E473" s="213" t="s">
        <v>3597</v>
      </c>
      <c r="F473" s="386" t="s">
        <v>51</v>
      </c>
      <c r="G473" s="125" t="s">
        <v>8</v>
      </c>
      <c r="H473" s="493">
        <v>45824</v>
      </c>
      <c r="I473" s="341"/>
      <c r="J473" s="100" t="s">
        <v>3095</v>
      </c>
      <c r="K473" s="513"/>
      <c r="L473" s="514"/>
      <c r="M473" s="515"/>
      <c r="N473" s="31"/>
      <c r="O473" s="53"/>
      <c r="P473" s="55"/>
      <c r="Q473" s="516">
        <v>45834</v>
      </c>
      <c r="R473" s="148">
        <f t="shared" si="27"/>
        <v>10</v>
      </c>
      <c r="S473" s="101" t="s">
        <v>1677</v>
      </c>
      <c r="T473" s="57"/>
    </row>
    <row r="474" spans="1:20" ht="90" customHeight="1" x14ac:dyDescent="0.3">
      <c r="A474" s="98">
        <f t="shared" ca="1" si="25"/>
        <v>415</v>
      </c>
      <c r="B474" s="554">
        <v>1550</v>
      </c>
      <c r="C474" s="516">
        <v>45824</v>
      </c>
      <c r="D474" s="369"/>
      <c r="E474" s="213" t="s">
        <v>3598</v>
      </c>
      <c r="F474" s="111" t="s">
        <v>51</v>
      </c>
      <c r="G474" s="125" t="s">
        <v>8</v>
      </c>
      <c r="H474" s="493">
        <v>45824</v>
      </c>
      <c r="I474" s="341"/>
      <c r="J474" s="125" t="s">
        <v>3095</v>
      </c>
      <c r="K474" s="513"/>
      <c r="L474" s="514"/>
      <c r="M474" s="515"/>
      <c r="N474" s="31"/>
      <c r="O474" s="53"/>
      <c r="P474" s="55"/>
      <c r="Q474" s="516">
        <v>45834</v>
      </c>
      <c r="R474" s="148">
        <f t="shared" si="27"/>
        <v>10</v>
      </c>
      <c r="S474" s="101" t="s">
        <v>94</v>
      </c>
      <c r="T474" s="57"/>
    </row>
    <row r="475" spans="1:20" ht="57.6" x14ac:dyDescent="0.3">
      <c r="A475" s="98">
        <f t="shared" ca="1" si="25"/>
        <v>418</v>
      </c>
      <c r="B475" s="554">
        <v>1550</v>
      </c>
      <c r="C475" s="516">
        <v>45824</v>
      </c>
      <c r="D475" s="369"/>
      <c r="E475" s="213" t="s">
        <v>3599</v>
      </c>
      <c r="F475" s="386" t="s">
        <v>51</v>
      </c>
      <c r="G475" s="125" t="s">
        <v>8</v>
      </c>
      <c r="H475" s="493">
        <v>45824</v>
      </c>
      <c r="I475" s="585"/>
      <c r="J475" s="125" t="s">
        <v>3095</v>
      </c>
      <c r="K475" s="518"/>
      <c r="L475" s="518"/>
      <c r="M475" s="519"/>
      <c r="N475" s="520"/>
      <c r="O475" s="520"/>
      <c r="P475" s="521"/>
      <c r="Q475" s="516">
        <v>45834</v>
      </c>
      <c r="R475" s="148">
        <f t="shared" si="27"/>
        <v>10</v>
      </c>
      <c r="S475" s="101" t="s">
        <v>94</v>
      </c>
      <c r="T475" s="201"/>
    </row>
    <row r="476" spans="1:20" ht="57.6" x14ac:dyDescent="0.3">
      <c r="A476" s="98">
        <f t="shared" ca="1" si="25"/>
        <v>431</v>
      </c>
      <c r="B476" s="554">
        <v>1550</v>
      </c>
      <c r="C476" s="516">
        <v>45825</v>
      </c>
      <c r="D476" s="369"/>
      <c r="E476" s="213" t="s">
        <v>3600</v>
      </c>
      <c r="F476" s="795" t="s">
        <v>51</v>
      </c>
      <c r="G476" s="127" t="s">
        <v>8</v>
      </c>
      <c r="H476" s="493">
        <v>45825</v>
      </c>
      <c r="I476" s="587"/>
      <c r="J476" s="100" t="s">
        <v>3095</v>
      </c>
      <c r="K476" s="513"/>
      <c r="L476" s="514"/>
      <c r="M476" s="515"/>
      <c r="N476" s="31"/>
      <c r="O476" s="53"/>
      <c r="P476" s="55"/>
      <c r="Q476" s="516">
        <v>45834</v>
      </c>
      <c r="R476" s="148">
        <f t="shared" si="27"/>
        <v>9</v>
      </c>
      <c r="S476" s="101" t="s">
        <v>1246</v>
      </c>
      <c r="T476" s="57"/>
    </row>
    <row r="477" spans="1:20" ht="59.25" customHeight="1" x14ac:dyDescent="0.3">
      <c r="A477" s="98">
        <f t="shared" ca="1" si="25"/>
        <v>435</v>
      </c>
      <c r="B477" s="554">
        <v>1550</v>
      </c>
      <c r="C477" s="516">
        <v>45825</v>
      </c>
      <c r="D477" s="369"/>
      <c r="E477" s="109" t="s">
        <v>3601</v>
      </c>
      <c r="F477" s="180" t="s">
        <v>51</v>
      </c>
      <c r="G477" s="127" t="s">
        <v>8</v>
      </c>
      <c r="H477" s="493">
        <v>45825</v>
      </c>
      <c r="I477" s="585"/>
      <c r="J477" s="100" t="s">
        <v>3095</v>
      </c>
      <c r="K477" s="513"/>
      <c r="L477" s="514"/>
      <c r="M477" s="515"/>
      <c r="N477" s="31"/>
      <c r="O477" s="53"/>
      <c r="P477" s="55"/>
      <c r="Q477" s="516">
        <v>45834</v>
      </c>
      <c r="R477" s="148">
        <f t="shared" si="27"/>
        <v>9</v>
      </c>
      <c r="S477" s="101" t="s">
        <v>8</v>
      </c>
      <c r="T477" s="57"/>
    </row>
    <row r="478" spans="1:20" ht="57.6" x14ac:dyDescent="0.3">
      <c r="A478" s="98">
        <f t="shared" ca="1" si="25"/>
        <v>443</v>
      </c>
      <c r="B478" s="583">
        <v>1550</v>
      </c>
      <c r="C478" s="346">
        <v>45825</v>
      </c>
      <c r="D478" s="369"/>
      <c r="E478" s="277" t="s">
        <v>3602</v>
      </c>
      <c r="F478" s="179" t="s">
        <v>51</v>
      </c>
      <c r="G478" s="81" t="s">
        <v>8</v>
      </c>
      <c r="H478" s="599">
        <v>45825</v>
      </c>
      <c r="I478" s="585"/>
      <c r="J478" s="100" t="s">
        <v>3095</v>
      </c>
      <c r="K478" s="518"/>
      <c r="L478" s="518"/>
      <c r="M478" s="519"/>
      <c r="N478" s="520"/>
      <c r="O478" s="520"/>
      <c r="P478" s="521"/>
      <c r="Q478" s="516">
        <v>45834</v>
      </c>
      <c r="R478" s="148">
        <f t="shared" si="27"/>
        <v>9</v>
      </c>
      <c r="S478" s="101" t="s">
        <v>1677</v>
      </c>
      <c r="T478" s="57"/>
    </row>
    <row r="479" spans="1:20" ht="43.2" x14ac:dyDescent="0.3">
      <c r="A479" s="98">
        <f t="shared" ca="1" si="25"/>
        <v>485</v>
      </c>
      <c r="B479" s="583">
        <v>1550</v>
      </c>
      <c r="C479" s="346">
        <v>45828</v>
      </c>
      <c r="D479" s="369">
        <v>96564164</v>
      </c>
      <c r="E479" s="271" t="s">
        <v>3603</v>
      </c>
      <c r="F479" s="179" t="s">
        <v>1</v>
      </c>
      <c r="G479" s="127" t="s">
        <v>8</v>
      </c>
      <c r="H479" s="612">
        <v>45828</v>
      </c>
      <c r="I479" s="594"/>
      <c r="J479" s="100" t="s">
        <v>2352</v>
      </c>
      <c r="K479" s="518"/>
      <c r="L479" s="518"/>
      <c r="M479" s="519"/>
      <c r="N479" s="520"/>
      <c r="O479" s="520"/>
      <c r="P479" s="521"/>
      <c r="Q479" s="346">
        <v>45834</v>
      </c>
      <c r="R479" s="148">
        <f t="shared" si="27"/>
        <v>6</v>
      </c>
      <c r="S479" s="101" t="s">
        <v>1916</v>
      </c>
      <c r="T479" s="201"/>
    </row>
    <row r="480" spans="1:20" ht="57.6" x14ac:dyDescent="0.3">
      <c r="A480" s="98">
        <f t="shared" ca="1" si="25"/>
        <v>494</v>
      </c>
      <c r="B480" s="583">
        <v>1550</v>
      </c>
      <c r="C480" s="346">
        <v>45832</v>
      </c>
      <c r="D480" s="369">
        <v>120581566</v>
      </c>
      <c r="E480" s="270" t="s">
        <v>3604</v>
      </c>
      <c r="F480" s="179" t="s">
        <v>15</v>
      </c>
      <c r="G480" s="81" t="s">
        <v>6</v>
      </c>
      <c r="H480" s="612">
        <v>45832</v>
      </c>
      <c r="I480" s="594"/>
      <c r="J480" s="727" t="s">
        <v>99</v>
      </c>
      <c r="K480" s="518"/>
      <c r="L480" s="518"/>
      <c r="M480" s="519"/>
      <c r="N480" s="520"/>
      <c r="O480" s="520"/>
      <c r="P480" s="521"/>
      <c r="Q480" s="346">
        <v>45834</v>
      </c>
      <c r="R480" s="148">
        <f>Q480/H480</f>
        <v>1.0000436376330948</v>
      </c>
      <c r="S480" s="101" t="s">
        <v>2808</v>
      </c>
      <c r="T480" s="201"/>
    </row>
    <row r="481" spans="1:20" ht="43.2" x14ac:dyDescent="0.3">
      <c r="A481" s="98">
        <f t="shared" ca="1" si="25"/>
        <v>502</v>
      </c>
      <c r="B481" s="583" t="s">
        <v>80</v>
      </c>
      <c r="C481" s="346">
        <v>45833</v>
      </c>
      <c r="D481" s="369">
        <v>963259</v>
      </c>
      <c r="E481" s="270" t="s">
        <v>3605</v>
      </c>
      <c r="F481" s="179" t="s">
        <v>15</v>
      </c>
      <c r="G481" s="125" t="s">
        <v>6</v>
      </c>
      <c r="H481" s="612">
        <v>45833</v>
      </c>
      <c r="I481" s="594"/>
      <c r="J481" s="107" t="s">
        <v>99</v>
      </c>
      <c r="K481" s="518"/>
      <c r="L481" s="518"/>
      <c r="M481" s="519"/>
      <c r="N481" s="520"/>
      <c r="O481" s="520"/>
      <c r="P481" s="521"/>
      <c r="Q481" s="346">
        <v>45834</v>
      </c>
      <c r="R481" s="148">
        <f>Q481/H481</f>
        <v>1.000021818340497</v>
      </c>
      <c r="S481" s="101" t="s">
        <v>2747</v>
      </c>
      <c r="T481" s="201"/>
    </row>
    <row r="482" spans="1:20" ht="86.4" x14ac:dyDescent="0.3">
      <c r="A482" s="98">
        <f t="shared" ca="1" si="25"/>
        <v>505</v>
      </c>
      <c r="B482" s="583">
        <v>1550</v>
      </c>
      <c r="C482" s="346">
        <v>45834</v>
      </c>
      <c r="D482" s="369">
        <v>84758325</v>
      </c>
      <c r="E482" s="270" t="s">
        <v>3606</v>
      </c>
      <c r="F482" s="179" t="s">
        <v>7</v>
      </c>
      <c r="G482" s="81" t="s">
        <v>6</v>
      </c>
      <c r="H482" s="612">
        <v>45834</v>
      </c>
      <c r="I482" s="587"/>
      <c r="J482" s="100" t="s">
        <v>2536</v>
      </c>
      <c r="K482" s="518"/>
      <c r="L482" s="518"/>
      <c r="M482" s="519"/>
      <c r="N482" s="520"/>
      <c r="O482" s="520"/>
      <c r="P482" s="521"/>
      <c r="Q482" s="346">
        <v>45834</v>
      </c>
      <c r="R482" s="148">
        <f>Q482/H482</f>
        <v>1</v>
      </c>
      <c r="S482" s="101" t="s">
        <v>1936</v>
      </c>
      <c r="T482" s="201"/>
    </row>
    <row r="483" spans="1:20" ht="230.4" x14ac:dyDescent="0.3">
      <c r="A483" s="98">
        <f t="shared" ca="1" si="25"/>
        <v>484</v>
      </c>
      <c r="B483" s="583" t="s">
        <v>301</v>
      </c>
      <c r="C483" s="346">
        <v>45827</v>
      </c>
      <c r="D483" s="369">
        <v>80002374</v>
      </c>
      <c r="E483" s="271" t="s">
        <v>3607</v>
      </c>
      <c r="F483" s="179" t="s">
        <v>1</v>
      </c>
      <c r="G483" s="172" t="s">
        <v>10</v>
      </c>
      <c r="H483" s="612">
        <v>45827</v>
      </c>
      <c r="I483" s="587"/>
      <c r="J483" s="800" t="s">
        <v>3095</v>
      </c>
      <c r="K483" s="518"/>
      <c r="L483" s="518"/>
      <c r="M483" s="519"/>
      <c r="N483" s="520"/>
      <c r="O483" s="520"/>
      <c r="P483" s="521"/>
      <c r="Q483" s="346">
        <v>45835</v>
      </c>
      <c r="R483" s="148">
        <f t="shared" ref="R483:R492" si="28">Q483-H483</f>
        <v>8</v>
      </c>
      <c r="S483" s="101" t="s">
        <v>2716</v>
      </c>
      <c r="T483" s="201"/>
    </row>
    <row r="484" spans="1:20" ht="72" x14ac:dyDescent="0.3">
      <c r="A484" s="98">
        <f t="shared" ca="1" si="25"/>
        <v>503</v>
      </c>
      <c r="B484" s="583">
        <v>1550</v>
      </c>
      <c r="C484" s="346">
        <v>45833</v>
      </c>
      <c r="D484" s="369">
        <v>7907036</v>
      </c>
      <c r="E484" s="270" t="s">
        <v>3608</v>
      </c>
      <c r="F484" s="179" t="s">
        <v>24</v>
      </c>
      <c r="G484" s="81" t="s">
        <v>8</v>
      </c>
      <c r="H484" s="612">
        <v>45833</v>
      </c>
      <c r="I484" s="587"/>
      <c r="J484" s="800" t="s">
        <v>3483</v>
      </c>
      <c r="K484" s="518"/>
      <c r="L484" s="518"/>
      <c r="M484" s="519"/>
      <c r="N484" s="520"/>
      <c r="O484" s="520"/>
      <c r="P484" s="521"/>
      <c r="Q484" s="346">
        <v>45835</v>
      </c>
      <c r="R484" s="148">
        <f t="shared" si="28"/>
        <v>2</v>
      </c>
      <c r="S484" s="101" t="s">
        <v>528</v>
      </c>
      <c r="T484" s="201"/>
    </row>
    <row r="485" spans="1:20" ht="57.6" x14ac:dyDescent="0.3">
      <c r="A485" s="98">
        <f t="shared" ca="1" si="25"/>
        <v>504</v>
      </c>
      <c r="B485" s="583">
        <v>1550</v>
      </c>
      <c r="C485" s="346">
        <v>45834</v>
      </c>
      <c r="D485" s="369">
        <v>43021859</v>
      </c>
      <c r="E485" s="270" t="s">
        <v>2387</v>
      </c>
      <c r="F485" s="179" t="s">
        <v>48</v>
      </c>
      <c r="G485" s="81" t="s">
        <v>8</v>
      </c>
      <c r="H485" s="612">
        <v>45834</v>
      </c>
      <c r="I485" s="587"/>
      <c r="J485" s="107" t="s">
        <v>3095</v>
      </c>
      <c r="K485" s="518"/>
      <c r="L485" s="518"/>
      <c r="M485" s="519"/>
      <c r="N485" s="520"/>
      <c r="O485" s="520"/>
      <c r="P485" s="521"/>
      <c r="Q485" s="346">
        <v>45835</v>
      </c>
      <c r="R485" s="148">
        <f t="shared" si="28"/>
        <v>1</v>
      </c>
      <c r="S485" s="101" t="s">
        <v>758</v>
      </c>
      <c r="T485" s="201" t="s">
        <v>3609</v>
      </c>
    </row>
    <row r="486" spans="1:20" ht="54" customHeight="1" x14ac:dyDescent="0.3">
      <c r="A486" s="98">
        <f t="shared" ca="1" si="25"/>
        <v>507</v>
      </c>
      <c r="B486" s="583">
        <v>1550</v>
      </c>
      <c r="C486" s="346">
        <v>45834</v>
      </c>
      <c r="D486" s="369">
        <v>320961184</v>
      </c>
      <c r="E486" s="270" t="s">
        <v>3610</v>
      </c>
      <c r="F486" s="179" t="s">
        <v>23</v>
      </c>
      <c r="G486" s="172" t="s">
        <v>10</v>
      </c>
      <c r="H486" s="612">
        <v>45834</v>
      </c>
      <c r="I486" s="585"/>
      <c r="J486" s="107" t="s">
        <v>135</v>
      </c>
      <c r="K486" s="518"/>
      <c r="L486" s="518"/>
      <c r="M486" s="519"/>
      <c r="N486" s="520"/>
      <c r="O486" s="520"/>
      <c r="P486" s="521"/>
      <c r="Q486" s="346">
        <v>45835</v>
      </c>
      <c r="R486" s="148">
        <f t="shared" si="28"/>
        <v>1</v>
      </c>
      <c r="S486" s="101" t="s">
        <v>1319</v>
      </c>
      <c r="T486" s="201"/>
    </row>
    <row r="487" spans="1:20" ht="100.5" customHeight="1" x14ac:dyDescent="0.3">
      <c r="A487" s="98">
        <f t="shared" ca="1" si="25"/>
        <v>509</v>
      </c>
      <c r="B487" s="583">
        <v>1550</v>
      </c>
      <c r="C487" s="346">
        <v>45835</v>
      </c>
      <c r="D487" s="369">
        <v>39447642</v>
      </c>
      <c r="E487" s="270" t="s">
        <v>3611</v>
      </c>
      <c r="F487" s="179" t="s">
        <v>1</v>
      </c>
      <c r="G487" s="172" t="s">
        <v>8</v>
      </c>
      <c r="H487" s="612">
        <v>45835</v>
      </c>
      <c r="I487" s="585"/>
      <c r="J487" s="107" t="s">
        <v>2352</v>
      </c>
      <c r="K487" s="518"/>
      <c r="L487" s="518"/>
      <c r="M487" s="519"/>
      <c r="N487" s="520"/>
      <c r="O487" s="520"/>
      <c r="P487" s="521"/>
      <c r="Q487" s="346">
        <v>45835</v>
      </c>
      <c r="R487" s="148">
        <f t="shared" si="28"/>
        <v>0</v>
      </c>
      <c r="S487" s="101" t="s">
        <v>3612</v>
      </c>
      <c r="T487" s="201"/>
    </row>
    <row r="488" spans="1:20" ht="105" customHeight="1" x14ac:dyDescent="0.3">
      <c r="A488" s="98">
        <f t="shared" ca="1" si="25"/>
        <v>511</v>
      </c>
      <c r="B488" s="583">
        <v>1550</v>
      </c>
      <c r="C488" s="346">
        <v>45835</v>
      </c>
      <c r="D488" s="369">
        <v>108689336</v>
      </c>
      <c r="E488" s="270" t="s">
        <v>3613</v>
      </c>
      <c r="F488" s="179" t="s">
        <v>33</v>
      </c>
      <c r="G488" s="172" t="s">
        <v>10</v>
      </c>
      <c r="H488" s="612">
        <v>45835</v>
      </c>
      <c r="I488" s="587"/>
      <c r="J488" s="107" t="s">
        <v>3614</v>
      </c>
      <c r="K488" s="518"/>
      <c r="L488" s="518"/>
      <c r="M488" s="519"/>
      <c r="N488" s="520"/>
      <c r="O488" s="520"/>
      <c r="P488" s="521"/>
      <c r="Q488" s="346">
        <v>45835</v>
      </c>
      <c r="R488" s="148">
        <f t="shared" si="28"/>
        <v>0</v>
      </c>
      <c r="S488" s="101" t="s">
        <v>85</v>
      </c>
      <c r="T488" s="201"/>
    </row>
    <row r="489" spans="1:20" ht="158.4" x14ac:dyDescent="0.3">
      <c r="A489" s="98">
        <f t="shared" ref="A489:A495" ca="1" si="29">A488+1</f>
        <v>512</v>
      </c>
      <c r="B489" s="583">
        <v>1550</v>
      </c>
      <c r="C489" s="346">
        <v>45835</v>
      </c>
      <c r="D489" s="369">
        <v>99213028</v>
      </c>
      <c r="E489" s="270" t="s">
        <v>3615</v>
      </c>
      <c r="F489" s="179" t="s">
        <v>33</v>
      </c>
      <c r="G489" s="172" t="s">
        <v>10</v>
      </c>
      <c r="H489" s="612">
        <v>45835</v>
      </c>
      <c r="I489" s="587"/>
      <c r="J489" s="125" t="s">
        <v>3614</v>
      </c>
      <c r="K489" s="518"/>
      <c r="L489" s="518"/>
      <c r="M489" s="519"/>
      <c r="N489" s="520"/>
      <c r="O489" s="520"/>
      <c r="P489" s="521"/>
      <c r="Q489" s="346">
        <v>45835</v>
      </c>
      <c r="R489" s="148">
        <f t="shared" si="28"/>
        <v>0</v>
      </c>
      <c r="S489" s="101" t="s">
        <v>3616</v>
      </c>
      <c r="T489" s="201"/>
    </row>
    <row r="490" spans="1:20" ht="201.6" x14ac:dyDescent="0.3">
      <c r="A490" s="98">
        <f t="shared" ca="1" si="29"/>
        <v>514</v>
      </c>
      <c r="B490" s="583">
        <v>1550</v>
      </c>
      <c r="C490" s="346">
        <v>45835</v>
      </c>
      <c r="D490" s="369">
        <v>100492703</v>
      </c>
      <c r="E490" s="270" t="s">
        <v>3617</v>
      </c>
      <c r="F490" s="179" t="s">
        <v>1</v>
      </c>
      <c r="G490" s="377" t="s">
        <v>10</v>
      </c>
      <c r="H490" s="612">
        <v>45835</v>
      </c>
      <c r="I490" s="587"/>
      <c r="J490" s="127" t="s">
        <v>2544</v>
      </c>
      <c r="K490" s="518"/>
      <c r="L490" s="518"/>
      <c r="M490" s="519"/>
      <c r="N490" s="520"/>
      <c r="O490" s="520"/>
      <c r="P490" s="521"/>
      <c r="Q490" s="346">
        <v>45835</v>
      </c>
      <c r="R490" s="148">
        <f t="shared" si="28"/>
        <v>0</v>
      </c>
      <c r="S490" s="101" t="s">
        <v>214</v>
      </c>
      <c r="T490" s="201"/>
    </row>
    <row r="491" spans="1:20" ht="115.2" x14ac:dyDescent="0.3">
      <c r="A491" s="98">
        <f t="shared" ca="1" si="29"/>
        <v>517</v>
      </c>
      <c r="B491" s="583">
        <v>1550</v>
      </c>
      <c r="C491" s="346">
        <v>45835</v>
      </c>
      <c r="D491" s="369">
        <v>111547350</v>
      </c>
      <c r="E491" s="270" t="s">
        <v>3618</v>
      </c>
      <c r="F491" s="179" t="s">
        <v>15</v>
      </c>
      <c r="G491" s="377" t="s">
        <v>10</v>
      </c>
      <c r="H491" s="612">
        <v>45835</v>
      </c>
      <c r="I491" s="585"/>
      <c r="J491" s="800" t="s">
        <v>3095</v>
      </c>
      <c r="K491" s="518"/>
      <c r="L491" s="518"/>
      <c r="M491" s="519"/>
      <c r="N491" s="520"/>
      <c r="O491" s="520"/>
      <c r="P491" s="521"/>
      <c r="Q491" s="346">
        <v>45835</v>
      </c>
      <c r="R491" s="148">
        <f t="shared" si="28"/>
        <v>0</v>
      </c>
      <c r="S491" s="101" t="s">
        <v>755</v>
      </c>
      <c r="T491" s="201"/>
    </row>
    <row r="492" spans="1:20" ht="57.6" x14ac:dyDescent="0.3">
      <c r="A492" s="98">
        <f t="shared" ca="1" si="29"/>
        <v>506</v>
      </c>
      <c r="B492" s="583">
        <v>1550</v>
      </c>
      <c r="C492" s="346">
        <v>45834</v>
      </c>
      <c r="D492" s="369">
        <v>16857380</v>
      </c>
      <c r="E492" s="270" t="s">
        <v>3619</v>
      </c>
      <c r="F492" s="179" t="s">
        <v>15</v>
      </c>
      <c r="G492" s="376" t="s">
        <v>8</v>
      </c>
      <c r="H492" s="612">
        <v>45834</v>
      </c>
      <c r="I492" s="585"/>
      <c r="J492" s="800" t="s">
        <v>3095</v>
      </c>
      <c r="K492" s="355" t="s">
        <v>262</v>
      </c>
      <c r="L492" s="613">
        <v>45834</v>
      </c>
      <c r="M492" s="358" t="s">
        <v>1357</v>
      </c>
      <c r="N492" s="520"/>
      <c r="O492" s="520"/>
      <c r="P492" s="521"/>
      <c r="Q492" s="346">
        <v>45838</v>
      </c>
      <c r="R492" s="148">
        <f t="shared" si="28"/>
        <v>4</v>
      </c>
      <c r="S492" s="101" t="s">
        <v>3612</v>
      </c>
      <c r="T492" s="201"/>
    </row>
    <row r="493" spans="1:20" ht="72" x14ac:dyDescent="0.3">
      <c r="A493" s="98">
        <f t="shared" ca="1" si="29"/>
        <v>460</v>
      </c>
      <c r="B493" s="554" t="s">
        <v>80</v>
      </c>
      <c r="C493" s="516">
        <v>45825</v>
      </c>
      <c r="D493" s="369">
        <v>44936338</v>
      </c>
      <c r="E493" s="270" t="s">
        <v>3620</v>
      </c>
      <c r="F493" s="179" t="s">
        <v>15</v>
      </c>
      <c r="G493" s="376" t="s">
        <v>6</v>
      </c>
      <c r="H493" s="599">
        <v>45825</v>
      </c>
      <c r="I493" s="585"/>
      <c r="J493" s="125" t="s">
        <v>99</v>
      </c>
      <c r="K493" s="518"/>
      <c r="L493" s="518"/>
      <c r="M493" s="519"/>
      <c r="N493" s="520"/>
      <c r="O493" s="520"/>
      <c r="P493" s="521"/>
      <c r="Q493" s="346">
        <v>45839</v>
      </c>
      <c r="R493" s="148">
        <f>Q493/H493</f>
        <v>1.000305510092744</v>
      </c>
      <c r="S493" s="101" t="s">
        <v>2747</v>
      </c>
      <c r="T493" s="201" t="s">
        <v>3621</v>
      </c>
    </row>
    <row r="494" spans="1:20" ht="57.6" x14ac:dyDescent="0.3">
      <c r="A494" s="98">
        <f t="shared" ca="1" si="29"/>
        <v>493</v>
      </c>
      <c r="B494" s="583">
        <v>1550</v>
      </c>
      <c r="C494" s="346">
        <v>45832</v>
      </c>
      <c r="D494" s="369">
        <v>51790394</v>
      </c>
      <c r="E494" s="270" t="s">
        <v>3622</v>
      </c>
      <c r="F494" s="179" t="s">
        <v>3</v>
      </c>
      <c r="G494" s="376" t="s">
        <v>6</v>
      </c>
      <c r="H494" s="612">
        <v>45832</v>
      </c>
      <c r="I494" s="585">
        <v>10000299806</v>
      </c>
      <c r="J494" s="125" t="s">
        <v>82</v>
      </c>
      <c r="K494" s="518"/>
      <c r="L494" s="518"/>
      <c r="M494" s="519"/>
      <c r="N494" s="520"/>
      <c r="O494" s="520"/>
      <c r="P494" s="521"/>
      <c r="Q494" s="346">
        <v>45839</v>
      </c>
      <c r="R494" s="148">
        <f>Q494/H494</f>
        <v>1.0001527317158316</v>
      </c>
      <c r="S494" s="101" t="s">
        <v>1860</v>
      </c>
      <c r="T494" s="201"/>
    </row>
    <row r="495" spans="1:20" ht="100.8" x14ac:dyDescent="0.3">
      <c r="A495" s="98">
        <f t="shared" ca="1" si="29"/>
        <v>513</v>
      </c>
      <c r="B495" s="583">
        <v>1550</v>
      </c>
      <c r="C495" s="346">
        <v>45835</v>
      </c>
      <c r="D495" s="369">
        <v>52766896</v>
      </c>
      <c r="E495" s="270" t="s">
        <v>3623</v>
      </c>
      <c r="F495" s="179" t="s">
        <v>24</v>
      </c>
      <c r="G495" s="377" t="s">
        <v>10</v>
      </c>
      <c r="H495" s="612">
        <v>45835</v>
      </c>
      <c r="I495" s="587"/>
      <c r="J495" s="800" t="s">
        <v>3483</v>
      </c>
      <c r="K495" s="518"/>
      <c r="L495" s="518"/>
      <c r="M495" s="519"/>
      <c r="N495" s="520"/>
      <c r="O495" s="520"/>
      <c r="P495" s="521"/>
      <c r="Q495" s="346">
        <v>45839</v>
      </c>
      <c r="R495" s="148">
        <f>Q495-H495</f>
        <v>4</v>
      </c>
      <c r="S495" s="101" t="s">
        <v>3616</v>
      </c>
      <c r="T495" s="201"/>
    </row>
    <row r="496" spans="1:20" ht="100.8" x14ac:dyDescent="0.3">
      <c r="A496" s="98">
        <f ca="1">A494+1</f>
        <v>86</v>
      </c>
      <c r="B496" s="583" t="s">
        <v>80</v>
      </c>
      <c r="C496" s="516">
        <v>45812</v>
      </c>
      <c r="D496" s="369">
        <v>9871616</v>
      </c>
      <c r="E496" s="271" t="s">
        <v>3624</v>
      </c>
      <c r="F496" s="179" t="s">
        <v>12</v>
      </c>
      <c r="G496" s="376" t="s">
        <v>6</v>
      </c>
      <c r="H496" s="599">
        <v>45812</v>
      </c>
      <c r="I496" s="594"/>
      <c r="J496" s="742" t="s">
        <v>159</v>
      </c>
      <c r="K496" s="513"/>
      <c r="L496" s="514"/>
      <c r="M496" s="515"/>
      <c r="N496" s="31"/>
      <c r="O496" s="53"/>
      <c r="P496" s="55"/>
      <c r="Q496" s="516">
        <v>45840</v>
      </c>
      <c r="R496" s="148">
        <f>Q496/H496</f>
        <v>1.0006111935737361</v>
      </c>
      <c r="S496" s="101" t="s">
        <v>2747</v>
      </c>
      <c r="T496" s="57"/>
    </row>
    <row r="497" spans="1:20" ht="57.6" x14ac:dyDescent="0.3">
      <c r="A497" s="98">
        <f t="shared" ref="A497:A521" ca="1" si="30">A496+1</f>
        <v>478</v>
      </c>
      <c r="B497" s="583">
        <v>1550</v>
      </c>
      <c r="C497" s="346">
        <v>45827</v>
      </c>
      <c r="D497" s="369">
        <v>45288941</v>
      </c>
      <c r="E497" s="271" t="s">
        <v>3625</v>
      </c>
      <c r="F497" s="179" t="s">
        <v>15</v>
      </c>
      <c r="G497" s="376" t="s">
        <v>8</v>
      </c>
      <c r="H497" s="612">
        <v>45827</v>
      </c>
      <c r="I497" s="585"/>
      <c r="J497" s="727" t="s">
        <v>3095</v>
      </c>
      <c r="K497" s="518"/>
      <c r="L497" s="518"/>
      <c r="M497" s="519"/>
      <c r="N497" s="520"/>
      <c r="O497" s="520"/>
      <c r="P497" s="521"/>
      <c r="Q497" s="346">
        <v>45840</v>
      </c>
      <c r="R497" s="148">
        <f>Q497-H497</f>
        <v>13</v>
      </c>
      <c r="S497" s="101" t="s">
        <v>8</v>
      </c>
      <c r="T497" s="201"/>
    </row>
    <row r="498" spans="1:20" ht="72" x14ac:dyDescent="0.3">
      <c r="A498" s="98">
        <f t="shared" ca="1" si="30"/>
        <v>491</v>
      </c>
      <c r="B498" s="583">
        <v>1550</v>
      </c>
      <c r="C498" s="346">
        <v>45832</v>
      </c>
      <c r="D498" s="369">
        <v>108762351</v>
      </c>
      <c r="E498" s="270" t="s">
        <v>3626</v>
      </c>
      <c r="F498" s="179" t="s">
        <v>1</v>
      </c>
      <c r="G498" s="376" t="s">
        <v>6</v>
      </c>
      <c r="H498" s="612">
        <v>45832</v>
      </c>
      <c r="I498" s="587"/>
      <c r="J498" s="100" t="s">
        <v>2513</v>
      </c>
      <c r="K498" s="355"/>
      <c r="L498" s="613"/>
      <c r="M498" s="358"/>
      <c r="N498" s="520"/>
      <c r="O498" s="520"/>
      <c r="P498" s="521"/>
      <c r="Q498" s="346">
        <v>45840</v>
      </c>
      <c r="R498" s="148">
        <f>Q498/H498</f>
        <v>1.0001745505323791</v>
      </c>
      <c r="S498" s="101" t="s">
        <v>1312</v>
      </c>
      <c r="T498" s="201"/>
    </row>
    <row r="499" spans="1:20" ht="72" x14ac:dyDescent="0.3">
      <c r="A499" s="98">
        <f t="shared" ca="1" si="30"/>
        <v>500</v>
      </c>
      <c r="B499" s="583">
        <v>1550</v>
      </c>
      <c r="C499" s="346">
        <v>45833</v>
      </c>
      <c r="D499" s="369">
        <v>114533997</v>
      </c>
      <c r="E499" s="270" t="s">
        <v>3627</v>
      </c>
      <c r="F499" s="179" t="s">
        <v>1</v>
      </c>
      <c r="G499" s="376" t="s">
        <v>6</v>
      </c>
      <c r="H499" s="612">
        <v>45833</v>
      </c>
      <c r="I499" s="594"/>
      <c r="J499" s="107" t="s">
        <v>2544</v>
      </c>
      <c r="K499" s="518"/>
      <c r="L499" s="518"/>
      <c r="M499" s="519"/>
      <c r="N499" s="520"/>
      <c r="O499" s="520"/>
      <c r="P499" s="521"/>
      <c r="Q499" s="346">
        <v>45840</v>
      </c>
      <c r="R499" s="148">
        <f>Q499/H499</f>
        <v>1.0001527283834792</v>
      </c>
      <c r="S499" s="101" t="s">
        <v>2597</v>
      </c>
      <c r="T499" s="201"/>
    </row>
    <row r="500" spans="1:20" ht="57.6" x14ac:dyDescent="0.3">
      <c r="A500" s="98">
        <f t="shared" ca="1" si="30"/>
        <v>447</v>
      </c>
      <c r="B500" s="554">
        <v>1550</v>
      </c>
      <c r="C500" s="516">
        <v>45825</v>
      </c>
      <c r="D500" s="369">
        <v>93311036</v>
      </c>
      <c r="E500" s="270" t="s">
        <v>3628</v>
      </c>
      <c r="F500" s="179" t="s">
        <v>39</v>
      </c>
      <c r="G500" s="376" t="s">
        <v>8</v>
      </c>
      <c r="H500" s="599">
        <v>45825</v>
      </c>
      <c r="I500" s="585"/>
      <c r="J500" s="107" t="s">
        <v>3629</v>
      </c>
      <c r="K500" s="518"/>
      <c r="L500" s="518"/>
      <c r="M500" s="519"/>
      <c r="N500" s="520"/>
      <c r="O500" s="520"/>
      <c r="P500" s="521"/>
      <c r="Q500" s="346">
        <v>45841</v>
      </c>
      <c r="R500" s="148">
        <f>Q500-H500</f>
        <v>16</v>
      </c>
      <c r="S500" s="101" t="s">
        <v>151</v>
      </c>
      <c r="T500" s="57"/>
    </row>
    <row r="501" spans="1:20" ht="43.2" x14ac:dyDescent="0.3">
      <c r="A501" s="98">
        <f t="shared" ca="1" si="30"/>
        <v>508</v>
      </c>
      <c r="B501" s="583">
        <v>1550</v>
      </c>
      <c r="C501" s="346">
        <v>45835</v>
      </c>
      <c r="D501" s="369">
        <v>51790394</v>
      </c>
      <c r="E501" s="271" t="s">
        <v>3630</v>
      </c>
      <c r="F501" s="179" t="s">
        <v>3</v>
      </c>
      <c r="G501" s="376" t="s">
        <v>8</v>
      </c>
      <c r="H501" s="612">
        <v>45835</v>
      </c>
      <c r="I501" s="798">
        <v>10000299806</v>
      </c>
      <c r="J501" s="107" t="s">
        <v>82</v>
      </c>
      <c r="K501" s="518"/>
      <c r="L501" s="518"/>
      <c r="M501" s="519"/>
      <c r="N501" s="520"/>
      <c r="O501" s="520"/>
      <c r="P501" s="521"/>
      <c r="Q501" s="346">
        <v>45841</v>
      </c>
      <c r="R501" s="148">
        <f>Q501-H501</f>
        <v>6</v>
      </c>
      <c r="S501" s="101" t="s">
        <v>758</v>
      </c>
      <c r="T501" s="201" t="s">
        <v>3631</v>
      </c>
    </row>
    <row r="502" spans="1:20" ht="43.2" x14ac:dyDescent="0.3">
      <c r="A502" s="98">
        <f t="shared" ca="1" si="30"/>
        <v>320</v>
      </c>
      <c r="B502" s="583">
        <v>1550</v>
      </c>
      <c r="C502" s="346">
        <v>45819</v>
      </c>
      <c r="D502" s="369">
        <v>120112469</v>
      </c>
      <c r="E502" s="270" t="s">
        <v>3632</v>
      </c>
      <c r="F502" s="267" t="s">
        <v>3</v>
      </c>
      <c r="G502" s="377" t="s">
        <v>6</v>
      </c>
      <c r="H502" s="599">
        <v>45819</v>
      </c>
      <c r="I502" s="587">
        <v>10000297098</v>
      </c>
      <c r="J502" s="100" t="s">
        <v>82</v>
      </c>
      <c r="K502" s="513"/>
      <c r="L502" s="514"/>
      <c r="M502" s="515"/>
      <c r="N502" s="31"/>
      <c r="O502" s="53"/>
      <c r="P502" s="55"/>
      <c r="Q502" s="346">
        <v>45845</v>
      </c>
      <c r="R502" s="148">
        <f t="shared" ref="R502:R509" si="31">Q502/H502</f>
        <v>1.0005674501844213</v>
      </c>
      <c r="S502" s="101" t="s">
        <v>2597</v>
      </c>
      <c r="T502" s="57" t="s">
        <v>3633</v>
      </c>
    </row>
    <row r="503" spans="1:20" ht="43.2" x14ac:dyDescent="0.3">
      <c r="A503" s="98">
        <f t="shared" ca="1" si="30"/>
        <v>461</v>
      </c>
      <c r="B503" s="554" t="s">
        <v>80</v>
      </c>
      <c r="C503" s="516">
        <v>45826</v>
      </c>
      <c r="D503" s="369">
        <v>25158902</v>
      </c>
      <c r="E503" s="270" t="s">
        <v>3634</v>
      </c>
      <c r="F503" s="179" t="s">
        <v>48</v>
      </c>
      <c r="G503" s="376" t="s">
        <v>6</v>
      </c>
      <c r="H503" s="599">
        <v>45825</v>
      </c>
      <c r="I503" s="585"/>
      <c r="J503" s="125" t="s">
        <v>99</v>
      </c>
      <c r="K503" s="518"/>
      <c r="L503" s="518"/>
      <c r="M503" s="519"/>
      <c r="N503" s="520"/>
      <c r="O503" s="520"/>
      <c r="P503" s="521"/>
      <c r="Q503" s="346">
        <v>45845</v>
      </c>
      <c r="R503" s="148">
        <f t="shared" si="31"/>
        <v>1.0004364429896344</v>
      </c>
      <c r="S503" s="101" t="s">
        <v>2747</v>
      </c>
      <c r="T503" s="201" t="s">
        <v>3635</v>
      </c>
    </row>
    <row r="504" spans="1:20" ht="100.8" x14ac:dyDescent="0.3">
      <c r="A504" s="98">
        <f t="shared" ca="1" si="30"/>
        <v>466</v>
      </c>
      <c r="B504" s="583" t="s">
        <v>80</v>
      </c>
      <c r="C504" s="346">
        <v>45826</v>
      </c>
      <c r="D504" s="369">
        <v>74855662</v>
      </c>
      <c r="E504" s="270" t="s">
        <v>3636</v>
      </c>
      <c r="F504" s="179" t="s">
        <v>15</v>
      </c>
      <c r="G504" s="376" t="s">
        <v>6</v>
      </c>
      <c r="H504" s="599">
        <v>45826</v>
      </c>
      <c r="I504" s="585"/>
      <c r="J504" s="800" t="s">
        <v>99</v>
      </c>
      <c r="K504" s="518"/>
      <c r="L504" s="518"/>
      <c r="M504" s="519"/>
      <c r="N504" s="520"/>
      <c r="O504" s="520"/>
      <c r="P504" s="521"/>
      <c r="Q504" s="346">
        <v>45845</v>
      </c>
      <c r="R504" s="148">
        <f t="shared" si="31"/>
        <v>1.0004146117924322</v>
      </c>
      <c r="S504" s="101" t="s">
        <v>2747</v>
      </c>
      <c r="T504" s="201" t="s">
        <v>3637</v>
      </c>
    </row>
    <row r="505" spans="1:20" ht="43.2" x14ac:dyDescent="0.3">
      <c r="A505" s="98">
        <f t="shared" ca="1" si="30"/>
        <v>486</v>
      </c>
      <c r="B505" s="583">
        <v>1550</v>
      </c>
      <c r="C505" s="346">
        <v>45828</v>
      </c>
      <c r="D505" s="369">
        <v>22452885</v>
      </c>
      <c r="E505" s="271" t="s">
        <v>3638</v>
      </c>
      <c r="F505" s="179" t="s">
        <v>48</v>
      </c>
      <c r="G505" s="377" t="s">
        <v>6</v>
      </c>
      <c r="H505" s="612">
        <v>45828</v>
      </c>
      <c r="I505" s="587"/>
      <c r="J505" s="125" t="s">
        <v>99</v>
      </c>
      <c r="K505" s="518"/>
      <c r="L505" s="518"/>
      <c r="M505" s="519"/>
      <c r="N505" s="520"/>
      <c r="O505" s="520"/>
      <c r="P505" s="521"/>
      <c r="Q505" s="346">
        <v>45845</v>
      </c>
      <c r="R505" s="148">
        <f t="shared" si="31"/>
        <v>1.0003709522562625</v>
      </c>
      <c r="S505" s="101" t="s">
        <v>2597</v>
      </c>
      <c r="T505" s="201" t="s">
        <v>3639</v>
      </c>
    </row>
    <row r="506" spans="1:20" ht="43.2" x14ac:dyDescent="0.3">
      <c r="A506" s="98">
        <f t="shared" ca="1" si="30"/>
        <v>489</v>
      </c>
      <c r="B506" s="583" t="s">
        <v>80</v>
      </c>
      <c r="C506" s="346">
        <v>45832</v>
      </c>
      <c r="D506" s="632">
        <v>53478959</v>
      </c>
      <c r="E506" s="270" t="s">
        <v>3640</v>
      </c>
      <c r="F506" s="179" t="s">
        <v>48</v>
      </c>
      <c r="G506" s="376" t="s">
        <v>6</v>
      </c>
      <c r="H506" s="612">
        <v>45832</v>
      </c>
      <c r="I506" s="587"/>
      <c r="J506" s="100" t="s">
        <v>99</v>
      </c>
      <c r="K506" s="518"/>
      <c r="L506" s="518"/>
      <c r="M506" s="519"/>
      <c r="N506" s="520"/>
      <c r="O506" s="520"/>
      <c r="P506" s="521"/>
      <c r="Q506" s="346">
        <v>45845</v>
      </c>
      <c r="R506" s="148">
        <f t="shared" si="31"/>
        <v>1.000283644615116</v>
      </c>
      <c r="S506" s="101" t="s">
        <v>1569</v>
      </c>
      <c r="T506" s="201" t="s">
        <v>3641</v>
      </c>
    </row>
    <row r="507" spans="1:20" ht="43.2" x14ac:dyDescent="0.3">
      <c r="A507" s="98">
        <f t="shared" ca="1" si="30"/>
        <v>490</v>
      </c>
      <c r="B507" s="583" t="s">
        <v>80</v>
      </c>
      <c r="C507" s="346">
        <v>45832</v>
      </c>
      <c r="D507" s="369">
        <v>74839241</v>
      </c>
      <c r="E507" s="270" t="s">
        <v>3642</v>
      </c>
      <c r="F507" s="179" t="s">
        <v>48</v>
      </c>
      <c r="G507" s="376" t="s">
        <v>6</v>
      </c>
      <c r="H507" s="612">
        <v>45832</v>
      </c>
      <c r="I507" s="587"/>
      <c r="J507" s="125" t="s">
        <v>99</v>
      </c>
      <c r="K507" s="518"/>
      <c r="L507" s="518"/>
      <c r="M507" s="519"/>
      <c r="N507" s="520"/>
      <c r="O507" s="520"/>
      <c r="P507" s="521"/>
      <c r="Q507" s="346">
        <v>45845</v>
      </c>
      <c r="R507" s="148">
        <f t="shared" si="31"/>
        <v>1.000283644615116</v>
      </c>
      <c r="S507" s="101" t="s">
        <v>1569</v>
      </c>
      <c r="T507" s="201" t="s">
        <v>3643</v>
      </c>
    </row>
    <row r="508" spans="1:20" ht="43.2" x14ac:dyDescent="0.3">
      <c r="A508" s="98">
        <f t="shared" ca="1" si="30"/>
        <v>501</v>
      </c>
      <c r="B508" s="583" t="s">
        <v>80</v>
      </c>
      <c r="C508" s="346">
        <v>45833</v>
      </c>
      <c r="D508" s="369">
        <v>53478959</v>
      </c>
      <c r="E508" s="270" t="s">
        <v>3644</v>
      </c>
      <c r="F508" s="179" t="s">
        <v>36</v>
      </c>
      <c r="G508" s="376" t="s">
        <v>6</v>
      </c>
      <c r="H508" s="612">
        <v>45833</v>
      </c>
      <c r="I508" s="587"/>
      <c r="J508" s="125" t="s">
        <v>99</v>
      </c>
      <c r="K508" s="518"/>
      <c r="L508" s="518"/>
      <c r="M508" s="519"/>
      <c r="N508" s="520"/>
      <c r="O508" s="520"/>
      <c r="P508" s="521"/>
      <c r="Q508" s="346">
        <v>45845</v>
      </c>
      <c r="R508" s="148">
        <f t="shared" si="31"/>
        <v>1.0002618200859643</v>
      </c>
      <c r="S508" s="101" t="s">
        <v>2747</v>
      </c>
      <c r="T508" s="201" t="s">
        <v>3645</v>
      </c>
    </row>
    <row r="509" spans="1:20" ht="100.8" x14ac:dyDescent="0.3">
      <c r="A509" s="98">
        <f t="shared" ca="1" si="30"/>
        <v>480</v>
      </c>
      <c r="B509" s="583" t="s">
        <v>301</v>
      </c>
      <c r="C509" s="614">
        <v>45827</v>
      </c>
      <c r="D509" s="537">
        <v>100438342</v>
      </c>
      <c r="E509" s="467" t="s">
        <v>3646</v>
      </c>
      <c r="F509" s="283" t="s">
        <v>22</v>
      </c>
      <c r="G509" s="454" t="s">
        <v>6</v>
      </c>
      <c r="H509" s="612">
        <v>45827</v>
      </c>
      <c r="I509" s="594"/>
      <c r="J509" s="107" t="s">
        <v>22</v>
      </c>
      <c r="K509" s="518"/>
      <c r="L509" s="518"/>
      <c r="M509" s="519"/>
      <c r="N509" s="520"/>
      <c r="O509" s="520"/>
      <c r="P509" s="521"/>
      <c r="Q509" s="346">
        <v>45848</v>
      </c>
      <c r="R509" s="148">
        <f t="shared" si="31"/>
        <v>1.0004582451393282</v>
      </c>
      <c r="S509" s="101" t="s">
        <v>1934</v>
      </c>
      <c r="T509" s="201"/>
    </row>
    <row r="510" spans="1:20" ht="28.8" x14ac:dyDescent="0.3">
      <c r="A510" s="98">
        <f t="shared" ca="1" si="30"/>
        <v>487</v>
      </c>
      <c r="B510" s="615">
        <v>1550</v>
      </c>
      <c r="C510" s="206">
        <v>45828</v>
      </c>
      <c r="D510" s="219">
        <v>23753331</v>
      </c>
      <c r="E510" s="270" t="s">
        <v>3647</v>
      </c>
      <c r="F510" s="111" t="s">
        <v>32</v>
      </c>
      <c r="G510" s="125" t="s">
        <v>8</v>
      </c>
      <c r="H510" s="612">
        <v>45828</v>
      </c>
      <c r="I510" s="594"/>
      <c r="J510" s="107" t="s">
        <v>106</v>
      </c>
      <c r="K510" s="518"/>
      <c r="L510" s="518"/>
      <c r="M510" s="519"/>
      <c r="N510" s="520"/>
      <c r="O510" s="520"/>
      <c r="P510" s="521"/>
      <c r="Q510" s="346">
        <v>45853</v>
      </c>
      <c r="R510" s="148">
        <f>Q510-H510</f>
        <v>25</v>
      </c>
      <c r="S510" s="101" t="s">
        <v>758</v>
      </c>
      <c r="T510" s="201"/>
    </row>
    <row r="511" spans="1:20" ht="57.6" x14ac:dyDescent="0.3">
      <c r="A511" s="98">
        <f t="shared" ca="1" si="30"/>
        <v>457</v>
      </c>
      <c r="B511" s="784">
        <v>1550</v>
      </c>
      <c r="C511" s="512">
        <v>45826</v>
      </c>
      <c r="D511" s="219">
        <v>120295369</v>
      </c>
      <c r="E511" s="109" t="s">
        <v>3648</v>
      </c>
      <c r="F511" s="111" t="s">
        <v>30</v>
      </c>
      <c r="G511" s="125" t="s">
        <v>6</v>
      </c>
      <c r="H511" s="599">
        <v>45826</v>
      </c>
      <c r="I511" s="594"/>
      <c r="J511" s="100" t="s">
        <v>30</v>
      </c>
      <c r="K511" s="518"/>
      <c r="L511" s="518"/>
      <c r="M511" s="519"/>
      <c r="N511" s="520"/>
      <c r="O511" s="520"/>
      <c r="P511" s="521"/>
      <c r="Q511" s="346">
        <v>45860</v>
      </c>
      <c r="R511" s="148">
        <f>Q511/H511</f>
        <v>1.0007419368917208</v>
      </c>
      <c r="S511" s="101" t="s">
        <v>1860</v>
      </c>
      <c r="T511" s="201" t="s">
        <v>3649</v>
      </c>
    </row>
    <row r="512" spans="1:20" ht="28.8" x14ac:dyDescent="0.3">
      <c r="A512" s="98">
        <f t="shared" ca="1" si="30"/>
        <v>328</v>
      </c>
      <c r="B512" s="615" t="s">
        <v>80</v>
      </c>
      <c r="C512" s="206">
        <v>45820</v>
      </c>
      <c r="D512" s="219">
        <v>67234402</v>
      </c>
      <c r="E512" s="109" t="s">
        <v>3650</v>
      </c>
      <c r="F512" s="111" t="s">
        <v>17</v>
      </c>
      <c r="G512" s="127" t="s">
        <v>6</v>
      </c>
      <c r="H512" s="599">
        <v>45820</v>
      </c>
      <c r="I512" s="341"/>
      <c r="J512" s="107" t="s">
        <v>82</v>
      </c>
      <c r="K512" s="513"/>
      <c r="L512" s="514"/>
      <c r="M512" s="515"/>
      <c r="N512" s="31"/>
      <c r="O512" s="53"/>
      <c r="P512" s="55"/>
      <c r="Q512" s="346">
        <v>45861</v>
      </c>
      <c r="R512" s="148">
        <f>Q512/H512</f>
        <v>1.0008948057616762</v>
      </c>
      <c r="S512" s="101" t="s">
        <v>2747</v>
      </c>
      <c r="T512" s="57"/>
    </row>
    <row r="513" spans="1:20" ht="86.4" x14ac:dyDescent="0.3">
      <c r="A513" s="98">
        <f t="shared" ca="1" si="30"/>
        <v>428</v>
      </c>
      <c r="B513" s="784" t="s">
        <v>80</v>
      </c>
      <c r="C513" s="206">
        <v>45825</v>
      </c>
      <c r="D513" s="219">
        <v>120269880</v>
      </c>
      <c r="E513" s="109" t="s">
        <v>3651</v>
      </c>
      <c r="F513" s="111" t="s">
        <v>17</v>
      </c>
      <c r="G513" s="125" t="s">
        <v>6</v>
      </c>
      <c r="H513" s="599">
        <v>45825</v>
      </c>
      <c r="I513" s="585"/>
      <c r="J513" s="125" t="s">
        <v>82</v>
      </c>
      <c r="K513" s="518"/>
      <c r="L513" s="518"/>
      <c r="M513" s="519"/>
      <c r="N513" s="520"/>
      <c r="O513" s="520"/>
      <c r="P513" s="521"/>
      <c r="Q513" s="346">
        <v>45861</v>
      </c>
      <c r="R513" s="148">
        <f>Q513/H513</f>
        <v>1.000785597381342</v>
      </c>
      <c r="S513" s="101" t="s">
        <v>2747</v>
      </c>
      <c r="T513" s="201" t="s">
        <v>3652</v>
      </c>
    </row>
    <row r="514" spans="1:20" ht="43.2" x14ac:dyDescent="0.3">
      <c r="A514" s="98">
        <f t="shared" ca="1" si="30"/>
        <v>496</v>
      </c>
      <c r="B514" s="583">
        <v>1550</v>
      </c>
      <c r="C514" s="346">
        <v>45832</v>
      </c>
      <c r="D514" s="369">
        <v>8784086</v>
      </c>
      <c r="E514" s="270" t="s">
        <v>3653</v>
      </c>
      <c r="F514" s="466" t="s">
        <v>7</v>
      </c>
      <c r="G514" s="125" t="s">
        <v>6</v>
      </c>
      <c r="H514" s="612">
        <v>45832</v>
      </c>
      <c r="I514" s="585"/>
      <c r="J514" s="727" t="s">
        <v>99</v>
      </c>
      <c r="K514" s="518"/>
      <c r="L514" s="518"/>
      <c r="M514" s="519"/>
      <c r="N514" s="520"/>
      <c r="O514" s="520"/>
      <c r="P514" s="521"/>
      <c r="Q514" s="346">
        <v>45861</v>
      </c>
      <c r="R514" s="148">
        <f>Q514/H514</f>
        <v>1.0006327456798743</v>
      </c>
      <c r="S514" s="101" t="s">
        <v>2808</v>
      </c>
      <c r="T514" s="201" t="s">
        <v>3654</v>
      </c>
    </row>
    <row r="515" spans="1:20" ht="57.6" x14ac:dyDescent="0.3">
      <c r="A515" s="98">
        <f t="shared" ca="1" si="30"/>
        <v>510</v>
      </c>
      <c r="B515" s="583">
        <v>1550</v>
      </c>
      <c r="C515" s="346">
        <v>45835</v>
      </c>
      <c r="D515" s="369">
        <v>65952456</v>
      </c>
      <c r="E515" s="271" t="s">
        <v>3655</v>
      </c>
      <c r="F515" s="179" t="s">
        <v>7</v>
      </c>
      <c r="G515" s="127" t="s">
        <v>8</v>
      </c>
      <c r="H515" s="612">
        <v>45835</v>
      </c>
      <c r="I515" s="587"/>
      <c r="J515" s="107" t="s">
        <v>3095</v>
      </c>
      <c r="K515" s="518"/>
      <c r="L515" s="518"/>
      <c r="M515" s="519"/>
      <c r="N515" s="520"/>
      <c r="O515" s="520"/>
      <c r="P515" s="521"/>
      <c r="Q515" s="346">
        <v>45861</v>
      </c>
      <c r="R515" s="148">
        <f>Q515-H515</f>
        <v>26</v>
      </c>
      <c r="S515" s="101" t="s">
        <v>758</v>
      </c>
      <c r="T515" s="628" t="s">
        <v>3656</v>
      </c>
    </row>
    <row r="516" spans="1:20" ht="100.8" x14ac:dyDescent="0.3">
      <c r="A516" s="98">
        <f t="shared" ca="1" si="30"/>
        <v>515</v>
      </c>
      <c r="B516" s="583">
        <v>1550</v>
      </c>
      <c r="C516" s="346">
        <v>45835</v>
      </c>
      <c r="D516" s="369">
        <v>4377370</v>
      </c>
      <c r="E516" s="270" t="s">
        <v>3657</v>
      </c>
      <c r="F516" s="179" t="s">
        <v>17</v>
      </c>
      <c r="G516" s="127" t="s">
        <v>10</v>
      </c>
      <c r="H516" s="612">
        <v>45835</v>
      </c>
      <c r="I516" s="587"/>
      <c r="J516" s="100" t="s">
        <v>82</v>
      </c>
      <c r="K516" s="518"/>
      <c r="L516" s="518"/>
      <c r="M516" s="519"/>
      <c r="N516" s="520"/>
      <c r="O516" s="520"/>
      <c r="P516" s="521"/>
      <c r="Q516" s="346">
        <v>45861</v>
      </c>
      <c r="R516" s="148">
        <f>Q516-H516</f>
        <v>26</v>
      </c>
      <c r="S516" s="101" t="s">
        <v>1366</v>
      </c>
      <c r="T516" s="201"/>
    </row>
    <row r="517" spans="1:20" ht="57.6" x14ac:dyDescent="0.3">
      <c r="A517" s="98">
        <f t="shared" ca="1" si="30"/>
        <v>475</v>
      </c>
      <c r="B517" s="583">
        <v>1550</v>
      </c>
      <c r="C517" s="346">
        <v>45827</v>
      </c>
      <c r="D517" s="369">
        <v>108890112</v>
      </c>
      <c r="E517" s="271" t="s">
        <v>3658</v>
      </c>
      <c r="F517" s="179" t="s">
        <v>12</v>
      </c>
      <c r="G517" s="127" t="s">
        <v>6</v>
      </c>
      <c r="H517" s="612">
        <v>45827</v>
      </c>
      <c r="I517" s="587"/>
      <c r="J517" s="729" t="s">
        <v>159</v>
      </c>
      <c r="K517" s="518"/>
      <c r="L517" s="518"/>
      <c r="M517" s="519"/>
      <c r="N517" s="520"/>
      <c r="O517" s="520"/>
      <c r="P517" s="521"/>
      <c r="Q517" s="346">
        <v>45868</v>
      </c>
      <c r="R517" s="148">
        <f>Q517/H517</f>
        <v>1.0008946690815459</v>
      </c>
      <c r="S517" s="101" t="s">
        <v>2597</v>
      </c>
      <c r="T517" s="201" t="s">
        <v>3659</v>
      </c>
    </row>
    <row r="518" spans="1:20" ht="100.8" x14ac:dyDescent="0.3">
      <c r="A518" s="98">
        <f t="shared" ca="1" si="30"/>
        <v>518</v>
      </c>
      <c r="B518" s="583">
        <v>1550</v>
      </c>
      <c r="C518" s="346">
        <v>45835</v>
      </c>
      <c r="D518" s="369">
        <v>38240998</v>
      </c>
      <c r="E518" s="270" t="s">
        <v>3660</v>
      </c>
      <c r="F518" s="179" t="s">
        <v>15</v>
      </c>
      <c r="G518" s="127" t="s">
        <v>10</v>
      </c>
      <c r="H518" s="612">
        <v>45835</v>
      </c>
      <c r="I518" s="587"/>
      <c r="J518" s="728" t="s">
        <v>3095</v>
      </c>
      <c r="K518" s="518"/>
      <c r="L518" s="518"/>
      <c r="M518" s="519"/>
      <c r="N518" s="520"/>
      <c r="O518" s="520"/>
      <c r="P518" s="521"/>
      <c r="Q518" s="346">
        <v>45877</v>
      </c>
      <c r="R518" s="148">
        <f>Q518-H518</f>
        <v>42</v>
      </c>
      <c r="S518" s="101" t="s">
        <v>214</v>
      </c>
      <c r="T518" s="201" t="s">
        <v>3661</v>
      </c>
    </row>
    <row r="519" spans="1:20" ht="100.8" x14ac:dyDescent="0.3">
      <c r="A519" s="98">
        <f t="shared" ca="1" si="30"/>
        <v>357</v>
      </c>
      <c r="B519" s="554" t="s">
        <v>80</v>
      </c>
      <c r="C519" s="516">
        <v>45820</v>
      </c>
      <c r="D519" s="369">
        <v>108890112</v>
      </c>
      <c r="E519" s="270" t="s">
        <v>3662</v>
      </c>
      <c r="F519" s="179" t="s">
        <v>12</v>
      </c>
      <c r="G519" s="125" t="s">
        <v>6</v>
      </c>
      <c r="H519" s="599">
        <v>45820</v>
      </c>
      <c r="I519" s="585"/>
      <c r="J519" s="742" t="s">
        <v>159</v>
      </c>
      <c r="K519" s="513"/>
      <c r="L519" s="514"/>
      <c r="M519" s="515"/>
      <c r="N519" s="31"/>
      <c r="O519" s="53"/>
      <c r="P519" s="55"/>
      <c r="Q519" s="516">
        <v>45894</v>
      </c>
      <c r="R519" s="148">
        <f>Q519/H519</f>
        <v>1.0016150152771714</v>
      </c>
      <c r="S519" s="101" t="s">
        <v>2747</v>
      </c>
      <c r="T519" s="57"/>
    </row>
    <row r="520" spans="1:20" ht="172.8" x14ac:dyDescent="0.3">
      <c r="A520" s="98">
        <f t="shared" ca="1" si="30"/>
        <v>516</v>
      </c>
      <c r="B520" s="583">
        <v>1550</v>
      </c>
      <c r="C520" s="346">
        <v>45835</v>
      </c>
      <c r="D520" s="369">
        <v>91808189</v>
      </c>
      <c r="E520" s="270" t="s">
        <v>3663</v>
      </c>
      <c r="F520" s="179" t="s">
        <v>39</v>
      </c>
      <c r="G520" s="127" t="s">
        <v>10</v>
      </c>
      <c r="H520" s="612">
        <v>45835</v>
      </c>
      <c r="I520" s="594">
        <v>10000307072</v>
      </c>
      <c r="J520" s="107" t="s">
        <v>22</v>
      </c>
      <c r="K520" s="518"/>
      <c r="L520" s="518"/>
      <c r="M520" s="519"/>
      <c r="N520" s="520"/>
      <c r="O520" s="520"/>
      <c r="P520" s="521"/>
      <c r="Q520" s="346">
        <v>45897</v>
      </c>
      <c r="R520" s="148">
        <f>Q520-H520</f>
        <v>62</v>
      </c>
      <c r="S520" s="101" t="s">
        <v>1835</v>
      </c>
      <c r="T520" s="201" t="s">
        <v>3664</v>
      </c>
    </row>
    <row r="521" spans="1:20" ht="43.2" x14ac:dyDescent="0.3">
      <c r="A521" s="98">
        <f t="shared" ca="1" si="30"/>
        <v>410</v>
      </c>
      <c r="B521" s="554" t="s">
        <v>80</v>
      </c>
      <c r="C521" s="516">
        <v>45824</v>
      </c>
      <c r="D521" s="369">
        <v>27422305</v>
      </c>
      <c r="E521" s="270" t="s">
        <v>3665</v>
      </c>
      <c r="F521" s="179" t="s">
        <v>17</v>
      </c>
      <c r="G521" s="125" t="s">
        <v>6</v>
      </c>
      <c r="H521" s="599">
        <v>45824</v>
      </c>
      <c r="I521" s="585">
        <v>10000299186</v>
      </c>
      <c r="J521" s="107" t="s">
        <v>82</v>
      </c>
      <c r="K521" s="518"/>
      <c r="L521" s="518"/>
      <c r="M521" s="519"/>
      <c r="N521" s="520"/>
      <c r="O521" s="520"/>
      <c r="P521" s="605"/>
      <c r="Q521" s="516">
        <v>46008</v>
      </c>
      <c r="R521" s="148">
        <f>Q521/H521</f>
        <v>1.0040153631284916</v>
      </c>
      <c r="S521" s="101" t="s">
        <v>2747</v>
      </c>
      <c r="T521" s="201"/>
    </row>
  </sheetData>
  <autoFilter ref="A3:T521" xr:uid="{38A2579F-E546-49A0-A18C-C8A992920723}">
    <sortState xmlns:xlrd2="http://schemas.microsoft.com/office/spreadsheetml/2017/richdata2" ref="A4:T521">
      <sortCondition ref="Q3:Q521"/>
    </sortState>
  </autoFilter>
  <mergeCells count="1">
    <mergeCell ref="B1:T1"/>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5016F497-B66E-4CD6-9B33-8652001D11C3}">
          <x14:formula1>
            <xm:f>'Conceptos de Tipificación'!$E$4:$E$7</xm:f>
          </x14:formula1>
          <xm:sqref>G4:G521</xm:sqref>
        </x14:dataValidation>
        <x14:dataValidation type="list" allowBlank="1" showInputMessage="1" showErrorMessage="1" xr:uid="{F3F50419-CE96-4D5B-A384-02A7DA0E6171}">
          <x14:formula1>
            <xm:f>'Conceptos de Tipificación'!$A$3:$A$54</xm:f>
          </x14:formula1>
          <xm:sqref>F4:F1048576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F6410-AFA6-49EC-B182-FC9241748C00}">
  <sheetPr>
    <tabColor rgb="FF92D050"/>
  </sheetPr>
  <dimension ref="A1:T315"/>
  <sheetViews>
    <sheetView workbookViewId="0">
      <selection activeCell="A314" sqref="A314:XFD885"/>
    </sheetView>
  </sheetViews>
  <sheetFormatPr baseColWidth="10" defaultColWidth="9.109375" defaultRowHeight="14.4" x14ac:dyDescent="0.3"/>
  <cols>
    <col min="1" max="1" width="4.44140625" bestFit="1" customWidth="1"/>
    <col min="2" max="2" width="13.44140625" customWidth="1"/>
    <col min="3" max="3" width="15.33203125" customWidth="1"/>
    <col min="4" max="4" width="12.44140625" customWidth="1"/>
    <col min="5" max="5" width="27.88671875" customWidth="1"/>
    <col min="6" max="6" width="15.109375" customWidth="1"/>
    <col min="7" max="7" width="14.88671875" customWidth="1"/>
    <col min="8" max="8" width="14.5546875" customWidth="1"/>
    <col min="9" max="9" width="13.6640625" customWidth="1"/>
    <col min="10" max="10" width="15.5546875" customWidth="1"/>
    <col min="11" max="11" width="14.88671875" customWidth="1"/>
    <col min="12" max="12" width="13.88671875" customWidth="1"/>
    <col min="13" max="13" width="14.44140625" customWidth="1"/>
    <col min="14" max="14" width="16.44140625" customWidth="1"/>
    <col min="15" max="15" width="14.5546875" customWidth="1"/>
    <col min="16" max="16" width="13" customWidth="1"/>
    <col min="17" max="17" width="14.5546875" customWidth="1"/>
    <col min="18" max="18" width="10.5546875" customWidth="1"/>
    <col min="19" max="19" width="12.5546875" customWidth="1"/>
    <col min="20" max="20" width="30.5546875" customWidth="1"/>
  </cols>
  <sheetData>
    <row r="1" spans="1:20" x14ac:dyDescent="0.3">
      <c r="A1" s="24"/>
      <c r="B1" s="857" t="s">
        <v>2268</v>
      </c>
      <c r="C1" s="857"/>
      <c r="D1" s="857"/>
      <c r="E1" s="857"/>
      <c r="F1" s="857"/>
      <c r="G1" s="857"/>
      <c r="H1" s="857"/>
      <c r="I1" s="857"/>
      <c r="J1" s="857"/>
      <c r="K1" s="857"/>
      <c r="L1" s="857"/>
      <c r="M1" s="857"/>
      <c r="N1" s="857"/>
      <c r="O1" s="857"/>
      <c r="P1" s="857"/>
      <c r="Q1" s="857"/>
      <c r="R1" s="857"/>
      <c r="S1" s="857"/>
      <c r="T1" s="857"/>
    </row>
    <row r="2" spans="1:20" x14ac:dyDescent="0.3">
      <c r="A2" s="24"/>
      <c r="B2" s="319"/>
      <c r="C2" s="319"/>
      <c r="D2" s="319"/>
      <c r="E2" s="319"/>
      <c r="F2" s="319"/>
      <c r="G2" s="319"/>
      <c r="H2" s="319"/>
      <c r="I2" s="319"/>
      <c r="J2" s="319"/>
      <c r="K2" s="319"/>
      <c r="L2" s="319"/>
      <c r="M2" s="319"/>
      <c r="N2" s="319"/>
      <c r="O2" s="319"/>
      <c r="P2" s="319"/>
      <c r="Q2" s="319"/>
      <c r="R2" s="319"/>
      <c r="S2" s="319"/>
      <c r="T2" s="319"/>
    </row>
    <row r="3" spans="1:20" ht="28.8" x14ac:dyDescent="0.3">
      <c r="A3" s="24"/>
      <c r="B3" s="320" t="s">
        <v>66</v>
      </c>
      <c r="C3" s="321" t="s">
        <v>67</v>
      </c>
      <c r="D3" s="322" t="s">
        <v>2269</v>
      </c>
      <c r="E3" s="389" t="s">
        <v>68</v>
      </c>
      <c r="F3" s="370" t="s">
        <v>69</v>
      </c>
      <c r="G3" s="324" t="s">
        <v>70</v>
      </c>
      <c r="H3" s="325" t="s">
        <v>71</v>
      </c>
      <c r="I3" s="326" t="s">
        <v>72</v>
      </c>
      <c r="J3" s="327" t="s">
        <v>73</v>
      </c>
      <c r="K3" s="328" t="s">
        <v>74</v>
      </c>
      <c r="L3" s="325" t="s">
        <v>71</v>
      </c>
      <c r="M3" s="327" t="s">
        <v>73</v>
      </c>
      <c r="N3" s="328" t="s">
        <v>75</v>
      </c>
      <c r="O3" s="325" t="s">
        <v>71</v>
      </c>
      <c r="P3" s="327" t="s">
        <v>73</v>
      </c>
      <c r="Q3" s="329" t="s">
        <v>76</v>
      </c>
      <c r="R3" s="323" t="s">
        <v>77</v>
      </c>
      <c r="S3" s="323" t="s">
        <v>78</v>
      </c>
      <c r="T3" s="321" t="s">
        <v>79</v>
      </c>
    </row>
    <row r="4" spans="1:20" ht="43.2" x14ac:dyDescent="0.3">
      <c r="A4" s="98">
        <v>1</v>
      </c>
      <c r="B4" s="522" t="s">
        <v>80</v>
      </c>
      <c r="C4" s="523">
        <v>45839</v>
      </c>
      <c r="D4" s="369">
        <v>12048194</v>
      </c>
      <c r="E4" s="390" t="s">
        <v>3666</v>
      </c>
      <c r="F4" s="383" t="s">
        <v>48</v>
      </c>
      <c r="G4" s="221" t="s">
        <v>6</v>
      </c>
      <c r="H4" s="493">
        <v>45839</v>
      </c>
      <c r="I4" s="25"/>
      <c r="J4" s="727" t="s">
        <v>99</v>
      </c>
      <c r="K4" s="494"/>
      <c r="L4" s="495"/>
      <c r="M4" s="496"/>
      <c r="N4" s="497"/>
      <c r="O4" s="498"/>
      <c r="P4" s="499"/>
      <c r="Q4" s="529">
        <v>45847</v>
      </c>
      <c r="R4" s="148">
        <f t="shared" ref="R4:R67" si="0">Q4/H4</f>
        <v>1.0001745238770479</v>
      </c>
      <c r="S4" s="200" t="s">
        <v>1569</v>
      </c>
      <c r="T4" s="530" t="s">
        <v>3667</v>
      </c>
    </row>
    <row r="5" spans="1:20" ht="28.8" x14ac:dyDescent="0.3">
      <c r="A5" s="98">
        <v>2</v>
      </c>
      <c r="B5" s="522" t="s">
        <v>80</v>
      </c>
      <c r="C5" s="523">
        <v>45839</v>
      </c>
      <c r="D5" s="369">
        <v>5421403</v>
      </c>
      <c r="E5" s="270" t="s">
        <v>3668</v>
      </c>
      <c r="F5" s="200" t="s">
        <v>32</v>
      </c>
      <c r="G5" s="221" t="s">
        <v>8</v>
      </c>
      <c r="H5" s="493">
        <v>45839</v>
      </c>
      <c r="I5" s="25"/>
      <c r="J5" s="100" t="s">
        <v>106</v>
      </c>
      <c r="K5" s="494"/>
      <c r="L5" s="495"/>
      <c r="M5" s="496"/>
      <c r="N5" s="497"/>
      <c r="O5" s="498"/>
      <c r="P5" s="499"/>
      <c r="Q5" s="529">
        <v>45839</v>
      </c>
      <c r="R5" s="148">
        <f t="shared" si="0"/>
        <v>1</v>
      </c>
      <c r="S5" s="200" t="s">
        <v>8</v>
      </c>
      <c r="T5" s="629" t="s">
        <v>3669</v>
      </c>
    </row>
    <row r="6" spans="1:20" ht="57.6" x14ac:dyDescent="0.3">
      <c r="A6" s="98">
        <v>3</v>
      </c>
      <c r="B6" s="522" t="s">
        <v>80</v>
      </c>
      <c r="C6" s="523">
        <v>45839</v>
      </c>
      <c r="D6" s="369" t="s">
        <v>3670</v>
      </c>
      <c r="E6" s="270" t="s">
        <v>3671</v>
      </c>
      <c r="F6" s="200" t="s">
        <v>36</v>
      </c>
      <c r="G6" s="221" t="s">
        <v>6</v>
      </c>
      <c r="H6" s="493">
        <v>45839</v>
      </c>
      <c r="I6" s="25"/>
      <c r="J6" s="727" t="s">
        <v>99</v>
      </c>
      <c r="K6" s="494"/>
      <c r="L6" s="495"/>
      <c r="M6" s="496"/>
      <c r="N6" s="497"/>
      <c r="O6" s="498"/>
      <c r="P6" s="499"/>
      <c r="Q6" s="529">
        <v>45852</v>
      </c>
      <c r="R6" s="148">
        <f t="shared" si="0"/>
        <v>1.0002836013002028</v>
      </c>
      <c r="S6" s="200" t="s">
        <v>1569</v>
      </c>
      <c r="T6" s="535"/>
    </row>
    <row r="7" spans="1:20" ht="43.2" x14ac:dyDescent="0.3">
      <c r="A7" s="98">
        <v>4</v>
      </c>
      <c r="B7" s="536">
        <v>1550</v>
      </c>
      <c r="C7" s="523">
        <v>45839</v>
      </c>
      <c r="D7" s="630">
        <v>5005191</v>
      </c>
      <c r="E7" s="308" t="s">
        <v>3672</v>
      </c>
      <c r="F7" s="200" t="s">
        <v>33</v>
      </c>
      <c r="G7" s="221" t="s">
        <v>6</v>
      </c>
      <c r="H7" s="493">
        <v>45839</v>
      </c>
      <c r="I7" s="25"/>
      <c r="J7" s="727" t="s">
        <v>99</v>
      </c>
      <c r="K7" s="494"/>
      <c r="L7" s="495"/>
      <c r="M7" s="496"/>
      <c r="N7" s="497"/>
      <c r="O7" s="498"/>
      <c r="P7" s="499"/>
      <c r="Q7" s="539">
        <v>45839</v>
      </c>
      <c r="R7" s="148">
        <f t="shared" si="0"/>
        <v>1</v>
      </c>
      <c r="S7" s="200" t="s">
        <v>1893</v>
      </c>
      <c r="T7" s="535"/>
    </row>
    <row r="8" spans="1:20" ht="72.75" customHeight="1" x14ac:dyDescent="0.3">
      <c r="A8" s="98">
        <v>5</v>
      </c>
      <c r="B8" s="536" t="s">
        <v>301</v>
      </c>
      <c r="C8" s="523">
        <v>45839</v>
      </c>
      <c r="D8" s="369">
        <v>22632573</v>
      </c>
      <c r="E8" s="270" t="s">
        <v>3673</v>
      </c>
      <c r="F8" s="200" t="s">
        <v>1</v>
      </c>
      <c r="G8" s="221" t="s">
        <v>10</v>
      </c>
      <c r="H8" s="493">
        <v>45839</v>
      </c>
      <c r="I8" s="25"/>
      <c r="J8" s="100" t="s">
        <v>2513</v>
      </c>
      <c r="K8" s="494"/>
      <c r="L8" s="495"/>
      <c r="M8" s="496"/>
      <c r="N8" s="497"/>
      <c r="O8" s="498"/>
      <c r="P8" s="499"/>
      <c r="Q8" s="529">
        <v>45841</v>
      </c>
      <c r="R8" s="148">
        <f t="shared" si="0"/>
        <v>1.000043630969262</v>
      </c>
      <c r="S8" s="200" t="s">
        <v>2716</v>
      </c>
      <c r="T8" s="540"/>
    </row>
    <row r="9" spans="1:20" ht="44.25" customHeight="1" x14ac:dyDescent="0.3">
      <c r="A9" s="98">
        <v>6</v>
      </c>
      <c r="B9" s="536">
        <v>1550</v>
      </c>
      <c r="C9" s="523">
        <v>45839</v>
      </c>
      <c r="D9" s="369">
        <v>111851114</v>
      </c>
      <c r="E9" s="270" t="s">
        <v>3674</v>
      </c>
      <c r="F9" s="200" t="s">
        <v>1</v>
      </c>
      <c r="G9" s="221" t="s">
        <v>10</v>
      </c>
      <c r="H9" s="493">
        <v>45839</v>
      </c>
      <c r="I9" s="25"/>
      <c r="J9" s="100" t="s">
        <v>2367</v>
      </c>
      <c r="K9" s="494"/>
      <c r="L9" s="495"/>
      <c r="M9" s="496"/>
      <c r="N9" s="497"/>
      <c r="O9" s="498"/>
      <c r="P9" s="499"/>
      <c r="Q9" s="529">
        <v>45839</v>
      </c>
      <c r="R9" s="148">
        <f t="shared" si="0"/>
        <v>1</v>
      </c>
      <c r="S9" s="200" t="s">
        <v>3675</v>
      </c>
      <c r="T9" s="535"/>
    </row>
    <row r="10" spans="1:20" ht="63.75" customHeight="1" x14ac:dyDescent="0.3">
      <c r="A10" s="98">
        <v>7</v>
      </c>
      <c r="B10" s="536" t="s">
        <v>301</v>
      </c>
      <c r="C10" s="523">
        <v>45839</v>
      </c>
      <c r="D10" s="369">
        <v>106147323</v>
      </c>
      <c r="E10" s="270" t="s">
        <v>3676</v>
      </c>
      <c r="F10" s="200" t="s">
        <v>7</v>
      </c>
      <c r="G10" s="221" t="s">
        <v>10</v>
      </c>
      <c r="H10" s="493">
        <v>45839</v>
      </c>
      <c r="I10" s="25"/>
      <c r="J10" s="100" t="s">
        <v>2547</v>
      </c>
      <c r="K10" s="494"/>
      <c r="L10" s="495"/>
      <c r="M10" s="496"/>
      <c r="N10" s="497"/>
      <c r="O10" s="498"/>
      <c r="P10" s="499"/>
      <c r="Q10" s="529">
        <v>45839</v>
      </c>
      <c r="R10" s="148">
        <f t="shared" si="0"/>
        <v>1</v>
      </c>
      <c r="S10" s="200" t="s">
        <v>85</v>
      </c>
      <c r="T10" s="315" t="s">
        <v>3677</v>
      </c>
    </row>
    <row r="11" spans="1:20" ht="44.25" customHeight="1" x14ac:dyDescent="0.3">
      <c r="A11" s="98">
        <v>8</v>
      </c>
      <c r="B11" s="536">
        <v>1550</v>
      </c>
      <c r="C11" s="523">
        <v>45839</v>
      </c>
      <c r="D11" s="369">
        <v>78809258</v>
      </c>
      <c r="E11" s="308" t="s">
        <v>3678</v>
      </c>
      <c r="F11" s="200" t="s">
        <v>24</v>
      </c>
      <c r="G11" s="221" t="s">
        <v>10</v>
      </c>
      <c r="H11" s="493">
        <v>45839</v>
      </c>
      <c r="I11" s="25"/>
      <c r="J11" s="728" t="s">
        <v>383</v>
      </c>
      <c r="K11" s="494"/>
      <c r="L11" s="495"/>
      <c r="M11" s="496"/>
      <c r="N11" s="497"/>
      <c r="O11" s="498"/>
      <c r="P11" s="499"/>
      <c r="Q11" s="529">
        <v>45845</v>
      </c>
      <c r="R11" s="148">
        <f t="shared" si="0"/>
        <v>1.0001308929077859</v>
      </c>
      <c r="S11" s="200" t="s">
        <v>2213</v>
      </c>
      <c r="T11" s="315"/>
    </row>
    <row r="12" spans="1:20" ht="44.25" customHeight="1" x14ac:dyDescent="0.3">
      <c r="A12" s="98">
        <v>9</v>
      </c>
      <c r="B12" s="536" t="s">
        <v>301</v>
      </c>
      <c r="C12" s="523">
        <v>45839</v>
      </c>
      <c r="D12" s="369">
        <v>16627024</v>
      </c>
      <c r="E12" s="270" t="s">
        <v>3679</v>
      </c>
      <c r="F12" s="200" t="s">
        <v>25</v>
      </c>
      <c r="G12" s="221" t="s">
        <v>10</v>
      </c>
      <c r="H12" s="493">
        <v>45839</v>
      </c>
      <c r="I12" s="25">
        <v>10000301167</v>
      </c>
      <c r="J12" s="100" t="s">
        <v>135</v>
      </c>
      <c r="K12" s="494"/>
      <c r="L12" s="495"/>
      <c r="M12" s="496"/>
      <c r="N12" s="497"/>
      <c r="O12" s="498"/>
      <c r="P12" s="499"/>
      <c r="Q12" s="529">
        <v>45847</v>
      </c>
      <c r="R12" s="148">
        <f t="shared" si="0"/>
        <v>1.0001745238770479</v>
      </c>
      <c r="S12" s="200" t="s">
        <v>1366</v>
      </c>
      <c r="T12" s="535"/>
    </row>
    <row r="13" spans="1:20" ht="57.6" x14ac:dyDescent="0.3">
      <c r="A13" s="98">
        <v>10</v>
      </c>
      <c r="B13" s="536">
        <v>1550</v>
      </c>
      <c r="C13" s="523">
        <v>45840</v>
      </c>
      <c r="D13" s="541">
        <v>87167018</v>
      </c>
      <c r="E13" s="270" t="s">
        <v>3680</v>
      </c>
      <c r="F13" s="200" t="s">
        <v>33</v>
      </c>
      <c r="G13" s="221" t="s">
        <v>6</v>
      </c>
      <c r="H13" s="493">
        <v>45840</v>
      </c>
      <c r="I13" s="25"/>
      <c r="J13" s="727" t="s">
        <v>99</v>
      </c>
      <c r="K13" s="494"/>
      <c r="L13" s="495"/>
      <c r="M13" s="496"/>
      <c r="N13" s="497"/>
      <c r="O13" s="498"/>
      <c r="P13" s="499"/>
      <c r="Q13" s="539">
        <v>45853</v>
      </c>
      <c r="R13" s="148">
        <f t="shared" si="0"/>
        <v>1.0002835951134381</v>
      </c>
      <c r="S13" s="200" t="s">
        <v>3675</v>
      </c>
      <c r="T13" s="535"/>
    </row>
    <row r="14" spans="1:20" ht="57.6" x14ac:dyDescent="0.3">
      <c r="A14" s="98">
        <v>11</v>
      </c>
      <c r="B14" s="536">
        <v>1550</v>
      </c>
      <c r="C14" s="523">
        <v>45840</v>
      </c>
      <c r="D14" s="541">
        <v>52049272</v>
      </c>
      <c r="E14" s="270" t="s">
        <v>3681</v>
      </c>
      <c r="F14" s="200" t="s">
        <v>1</v>
      </c>
      <c r="G14" s="221" t="s">
        <v>6</v>
      </c>
      <c r="H14" s="493">
        <v>45840</v>
      </c>
      <c r="I14" s="25"/>
      <c r="J14" s="100" t="s">
        <v>2352</v>
      </c>
      <c r="K14" s="494"/>
      <c r="L14" s="495"/>
      <c r="M14" s="496"/>
      <c r="N14" s="497"/>
      <c r="O14" s="498"/>
      <c r="P14" s="499"/>
      <c r="Q14" s="539">
        <v>45841</v>
      </c>
      <c r="R14" s="148">
        <f t="shared" si="0"/>
        <v>1.0000218150087261</v>
      </c>
      <c r="S14" s="200" t="s">
        <v>2597</v>
      </c>
      <c r="T14" s="315"/>
    </row>
    <row r="15" spans="1:20" ht="43.2" x14ac:dyDescent="0.3">
      <c r="A15" s="98">
        <v>12</v>
      </c>
      <c r="B15" s="536" t="s">
        <v>301</v>
      </c>
      <c r="C15" s="523">
        <v>45840</v>
      </c>
      <c r="D15" s="541">
        <v>7094043</v>
      </c>
      <c r="E15" s="270" t="s">
        <v>3682</v>
      </c>
      <c r="F15" s="200" t="s">
        <v>33</v>
      </c>
      <c r="G15" s="221" t="s">
        <v>6</v>
      </c>
      <c r="H15" s="493">
        <v>45840</v>
      </c>
      <c r="I15" s="25"/>
      <c r="J15" s="727" t="s">
        <v>99</v>
      </c>
      <c r="K15" s="494"/>
      <c r="L15" s="495"/>
      <c r="M15" s="496"/>
      <c r="N15" s="497"/>
      <c r="O15" s="498"/>
      <c r="P15" s="499"/>
      <c r="Q15" s="529">
        <v>45840</v>
      </c>
      <c r="R15" s="148">
        <f t="shared" si="0"/>
        <v>1</v>
      </c>
      <c r="S15" s="200" t="s">
        <v>1312</v>
      </c>
      <c r="T15" s="315"/>
    </row>
    <row r="16" spans="1:20" ht="100.8" x14ac:dyDescent="0.3">
      <c r="A16" s="98">
        <v>13</v>
      </c>
      <c r="B16" s="536" t="s">
        <v>301</v>
      </c>
      <c r="C16" s="523">
        <v>45840</v>
      </c>
      <c r="D16" s="541">
        <v>120576368</v>
      </c>
      <c r="E16" s="308" t="s">
        <v>3683</v>
      </c>
      <c r="F16" s="200" t="s">
        <v>1</v>
      </c>
      <c r="G16" s="221" t="s">
        <v>6</v>
      </c>
      <c r="H16" s="493">
        <v>45840</v>
      </c>
      <c r="I16" s="25"/>
      <c r="J16" s="100" t="s">
        <v>2544</v>
      </c>
      <c r="K16" s="494"/>
      <c r="L16" s="495"/>
      <c r="M16" s="496"/>
      <c r="N16" s="497"/>
      <c r="O16" s="498"/>
      <c r="P16" s="499"/>
      <c r="Q16" s="529">
        <v>45845</v>
      </c>
      <c r="R16" s="148">
        <f t="shared" si="0"/>
        <v>1.0001090750436301</v>
      </c>
      <c r="S16" s="200" t="s">
        <v>1860</v>
      </c>
      <c r="T16" s="315"/>
    </row>
    <row r="17" spans="1:20" ht="28.8" x14ac:dyDescent="0.3">
      <c r="A17" s="98">
        <v>14</v>
      </c>
      <c r="B17" s="536">
        <v>1550</v>
      </c>
      <c r="C17" s="523">
        <v>45840</v>
      </c>
      <c r="D17" s="541">
        <v>39447642</v>
      </c>
      <c r="E17" s="270" t="s">
        <v>3684</v>
      </c>
      <c r="F17" s="200" t="s">
        <v>1</v>
      </c>
      <c r="G17" s="221" t="s">
        <v>8</v>
      </c>
      <c r="H17" s="493">
        <v>45840</v>
      </c>
      <c r="I17" s="25"/>
      <c r="J17" s="100" t="s">
        <v>2352</v>
      </c>
      <c r="K17" s="494"/>
      <c r="L17" s="495"/>
      <c r="M17" s="496"/>
      <c r="N17" s="497"/>
      <c r="O17" s="498"/>
      <c r="P17" s="499"/>
      <c r="Q17" s="539">
        <v>45887</v>
      </c>
      <c r="R17" s="148">
        <f t="shared" si="0"/>
        <v>1.0010253054101221</v>
      </c>
      <c r="S17" s="200" t="s">
        <v>151</v>
      </c>
      <c r="T17" s="535"/>
    </row>
    <row r="18" spans="1:20" ht="43.2" x14ac:dyDescent="0.3">
      <c r="A18" s="98">
        <v>15</v>
      </c>
      <c r="B18" s="536">
        <v>1550</v>
      </c>
      <c r="C18" s="523">
        <v>45840</v>
      </c>
      <c r="D18" s="541">
        <v>41347072</v>
      </c>
      <c r="E18" s="270" t="s">
        <v>3685</v>
      </c>
      <c r="F18" s="200" t="s">
        <v>33</v>
      </c>
      <c r="G18" s="221" t="s">
        <v>8</v>
      </c>
      <c r="H18" s="493">
        <v>45840</v>
      </c>
      <c r="I18" s="25"/>
      <c r="J18" s="727" t="s">
        <v>99</v>
      </c>
      <c r="K18" s="494"/>
      <c r="L18" s="495"/>
      <c r="M18" s="496"/>
      <c r="N18" s="497"/>
      <c r="O18" s="498"/>
      <c r="P18" s="499"/>
      <c r="Q18" s="529">
        <v>45840</v>
      </c>
      <c r="R18" s="148">
        <f t="shared" si="0"/>
        <v>1</v>
      </c>
      <c r="S18" s="200" t="s">
        <v>528</v>
      </c>
      <c r="T18" s="535"/>
    </row>
    <row r="19" spans="1:20" ht="43.2" x14ac:dyDescent="0.3">
      <c r="A19" s="98">
        <v>16</v>
      </c>
      <c r="B19" s="536">
        <v>1550</v>
      </c>
      <c r="C19" s="523">
        <v>45840</v>
      </c>
      <c r="D19" s="541">
        <v>106443054</v>
      </c>
      <c r="E19" s="308" t="s">
        <v>3686</v>
      </c>
      <c r="F19" s="200" t="s">
        <v>7</v>
      </c>
      <c r="G19" s="221" t="s">
        <v>8</v>
      </c>
      <c r="H19" s="493">
        <v>45840</v>
      </c>
      <c r="I19" s="25"/>
      <c r="J19" s="100" t="s">
        <v>2547</v>
      </c>
      <c r="K19" s="494"/>
      <c r="L19" s="495"/>
      <c r="M19" s="496"/>
      <c r="N19" s="497"/>
      <c r="O19" s="498"/>
      <c r="P19" s="499"/>
      <c r="Q19" s="529">
        <v>45856</v>
      </c>
      <c r="R19" s="148">
        <f t="shared" si="0"/>
        <v>1.000349040139616</v>
      </c>
      <c r="S19" s="200" t="s">
        <v>3687</v>
      </c>
      <c r="T19" s="535"/>
    </row>
    <row r="20" spans="1:20" ht="43.2" x14ac:dyDescent="0.3">
      <c r="A20" s="98">
        <v>17</v>
      </c>
      <c r="B20" s="536" t="s">
        <v>80</v>
      </c>
      <c r="C20" s="523">
        <v>45840</v>
      </c>
      <c r="D20" s="541">
        <v>77308719</v>
      </c>
      <c r="E20" s="308" t="s">
        <v>3688</v>
      </c>
      <c r="F20" s="200" t="s">
        <v>38</v>
      </c>
      <c r="G20" s="221" t="s">
        <v>6</v>
      </c>
      <c r="H20" s="493">
        <v>45840</v>
      </c>
      <c r="I20" s="25"/>
      <c r="J20" s="727" t="s">
        <v>253</v>
      </c>
      <c r="K20" s="494"/>
      <c r="L20" s="495"/>
      <c r="M20" s="496"/>
      <c r="N20" s="497"/>
      <c r="O20" s="498"/>
      <c r="P20" s="499"/>
      <c r="Q20" s="529">
        <v>45842</v>
      </c>
      <c r="R20" s="148">
        <f t="shared" si="0"/>
        <v>1.000043630017452</v>
      </c>
      <c r="S20" s="200" t="s">
        <v>2597</v>
      </c>
      <c r="T20" s="535"/>
    </row>
    <row r="21" spans="1:20" ht="57.6" x14ac:dyDescent="0.3">
      <c r="A21" s="98">
        <v>18</v>
      </c>
      <c r="B21" s="536">
        <v>1550</v>
      </c>
      <c r="C21" s="523">
        <v>45840</v>
      </c>
      <c r="D21" s="541">
        <v>120431963</v>
      </c>
      <c r="E21" s="270" t="s">
        <v>3689</v>
      </c>
      <c r="F21" s="200" t="s">
        <v>49</v>
      </c>
      <c r="G21" s="221" t="s">
        <v>6</v>
      </c>
      <c r="H21" s="493">
        <v>45840</v>
      </c>
      <c r="I21" s="25"/>
      <c r="J21" s="732" t="s">
        <v>253</v>
      </c>
      <c r="K21" s="494"/>
      <c r="L21" s="495"/>
      <c r="M21" s="496"/>
      <c r="N21" s="497"/>
      <c r="O21" s="498"/>
      <c r="P21" s="499"/>
      <c r="Q21" s="539">
        <v>45862</v>
      </c>
      <c r="R21" s="148">
        <f t="shared" si="0"/>
        <v>1.000479930191972</v>
      </c>
      <c r="S21" s="200" t="s">
        <v>2597</v>
      </c>
      <c r="T21" s="542"/>
    </row>
    <row r="22" spans="1:20" ht="28.8" x14ac:dyDescent="0.3">
      <c r="A22" s="98">
        <v>19</v>
      </c>
      <c r="B22" s="536">
        <v>1550</v>
      </c>
      <c r="C22" s="523">
        <v>45841</v>
      </c>
      <c r="D22" s="543">
        <v>107478781</v>
      </c>
      <c r="E22" s="270" t="s">
        <v>3690</v>
      </c>
      <c r="F22" s="200" t="s">
        <v>1</v>
      </c>
      <c r="G22" s="221" t="s">
        <v>8</v>
      </c>
      <c r="H22" s="493">
        <v>45841</v>
      </c>
      <c r="I22" s="25"/>
      <c r="J22" s="100" t="s">
        <v>2352</v>
      </c>
      <c r="K22" s="494"/>
      <c r="L22" s="495"/>
      <c r="M22" s="496"/>
      <c r="N22" s="497"/>
      <c r="O22" s="498"/>
      <c r="P22" s="499"/>
      <c r="Q22" s="529">
        <v>45841</v>
      </c>
      <c r="R22" s="148">
        <f t="shared" si="0"/>
        <v>1</v>
      </c>
      <c r="S22" s="200" t="s">
        <v>94</v>
      </c>
      <c r="T22" s="315"/>
    </row>
    <row r="23" spans="1:20" ht="144" x14ac:dyDescent="0.3">
      <c r="A23" s="98">
        <v>20</v>
      </c>
      <c r="B23" s="536">
        <v>1550</v>
      </c>
      <c r="C23" s="523">
        <v>45841</v>
      </c>
      <c r="D23" s="544">
        <v>91860105</v>
      </c>
      <c r="E23" s="308" t="s">
        <v>3691</v>
      </c>
      <c r="F23" s="200" t="s">
        <v>32</v>
      </c>
      <c r="G23" s="221" t="s">
        <v>6</v>
      </c>
      <c r="H23" s="493">
        <v>45841</v>
      </c>
      <c r="I23" s="25"/>
      <c r="J23" s="100" t="s">
        <v>106</v>
      </c>
      <c r="K23" s="494" t="s">
        <v>393</v>
      </c>
      <c r="L23" s="495"/>
      <c r="M23" s="496"/>
      <c r="N23" s="497"/>
      <c r="O23" s="498"/>
      <c r="P23" s="499"/>
      <c r="Q23" s="529">
        <v>45845</v>
      </c>
      <c r="R23" s="148">
        <f t="shared" si="0"/>
        <v>1.0000872581313671</v>
      </c>
      <c r="S23" s="200" t="s">
        <v>3692</v>
      </c>
      <c r="T23" s="535"/>
    </row>
    <row r="24" spans="1:20" ht="28.8" x14ac:dyDescent="0.3">
      <c r="A24" s="98">
        <v>21</v>
      </c>
      <c r="B24" s="536" t="s">
        <v>1826</v>
      </c>
      <c r="C24" s="523">
        <v>45841</v>
      </c>
      <c r="D24" s="369">
        <v>85274631</v>
      </c>
      <c r="E24" s="308" t="s">
        <v>3693</v>
      </c>
      <c r="F24" s="384" t="s">
        <v>3</v>
      </c>
      <c r="G24" s="221" t="s">
        <v>4</v>
      </c>
      <c r="H24" s="493">
        <v>45841</v>
      </c>
      <c r="I24" s="25"/>
      <c r="J24" s="100" t="s">
        <v>82</v>
      </c>
      <c r="K24" s="494"/>
      <c r="L24" s="495"/>
      <c r="M24" s="496"/>
      <c r="N24" s="497"/>
      <c r="O24" s="498"/>
      <c r="P24" s="499"/>
      <c r="Q24" s="539">
        <v>45841</v>
      </c>
      <c r="R24" s="148">
        <f t="shared" si="0"/>
        <v>1</v>
      </c>
      <c r="S24" s="200" t="s">
        <v>720</v>
      </c>
      <c r="T24" s="535"/>
    </row>
    <row r="25" spans="1:20" ht="28.8" x14ac:dyDescent="0.3">
      <c r="A25" s="98">
        <v>22</v>
      </c>
      <c r="B25" s="536" t="s">
        <v>80</v>
      </c>
      <c r="C25" s="546">
        <v>45841</v>
      </c>
      <c r="D25" s="369">
        <v>98969684</v>
      </c>
      <c r="E25" s="270" t="s">
        <v>3694</v>
      </c>
      <c r="F25" s="384" t="s">
        <v>3</v>
      </c>
      <c r="G25" s="221" t="s">
        <v>8</v>
      </c>
      <c r="H25" s="493">
        <v>45841</v>
      </c>
      <c r="I25" s="25"/>
      <c r="J25" s="100" t="s">
        <v>2367</v>
      </c>
      <c r="K25" s="494"/>
      <c r="L25" s="495"/>
      <c r="M25" s="496"/>
      <c r="N25" s="497"/>
      <c r="O25" s="498"/>
      <c r="P25" s="499"/>
      <c r="Q25" s="539">
        <v>45841</v>
      </c>
      <c r="R25" s="148">
        <f t="shared" si="0"/>
        <v>1</v>
      </c>
      <c r="S25" s="200" t="s">
        <v>528</v>
      </c>
      <c r="T25" s="315"/>
    </row>
    <row r="26" spans="1:20" ht="57.6" x14ac:dyDescent="0.3">
      <c r="A26" s="98">
        <v>23</v>
      </c>
      <c r="B26" s="536">
        <v>1550</v>
      </c>
      <c r="C26" s="546">
        <v>45841</v>
      </c>
      <c r="D26" s="369">
        <v>9599118</v>
      </c>
      <c r="E26" s="270" t="s">
        <v>3695</v>
      </c>
      <c r="F26" s="200" t="s">
        <v>39</v>
      </c>
      <c r="G26" s="221" t="s">
        <v>4</v>
      </c>
      <c r="H26" s="493">
        <v>45841</v>
      </c>
      <c r="I26" s="25"/>
      <c r="J26" s="100" t="s">
        <v>22</v>
      </c>
      <c r="K26" s="494"/>
      <c r="L26" s="495"/>
      <c r="M26" s="496"/>
      <c r="N26" s="497"/>
      <c r="O26" s="498"/>
      <c r="P26" s="499"/>
      <c r="Q26" s="539">
        <v>45841</v>
      </c>
      <c r="R26" s="148">
        <f t="shared" si="0"/>
        <v>1</v>
      </c>
      <c r="S26" s="200" t="s">
        <v>3096</v>
      </c>
      <c r="T26" s="315"/>
    </row>
    <row r="27" spans="1:20" ht="57.6" x14ac:dyDescent="0.3">
      <c r="A27" s="98">
        <v>24</v>
      </c>
      <c r="B27" s="536">
        <v>1550</v>
      </c>
      <c r="C27" s="546">
        <v>45841</v>
      </c>
      <c r="D27" s="369">
        <v>109039831</v>
      </c>
      <c r="E27" s="270" t="s">
        <v>3696</v>
      </c>
      <c r="F27" s="200" t="s">
        <v>39</v>
      </c>
      <c r="G27" s="221" t="s">
        <v>8</v>
      </c>
      <c r="H27" s="493">
        <v>45841</v>
      </c>
      <c r="I27" s="25"/>
      <c r="J27" s="100" t="s">
        <v>22</v>
      </c>
      <c r="K27" s="494"/>
      <c r="L27" s="495"/>
      <c r="M27" s="496"/>
      <c r="N27" s="497"/>
      <c r="O27" s="498"/>
      <c r="P27" s="499"/>
      <c r="Q27" s="539">
        <v>45852</v>
      </c>
      <c r="R27" s="148">
        <f t="shared" si="0"/>
        <v>1.0002399598612595</v>
      </c>
      <c r="S27" s="200" t="s">
        <v>151</v>
      </c>
      <c r="T27" s="535"/>
    </row>
    <row r="28" spans="1:20" ht="72" x14ac:dyDescent="0.3">
      <c r="A28" s="98">
        <v>25</v>
      </c>
      <c r="B28" s="536" t="s">
        <v>301</v>
      </c>
      <c r="C28" s="546">
        <v>45841</v>
      </c>
      <c r="D28" s="369">
        <v>77992636</v>
      </c>
      <c r="E28" s="270" t="s">
        <v>3697</v>
      </c>
      <c r="F28" s="200" t="s">
        <v>33</v>
      </c>
      <c r="G28" s="221" t="s">
        <v>6</v>
      </c>
      <c r="H28" s="493">
        <v>45841</v>
      </c>
      <c r="I28" s="25"/>
      <c r="J28" s="727" t="s">
        <v>99</v>
      </c>
      <c r="K28" s="494"/>
      <c r="L28" s="495"/>
      <c r="M28" s="496"/>
      <c r="N28" s="497"/>
      <c r="O28" s="498"/>
      <c r="P28" s="499"/>
      <c r="Q28" s="539">
        <v>45853</v>
      </c>
      <c r="R28" s="148">
        <f t="shared" si="0"/>
        <v>1.0002617743941014</v>
      </c>
      <c r="S28" s="200" t="s">
        <v>1860</v>
      </c>
      <c r="T28" s="535"/>
    </row>
    <row r="29" spans="1:20" ht="43.2" x14ac:dyDescent="0.3">
      <c r="A29" s="98">
        <v>26</v>
      </c>
      <c r="B29" s="536">
        <v>1550</v>
      </c>
      <c r="C29" s="546">
        <v>45841</v>
      </c>
      <c r="D29" s="369">
        <v>6830145</v>
      </c>
      <c r="E29" s="270" t="s">
        <v>3698</v>
      </c>
      <c r="F29" s="200" t="s">
        <v>33</v>
      </c>
      <c r="G29" s="221" t="s">
        <v>4</v>
      </c>
      <c r="H29" s="493">
        <v>45841</v>
      </c>
      <c r="I29" s="25"/>
      <c r="J29" s="727" t="s">
        <v>99</v>
      </c>
      <c r="K29" s="494"/>
      <c r="L29" s="495"/>
      <c r="M29" s="496"/>
      <c r="N29" s="497"/>
      <c r="O29" s="498"/>
      <c r="P29" s="499"/>
      <c r="Q29" s="539">
        <v>45853</v>
      </c>
      <c r="R29" s="148">
        <f t="shared" si="0"/>
        <v>1.0002617743941014</v>
      </c>
      <c r="S29" s="200" t="s">
        <v>2970</v>
      </c>
      <c r="T29" s="535"/>
    </row>
    <row r="30" spans="1:20" ht="57.6" x14ac:dyDescent="0.3">
      <c r="A30" s="98">
        <v>27</v>
      </c>
      <c r="B30" s="536" t="s">
        <v>301</v>
      </c>
      <c r="C30" s="546">
        <v>45841</v>
      </c>
      <c r="D30" s="369">
        <v>30747147</v>
      </c>
      <c r="E30" s="270" t="s">
        <v>3699</v>
      </c>
      <c r="F30" s="200" t="s">
        <v>33</v>
      </c>
      <c r="G30" s="221" t="s">
        <v>6</v>
      </c>
      <c r="H30" s="493">
        <v>45841</v>
      </c>
      <c r="I30" s="25"/>
      <c r="J30" s="727" t="s">
        <v>99</v>
      </c>
      <c r="K30" s="494"/>
      <c r="L30" s="495"/>
      <c r="M30" s="496"/>
      <c r="N30" s="497"/>
      <c r="O30" s="498"/>
      <c r="P30" s="499"/>
      <c r="Q30" s="539">
        <v>45853</v>
      </c>
      <c r="R30" s="148">
        <f t="shared" si="0"/>
        <v>1.0002617743941014</v>
      </c>
      <c r="S30" s="200" t="s">
        <v>1860</v>
      </c>
      <c r="T30" s="315"/>
    </row>
    <row r="31" spans="1:20" ht="43.2" x14ac:dyDescent="0.3">
      <c r="A31" s="98">
        <v>28</v>
      </c>
      <c r="B31" s="536">
        <v>1550</v>
      </c>
      <c r="C31" s="546">
        <v>45841</v>
      </c>
      <c r="D31" s="369">
        <v>5986052</v>
      </c>
      <c r="E31" s="270" t="s">
        <v>3700</v>
      </c>
      <c r="F31" s="200" t="s">
        <v>49</v>
      </c>
      <c r="G31" s="221" t="s">
        <v>4</v>
      </c>
      <c r="H31" s="493">
        <v>45841</v>
      </c>
      <c r="I31" s="25"/>
      <c r="J31" s="732" t="s">
        <v>253</v>
      </c>
      <c r="K31" s="494"/>
      <c r="L31" s="495"/>
      <c r="M31" s="496"/>
      <c r="N31" s="497"/>
      <c r="O31" s="498"/>
      <c r="P31" s="499"/>
      <c r="Q31" s="539">
        <v>45841</v>
      </c>
      <c r="R31" s="148">
        <f t="shared" si="0"/>
        <v>1</v>
      </c>
      <c r="S31" s="200" t="s">
        <v>720</v>
      </c>
      <c r="T31" s="535"/>
    </row>
    <row r="32" spans="1:20" ht="57.6" x14ac:dyDescent="0.3">
      <c r="A32" s="98">
        <v>29</v>
      </c>
      <c r="B32" s="536" t="s">
        <v>301</v>
      </c>
      <c r="C32" s="546">
        <v>45841</v>
      </c>
      <c r="D32" s="369">
        <v>101014848</v>
      </c>
      <c r="E32" s="270" t="s">
        <v>3701</v>
      </c>
      <c r="F32" s="200" t="s">
        <v>3</v>
      </c>
      <c r="G32" s="221" t="s">
        <v>6</v>
      </c>
      <c r="H32" s="493">
        <v>45841</v>
      </c>
      <c r="I32" s="25">
        <v>10000286950</v>
      </c>
      <c r="J32" s="100" t="s">
        <v>82</v>
      </c>
      <c r="K32" s="494"/>
      <c r="L32" s="495"/>
      <c r="M32" s="496"/>
      <c r="N32" s="497"/>
      <c r="O32" s="498"/>
      <c r="P32" s="499"/>
      <c r="Q32" s="539">
        <v>45852</v>
      </c>
      <c r="R32" s="148">
        <f t="shared" si="0"/>
        <v>1.0002399598612595</v>
      </c>
      <c r="S32" s="200" t="s">
        <v>1860</v>
      </c>
      <c r="T32" s="535"/>
    </row>
    <row r="33" spans="1:20" ht="43.2" x14ac:dyDescent="0.3">
      <c r="A33" s="98">
        <v>30</v>
      </c>
      <c r="B33" s="536">
        <v>1550</v>
      </c>
      <c r="C33" s="546">
        <v>45841</v>
      </c>
      <c r="D33" s="369">
        <v>97837547</v>
      </c>
      <c r="E33" s="270" t="s">
        <v>3702</v>
      </c>
      <c r="F33" s="200" t="s">
        <v>33</v>
      </c>
      <c r="G33" s="221" t="s">
        <v>6</v>
      </c>
      <c r="H33" s="493">
        <v>45841</v>
      </c>
      <c r="I33" s="25"/>
      <c r="J33" s="727" t="s">
        <v>99</v>
      </c>
      <c r="K33" s="494"/>
      <c r="L33" s="495"/>
      <c r="M33" s="496"/>
      <c r="N33" s="497"/>
      <c r="O33" s="498"/>
      <c r="P33" s="499"/>
      <c r="Q33" s="539">
        <v>45853</v>
      </c>
      <c r="R33" s="148">
        <f t="shared" si="0"/>
        <v>1.0002617743941014</v>
      </c>
      <c r="S33" s="200" t="s">
        <v>1934</v>
      </c>
      <c r="T33" s="315"/>
    </row>
    <row r="34" spans="1:20" ht="43.2" x14ac:dyDescent="0.3">
      <c r="A34" s="98">
        <v>31</v>
      </c>
      <c r="B34" s="536">
        <v>1550</v>
      </c>
      <c r="C34" s="546">
        <v>45841</v>
      </c>
      <c r="D34" s="369"/>
      <c r="E34" s="270" t="s">
        <v>3703</v>
      </c>
      <c r="F34" s="200" t="s">
        <v>21</v>
      </c>
      <c r="G34" s="221" t="s">
        <v>8</v>
      </c>
      <c r="H34" s="493">
        <v>45841</v>
      </c>
      <c r="I34" s="25"/>
      <c r="J34" s="100" t="s">
        <v>2367</v>
      </c>
      <c r="K34" s="494"/>
      <c r="L34" s="495"/>
      <c r="M34" s="496"/>
      <c r="N34" s="497"/>
      <c r="O34" s="498"/>
      <c r="P34" s="499"/>
      <c r="Q34" s="539">
        <v>45842</v>
      </c>
      <c r="R34" s="148">
        <f t="shared" si="0"/>
        <v>1.0000218145328417</v>
      </c>
      <c r="S34" s="200" t="s">
        <v>270</v>
      </c>
      <c r="T34" s="315"/>
    </row>
    <row r="35" spans="1:20" ht="28.8" x14ac:dyDescent="0.3">
      <c r="A35" s="98">
        <v>32</v>
      </c>
      <c r="B35" s="536">
        <v>1550</v>
      </c>
      <c r="C35" s="546">
        <v>45841</v>
      </c>
      <c r="D35" s="369">
        <v>107540193</v>
      </c>
      <c r="E35" s="270" t="s">
        <v>3704</v>
      </c>
      <c r="F35" s="200" t="s">
        <v>1</v>
      </c>
      <c r="G35" s="221" t="s">
        <v>4</v>
      </c>
      <c r="H35" s="493">
        <v>45841</v>
      </c>
      <c r="I35" s="25"/>
      <c r="J35" s="100" t="s">
        <v>2367</v>
      </c>
      <c r="K35" s="494"/>
      <c r="L35" s="495"/>
      <c r="M35" s="496"/>
      <c r="N35" s="497"/>
      <c r="O35" s="498"/>
      <c r="P35" s="499"/>
      <c r="Q35" s="539">
        <v>45841</v>
      </c>
      <c r="R35" s="148">
        <f t="shared" si="0"/>
        <v>1</v>
      </c>
      <c r="S35" s="200" t="s">
        <v>2979</v>
      </c>
      <c r="T35" s="315"/>
    </row>
    <row r="36" spans="1:20" ht="43.2" x14ac:dyDescent="0.3">
      <c r="A36" s="98">
        <v>33</v>
      </c>
      <c r="B36" s="536" t="s">
        <v>1044</v>
      </c>
      <c r="C36" s="546">
        <v>45841</v>
      </c>
      <c r="D36" s="369">
        <v>2342855</v>
      </c>
      <c r="E36" s="270" t="s">
        <v>3705</v>
      </c>
      <c r="F36" s="200" t="s">
        <v>38</v>
      </c>
      <c r="G36" s="221" t="s">
        <v>6</v>
      </c>
      <c r="H36" s="493">
        <v>45841</v>
      </c>
      <c r="I36" s="25"/>
      <c r="J36" s="727" t="s">
        <v>253</v>
      </c>
      <c r="K36" s="494"/>
      <c r="L36" s="495"/>
      <c r="M36" s="496"/>
      <c r="N36" s="497"/>
      <c r="O36" s="498"/>
      <c r="P36" s="499"/>
      <c r="Q36" s="539">
        <v>45842</v>
      </c>
      <c r="R36" s="148">
        <f t="shared" si="0"/>
        <v>1.0000218145328417</v>
      </c>
      <c r="S36" s="200" t="s">
        <v>2597</v>
      </c>
      <c r="T36" s="315"/>
    </row>
    <row r="37" spans="1:20" ht="43.2" x14ac:dyDescent="0.3">
      <c r="A37" s="98">
        <v>34</v>
      </c>
      <c r="B37" s="536" t="s">
        <v>301</v>
      </c>
      <c r="C37" s="546">
        <v>45841</v>
      </c>
      <c r="D37" s="369">
        <v>107186349</v>
      </c>
      <c r="E37" s="270" t="s">
        <v>3706</v>
      </c>
      <c r="F37" s="384" t="s">
        <v>49</v>
      </c>
      <c r="G37" s="221" t="s">
        <v>6</v>
      </c>
      <c r="H37" s="493">
        <v>45841</v>
      </c>
      <c r="I37" s="25"/>
      <c r="J37" s="100" t="s">
        <v>266</v>
      </c>
      <c r="K37" s="494"/>
      <c r="L37" s="495"/>
      <c r="M37" s="496"/>
      <c r="N37" s="497"/>
      <c r="O37" s="498"/>
      <c r="P37" s="499"/>
      <c r="Q37" s="539">
        <v>45841</v>
      </c>
      <c r="R37" s="148">
        <f t="shared" si="0"/>
        <v>1</v>
      </c>
      <c r="S37" s="200" t="s">
        <v>1312</v>
      </c>
      <c r="T37" s="315"/>
    </row>
    <row r="38" spans="1:20" ht="57.6" x14ac:dyDescent="0.3">
      <c r="A38" s="98">
        <v>35</v>
      </c>
      <c r="B38" s="536" t="s">
        <v>1044</v>
      </c>
      <c r="C38" s="546">
        <v>45842</v>
      </c>
      <c r="D38" s="369">
        <v>9510893</v>
      </c>
      <c r="E38" s="308" t="s">
        <v>3707</v>
      </c>
      <c r="F38" s="200" t="s">
        <v>39</v>
      </c>
      <c r="G38" s="221" t="s">
        <v>4</v>
      </c>
      <c r="H38" s="493">
        <v>45842</v>
      </c>
      <c r="I38" s="25"/>
      <c r="J38" s="100" t="s">
        <v>22</v>
      </c>
      <c r="K38" s="494"/>
      <c r="L38" s="495"/>
      <c r="M38" s="496"/>
      <c r="N38" s="497"/>
      <c r="O38" s="498"/>
      <c r="P38" s="499"/>
      <c r="Q38" s="539">
        <v>45846</v>
      </c>
      <c r="R38" s="148">
        <f t="shared" si="0"/>
        <v>1.0000872562279133</v>
      </c>
      <c r="S38" s="200" t="s">
        <v>4</v>
      </c>
      <c r="T38" s="315"/>
    </row>
    <row r="39" spans="1:20" ht="43.2" x14ac:dyDescent="0.3">
      <c r="A39" s="98">
        <v>36</v>
      </c>
      <c r="B39" s="506" t="s">
        <v>301</v>
      </c>
      <c r="C39" s="546">
        <v>45842</v>
      </c>
      <c r="D39" s="369">
        <v>82278229</v>
      </c>
      <c r="E39" s="308" t="s">
        <v>3708</v>
      </c>
      <c r="F39" s="200" t="s">
        <v>59</v>
      </c>
      <c r="G39" s="221" t="s">
        <v>4</v>
      </c>
      <c r="H39" s="493">
        <v>45842</v>
      </c>
      <c r="I39" s="25"/>
      <c r="J39" s="100" t="s">
        <v>3709</v>
      </c>
      <c r="K39" s="494"/>
      <c r="L39" s="495"/>
      <c r="M39" s="496"/>
      <c r="N39" s="497"/>
      <c r="O39" s="498"/>
      <c r="P39" s="499"/>
      <c r="Q39" s="539">
        <v>45845</v>
      </c>
      <c r="R39" s="148">
        <f t="shared" si="0"/>
        <v>1.000065442170935</v>
      </c>
      <c r="S39" s="200" t="s">
        <v>720</v>
      </c>
      <c r="T39" s="315"/>
    </row>
    <row r="40" spans="1:20" ht="72" x14ac:dyDescent="0.3">
      <c r="A40" s="98">
        <v>37</v>
      </c>
      <c r="B40" s="536" t="s">
        <v>1044</v>
      </c>
      <c r="C40" s="546">
        <v>45842</v>
      </c>
      <c r="D40" s="82">
        <v>2551179</v>
      </c>
      <c r="E40" s="270" t="s">
        <v>3710</v>
      </c>
      <c r="F40" s="384" t="s">
        <v>38</v>
      </c>
      <c r="G40" s="221" t="s">
        <v>6</v>
      </c>
      <c r="H40" s="493">
        <v>45842</v>
      </c>
      <c r="I40" s="25"/>
      <c r="J40" s="727" t="s">
        <v>253</v>
      </c>
      <c r="K40" s="494"/>
      <c r="L40" s="495"/>
      <c r="M40" s="496"/>
      <c r="N40" s="497"/>
      <c r="O40" s="498"/>
      <c r="P40" s="499"/>
      <c r="Q40" s="539">
        <v>45842</v>
      </c>
      <c r="R40" s="148">
        <f t="shared" si="0"/>
        <v>1</v>
      </c>
      <c r="S40" s="101" t="s">
        <v>2597</v>
      </c>
      <c r="T40" s="69"/>
    </row>
    <row r="41" spans="1:20" ht="43.2" x14ac:dyDescent="0.3">
      <c r="A41" s="98">
        <v>38</v>
      </c>
      <c r="B41" s="506">
        <v>1550</v>
      </c>
      <c r="C41" s="492">
        <v>45842</v>
      </c>
      <c r="D41" s="369">
        <v>90966724</v>
      </c>
      <c r="E41" s="271" t="s">
        <v>3711</v>
      </c>
      <c r="F41" s="344" t="s">
        <v>33</v>
      </c>
      <c r="G41" s="221" t="s">
        <v>6</v>
      </c>
      <c r="H41" s="493">
        <v>45842</v>
      </c>
      <c r="I41" s="25"/>
      <c r="J41" s="727" t="s">
        <v>99</v>
      </c>
      <c r="K41" s="494"/>
      <c r="L41" s="495"/>
      <c r="M41" s="496"/>
      <c r="N41" s="497"/>
      <c r="O41" s="498"/>
      <c r="P41" s="499"/>
      <c r="Q41" s="500">
        <v>45853</v>
      </c>
      <c r="R41" s="148">
        <f t="shared" si="0"/>
        <v>1.0002399546267615</v>
      </c>
      <c r="S41" s="101" t="s">
        <v>2808</v>
      </c>
      <c r="T41" s="69"/>
    </row>
    <row r="42" spans="1:20" ht="100.8" x14ac:dyDescent="0.3">
      <c r="A42" s="98">
        <v>39</v>
      </c>
      <c r="B42" s="506">
        <v>1550</v>
      </c>
      <c r="C42" s="492">
        <v>45842</v>
      </c>
      <c r="D42" s="369">
        <v>25661159</v>
      </c>
      <c r="E42" s="271" t="s">
        <v>3712</v>
      </c>
      <c r="F42" s="200" t="s">
        <v>49</v>
      </c>
      <c r="G42" s="221" t="s">
        <v>6</v>
      </c>
      <c r="H42" s="493">
        <v>45842</v>
      </c>
      <c r="I42" s="25"/>
      <c r="J42" s="732" t="s">
        <v>253</v>
      </c>
      <c r="K42" s="494"/>
      <c r="L42" s="495"/>
      <c r="M42" s="496"/>
      <c r="N42" s="497"/>
      <c r="O42" s="498"/>
      <c r="P42" s="499"/>
      <c r="Q42" s="539">
        <v>45845</v>
      </c>
      <c r="R42" s="148">
        <f t="shared" si="0"/>
        <v>1.000065442170935</v>
      </c>
      <c r="S42" s="101" t="s">
        <v>1927</v>
      </c>
      <c r="T42" s="69"/>
    </row>
    <row r="43" spans="1:20" ht="57.6" x14ac:dyDescent="0.3">
      <c r="A43" s="98">
        <v>40</v>
      </c>
      <c r="B43" s="536">
        <v>1550</v>
      </c>
      <c r="C43" s="546">
        <v>45842</v>
      </c>
      <c r="D43" s="369">
        <v>104827734</v>
      </c>
      <c r="E43" s="270" t="s">
        <v>3713</v>
      </c>
      <c r="F43" s="384" t="s">
        <v>33</v>
      </c>
      <c r="G43" s="221" t="s">
        <v>4</v>
      </c>
      <c r="H43" s="493">
        <v>45842</v>
      </c>
      <c r="I43" s="25"/>
      <c r="J43" s="727" t="s">
        <v>99</v>
      </c>
      <c r="K43" s="494"/>
      <c r="L43" s="495"/>
      <c r="M43" s="496"/>
      <c r="N43" s="497"/>
      <c r="O43" s="498"/>
      <c r="P43" s="499"/>
      <c r="Q43" s="539">
        <v>45854</v>
      </c>
      <c r="R43" s="148">
        <f t="shared" si="0"/>
        <v>1.0002617686837398</v>
      </c>
      <c r="S43" s="101" t="s">
        <v>3020</v>
      </c>
      <c r="T43" s="69"/>
    </row>
    <row r="44" spans="1:20" ht="72" x14ac:dyDescent="0.3">
      <c r="A44" s="98">
        <v>41</v>
      </c>
      <c r="B44" s="536" t="s">
        <v>1044</v>
      </c>
      <c r="C44" s="546">
        <v>45842</v>
      </c>
      <c r="D44" s="369">
        <v>109088204</v>
      </c>
      <c r="E44" s="270" t="s">
        <v>3714</v>
      </c>
      <c r="F44" s="384" t="s">
        <v>48</v>
      </c>
      <c r="G44" s="221" t="s">
        <v>6</v>
      </c>
      <c r="H44" s="493">
        <v>45842</v>
      </c>
      <c r="I44" s="25"/>
      <c r="J44" s="727" t="s">
        <v>99</v>
      </c>
      <c r="K44" s="494"/>
      <c r="L44" s="495"/>
      <c r="M44" s="496"/>
      <c r="N44" s="497"/>
      <c r="O44" s="498"/>
      <c r="P44" s="499"/>
      <c r="Q44" s="539">
        <v>45859</v>
      </c>
      <c r="R44" s="148">
        <f t="shared" si="0"/>
        <v>1.0003708389686314</v>
      </c>
      <c r="S44" s="101" t="s">
        <v>2597</v>
      </c>
      <c r="T44" s="69" t="s">
        <v>3715</v>
      </c>
    </row>
    <row r="45" spans="1:20" ht="28.8" x14ac:dyDescent="0.3">
      <c r="A45" s="98">
        <v>42</v>
      </c>
      <c r="B45" s="536">
        <v>1550</v>
      </c>
      <c r="C45" s="546">
        <v>45842</v>
      </c>
      <c r="D45" s="369">
        <v>94181616</v>
      </c>
      <c r="E45" s="261" t="s">
        <v>3716</v>
      </c>
      <c r="F45" s="101" t="s">
        <v>43</v>
      </c>
      <c r="G45" s="221" t="s">
        <v>4</v>
      </c>
      <c r="H45" s="493">
        <v>45842</v>
      </c>
      <c r="I45" s="25"/>
      <c r="J45" s="100" t="s">
        <v>2513</v>
      </c>
      <c r="K45" s="494" t="s">
        <v>262</v>
      </c>
      <c r="L45" s="495"/>
      <c r="M45" s="496"/>
      <c r="N45" s="497"/>
      <c r="O45" s="498"/>
      <c r="P45" s="499"/>
      <c r="Q45" s="539">
        <v>45854</v>
      </c>
      <c r="R45" s="148">
        <f t="shared" si="0"/>
        <v>1.0002617686837398</v>
      </c>
      <c r="S45" s="101" t="s">
        <v>4</v>
      </c>
      <c r="T45" s="69"/>
    </row>
    <row r="46" spans="1:20" ht="43.2" x14ac:dyDescent="0.3">
      <c r="A46" s="98">
        <v>43</v>
      </c>
      <c r="B46" s="536">
        <v>1550</v>
      </c>
      <c r="C46" s="546">
        <v>45842</v>
      </c>
      <c r="D46" s="369">
        <v>385675836</v>
      </c>
      <c r="E46" s="262" t="s">
        <v>3717</v>
      </c>
      <c r="F46" s="101" t="s">
        <v>46</v>
      </c>
      <c r="G46" s="221" t="s">
        <v>8</v>
      </c>
      <c r="H46" s="493">
        <v>45842</v>
      </c>
      <c r="I46" s="25"/>
      <c r="J46" s="732" t="s">
        <v>159</v>
      </c>
      <c r="K46" s="494"/>
      <c r="L46" s="495"/>
      <c r="M46" s="496"/>
      <c r="N46" s="497"/>
      <c r="O46" s="498"/>
      <c r="P46" s="499"/>
      <c r="Q46" s="539">
        <v>45845</v>
      </c>
      <c r="R46" s="148">
        <f t="shared" si="0"/>
        <v>1.000065442170935</v>
      </c>
      <c r="S46" s="101" t="s">
        <v>1677</v>
      </c>
      <c r="T46" s="69"/>
    </row>
    <row r="47" spans="1:20" ht="28.8" x14ac:dyDescent="0.3">
      <c r="A47" s="98">
        <v>44</v>
      </c>
      <c r="B47" s="536">
        <v>1550</v>
      </c>
      <c r="C47" s="546">
        <v>45842</v>
      </c>
      <c r="D47" s="369">
        <v>73206423</v>
      </c>
      <c r="E47" s="262" t="s">
        <v>3718</v>
      </c>
      <c r="F47" s="101" t="s">
        <v>7</v>
      </c>
      <c r="G47" s="221" t="s">
        <v>4</v>
      </c>
      <c r="H47" s="493">
        <v>45842</v>
      </c>
      <c r="I47" s="25"/>
      <c r="J47" s="100" t="s">
        <v>2367</v>
      </c>
      <c r="K47" s="494" t="s">
        <v>262</v>
      </c>
      <c r="L47" s="495"/>
      <c r="M47" s="496"/>
      <c r="N47" s="497"/>
      <c r="O47" s="498"/>
      <c r="P47" s="499"/>
      <c r="Q47" s="539">
        <v>45845</v>
      </c>
      <c r="R47" s="148">
        <f t="shared" si="0"/>
        <v>1.000065442170935</v>
      </c>
      <c r="S47" s="101" t="s">
        <v>4</v>
      </c>
      <c r="T47" s="69"/>
    </row>
    <row r="48" spans="1:20" ht="43.2" x14ac:dyDescent="0.3">
      <c r="A48" s="98">
        <v>45</v>
      </c>
      <c r="B48" s="536">
        <v>1550</v>
      </c>
      <c r="C48" s="546">
        <v>45842</v>
      </c>
      <c r="D48" s="369">
        <v>46132007</v>
      </c>
      <c r="E48" s="262" t="s">
        <v>3719</v>
      </c>
      <c r="F48" s="101" t="s">
        <v>33</v>
      </c>
      <c r="G48" s="221" t="s">
        <v>4</v>
      </c>
      <c r="H48" s="493">
        <v>45842</v>
      </c>
      <c r="I48" s="25"/>
      <c r="J48" s="727" t="s">
        <v>99</v>
      </c>
      <c r="K48" s="494"/>
      <c r="L48" s="495"/>
      <c r="M48" s="496"/>
      <c r="N48" s="497"/>
      <c r="O48" s="498"/>
      <c r="P48" s="499"/>
      <c r="Q48" s="501">
        <v>45853</v>
      </c>
      <c r="R48" s="148">
        <f t="shared" si="0"/>
        <v>1.0002399546267615</v>
      </c>
      <c r="S48" s="101" t="s">
        <v>2979</v>
      </c>
      <c r="T48" s="69"/>
    </row>
    <row r="49" spans="1:20" ht="28.8" x14ac:dyDescent="0.3">
      <c r="A49" s="98">
        <v>46</v>
      </c>
      <c r="B49" s="506">
        <v>1550</v>
      </c>
      <c r="C49" s="492">
        <v>45845</v>
      </c>
      <c r="D49" s="369">
        <v>355087332</v>
      </c>
      <c r="E49" s="262" t="s">
        <v>3720</v>
      </c>
      <c r="F49" s="101" t="s">
        <v>23</v>
      </c>
      <c r="G49" s="221" t="s">
        <v>8</v>
      </c>
      <c r="H49" s="493">
        <v>45845</v>
      </c>
      <c r="I49" s="25"/>
      <c r="J49" s="100" t="s">
        <v>135</v>
      </c>
      <c r="K49" s="494"/>
      <c r="L49" s="495"/>
      <c r="M49" s="496"/>
      <c r="N49" s="497"/>
      <c r="O49" s="498"/>
      <c r="P49" s="499"/>
      <c r="Q49" s="539">
        <v>45846</v>
      </c>
      <c r="R49" s="148">
        <f t="shared" si="0"/>
        <v>1.0000218126295124</v>
      </c>
      <c r="S49" s="101" t="s">
        <v>528</v>
      </c>
      <c r="T49" s="69"/>
    </row>
    <row r="50" spans="1:20" ht="43.2" x14ac:dyDescent="0.3">
      <c r="A50" s="98">
        <v>47</v>
      </c>
      <c r="B50" s="506">
        <v>1550</v>
      </c>
      <c r="C50" s="492">
        <v>45845</v>
      </c>
      <c r="D50" s="369">
        <v>41447328</v>
      </c>
      <c r="E50" s="262" t="s">
        <v>3721</v>
      </c>
      <c r="F50" s="101" t="s">
        <v>33</v>
      </c>
      <c r="G50" s="221" t="s">
        <v>4</v>
      </c>
      <c r="H50" s="493">
        <v>45845</v>
      </c>
      <c r="I50" s="25"/>
      <c r="J50" s="727" t="s">
        <v>99</v>
      </c>
      <c r="K50" s="494"/>
      <c r="L50" s="495"/>
      <c r="M50" s="496"/>
      <c r="N50" s="497"/>
      <c r="O50" s="498"/>
      <c r="P50" s="499"/>
      <c r="Q50" s="501">
        <v>45853</v>
      </c>
      <c r="R50" s="148">
        <f t="shared" si="0"/>
        <v>1.0001745010360998</v>
      </c>
      <c r="S50" s="101" t="s">
        <v>3020</v>
      </c>
      <c r="T50" s="69"/>
    </row>
    <row r="51" spans="1:20" ht="28.8" x14ac:dyDescent="0.3">
      <c r="A51" s="98">
        <v>48</v>
      </c>
      <c r="B51" s="491">
        <v>1550</v>
      </c>
      <c r="C51" s="492">
        <v>45845</v>
      </c>
      <c r="D51" s="369">
        <v>120566664</v>
      </c>
      <c r="E51" s="262" t="s">
        <v>3722</v>
      </c>
      <c r="F51" s="101" t="s">
        <v>21</v>
      </c>
      <c r="G51" s="221" t="s">
        <v>8</v>
      </c>
      <c r="H51" s="493">
        <v>45845</v>
      </c>
      <c r="I51" s="25"/>
      <c r="J51" s="100" t="s">
        <v>2306</v>
      </c>
      <c r="K51" s="494"/>
      <c r="L51" s="495"/>
      <c r="M51" s="496"/>
      <c r="N51" s="497"/>
      <c r="O51" s="498"/>
      <c r="P51" s="499"/>
      <c r="Q51" s="539">
        <v>45848</v>
      </c>
      <c r="R51" s="148">
        <f t="shared" si="0"/>
        <v>1.0000654378885374</v>
      </c>
      <c r="S51" s="101" t="s">
        <v>151</v>
      </c>
      <c r="T51" s="167"/>
    </row>
    <row r="52" spans="1:20" ht="28.8" x14ac:dyDescent="0.3">
      <c r="A52" s="98">
        <v>49</v>
      </c>
      <c r="B52" s="491">
        <v>1550</v>
      </c>
      <c r="C52" s="492">
        <v>45845</v>
      </c>
      <c r="D52" s="369">
        <v>110011740</v>
      </c>
      <c r="E52" s="262" t="s">
        <v>3723</v>
      </c>
      <c r="F52" s="101" t="s">
        <v>1</v>
      </c>
      <c r="G52" s="221" t="s">
        <v>8</v>
      </c>
      <c r="H52" s="493">
        <v>45845</v>
      </c>
      <c r="I52" s="25"/>
      <c r="J52" s="100" t="s">
        <v>3724</v>
      </c>
      <c r="K52" s="494"/>
      <c r="L52" s="495"/>
      <c r="M52" s="496"/>
      <c r="N52" s="497"/>
      <c r="O52" s="498"/>
      <c r="P52" s="499"/>
      <c r="Q52" s="539">
        <v>45845</v>
      </c>
      <c r="R52" s="148">
        <f t="shared" si="0"/>
        <v>1</v>
      </c>
      <c r="S52" s="101" t="s">
        <v>151</v>
      </c>
      <c r="T52" s="69"/>
    </row>
    <row r="53" spans="1:20" ht="28.8" x14ac:dyDescent="0.3">
      <c r="A53" s="98">
        <v>50</v>
      </c>
      <c r="B53" s="491">
        <v>1550</v>
      </c>
      <c r="C53" s="492">
        <v>45845</v>
      </c>
      <c r="D53" s="369">
        <v>2360837</v>
      </c>
      <c r="E53" s="270" t="s">
        <v>3725</v>
      </c>
      <c r="F53" s="101" t="s">
        <v>1</v>
      </c>
      <c r="G53" s="221" t="s">
        <v>4</v>
      </c>
      <c r="H53" s="493">
        <v>45845</v>
      </c>
      <c r="I53" s="25"/>
      <c r="J53" s="100" t="s">
        <v>2513</v>
      </c>
      <c r="K53" s="494"/>
      <c r="L53" s="495"/>
      <c r="M53" s="496"/>
      <c r="N53" s="497"/>
      <c r="O53" s="498"/>
      <c r="P53" s="499"/>
      <c r="Q53" s="501">
        <v>45849</v>
      </c>
      <c r="R53" s="148">
        <f t="shared" si="0"/>
        <v>1.00008725051805</v>
      </c>
      <c r="S53" s="101" t="s">
        <v>3726</v>
      </c>
      <c r="T53" s="69"/>
    </row>
    <row r="54" spans="1:20" ht="43.2" x14ac:dyDescent="0.3">
      <c r="A54" s="98">
        <v>51</v>
      </c>
      <c r="B54" s="491" t="s">
        <v>301</v>
      </c>
      <c r="C54" s="492">
        <v>45845</v>
      </c>
      <c r="D54" s="369">
        <v>93036124</v>
      </c>
      <c r="E54" s="270" t="s">
        <v>3727</v>
      </c>
      <c r="F54" s="101" t="s">
        <v>49</v>
      </c>
      <c r="G54" s="221" t="s">
        <v>6</v>
      </c>
      <c r="H54" s="493">
        <v>45845</v>
      </c>
      <c r="I54" s="25"/>
      <c r="J54" s="732" t="s">
        <v>253</v>
      </c>
      <c r="K54" s="494"/>
      <c r="L54" s="495"/>
      <c r="M54" s="496"/>
      <c r="N54" s="497"/>
      <c r="O54" s="498"/>
      <c r="P54" s="499"/>
      <c r="Q54" s="501">
        <v>45861</v>
      </c>
      <c r="R54" s="148">
        <f t="shared" si="0"/>
        <v>1.0003490020721999</v>
      </c>
      <c r="S54" s="101" t="s">
        <v>1860</v>
      </c>
      <c r="T54" s="69"/>
    </row>
    <row r="55" spans="1:20" ht="43.2" x14ac:dyDescent="0.3">
      <c r="A55" s="98">
        <v>52</v>
      </c>
      <c r="B55" s="506" t="s">
        <v>301</v>
      </c>
      <c r="C55" s="492">
        <v>45845</v>
      </c>
      <c r="D55" s="369">
        <v>94706093</v>
      </c>
      <c r="E55" s="264" t="s">
        <v>3721</v>
      </c>
      <c r="F55" s="385" t="s">
        <v>33</v>
      </c>
      <c r="G55" s="221" t="s">
        <v>4</v>
      </c>
      <c r="H55" s="493">
        <v>45845</v>
      </c>
      <c r="I55" s="25"/>
      <c r="J55" s="727" t="s">
        <v>99</v>
      </c>
      <c r="K55" s="494"/>
      <c r="L55" s="495"/>
      <c r="M55" s="496"/>
      <c r="N55" s="497"/>
      <c r="O55" s="498"/>
      <c r="P55" s="499"/>
      <c r="Q55" s="539">
        <v>45853</v>
      </c>
      <c r="R55" s="148">
        <f t="shared" si="0"/>
        <v>1.0001745010360998</v>
      </c>
      <c r="S55" s="101" t="s">
        <v>720</v>
      </c>
      <c r="T55" s="69"/>
    </row>
    <row r="56" spans="1:20" ht="43.2" x14ac:dyDescent="0.3">
      <c r="A56" s="98">
        <v>53</v>
      </c>
      <c r="B56" s="506">
        <v>1550</v>
      </c>
      <c r="C56" s="492">
        <v>45845</v>
      </c>
      <c r="D56" s="369">
        <v>117603945</v>
      </c>
      <c r="E56" s="270" t="s">
        <v>3728</v>
      </c>
      <c r="F56" s="101" t="s">
        <v>1</v>
      </c>
      <c r="G56" s="221" t="s">
        <v>4</v>
      </c>
      <c r="H56" s="493">
        <v>45845</v>
      </c>
      <c r="I56" s="25"/>
      <c r="J56" s="727" t="s">
        <v>99</v>
      </c>
      <c r="K56" s="494"/>
      <c r="L56" s="495"/>
      <c r="M56" s="496"/>
      <c r="N56" s="497"/>
      <c r="O56" s="498"/>
      <c r="P56" s="499"/>
      <c r="Q56" s="501">
        <v>45854</v>
      </c>
      <c r="R56" s="148">
        <f t="shared" si="0"/>
        <v>1.0001963136656125</v>
      </c>
      <c r="S56" s="101" t="s">
        <v>2979</v>
      </c>
      <c r="T56" s="69" t="s">
        <v>3729</v>
      </c>
    </row>
    <row r="57" spans="1:20" ht="86.4" x14ac:dyDescent="0.3">
      <c r="A57" s="98">
        <v>54</v>
      </c>
      <c r="B57" s="506" t="s">
        <v>1044</v>
      </c>
      <c r="C57" s="492">
        <v>45845</v>
      </c>
      <c r="D57" s="369">
        <v>2529874</v>
      </c>
      <c r="E57" s="270" t="s">
        <v>3730</v>
      </c>
      <c r="F57" s="101" t="s">
        <v>38</v>
      </c>
      <c r="G57" s="221" t="s">
        <v>6</v>
      </c>
      <c r="H57" s="493">
        <v>45845</v>
      </c>
      <c r="I57" s="25"/>
      <c r="J57" s="727" t="s">
        <v>253</v>
      </c>
      <c r="K57" s="494"/>
      <c r="L57" s="495"/>
      <c r="M57" s="496"/>
      <c r="N57" s="497"/>
      <c r="O57" s="498"/>
      <c r="P57" s="499"/>
      <c r="Q57" s="501">
        <v>45860</v>
      </c>
      <c r="R57" s="148">
        <f t="shared" si="0"/>
        <v>1.0003271894426873</v>
      </c>
      <c r="S57" s="101" t="s">
        <v>2597</v>
      </c>
      <c r="T57" s="69"/>
    </row>
    <row r="58" spans="1:20" ht="57.6" x14ac:dyDescent="0.3">
      <c r="A58" s="98">
        <v>55</v>
      </c>
      <c r="B58" s="506" t="s">
        <v>301</v>
      </c>
      <c r="C58" s="492">
        <v>45845</v>
      </c>
      <c r="D58" s="369">
        <v>97363006</v>
      </c>
      <c r="E58" s="270" t="s">
        <v>3731</v>
      </c>
      <c r="F58" s="101" t="s">
        <v>33</v>
      </c>
      <c r="G58" s="221" t="s">
        <v>6</v>
      </c>
      <c r="H58" s="493">
        <v>45845</v>
      </c>
      <c r="I58" s="25"/>
      <c r="J58" s="727" t="s">
        <v>99</v>
      </c>
      <c r="K58" s="494"/>
      <c r="L58" s="495"/>
      <c r="M58" s="496"/>
      <c r="N58" s="497"/>
      <c r="O58" s="498"/>
      <c r="P58" s="499"/>
      <c r="Q58" s="500">
        <v>45845</v>
      </c>
      <c r="R58" s="148">
        <f t="shared" si="0"/>
        <v>1</v>
      </c>
      <c r="S58" s="101" t="s">
        <v>2808</v>
      </c>
      <c r="T58" s="69"/>
    </row>
    <row r="59" spans="1:20" ht="115.2" x14ac:dyDescent="0.3">
      <c r="A59" s="98">
        <v>56</v>
      </c>
      <c r="B59" s="506">
        <v>1550</v>
      </c>
      <c r="C59" s="492">
        <v>45845</v>
      </c>
      <c r="D59" s="369">
        <v>59265647</v>
      </c>
      <c r="E59" s="270" t="s">
        <v>3732</v>
      </c>
      <c r="F59" s="101" t="s">
        <v>14</v>
      </c>
      <c r="G59" s="221" t="s">
        <v>6</v>
      </c>
      <c r="H59" s="493">
        <v>45845</v>
      </c>
      <c r="I59" s="25"/>
      <c r="J59" s="727" t="s">
        <v>253</v>
      </c>
      <c r="K59" s="494"/>
      <c r="L59" s="495"/>
      <c r="M59" s="496"/>
      <c r="N59" s="497"/>
      <c r="O59" s="498"/>
      <c r="P59" s="499"/>
      <c r="Q59" s="500">
        <v>45854</v>
      </c>
      <c r="R59" s="148">
        <f t="shared" si="0"/>
        <v>1.0001963136656125</v>
      </c>
      <c r="S59" s="101" t="s">
        <v>3468</v>
      </c>
      <c r="T59" s="69"/>
    </row>
    <row r="60" spans="1:20" ht="28.8" x14ac:dyDescent="0.3">
      <c r="A60" s="98">
        <v>57</v>
      </c>
      <c r="B60" s="506">
        <v>1550</v>
      </c>
      <c r="C60" s="492">
        <v>45845</v>
      </c>
      <c r="D60" s="369">
        <v>120490870</v>
      </c>
      <c r="E60" s="261" t="s">
        <v>3733</v>
      </c>
      <c r="F60" s="384" t="s">
        <v>23</v>
      </c>
      <c r="G60" s="221" t="s">
        <v>6</v>
      </c>
      <c r="H60" s="493">
        <v>45845</v>
      </c>
      <c r="I60" s="25"/>
      <c r="J60" s="100" t="s">
        <v>135</v>
      </c>
      <c r="K60" s="494"/>
      <c r="L60" s="495"/>
      <c r="M60" s="496"/>
      <c r="N60" s="497"/>
      <c r="O60" s="498"/>
      <c r="P60" s="499"/>
      <c r="Q60" s="539">
        <v>45845</v>
      </c>
      <c r="R60" s="148">
        <f t="shared" si="0"/>
        <v>1</v>
      </c>
      <c r="S60" s="101" t="s">
        <v>2747</v>
      </c>
      <c r="T60" s="167"/>
    </row>
    <row r="61" spans="1:20" ht="28.8" x14ac:dyDescent="0.3">
      <c r="A61" s="98">
        <v>58</v>
      </c>
      <c r="B61" s="506">
        <v>1550</v>
      </c>
      <c r="C61" s="492">
        <v>45845</v>
      </c>
      <c r="D61" s="369">
        <v>120250519</v>
      </c>
      <c r="E61" s="262" t="s">
        <v>3734</v>
      </c>
      <c r="F61" s="101" t="s">
        <v>23</v>
      </c>
      <c r="G61" s="221" t="s">
        <v>6</v>
      </c>
      <c r="H61" s="493">
        <v>45845</v>
      </c>
      <c r="I61" s="25"/>
      <c r="J61" s="100" t="s">
        <v>135</v>
      </c>
      <c r="K61" s="494"/>
      <c r="L61" s="495"/>
      <c r="M61" s="496"/>
      <c r="N61" s="497"/>
      <c r="O61" s="498"/>
      <c r="P61" s="499"/>
      <c r="Q61" s="501">
        <v>45845</v>
      </c>
      <c r="R61" s="148">
        <f t="shared" si="0"/>
        <v>1</v>
      </c>
      <c r="S61" s="101" t="s">
        <v>2747</v>
      </c>
      <c r="T61" s="69"/>
    </row>
    <row r="62" spans="1:20" ht="43.2" x14ac:dyDescent="0.3">
      <c r="A62" s="98">
        <v>59</v>
      </c>
      <c r="B62" s="506">
        <v>1550</v>
      </c>
      <c r="C62" s="492">
        <v>45846</v>
      </c>
      <c r="D62" s="369">
        <v>8216371</v>
      </c>
      <c r="E62" s="479" t="s">
        <v>3735</v>
      </c>
      <c r="F62" s="101" t="s">
        <v>49</v>
      </c>
      <c r="G62" s="221" t="s">
        <v>8</v>
      </c>
      <c r="H62" s="493">
        <v>45846</v>
      </c>
      <c r="I62" s="25"/>
      <c r="J62" s="100" t="s">
        <v>266</v>
      </c>
      <c r="K62" s="494"/>
      <c r="L62" s="495"/>
      <c r="M62" s="496"/>
      <c r="N62" s="497"/>
      <c r="O62" s="498"/>
      <c r="P62" s="499"/>
      <c r="Q62" s="501">
        <v>45846</v>
      </c>
      <c r="R62" s="148">
        <f t="shared" si="0"/>
        <v>1</v>
      </c>
      <c r="S62" s="101" t="s">
        <v>3736</v>
      </c>
      <c r="T62" s="69"/>
    </row>
    <row r="63" spans="1:20" ht="28.8" x14ac:dyDescent="0.3">
      <c r="A63" s="98">
        <v>60</v>
      </c>
      <c r="B63" s="506">
        <v>1550</v>
      </c>
      <c r="C63" s="492">
        <v>45846</v>
      </c>
      <c r="D63" s="369">
        <v>88263649</v>
      </c>
      <c r="E63" s="479" t="s">
        <v>3737</v>
      </c>
      <c r="F63" s="386" t="s">
        <v>1</v>
      </c>
      <c r="G63" s="112" t="s">
        <v>4</v>
      </c>
      <c r="H63" s="493">
        <v>45846</v>
      </c>
      <c r="I63" s="341"/>
      <c r="J63" s="100" t="s">
        <v>2432</v>
      </c>
      <c r="K63" s="494"/>
      <c r="L63" s="495"/>
      <c r="M63" s="496"/>
      <c r="N63" s="497"/>
      <c r="O63" s="498"/>
      <c r="P63" s="499"/>
      <c r="Q63" s="501">
        <v>45847</v>
      </c>
      <c r="R63" s="148">
        <f t="shared" si="0"/>
        <v>1.0000218121537321</v>
      </c>
      <c r="S63" s="101" t="s">
        <v>720</v>
      </c>
      <c r="T63" s="201"/>
    </row>
    <row r="64" spans="1:20" ht="43.2" x14ac:dyDescent="0.3">
      <c r="A64" s="98">
        <v>61</v>
      </c>
      <c r="B64" s="506" t="s">
        <v>301</v>
      </c>
      <c r="C64" s="492">
        <v>45846</v>
      </c>
      <c r="D64" s="369">
        <v>72103930</v>
      </c>
      <c r="E64" s="479" t="s">
        <v>3738</v>
      </c>
      <c r="F64" s="101" t="s">
        <v>33</v>
      </c>
      <c r="G64" s="221" t="s">
        <v>6</v>
      </c>
      <c r="H64" s="493">
        <v>45846</v>
      </c>
      <c r="I64" s="25"/>
      <c r="J64" s="727" t="s">
        <v>99</v>
      </c>
      <c r="K64" s="494"/>
      <c r="L64" s="495"/>
      <c r="M64" s="496"/>
      <c r="N64" s="497"/>
      <c r="O64" s="498"/>
      <c r="P64" s="499"/>
      <c r="Q64" s="501">
        <v>45853</v>
      </c>
      <c r="R64" s="148">
        <f t="shared" si="0"/>
        <v>1.0001526850761244</v>
      </c>
      <c r="S64" s="101" t="s">
        <v>1860</v>
      </c>
      <c r="T64" s="69"/>
    </row>
    <row r="65" spans="1:20" ht="43.2" x14ac:dyDescent="0.3">
      <c r="A65" s="98">
        <v>62</v>
      </c>
      <c r="B65" s="506" t="s">
        <v>301</v>
      </c>
      <c r="C65" s="492">
        <v>45846</v>
      </c>
      <c r="D65" s="369">
        <v>85482005</v>
      </c>
      <c r="E65" s="479" t="s">
        <v>3739</v>
      </c>
      <c r="F65" s="101" t="s">
        <v>33</v>
      </c>
      <c r="G65" s="221" t="s">
        <v>6</v>
      </c>
      <c r="H65" s="493">
        <v>45846</v>
      </c>
      <c r="I65" s="341"/>
      <c r="J65" s="727" t="s">
        <v>99</v>
      </c>
      <c r="K65" s="494"/>
      <c r="L65" s="495"/>
      <c r="M65" s="496"/>
      <c r="N65" s="497"/>
      <c r="O65" s="498"/>
      <c r="P65" s="499"/>
      <c r="Q65" s="501">
        <v>45853</v>
      </c>
      <c r="R65" s="148">
        <f t="shared" si="0"/>
        <v>1.0001526850761244</v>
      </c>
      <c r="S65" s="101" t="s">
        <v>1860</v>
      </c>
      <c r="T65" s="69"/>
    </row>
    <row r="66" spans="1:20" ht="72" x14ac:dyDescent="0.3">
      <c r="A66" s="98">
        <v>63</v>
      </c>
      <c r="B66" s="506">
        <v>1550</v>
      </c>
      <c r="C66" s="492">
        <v>45846</v>
      </c>
      <c r="D66" s="369">
        <v>30369509</v>
      </c>
      <c r="E66" s="479" t="s">
        <v>3740</v>
      </c>
      <c r="F66" s="101" t="s">
        <v>3</v>
      </c>
      <c r="G66" s="112" t="s">
        <v>6</v>
      </c>
      <c r="H66" s="493">
        <v>45846</v>
      </c>
      <c r="I66" s="25"/>
      <c r="J66" s="100" t="s">
        <v>3741</v>
      </c>
      <c r="K66" s="494"/>
      <c r="L66" s="495"/>
      <c r="M66" s="496"/>
      <c r="N66" s="497"/>
      <c r="O66" s="498"/>
      <c r="P66" s="499"/>
      <c r="Q66" s="501">
        <v>45848</v>
      </c>
      <c r="R66" s="148">
        <f t="shared" si="0"/>
        <v>1.0000436243074642</v>
      </c>
      <c r="S66" s="101" t="s">
        <v>1893</v>
      </c>
      <c r="T66" s="69"/>
    </row>
    <row r="67" spans="1:20" ht="57.6" x14ac:dyDescent="0.3">
      <c r="A67" s="98">
        <v>64</v>
      </c>
      <c r="B67" s="506" t="s">
        <v>301</v>
      </c>
      <c r="C67" s="492">
        <v>45846</v>
      </c>
      <c r="D67" s="369">
        <v>69242704</v>
      </c>
      <c r="E67" s="479" t="s">
        <v>3742</v>
      </c>
      <c r="F67" s="386" t="s">
        <v>24</v>
      </c>
      <c r="G67" s="112" t="s">
        <v>8</v>
      </c>
      <c r="H67" s="493">
        <v>45846</v>
      </c>
      <c r="I67" s="341"/>
      <c r="J67" s="728" t="s">
        <v>383</v>
      </c>
      <c r="K67" s="494"/>
      <c r="L67" s="495"/>
      <c r="M67" s="496"/>
      <c r="N67" s="497"/>
      <c r="O67" s="498"/>
      <c r="P67" s="499"/>
      <c r="Q67" s="501">
        <v>45846</v>
      </c>
      <c r="R67" s="148">
        <f t="shared" si="0"/>
        <v>1</v>
      </c>
      <c r="S67" s="101" t="s">
        <v>3743</v>
      </c>
      <c r="T67" s="69"/>
    </row>
    <row r="68" spans="1:20" ht="28.8" x14ac:dyDescent="0.3">
      <c r="A68" s="98">
        <v>65</v>
      </c>
      <c r="B68" s="506">
        <v>1550</v>
      </c>
      <c r="C68" s="492">
        <v>45846</v>
      </c>
      <c r="D68" s="369">
        <v>2782197</v>
      </c>
      <c r="E68" s="261" t="s">
        <v>3744</v>
      </c>
      <c r="F68" s="386" t="s">
        <v>1</v>
      </c>
      <c r="G68" s="112" t="s">
        <v>4</v>
      </c>
      <c r="H68" s="493">
        <v>45846</v>
      </c>
      <c r="I68" s="341"/>
      <c r="J68" s="100" t="s">
        <v>2432</v>
      </c>
      <c r="K68" s="494"/>
      <c r="L68" s="495"/>
      <c r="M68" s="496"/>
      <c r="N68" s="497"/>
      <c r="O68" s="498"/>
      <c r="P68" s="499"/>
      <c r="Q68" s="501">
        <v>45846</v>
      </c>
      <c r="R68" s="148">
        <f t="shared" ref="R68:R131" si="1">Q68/H68</f>
        <v>1</v>
      </c>
      <c r="S68" s="101" t="s">
        <v>720</v>
      </c>
      <c r="T68" s="167"/>
    </row>
    <row r="69" spans="1:20" ht="57.6" x14ac:dyDescent="0.3">
      <c r="A69" s="98">
        <v>66</v>
      </c>
      <c r="B69" s="506">
        <v>1550</v>
      </c>
      <c r="C69" s="492">
        <v>45846</v>
      </c>
      <c r="D69" s="369">
        <v>20748256</v>
      </c>
      <c r="E69" s="262" t="s">
        <v>3745</v>
      </c>
      <c r="F69" s="386" t="s">
        <v>24</v>
      </c>
      <c r="G69" s="112" t="s">
        <v>4</v>
      </c>
      <c r="H69" s="493">
        <v>45846</v>
      </c>
      <c r="I69" s="25"/>
      <c r="J69" s="728" t="s">
        <v>383</v>
      </c>
      <c r="K69" s="494"/>
      <c r="L69" s="495"/>
      <c r="M69" s="496"/>
      <c r="N69" s="497"/>
      <c r="O69" s="498"/>
      <c r="P69" s="499"/>
      <c r="Q69" s="493">
        <v>45847</v>
      </c>
      <c r="R69" s="148">
        <f t="shared" si="1"/>
        <v>1.0000218121537321</v>
      </c>
      <c r="S69" s="101" t="s">
        <v>3020</v>
      </c>
      <c r="T69" s="167"/>
    </row>
    <row r="70" spans="1:20" ht="115.2" x14ac:dyDescent="0.3">
      <c r="A70" s="98">
        <v>67</v>
      </c>
      <c r="B70" s="506">
        <v>1550</v>
      </c>
      <c r="C70" s="492">
        <v>45846</v>
      </c>
      <c r="D70" s="369">
        <v>120542927</v>
      </c>
      <c r="E70" s="262" t="s">
        <v>3746</v>
      </c>
      <c r="F70" s="386" t="s">
        <v>3</v>
      </c>
      <c r="G70" s="112" t="s">
        <v>6</v>
      </c>
      <c r="H70" s="493">
        <v>45846</v>
      </c>
      <c r="I70" s="341"/>
      <c r="J70" s="100" t="s">
        <v>2352</v>
      </c>
      <c r="K70" s="494"/>
      <c r="L70" s="495"/>
      <c r="M70" s="496"/>
      <c r="N70" s="497"/>
      <c r="O70" s="498"/>
      <c r="P70" s="499"/>
      <c r="Q70" s="501">
        <v>45856</v>
      </c>
      <c r="R70" s="148">
        <f t="shared" si="1"/>
        <v>1.0002181215373207</v>
      </c>
      <c r="S70" s="101" t="s">
        <v>2597</v>
      </c>
      <c r="T70" s="69"/>
    </row>
    <row r="71" spans="1:20" ht="100.8" x14ac:dyDescent="0.3">
      <c r="A71" s="98">
        <v>68</v>
      </c>
      <c r="B71" s="506">
        <v>1550</v>
      </c>
      <c r="C71" s="492">
        <v>45846</v>
      </c>
      <c r="D71" s="369">
        <v>42481090</v>
      </c>
      <c r="E71" s="262" t="s">
        <v>3747</v>
      </c>
      <c r="F71" s="386" t="s">
        <v>1</v>
      </c>
      <c r="G71" s="112" t="s">
        <v>6</v>
      </c>
      <c r="H71" s="493">
        <v>45846</v>
      </c>
      <c r="I71" s="341"/>
      <c r="J71" s="100" t="s">
        <v>3411</v>
      </c>
      <c r="K71" s="494"/>
      <c r="L71" s="495"/>
      <c r="M71" s="496"/>
      <c r="N71" s="497"/>
      <c r="O71" s="498"/>
      <c r="P71" s="499"/>
      <c r="Q71" s="501">
        <v>45846</v>
      </c>
      <c r="R71" s="148">
        <f t="shared" si="1"/>
        <v>1</v>
      </c>
      <c r="S71" s="101" t="s">
        <v>2747</v>
      </c>
      <c r="T71" s="69"/>
    </row>
    <row r="72" spans="1:20" ht="57.6" x14ac:dyDescent="0.3">
      <c r="A72" s="98">
        <v>69</v>
      </c>
      <c r="B72" s="506">
        <v>1550</v>
      </c>
      <c r="C72" s="492">
        <v>45846</v>
      </c>
      <c r="D72" s="369">
        <v>80397484</v>
      </c>
      <c r="E72" s="479" t="s">
        <v>3742</v>
      </c>
      <c r="F72" s="386" t="s">
        <v>24</v>
      </c>
      <c r="G72" s="112" t="s">
        <v>8</v>
      </c>
      <c r="H72" s="493">
        <v>45846</v>
      </c>
      <c r="I72" s="341"/>
      <c r="J72" s="728" t="s">
        <v>383</v>
      </c>
      <c r="K72" s="494"/>
      <c r="L72" s="495"/>
      <c r="M72" s="496"/>
      <c r="N72" s="497"/>
      <c r="O72" s="498"/>
      <c r="P72" s="499"/>
      <c r="Q72" s="501">
        <v>45848</v>
      </c>
      <c r="R72" s="148">
        <f t="shared" si="1"/>
        <v>1.0000436243074642</v>
      </c>
      <c r="S72" s="101" t="s">
        <v>1677</v>
      </c>
      <c r="T72" s="167"/>
    </row>
    <row r="73" spans="1:20" ht="43.2" x14ac:dyDescent="0.3">
      <c r="A73" s="98">
        <v>70</v>
      </c>
      <c r="B73" s="506">
        <v>1550</v>
      </c>
      <c r="C73" s="492">
        <v>45846</v>
      </c>
      <c r="D73" s="369">
        <v>100773346</v>
      </c>
      <c r="E73" s="479" t="s">
        <v>3748</v>
      </c>
      <c r="F73" s="386" t="s">
        <v>33</v>
      </c>
      <c r="G73" s="112" t="s">
        <v>6</v>
      </c>
      <c r="H73" s="493">
        <v>45846</v>
      </c>
      <c r="I73" s="341"/>
      <c r="J73" s="727" t="s">
        <v>99</v>
      </c>
      <c r="K73" s="494"/>
      <c r="L73" s="495"/>
      <c r="M73" s="496"/>
      <c r="N73" s="497"/>
      <c r="O73" s="498"/>
      <c r="P73" s="499"/>
      <c r="Q73" s="501">
        <v>45853</v>
      </c>
      <c r="R73" s="148">
        <f t="shared" si="1"/>
        <v>1.0001526850761244</v>
      </c>
      <c r="S73" s="101" t="s">
        <v>1860</v>
      </c>
      <c r="T73" s="167"/>
    </row>
    <row r="74" spans="1:20" ht="43.2" x14ac:dyDescent="0.3">
      <c r="A74" s="98">
        <v>71</v>
      </c>
      <c r="B74" s="506">
        <v>1550</v>
      </c>
      <c r="C74" s="492">
        <v>45846</v>
      </c>
      <c r="D74" s="369">
        <v>87167018</v>
      </c>
      <c r="E74" s="479" t="s">
        <v>3749</v>
      </c>
      <c r="F74" s="386" t="s">
        <v>33</v>
      </c>
      <c r="G74" s="112" t="s">
        <v>6</v>
      </c>
      <c r="H74" s="493">
        <v>45846</v>
      </c>
      <c r="I74" s="341"/>
      <c r="J74" s="727" t="s">
        <v>99</v>
      </c>
      <c r="K74" s="494"/>
      <c r="L74" s="495"/>
      <c r="M74" s="496"/>
      <c r="N74" s="497"/>
      <c r="O74" s="498"/>
      <c r="P74" s="499"/>
      <c r="Q74" s="501">
        <v>45853</v>
      </c>
      <c r="R74" s="148">
        <f t="shared" si="1"/>
        <v>1.0001526850761244</v>
      </c>
      <c r="S74" s="101" t="s">
        <v>1927</v>
      </c>
      <c r="T74" s="69"/>
    </row>
    <row r="75" spans="1:20" ht="57.6" x14ac:dyDescent="0.3">
      <c r="A75" s="98">
        <v>72</v>
      </c>
      <c r="B75" s="506" t="s">
        <v>80</v>
      </c>
      <c r="C75" s="492">
        <v>45846</v>
      </c>
      <c r="D75" s="369">
        <v>4906748</v>
      </c>
      <c r="E75" s="479" t="s">
        <v>3750</v>
      </c>
      <c r="F75" s="386" t="s">
        <v>39</v>
      </c>
      <c r="G75" s="112" t="s">
        <v>8</v>
      </c>
      <c r="H75" s="493">
        <v>45846</v>
      </c>
      <c r="I75" s="341"/>
      <c r="J75" s="100" t="s">
        <v>2352</v>
      </c>
      <c r="K75" s="494"/>
      <c r="L75" s="495"/>
      <c r="M75" s="496"/>
      <c r="N75" s="497"/>
      <c r="O75" s="498"/>
      <c r="P75" s="499"/>
      <c r="Q75" s="501">
        <v>45846</v>
      </c>
      <c r="R75" s="148">
        <f t="shared" si="1"/>
        <v>1</v>
      </c>
      <c r="S75" s="101" t="s">
        <v>3418</v>
      </c>
      <c r="T75" s="69"/>
    </row>
    <row r="76" spans="1:20" ht="28.8" x14ac:dyDescent="0.3">
      <c r="A76" s="98">
        <v>73</v>
      </c>
      <c r="B76" s="506" t="s">
        <v>301</v>
      </c>
      <c r="C76" s="492">
        <v>45846</v>
      </c>
      <c r="D76" s="369">
        <v>99283786</v>
      </c>
      <c r="E76" s="479" t="s">
        <v>3751</v>
      </c>
      <c r="F76" s="386" t="s">
        <v>3</v>
      </c>
      <c r="G76" s="112" t="s">
        <v>4</v>
      </c>
      <c r="H76" s="493">
        <v>45846</v>
      </c>
      <c r="I76" s="341"/>
      <c r="J76" s="100" t="s">
        <v>82</v>
      </c>
      <c r="K76" s="507"/>
      <c r="L76" s="508"/>
      <c r="M76" s="365"/>
      <c r="N76" s="509"/>
      <c r="O76" s="510"/>
      <c r="P76" s="511"/>
      <c r="Q76" s="501">
        <v>45861</v>
      </c>
      <c r="R76" s="148">
        <f t="shared" si="1"/>
        <v>1.0003271823059809</v>
      </c>
      <c r="S76" s="101" t="s">
        <v>720</v>
      </c>
      <c r="T76" s="167"/>
    </row>
    <row r="77" spans="1:20" ht="57.6" x14ac:dyDescent="0.3">
      <c r="A77" s="98">
        <v>74</v>
      </c>
      <c r="B77" s="506">
        <v>1550</v>
      </c>
      <c r="C77" s="492">
        <v>45847</v>
      </c>
      <c r="D77" s="369">
        <v>98353845</v>
      </c>
      <c r="E77" s="479" t="s">
        <v>3745</v>
      </c>
      <c r="F77" s="386" t="s">
        <v>24</v>
      </c>
      <c r="G77" s="112" t="s">
        <v>4</v>
      </c>
      <c r="H77" s="492">
        <v>45847</v>
      </c>
      <c r="I77" s="341"/>
      <c r="J77" s="728" t="s">
        <v>383</v>
      </c>
      <c r="K77" s="494"/>
      <c r="L77" s="495"/>
      <c r="M77" s="496"/>
      <c r="N77" s="497"/>
      <c r="O77" s="498"/>
      <c r="P77" s="499"/>
      <c r="Q77" s="501">
        <v>45848</v>
      </c>
      <c r="R77" s="148">
        <f t="shared" si="1"/>
        <v>1.0000218116779724</v>
      </c>
      <c r="S77" s="101" t="s">
        <v>3468</v>
      </c>
      <c r="T77" s="69"/>
    </row>
    <row r="78" spans="1:20" ht="43.2" x14ac:dyDescent="0.3">
      <c r="A78" s="98">
        <v>75</v>
      </c>
      <c r="B78" s="553">
        <v>1550</v>
      </c>
      <c r="C78" s="492">
        <v>45847</v>
      </c>
      <c r="D78" s="537">
        <v>7091095</v>
      </c>
      <c r="E78" s="24" t="s">
        <v>3752</v>
      </c>
      <c r="F78" s="386" t="s">
        <v>49</v>
      </c>
      <c r="G78" s="112" t="s">
        <v>8</v>
      </c>
      <c r="H78" s="493">
        <v>45847</v>
      </c>
      <c r="I78" s="341"/>
      <c r="J78" s="100" t="s">
        <v>266</v>
      </c>
      <c r="K78" s="494"/>
      <c r="L78" s="495"/>
      <c r="M78" s="496"/>
      <c r="N78" s="497"/>
      <c r="O78" s="498"/>
      <c r="P78" s="499"/>
      <c r="Q78" s="501">
        <v>45847</v>
      </c>
      <c r="R78" s="148">
        <f t="shared" si="1"/>
        <v>1</v>
      </c>
      <c r="S78" s="101" t="s">
        <v>528</v>
      </c>
      <c r="T78" s="69"/>
    </row>
    <row r="79" spans="1:20" ht="43.2" x14ac:dyDescent="0.3">
      <c r="A79" s="98">
        <v>76</v>
      </c>
      <c r="B79" s="553">
        <v>1550</v>
      </c>
      <c r="C79" s="492">
        <v>45847</v>
      </c>
      <c r="D79" s="219">
        <v>109466497</v>
      </c>
      <c r="E79" s="122" t="s">
        <v>3753</v>
      </c>
      <c r="F79" s="111" t="s">
        <v>1</v>
      </c>
      <c r="G79" s="112" t="s">
        <v>4</v>
      </c>
      <c r="H79" s="493">
        <v>45847</v>
      </c>
      <c r="I79" s="341"/>
      <c r="J79" s="727" t="s">
        <v>99</v>
      </c>
      <c r="K79" s="494" t="s">
        <v>262</v>
      </c>
      <c r="L79" s="495"/>
      <c r="M79" s="496"/>
      <c r="N79" s="497"/>
      <c r="O79" s="498"/>
      <c r="P79" s="499"/>
      <c r="Q79" s="501">
        <v>45849</v>
      </c>
      <c r="R79" s="148">
        <f t="shared" si="1"/>
        <v>1.0000436233559449</v>
      </c>
      <c r="S79" s="101" t="s">
        <v>2974</v>
      </c>
      <c r="T79" s="69"/>
    </row>
    <row r="80" spans="1:20" ht="43.2" x14ac:dyDescent="0.3">
      <c r="A80" s="98">
        <v>77</v>
      </c>
      <c r="B80" s="553">
        <v>1550</v>
      </c>
      <c r="C80" s="492">
        <v>45847</v>
      </c>
      <c r="D80" s="369">
        <v>99914700</v>
      </c>
      <c r="E80" s="122" t="s">
        <v>3753</v>
      </c>
      <c r="F80" s="101" t="s">
        <v>1</v>
      </c>
      <c r="G80" s="112" t="s">
        <v>4</v>
      </c>
      <c r="H80" s="493">
        <v>45847</v>
      </c>
      <c r="I80" s="555"/>
      <c r="J80" s="727" t="s">
        <v>99</v>
      </c>
      <c r="K80" s="494" t="s">
        <v>262</v>
      </c>
      <c r="L80" s="495"/>
      <c r="M80" s="496"/>
      <c r="N80" s="497"/>
      <c r="O80" s="498"/>
      <c r="P80" s="499"/>
      <c r="Q80" s="501">
        <v>45849</v>
      </c>
      <c r="R80" s="148">
        <f t="shared" si="1"/>
        <v>1.0000436233559449</v>
      </c>
      <c r="S80" s="101" t="s">
        <v>2974</v>
      </c>
      <c r="T80" s="69"/>
    </row>
    <row r="81" spans="1:20" ht="43.2" x14ac:dyDescent="0.3">
      <c r="A81" s="98">
        <v>78</v>
      </c>
      <c r="B81" s="506">
        <v>1550</v>
      </c>
      <c r="C81" s="492">
        <v>45847</v>
      </c>
      <c r="D81" s="369">
        <v>7485883</v>
      </c>
      <c r="E81" s="479" t="s">
        <v>3754</v>
      </c>
      <c r="F81" s="385" t="s">
        <v>12</v>
      </c>
      <c r="G81" s="112" t="s">
        <v>6</v>
      </c>
      <c r="H81" s="493">
        <v>45847</v>
      </c>
      <c r="I81" s="517"/>
      <c r="J81" s="732" t="s">
        <v>159</v>
      </c>
      <c r="K81" s="507"/>
      <c r="L81" s="508"/>
      <c r="M81" s="365"/>
      <c r="N81" s="509"/>
      <c r="O81" s="510"/>
      <c r="P81" s="511"/>
      <c r="Q81" s="501">
        <v>45847</v>
      </c>
      <c r="R81" s="148">
        <f t="shared" si="1"/>
        <v>1</v>
      </c>
      <c r="S81" s="101" t="s">
        <v>1936</v>
      </c>
      <c r="T81" s="167"/>
    </row>
    <row r="82" spans="1:20" ht="43.2" x14ac:dyDescent="0.3">
      <c r="A82" s="98">
        <v>79</v>
      </c>
      <c r="B82" s="491" t="s">
        <v>301</v>
      </c>
      <c r="C82" s="492">
        <v>45847</v>
      </c>
      <c r="D82" s="369">
        <v>63722909</v>
      </c>
      <c r="E82" s="271" t="s">
        <v>3755</v>
      </c>
      <c r="F82" s="101" t="s">
        <v>1</v>
      </c>
      <c r="G82" s="112" t="s">
        <v>6</v>
      </c>
      <c r="H82" s="493">
        <v>45847</v>
      </c>
      <c r="I82" s="25"/>
      <c r="J82" s="727" t="s">
        <v>99</v>
      </c>
      <c r="K82" s="494" t="s">
        <v>262</v>
      </c>
      <c r="L82" s="495"/>
      <c r="M82" s="496"/>
      <c r="N82" s="497"/>
      <c r="O82" s="498"/>
      <c r="P82" s="499"/>
      <c r="Q82" s="500">
        <v>45849</v>
      </c>
      <c r="R82" s="148">
        <f t="shared" si="1"/>
        <v>1.0000436233559449</v>
      </c>
      <c r="S82" s="101" t="s">
        <v>2808</v>
      </c>
      <c r="T82" s="69"/>
    </row>
    <row r="83" spans="1:20" ht="43.2" x14ac:dyDescent="0.3">
      <c r="A83" s="98">
        <v>80</v>
      </c>
      <c r="B83" s="491">
        <v>1550</v>
      </c>
      <c r="C83" s="492">
        <v>45847</v>
      </c>
      <c r="D83" s="369">
        <v>100438342</v>
      </c>
      <c r="E83" s="270" t="s">
        <v>3756</v>
      </c>
      <c r="F83" s="101" t="s">
        <v>58</v>
      </c>
      <c r="G83" s="112" t="s">
        <v>8</v>
      </c>
      <c r="H83" s="493">
        <v>45847</v>
      </c>
      <c r="I83" s="25"/>
      <c r="J83" s="732" t="s">
        <v>159</v>
      </c>
      <c r="K83" s="494"/>
      <c r="L83" s="495"/>
      <c r="M83" s="496"/>
      <c r="N83" s="497"/>
      <c r="O83" s="498"/>
      <c r="P83" s="499"/>
      <c r="Q83" s="500">
        <v>45869</v>
      </c>
      <c r="R83" s="148">
        <f t="shared" si="1"/>
        <v>1.0004798569153925</v>
      </c>
      <c r="S83" s="101" t="s">
        <v>528</v>
      </c>
      <c r="T83" s="69"/>
    </row>
    <row r="84" spans="1:20" ht="57.6" x14ac:dyDescent="0.3">
      <c r="A84" s="98">
        <v>81</v>
      </c>
      <c r="B84" s="491" t="s">
        <v>80</v>
      </c>
      <c r="C84" s="556">
        <v>45847</v>
      </c>
      <c r="D84" s="369"/>
      <c r="E84" s="271" t="s">
        <v>3757</v>
      </c>
      <c r="F84" s="101" t="s">
        <v>1314</v>
      </c>
      <c r="G84" s="112" t="s">
        <v>8</v>
      </c>
      <c r="H84" s="493">
        <v>45847</v>
      </c>
      <c r="I84" s="25"/>
      <c r="J84" s="727" t="s">
        <v>99</v>
      </c>
      <c r="K84" s="494"/>
      <c r="L84" s="495"/>
      <c r="M84" s="496"/>
      <c r="N84" s="497"/>
      <c r="O84" s="498"/>
      <c r="P84" s="499"/>
      <c r="Q84" s="500">
        <v>45848</v>
      </c>
      <c r="R84" s="148">
        <f t="shared" si="1"/>
        <v>1.0000218116779724</v>
      </c>
      <c r="S84" s="101" t="s">
        <v>3418</v>
      </c>
      <c r="T84" s="69"/>
    </row>
    <row r="85" spans="1:20" ht="57.6" x14ac:dyDescent="0.3">
      <c r="A85" s="98">
        <v>82</v>
      </c>
      <c r="B85" s="491">
        <v>1550</v>
      </c>
      <c r="C85" s="492">
        <v>45847</v>
      </c>
      <c r="D85" s="369">
        <v>100610129</v>
      </c>
      <c r="E85" s="270" t="s">
        <v>3758</v>
      </c>
      <c r="F85" s="101" t="s">
        <v>24</v>
      </c>
      <c r="G85" s="112" t="s">
        <v>6</v>
      </c>
      <c r="H85" s="493">
        <v>45847</v>
      </c>
      <c r="I85" s="25"/>
      <c r="J85" s="728" t="s">
        <v>383</v>
      </c>
      <c r="K85" s="494"/>
      <c r="L85" s="495"/>
      <c r="M85" s="496"/>
      <c r="N85" s="497"/>
      <c r="O85" s="498"/>
      <c r="P85" s="499"/>
      <c r="Q85" s="500">
        <v>45849</v>
      </c>
      <c r="R85" s="148">
        <f t="shared" si="1"/>
        <v>1.0000436233559449</v>
      </c>
      <c r="S85" s="101" t="s">
        <v>2597</v>
      </c>
      <c r="T85" s="69"/>
    </row>
    <row r="86" spans="1:20" ht="43.2" x14ac:dyDescent="0.3">
      <c r="A86" s="98">
        <v>83</v>
      </c>
      <c r="B86" s="491">
        <v>1550</v>
      </c>
      <c r="C86" s="347">
        <v>45847</v>
      </c>
      <c r="D86" s="369">
        <v>120570645</v>
      </c>
      <c r="E86" s="261" t="s">
        <v>3759</v>
      </c>
      <c r="F86" s="386" t="s">
        <v>23</v>
      </c>
      <c r="G86" s="112" t="s">
        <v>6</v>
      </c>
      <c r="H86" s="493">
        <v>45847</v>
      </c>
      <c r="I86" s="341"/>
      <c r="J86" s="100" t="s">
        <v>135</v>
      </c>
      <c r="K86" s="494"/>
      <c r="L86" s="495"/>
      <c r="M86" s="496"/>
      <c r="N86" s="497"/>
      <c r="O86" s="498"/>
      <c r="P86" s="499"/>
      <c r="Q86" s="501">
        <v>45847</v>
      </c>
      <c r="R86" s="148">
        <f t="shared" si="1"/>
        <v>1</v>
      </c>
      <c r="S86" s="101" t="s">
        <v>1936</v>
      </c>
      <c r="T86" s="167"/>
    </row>
    <row r="87" spans="1:20" ht="28.8" x14ac:dyDescent="0.3">
      <c r="A87" s="98">
        <v>84</v>
      </c>
      <c r="B87" s="491">
        <v>1550</v>
      </c>
      <c r="C87" s="347">
        <v>45847</v>
      </c>
      <c r="D87" s="369">
        <v>120254468</v>
      </c>
      <c r="E87" s="262" t="s">
        <v>3760</v>
      </c>
      <c r="F87" s="386" t="s">
        <v>23</v>
      </c>
      <c r="G87" s="112" t="s">
        <v>6</v>
      </c>
      <c r="H87" s="493">
        <v>45847</v>
      </c>
      <c r="I87" s="341"/>
      <c r="J87" s="100" t="s">
        <v>135</v>
      </c>
      <c r="K87" s="494"/>
      <c r="L87" s="495"/>
      <c r="M87" s="496"/>
      <c r="N87" s="497"/>
      <c r="O87" s="498"/>
      <c r="P87" s="499"/>
      <c r="Q87" s="501">
        <v>45847</v>
      </c>
      <c r="R87" s="148">
        <f t="shared" si="1"/>
        <v>1</v>
      </c>
      <c r="S87" s="101" t="s">
        <v>1936</v>
      </c>
      <c r="T87" s="69"/>
    </row>
    <row r="88" spans="1:20" ht="43.2" x14ac:dyDescent="0.3">
      <c r="A88" s="98">
        <v>85</v>
      </c>
      <c r="B88" s="491" t="s">
        <v>301</v>
      </c>
      <c r="C88" s="502">
        <v>45848</v>
      </c>
      <c r="D88" s="369">
        <v>45359385</v>
      </c>
      <c r="E88" s="271" t="s">
        <v>3761</v>
      </c>
      <c r="F88" s="101" t="s">
        <v>1</v>
      </c>
      <c r="G88" s="112" t="s">
        <v>6</v>
      </c>
      <c r="H88" s="493">
        <v>45848</v>
      </c>
      <c r="I88" s="503"/>
      <c r="J88" s="727" t="s">
        <v>99</v>
      </c>
      <c r="K88" s="494"/>
      <c r="L88" s="495"/>
      <c r="M88" s="496"/>
      <c r="N88" s="497"/>
      <c r="O88" s="498"/>
      <c r="P88" s="499"/>
      <c r="Q88" s="500">
        <v>45853</v>
      </c>
      <c r="R88" s="148">
        <f t="shared" si="1"/>
        <v>1.0001090560111674</v>
      </c>
      <c r="S88" s="101" t="s">
        <v>1860</v>
      </c>
      <c r="T88" s="69"/>
    </row>
    <row r="89" spans="1:20" ht="43.2" x14ac:dyDescent="0.3">
      <c r="A89" s="98">
        <v>86</v>
      </c>
      <c r="B89" s="491" t="s">
        <v>80</v>
      </c>
      <c r="C89" s="282">
        <v>45848</v>
      </c>
      <c r="D89" s="369">
        <v>8370451</v>
      </c>
      <c r="E89" s="270" t="s">
        <v>3762</v>
      </c>
      <c r="F89" s="101" t="s">
        <v>17</v>
      </c>
      <c r="G89" s="376" t="s">
        <v>8</v>
      </c>
      <c r="H89" s="493">
        <v>45848</v>
      </c>
      <c r="I89" s="341"/>
      <c r="J89" s="100" t="s">
        <v>82</v>
      </c>
      <c r="K89" s="494"/>
      <c r="L89" s="495"/>
      <c r="M89" s="496"/>
      <c r="N89" s="497"/>
      <c r="O89" s="498"/>
      <c r="P89" s="499"/>
      <c r="Q89" s="500">
        <v>45852</v>
      </c>
      <c r="R89" s="148">
        <f t="shared" si="1"/>
        <v>1.000087244808934</v>
      </c>
      <c r="S89" s="101" t="s">
        <v>3418</v>
      </c>
      <c r="T89" s="69"/>
    </row>
    <row r="90" spans="1:20" ht="115.2" x14ac:dyDescent="0.3">
      <c r="A90" s="98">
        <v>87</v>
      </c>
      <c r="B90" s="491">
        <v>1550</v>
      </c>
      <c r="C90" s="282">
        <v>45848</v>
      </c>
      <c r="D90" s="504">
        <v>79157041</v>
      </c>
      <c r="E90" s="270" t="s">
        <v>3763</v>
      </c>
      <c r="F90" s="101" t="s">
        <v>1</v>
      </c>
      <c r="G90" s="376" t="s">
        <v>6</v>
      </c>
      <c r="H90" s="493">
        <v>45848</v>
      </c>
      <c r="I90" s="341"/>
      <c r="J90" s="100" t="s">
        <v>2317</v>
      </c>
      <c r="K90" s="494"/>
      <c r="L90" s="495"/>
      <c r="M90" s="496"/>
      <c r="N90" s="497"/>
      <c r="O90" s="498"/>
      <c r="P90" s="499"/>
      <c r="Q90" s="500">
        <v>45848</v>
      </c>
      <c r="R90" s="148">
        <f t="shared" si="1"/>
        <v>1</v>
      </c>
      <c r="S90" s="101" t="s">
        <v>1893</v>
      </c>
      <c r="T90" s="69"/>
    </row>
    <row r="91" spans="1:20" ht="43.2" x14ac:dyDescent="0.3">
      <c r="A91" s="98">
        <v>88</v>
      </c>
      <c r="B91" s="491">
        <v>1550</v>
      </c>
      <c r="C91" s="282">
        <v>45848</v>
      </c>
      <c r="D91" s="504"/>
      <c r="E91" s="270" t="s">
        <v>3764</v>
      </c>
      <c r="F91" s="101" t="s">
        <v>12</v>
      </c>
      <c r="G91" s="376" t="s">
        <v>4</v>
      </c>
      <c r="H91" s="493">
        <v>45848</v>
      </c>
      <c r="I91" s="341"/>
      <c r="J91" s="100" t="s">
        <v>22</v>
      </c>
      <c r="K91" s="494"/>
      <c r="L91" s="495"/>
      <c r="M91" s="496"/>
      <c r="N91" s="497"/>
      <c r="O91" s="498"/>
      <c r="P91" s="499"/>
      <c r="Q91" s="500">
        <v>45869</v>
      </c>
      <c r="R91" s="148">
        <f t="shared" si="1"/>
        <v>1.0004580352469028</v>
      </c>
      <c r="S91" s="101" t="s">
        <v>1850</v>
      </c>
      <c r="T91" s="69"/>
    </row>
    <row r="92" spans="1:20" ht="43.2" x14ac:dyDescent="0.3">
      <c r="A92" s="98">
        <v>89</v>
      </c>
      <c r="B92" s="491">
        <v>1550</v>
      </c>
      <c r="C92" s="282">
        <v>45848</v>
      </c>
      <c r="D92" s="369">
        <v>27017591</v>
      </c>
      <c r="E92" s="270" t="s">
        <v>3765</v>
      </c>
      <c r="F92" s="386" t="s">
        <v>49</v>
      </c>
      <c r="G92" s="112" t="s">
        <v>8</v>
      </c>
      <c r="H92" s="493">
        <v>45848</v>
      </c>
      <c r="I92" s="341"/>
      <c r="J92" s="732" t="s">
        <v>253</v>
      </c>
      <c r="K92" s="494"/>
      <c r="L92" s="495"/>
      <c r="M92" s="496"/>
      <c r="N92" s="497"/>
      <c r="O92" s="498"/>
      <c r="P92" s="499"/>
      <c r="Q92" s="501">
        <v>45848</v>
      </c>
      <c r="R92" s="148">
        <f t="shared" si="1"/>
        <v>1</v>
      </c>
      <c r="S92" s="101" t="s">
        <v>3766</v>
      </c>
      <c r="T92" s="69"/>
    </row>
    <row r="93" spans="1:20" ht="28.8" x14ac:dyDescent="0.3">
      <c r="A93" s="98">
        <v>90</v>
      </c>
      <c r="B93" s="491">
        <v>1550</v>
      </c>
      <c r="C93" s="282">
        <v>45848</v>
      </c>
      <c r="D93" s="505">
        <v>44585888</v>
      </c>
      <c r="E93" s="270" t="s">
        <v>3767</v>
      </c>
      <c r="F93" s="101" t="s">
        <v>1</v>
      </c>
      <c r="G93" s="376" t="s">
        <v>4</v>
      </c>
      <c r="H93" s="493">
        <v>45848</v>
      </c>
      <c r="I93" s="341"/>
      <c r="J93" s="100" t="s">
        <v>3768</v>
      </c>
      <c r="K93" s="494"/>
      <c r="L93" s="495"/>
      <c r="M93" s="496"/>
      <c r="N93" s="497"/>
      <c r="O93" s="498"/>
      <c r="P93" s="499"/>
      <c r="Q93" s="500">
        <v>45848</v>
      </c>
      <c r="R93" s="148">
        <f t="shared" si="1"/>
        <v>1</v>
      </c>
      <c r="S93" s="101" t="s">
        <v>3769</v>
      </c>
      <c r="T93" s="69"/>
    </row>
    <row r="94" spans="1:20" ht="57.6" x14ac:dyDescent="0.3">
      <c r="A94" s="98">
        <v>91</v>
      </c>
      <c r="B94" s="491" t="s">
        <v>1826</v>
      </c>
      <c r="C94" s="502">
        <v>45848</v>
      </c>
      <c r="D94" s="369">
        <v>120408155</v>
      </c>
      <c r="E94" s="271" t="s">
        <v>3770</v>
      </c>
      <c r="F94" s="101" t="s">
        <v>28</v>
      </c>
      <c r="G94" s="112" t="s">
        <v>4</v>
      </c>
      <c r="H94" s="493">
        <v>45848</v>
      </c>
      <c r="I94" s="25"/>
      <c r="J94" s="727" t="s">
        <v>253</v>
      </c>
      <c r="K94" s="494"/>
      <c r="L94" s="495"/>
      <c r="M94" s="496"/>
      <c r="N94" s="497"/>
      <c r="O94" s="498"/>
      <c r="P94" s="499"/>
      <c r="Q94" s="500">
        <v>45853</v>
      </c>
      <c r="R94" s="148">
        <f t="shared" si="1"/>
        <v>1.0001090560111674</v>
      </c>
      <c r="S94" s="101" t="s">
        <v>720</v>
      </c>
      <c r="T94" s="69"/>
    </row>
    <row r="95" spans="1:20" ht="43.2" x14ac:dyDescent="0.3">
      <c r="A95" s="98">
        <v>92</v>
      </c>
      <c r="B95" s="506" t="s">
        <v>301</v>
      </c>
      <c r="C95" s="492">
        <v>45848</v>
      </c>
      <c r="D95" s="369">
        <v>8086931</v>
      </c>
      <c r="E95" s="270" t="s">
        <v>2387</v>
      </c>
      <c r="F95" s="101" t="s">
        <v>48</v>
      </c>
      <c r="G95" s="112" t="s">
        <v>8</v>
      </c>
      <c r="H95" s="493">
        <v>45848</v>
      </c>
      <c r="I95" s="25"/>
      <c r="J95" s="727" t="s">
        <v>99</v>
      </c>
      <c r="K95" s="494"/>
      <c r="L95" s="495"/>
      <c r="M95" s="496"/>
      <c r="N95" s="497"/>
      <c r="O95" s="498"/>
      <c r="P95" s="499"/>
      <c r="Q95" s="500">
        <v>45850</v>
      </c>
      <c r="R95" s="148">
        <f t="shared" si="1"/>
        <v>1.0000436224044669</v>
      </c>
      <c r="S95" s="101" t="s">
        <v>3743</v>
      </c>
      <c r="T95" s="69" t="s">
        <v>3771</v>
      </c>
    </row>
    <row r="96" spans="1:20" ht="43.2" x14ac:dyDescent="0.3">
      <c r="A96" s="98">
        <v>93</v>
      </c>
      <c r="B96" s="506">
        <v>1550</v>
      </c>
      <c r="C96" s="492">
        <v>45848</v>
      </c>
      <c r="D96" s="369">
        <v>104929901</v>
      </c>
      <c r="E96" s="270" t="s">
        <v>3772</v>
      </c>
      <c r="F96" s="101" t="s">
        <v>48</v>
      </c>
      <c r="G96" s="221" t="s">
        <v>8</v>
      </c>
      <c r="H96" s="493">
        <v>45848</v>
      </c>
      <c r="I96" s="25"/>
      <c r="J96" s="727" t="s">
        <v>99</v>
      </c>
      <c r="K96" s="494"/>
      <c r="L96" s="495"/>
      <c r="M96" s="496"/>
      <c r="N96" s="497"/>
      <c r="O96" s="498"/>
      <c r="P96" s="499"/>
      <c r="Q96" s="500">
        <v>45850</v>
      </c>
      <c r="R96" s="148">
        <f t="shared" si="1"/>
        <v>1.0000436224044669</v>
      </c>
      <c r="S96" s="101" t="s">
        <v>3146</v>
      </c>
      <c r="T96" s="69" t="s">
        <v>3773</v>
      </c>
    </row>
    <row r="97" spans="1:20" ht="57.6" x14ac:dyDescent="0.3">
      <c r="A97" s="98">
        <v>94</v>
      </c>
      <c r="B97" s="506">
        <v>1550</v>
      </c>
      <c r="C97" s="492">
        <v>45848</v>
      </c>
      <c r="D97" s="369">
        <v>111989159</v>
      </c>
      <c r="E97" s="270" t="s">
        <v>3774</v>
      </c>
      <c r="F97" s="101" t="s">
        <v>1326</v>
      </c>
      <c r="G97" s="221" t="s">
        <v>8</v>
      </c>
      <c r="H97" s="493">
        <v>45848</v>
      </c>
      <c r="I97" s="25"/>
      <c r="J97" s="727" t="s">
        <v>99</v>
      </c>
      <c r="K97" s="507"/>
      <c r="L97" s="508"/>
      <c r="M97" s="365"/>
      <c r="N97" s="509"/>
      <c r="O97" s="510"/>
      <c r="P97" s="511"/>
      <c r="Q97" s="500">
        <v>45862</v>
      </c>
      <c r="R97" s="148">
        <f t="shared" si="1"/>
        <v>1.0003053568312685</v>
      </c>
      <c r="S97" s="101" t="s">
        <v>8</v>
      </c>
      <c r="T97" s="167"/>
    </row>
    <row r="98" spans="1:20" ht="43.2" x14ac:dyDescent="0.3">
      <c r="A98" s="98">
        <v>95</v>
      </c>
      <c r="B98" s="506" t="s">
        <v>301</v>
      </c>
      <c r="C98" s="492">
        <v>45848</v>
      </c>
      <c r="D98" s="369">
        <v>41034457</v>
      </c>
      <c r="E98" s="270" t="s">
        <v>3775</v>
      </c>
      <c r="F98" s="386" t="s">
        <v>1</v>
      </c>
      <c r="G98" s="221" t="s">
        <v>6</v>
      </c>
      <c r="H98" s="493">
        <v>45848</v>
      </c>
      <c r="I98" s="341"/>
      <c r="J98" s="727" t="s">
        <v>99</v>
      </c>
      <c r="K98" s="507"/>
      <c r="L98" s="508"/>
      <c r="M98" s="365"/>
      <c r="N98" s="509"/>
      <c r="O98" s="510"/>
      <c r="P98" s="511"/>
      <c r="Q98" s="500">
        <v>45853</v>
      </c>
      <c r="R98" s="148">
        <f t="shared" si="1"/>
        <v>1.0001090560111674</v>
      </c>
      <c r="S98" s="101" t="s">
        <v>2808</v>
      </c>
      <c r="T98" s="167"/>
    </row>
    <row r="99" spans="1:20" ht="57.6" x14ac:dyDescent="0.3">
      <c r="A99" s="98">
        <v>96</v>
      </c>
      <c r="B99" s="506">
        <v>1550</v>
      </c>
      <c r="C99" s="492">
        <v>45848</v>
      </c>
      <c r="D99" s="369">
        <v>62011367</v>
      </c>
      <c r="E99" s="270" t="s">
        <v>3745</v>
      </c>
      <c r="F99" s="386" t="s">
        <v>24</v>
      </c>
      <c r="G99" s="221" t="s">
        <v>4</v>
      </c>
      <c r="H99" s="493">
        <v>45848</v>
      </c>
      <c r="I99" s="341"/>
      <c r="J99" s="728" t="s">
        <v>383</v>
      </c>
      <c r="K99" s="507"/>
      <c r="L99" s="508"/>
      <c r="M99" s="365"/>
      <c r="N99" s="509"/>
      <c r="O99" s="510"/>
      <c r="P99" s="511"/>
      <c r="Q99" s="500">
        <v>45848</v>
      </c>
      <c r="R99" s="148">
        <f t="shared" si="1"/>
        <v>1</v>
      </c>
      <c r="S99" s="101" t="s">
        <v>3020</v>
      </c>
      <c r="T99" s="167"/>
    </row>
    <row r="100" spans="1:20" x14ac:dyDescent="0.3">
      <c r="A100" s="98">
        <v>97</v>
      </c>
      <c r="B100" s="506">
        <v>1550</v>
      </c>
      <c r="C100" s="492">
        <v>45848</v>
      </c>
      <c r="D100">
        <v>120193612</v>
      </c>
      <c r="E100" s="270" t="s">
        <v>3776</v>
      </c>
      <c r="F100" s="344" t="s">
        <v>23</v>
      </c>
      <c r="G100" s="221" t="s">
        <v>4</v>
      </c>
      <c r="H100" s="493">
        <v>45848</v>
      </c>
      <c r="I100" s="25"/>
      <c r="J100" s="100" t="s">
        <v>135</v>
      </c>
      <c r="K100" s="494"/>
      <c r="L100" s="495"/>
      <c r="M100" s="496"/>
      <c r="N100" s="497"/>
      <c r="O100" s="498"/>
      <c r="P100" s="499"/>
      <c r="Q100" s="500">
        <v>45848</v>
      </c>
      <c r="R100" s="148">
        <f t="shared" si="1"/>
        <v>1</v>
      </c>
      <c r="S100" s="101" t="s">
        <v>3020</v>
      </c>
      <c r="T100" s="69"/>
    </row>
    <row r="101" spans="1:20" ht="28.8" x14ac:dyDescent="0.3">
      <c r="A101" s="98">
        <v>98</v>
      </c>
      <c r="B101" s="506">
        <v>1550</v>
      </c>
      <c r="C101" s="492">
        <v>45848</v>
      </c>
      <c r="D101" s="369">
        <v>93570856</v>
      </c>
      <c r="E101" s="270" t="s">
        <v>3777</v>
      </c>
      <c r="F101" s="344" t="s">
        <v>60</v>
      </c>
      <c r="G101" s="221" t="s">
        <v>8</v>
      </c>
      <c r="H101" s="493">
        <v>45848</v>
      </c>
      <c r="I101" s="25"/>
      <c r="J101" s="100" t="s">
        <v>2765</v>
      </c>
      <c r="K101" s="494"/>
      <c r="L101" s="495"/>
      <c r="M101" s="496"/>
      <c r="N101" s="497"/>
      <c r="O101" s="498"/>
      <c r="P101" s="499"/>
      <c r="Q101" s="500">
        <v>45869</v>
      </c>
      <c r="R101" s="148">
        <f t="shared" si="1"/>
        <v>1.0004580352469028</v>
      </c>
      <c r="S101" s="101" t="s">
        <v>151</v>
      </c>
      <c r="T101" s="69"/>
    </row>
    <row r="102" spans="1:20" ht="43.2" x14ac:dyDescent="0.3">
      <c r="A102" s="98">
        <v>99</v>
      </c>
      <c r="B102" s="506">
        <v>1550</v>
      </c>
      <c r="C102" s="492">
        <v>45848</v>
      </c>
      <c r="D102" s="369">
        <v>108977951</v>
      </c>
      <c r="E102" s="263" t="s">
        <v>3778</v>
      </c>
      <c r="F102" s="386" t="s">
        <v>1</v>
      </c>
      <c r="G102" s="112" t="s">
        <v>4</v>
      </c>
      <c r="H102" s="493">
        <v>45848</v>
      </c>
      <c r="I102" s="341"/>
      <c r="J102" s="727" t="s">
        <v>99</v>
      </c>
      <c r="K102" s="494"/>
      <c r="L102" s="495"/>
      <c r="M102" s="496"/>
      <c r="N102" s="497"/>
      <c r="O102" s="498"/>
      <c r="P102" s="499"/>
      <c r="Q102" s="501">
        <v>45860</v>
      </c>
      <c r="R102" s="148">
        <f t="shared" si="1"/>
        <v>1.0002617344268017</v>
      </c>
      <c r="S102" s="101" t="s">
        <v>2974</v>
      </c>
      <c r="T102" s="69" t="s">
        <v>3779</v>
      </c>
    </row>
    <row r="103" spans="1:20" ht="57.6" x14ac:dyDescent="0.3">
      <c r="A103" s="98">
        <v>100</v>
      </c>
      <c r="B103" s="506">
        <v>1550</v>
      </c>
      <c r="C103" s="492">
        <v>45848</v>
      </c>
      <c r="D103" s="369">
        <v>91848504</v>
      </c>
      <c r="E103" s="264" t="s">
        <v>3745</v>
      </c>
      <c r="F103" s="386" t="s">
        <v>24</v>
      </c>
      <c r="G103" s="112" t="s">
        <v>4</v>
      </c>
      <c r="H103" s="493">
        <v>45848</v>
      </c>
      <c r="I103" s="341"/>
      <c r="J103" s="728" t="s">
        <v>383</v>
      </c>
      <c r="K103" s="494"/>
      <c r="L103" s="495"/>
      <c r="M103" s="496"/>
      <c r="N103" s="497"/>
      <c r="O103" s="498"/>
      <c r="P103" s="499"/>
      <c r="Q103" s="501">
        <v>45849</v>
      </c>
      <c r="R103" s="148">
        <f t="shared" si="1"/>
        <v>1.0000218112022334</v>
      </c>
      <c r="S103" s="101" t="s">
        <v>3047</v>
      </c>
      <c r="T103" s="69"/>
    </row>
    <row r="104" spans="1:20" ht="43.2" x14ac:dyDescent="0.3">
      <c r="A104" s="98">
        <v>101</v>
      </c>
      <c r="B104" s="506">
        <v>1550</v>
      </c>
      <c r="C104" s="492">
        <v>45848</v>
      </c>
      <c r="D104" s="369">
        <v>27542025</v>
      </c>
      <c r="E104" s="263" t="s">
        <v>3780</v>
      </c>
      <c r="F104" s="386" t="s">
        <v>33</v>
      </c>
      <c r="G104" s="112" t="s">
        <v>4</v>
      </c>
      <c r="H104" s="493">
        <v>45848</v>
      </c>
      <c r="I104" s="341"/>
      <c r="J104" s="727" t="s">
        <v>99</v>
      </c>
      <c r="K104" s="494"/>
      <c r="L104" s="495"/>
      <c r="M104" s="496"/>
      <c r="N104" s="497"/>
      <c r="O104" s="498"/>
      <c r="P104" s="499"/>
      <c r="Q104" s="501">
        <v>45853</v>
      </c>
      <c r="R104" s="148">
        <f t="shared" si="1"/>
        <v>1.0001090560111674</v>
      </c>
      <c r="S104" s="101" t="s">
        <v>720</v>
      </c>
      <c r="T104" s="167"/>
    </row>
    <row r="105" spans="1:20" ht="28.8" x14ac:dyDescent="0.3">
      <c r="A105" s="98">
        <v>102</v>
      </c>
      <c r="B105" s="506">
        <v>1550</v>
      </c>
      <c r="C105" s="492">
        <v>45848</v>
      </c>
      <c r="D105" s="369">
        <v>69525609</v>
      </c>
      <c r="E105" s="264" t="s">
        <v>3781</v>
      </c>
      <c r="F105" s="386" t="s">
        <v>1</v>
      </c>
      <c r="G105" s="112" t="s">
        <v>4</v>
      </c>
      <c r="H105" s="493">
        <v>45848</v>
      </c>
      <c r="I105" s="341"/>
      <c r="J105" s="100" t="s">
        <v>3768</v>
      </c>
      <c r="K105" s="494"/>
      <c r="L105" s="495"/>
      <c r="M105" s="496"/>
      <c r="N105" s="497"/>
      <c r="O105" s="498"/>
      <c r="P105" s="499"/>
      <c r="Q105" s="501">
        <v>45848</v>
      </c>
      <c r="R105" s="148">
        <f t="shared" si="1"/>
        <v>1</v>
      </c>
      <c r="S105" s="101" t="s">
        <v>1850</v>
      </c>
      <c r="T105" s="69"/>
    </row>
    <row r="106" spans="1:20" ht="43.2" x14ac:dyDescent="0.3">
      <c r="A106" s="98">
        <v>103</v>
      </c>
      <c r="B106" s="506" t="s">
        <v>301</v>
      </c>
      <c r="C106" s="492">
        <v>45848</v>
      </c>
      <c r="D106" s="369">
        <v>84034</v>
      </c>
      <c r="E106" s="264" t="s">
        <v>3782</v>
      </c>
      <c r="F106" s="386" t="s">
        <v>32</v>
      </c>
      <c r="G106" s="112" t="s">
        <v>6</v>
      </c>
      <c r="H106" s="493">
        <v>45848</v>
      </c>
      <c r="I106" s="341"/>
      <c r="J106" s="100" t="s">
        <v>106</v>
      </c>
      <c r="K106" s="494"/>
      <c r="L106" s="495"/>
      <c r="M106" s="496"/>
      <c r="N106" s="497"/>
      <c r="O106" s="498"/>
      <c r="P106" s="499"/>
      <c r="Q106" s="501">
        <v>45852</v>
      </c>
      <c r="R106" s="148">
        <f t="shared" si="1"/>
        <v>1.000087244808934</v>
      </c>
      <c r="S106" s="101" t="s">
        <v>3783</v>
      </c>
      <c r="T106" s="69"/>
    </row>
    <row r="107" spans="1:20" ht="28.8" x14ac:dyDescent="0.3">
      <c r="A107" s="98">
        <v>104</v>
      </c>
      <c r="B107" s="506">
        <v>1550</v>
      </c>
      <c r="C107" s="492">
        <v>45848</v>
      </c>
      <c r="D107" s="369">
        <v>75471779</v>
      </c>
      <c r="E107" s="271" t="s">
        <v>3784</v>
      </c>
      <c r="F107" s="101" t="s">
        <v>32</v>
      </c>
      <c r="G107" s="112" t="s">
        <v>4</v>
      </c>
      <c r="H107" s="493">
        <v>45848</v>
      </c>
      <c r="I107" s="25"/>
      <c r="J107" s="100" t="s">
        <v>106</v>
      </c>
      <c r="K107" s="494"/>
      <c r="L107" s="495"/>
      <c r="M107" s="496"/>
      <c r="N107" s="497"/>
      <c r="O107" s="498"/>
      <c r="P107" s="499"/>
      <c r="Q107" s="500">
        <v>45853</v>
      </c>
      <c r="R107" s="148">
        <f t="shared" si="1"/>
        <v>1.0001090560111674</v>
      </c>
      <c r="S107" s="101" t="s">
        <v>1850</v>
      </c>
      <c r="T107" s="69"/>
    </row>
    <row r="108" spans="1:20" ht="57.6" x14ac:dyDescent="0.3">
      <c r="A108" s="98">
        <v>105</v>
      </c>
      <c r="B108" s="506">
        <v>1550</v>
      </c>
      <c r="C108" s="492">
        <v>45848</v>
      </c>
      <c r="D108" s="369">
        <v>73697036</v>
      </c>
      <c r="E108" s="271" t="s">
        <v>3785</v>
      </c>
      <c r="F108" s="386" t="s">
        <v>24</v>
      </c>
      <c r="G108" s="112" t="s">
        <v>6</v>
      </c>
      <c r="H108" s="493">
        <v>45848</v>
      </c>
      <c r="I108" s="341"/>
      <c r="J108" s="728" t="s">
        <v>383</v>
      </c>
      <c r="K108" s="494"/>
      <c r="L108" s="495"/>
      <c r="M108" s="496"/>
      <c r="N108" s="497"/>
      <c r="O108" s="498"/>
      <c r="P108" s="499"/>
      <c r="Q108" s="501">
        <v>45849</v>
      </c>
      <c r="R108" s="148">
        <f t="shared" si="1"/>
        <v>1.0000218112022334</v>
      </c>
      <c r="S108" s="101" t="s">
        <v>3468</v>
      </c>
      <c r="T108" s="69"/>
    </row>
    <row r="109" spans="1:20" ht="57.6" x14ac:dyDescent="0.3">
      <c r="A109" s="98">
        <v>106</v>
      </c>
      <c r="B109" s="506">
        <v>1550</v>
      </c>
      <c r="C109" s="492">
        <v>45848</v>
      </c>
      <c r="D109" s="369">
        <v>73697036</v>
      </c>
      <c r="E109" s="271" t="s">
        <v>3786</v>
      </c>
      <c r="F109" s="101" t="s">
        <v>24</v>
      </c>
      <c r="G109" s="112" t="s">
        <v>8</v>
      </c>
      <c r="H109" s="493">
        <v>45848</v>
      </c>
      <c r="I109" s="25"/>
      <c r="J109" s="728" t="s">
        <v>383</v>
      </c>
      <c r="K109" s="494"/>
      <c r="L109" s="495"/>
      <c r="M109" s="496"/>
      <c r="N109" s="497"/>
      <c r="O109" s="498"/>
      <c r="P109" s="499"/>
      <c r="Q109" s="500">
        <v>45849</v>
      </c>
      <c r="R109" s="148">
        <f t="shared" si="1"/>
        <v>1.0000218112022334</v>
      </c>
      <c r="S109" s="101" t="s">
        <v>1246</v>
      </c>
      <c r="T109" s="69"/>
    </row>
    <row r="110" spans="1:20" ht="43.2" x14ac:dyDescent="0.3">
      <c r="A110" s="98">
        <v>107</v>
      </c>
      <c r="B110" s="506" t="s">
        <v>1826</v>
      </c>
      <c r="C110" s="492">
        <v>45848</v>
      </c>
      <c r="D110" s="369">
        <v>76098737</v>
      </c>
      <c r="E110" s="271" t="s">
        <v>3787</v>
      </c>
      <c r="F110" s="101" t="s">
        <v>25</v>
      </c>
      <c r="G110" s="112" t="s">
        <v>6</v>
      </c>
      <c r="H110" s="493">
        <v>45849</v>
      </c>
      <c r="I110" s="25">
        <v>10000303601</v>
      </c>
      <c r="J110" s="100" t="s">
        <v>135</v>
      </c>
      <c r="K110" s="494"/>
      <c r="L110" s="495"/>
      <c r="M110" s="496"/>
      <c r="N110" s="497"/>
      <c r="O110" s="498"/>
      <c r="P110" s="499"/>
      <c r="Q110" s="500">
        <v>45856</v>
      </c>
      <c r="R110" s="148">
        <f t="shared" si="1"/>
        <v>1.0001526750856071</v>
      </c>
      <c r="S110" s="101" t="s">
        <v>3783</v>
      </c>
      <c r="T110" s="69"/>
    </row>
    <row r="111" spans="1:20" ht="57.6" x14ac:dyDescent="0.3">
      <c r="A111" s="98">
        <v>108</v>
      </c>
      <c r="B111" s="506" t="s">
        <v>1826</v>
      </c>
      <c r="C111" s="492">
        <v>45848</v>
      </c>
      <c r="D111" s="369">
        <v>91410363</v>
      </c>
      <c r="E111" s="271" t="s">
        <v>3788</v>
      </c>
      <c r="F111" s="101" t="s">
        <v>25</v>
      </c>
      <c r="G111" s="112" t="s">
        <v>6</v>
      </c>
      <c r="H111" s="493">
        <v>45849</v>
      </c>
      <c r="I111" s="25">
        <v>10000303609</v>
      </c>
      <c r="J111" s="100" t="s">
        <v>135</v>
      </c>
      <c r="K111" s="494"/>
      <c r="L111" s="495"/>
      <c r="M111" s="496"/>
      <c r="N111" s="497"/>
      <c r="O111" s="498"/>
      <c r="P111" s="499"/>
      <c r="Q111" s="500">
        <v>45856</v>
      </c>
      <c r="R111" s="148">
        <f t="shared" si="1"/>
        <v>1.0001526750856071</v>
      </c>
      <c r="S111" s="101" t="s">
        <v>3783</v>
      </c>
      <c r="T111" s="69"/>
    </row>
    <row r="112" spans="1:20" ht="57.6" x14ac:dyDescent="0.3">
      <c r="A112" s="98">
        <v>109</v>
      </c>
      <c r="B112" s="506">
        <v>1550</v>
      </c>
      <c r="C112" s="492">
        <v>45849</v>
      </c>
      <c r="D112" s="369">
        <v>100477526</v>
      </c>
      <c r="E112" s="271" t="s">
        <v>3789</v>
      </c>
      <c r="F112" s="101" t="s">
        <v>24</v>
      </c>
      <c r="G112" s="112" t="s">
        <v>6</v>
      </c>
      <c r="H112" s="493">
        <v>45849</v>
      </c>
      <c r="I112" s="25"/>
      <c r="J112" s="728" t="s">
        <v>383</v>
      </c>
      <c r="K112" s="494"/>
      <c r="L112" s="495"/>
      <c r="M112" s="496"/>
      <c r="N112" s="497"/>
      <c r="O112" s="498"/>
      <c r="P112" s="499"/>
      <c r="Q112" s="500">
        <v>45855</v>
      </c>
      <c r="R112" s="148">
        <f t="shared" si="1"/>
        <v>1.0001308643590918</v>
      </c>
      <c r="S112" s="101" t="s">
        <v>1893</v>
      </c>
      <c r="T112" s="69"/>
    </row>
    <row r="113" spans="1:20" ht="43.2" x14ac:dyDescent="0.3">
      <c r="A113" s="98">
        <v>110</v>
      </c>
      <c r="B113" s="506">
        <v>1550</v>
      </c>
      <c r="C113" s="492">
        <v>45849</v>
      </c>
      <c r="D113" s="369">
        <v>5958733</v>
      </c>
      <c r="E113" s="271" t="s">
        <v>3790</v>
      </c>
      <c r="F113" s="101" t="s">
        <v>12</v>
      </c>
      <c r="G113" s="112" t="s">
        <v>8</v>
      </c>
      <c r="H113" s="493">
        <v>45849</v>
      </c>
      <c r="I113" s="25"/>
      <c r="J113" s="732" t="s">
        <v>159</v>
      </c>
      <c r="K113" s="494"/>
      <c r="L113" s="495"/>
      <c r="M113" s="496"/>
      <c r="N113" s="497"/>
      <c r="O113" s="498"/>
      <c r="P113" s="499"/>
      <c r="Q113" s="500">
        <v>45859</v>
      </c>
      <c r="R113" s="148">
        <f t="shared" si="1"/>
        <v>1.000218107265153</v>
      </c>
      <c r="S113" s="101" t="s">
        <v>1916</v>
      </c>
      <c r="T113" s="69"/>
    </row>
    <row r="114" spans="1:20" ht="43.2" x14ac:dyDescent="0.3">
      <c r="A114" s="98">
        <v>111</v>
      </c>
      <c r="B114" s="506">
        <v>1550</v>
      </c>
      <c r="C114" s="492">
        <v>45849</v>
      </c>
      <c r="D114" s="369">
        <v>69880298</v>
      </c>
      <c r="E114" s="271" t="s">
        <v>3791</v>
      </c>
      <c r="F114" s="101" t="s">
        <v>3</v>
      </c>
      <c r="G114" s="112" t="s">
        <v>8</v>
      </c>
      <c r="H114" s="493">
        <v>45849</v>
      </c>
      <c r="I114" s="25"/>
      <c r="J114" s="100" t="s">
        <v>2536</v>
      </c>
      <c r="K114" s="494"/>
      <c r="L114" s="495"/>
      <c r="M114" s="496"/>
      <c r="N114" s="497"/>
      <c r="O114" s="498"/>
      <c r="P114" s="499"/>
      <c r="Q114" s="500">
        <v>45849</v>
      </c>
      <c r="R114" s="148">
        <f t="shared" si="1"/>
        <v>1</v>
      </c>
      <c r="S114" s="101" t="s">
        <v>3766</v>
      </c>
      <c r="T114" s="69"/>
    </row>
    <row r="115" spans="1:20" ht="43.2" x14ac:dyDescent="0.3">
      <c r="A115" s="98">
        <v>112</v>
      </c>
      <c r="B115" s="506">
        <v>1550</v>
      </c>
      <c r="C115" s="492">
        <v>45849</v>
      </c>
      <c r="D115" s="369">
        <v>9494170</v>
      </c>
      <c r="E115" s="271" t="s">
        <v>3780</v>
      </c>
      <c r="F115" s="344" t="s">
        <v>33</v>
      </c>
      <c r="G115" s="112" t="s">
        <v>4</v>
      </c>
      <c r="H115" s="493">
        <v>45849</v>
      </c>
      <c r="I115" s="25"/>
      <c r="J115" s="727" t="s">
        <v>99</v>
      </c>
      <c r="K115" s="507"/>
      <c r="L115" s="508"/>
      <c r="M115" s="365"/>
      <c r="N115" s="509"/>
      <c r="O115" s="510"/>
      <c r="P115" s="511"/>
      <c r="Q115" s="500">
        <v>45853</v>
      </c>
      <c r="R115" s="148">
        <f t="shared" si="1"/>
        <v>1.0000872429060612</v>
      </c>
      <c r="S115" s="101" t="s">
        <v>3792</v>
      </c>
      <c r="T115" s="167" t="s">
        <v>3793</v>
      </c>
    </row>
    <row r="116" spans="1:20" ht="28.8" x14ac:dyDescent="0.3">
      <c r="A116" s="98">
        <v>113</v>
      </c>
      <c r="B116" s="506">
        <v>1550</v>
      </c>
      <c r="C116" s="492">
        <v>45849</v>
      </c>
      <c r="D116" s="369">
        <v>2184230</v>
      </c>
      <c r="E116" s="271" t="s">
        <v>3794</v>
      </c>
      <c r="F116" s="101" t="s">
        <v>3</v>
      </c>
      <c r="G116" s="112" t="s">
        <v>4</v>
      </c>
      <c r="H116" s="493">
        <v>45849</v>
      </c>
      <c r="I116" s="25"/>
      <c r="J116" s="100" t="s">
        <v>82</v>
      </c>
      <c r="K116" s="494"/>
      <c r="L116" s="495"/>
      <c r="M116" s="496"/>
      <c r="N116" s="497"/>
      <c r="O116" s="498"/>
      <c r="P116" s="499"/>
      <c r="Q116" s="500">
        <v>45861</v>
      </c>
      <c r="R116" s="148">
        <f t="shared" si="1"/>
        <v>1.0002617287181836</v>
      </c>
      <c r="S116" s="101" t="s">
        <v>2974</v>
      </c>
      <c r="T116" s="69"/>
    </row>
    <row r="117" spans="1:20" ht="43.2" x14ac:dyDescent="0.3">
      <c r="A117" s="98">
        <v>114</v>
      </c>
      <c r="B117" s="506">
        <v>1550</v>
      </c>
      <c r="C117" s="492">
        <v>45849</v>
      </c>
      <c r="D117" s="369">
        <v>110572459</v>
      </c>
      <c r="E117" s="271" t="s">
        <v>3795</v>
      </c>
      <c r="F117" s="101" t="s">
        <v>1</v>
      </c>
      <c r="G117" s="112" t="s">
        <v>8</v>
      </c>
      <c r="H117" s="493">
        <v>45849</v>
      </c>
      <c r="I117" s="25"/>
      <c r="J117" s="100" t="s">
        <v>2306</v>
      </c>
      <c r="K117" s="507"/>
      <c r="L117" s="508"/>
      <c r="M117" s="365"/>
      <c r="N117" s="509"/>
      <c r="O117" s="510"/>
      <c r="P117" s="511"/>
      <c r="Q117" s="500">
        <v>45864</v>
      </c>
      <c r="R117" s="148">
        <f t="shared" si="1"/>
        <v>1.0003271608977296</v>
      </c>
      <c r="S117" s="101" t="s">
        <v>151</v>
      </c>
      <c r="T117" s="69"/>
    </row>
    <row r="118" spans="1:20" ht="43.2" x14ac:dyDescent="0.3">
      <c r="A118" s="98">
        <v>115</v>
      </c>
      <c r="B118" s="506">
        <v>1550</v>
      </c>
      <c r="C118" s="492">
        <v>45849</v>
      </c>
      <c r="D118" s="369">
        <v>5163463</v>
      </c>
      <c r="E118" s="263" t="s">
        <v>3796</v>
      </c>
      <c r="F118" s="101" t="s">
        <v>1</v>
      </c>
      <c r="G118" s="112" t="s">
        <v>4</v>
      </c>
      <c r="H118" s="493">
        <v>45849</v>
      </c>
      <c r="I118" s="25"/>
      <c r="J118" s="727" t="s">
        <v>99</v>
      </c>
      <c r="K118" s="494"/>
      <c r="L118" s="495"/>
      <c r="M118" s="496"/>
      <c r="N118" s="497"/>
      <c r="O118" s="498"/>
      <c r="P118" s="499"/>
      <c r="Q118" s="500">
        <v>45853</v>
      </c>
      <c r="R118" s="148">
        <f t="shared" si="1"/>
        <v>1.0000872429060612</v>
      </c>
      <c r="S118" s="101" t="s">
        <v>1850</v>
      </c>
      <c r="T118" s="69"/>
    </row>
    <row r="119" spans="1:20" ht="28.8" x14ac:dyDescent="0.3">
      <c r="A119" s="98">
        <v>116</v>
      </c>
      <c r="B119" s="506">
        <v>1550</v>
      </c>
      <c r="C119" s="492">
        <v>45849</v>
      </c>
      <c r="D119" s="369">
        <v>37153811</v>
      </c>
      <c r="E119" s="264" t="s">
        <v>3797</v>
      </c>
      <c r="F119" s="101" t="s">
        <v>7</v>
      </c>
      <c r="G119" s="112" t="s">
        <v>8</v>
      </c>
      <c r="H119" s="493">
        <v>45849</v>
      </c>
      <c r="I119" s="25"/>
      <c r="J119" s="100" t="s">
        <v>2513</v>
      </c>
      <c r="K119" s="494"/>
      <c r="L119" s="495"/>
      <c r="M119" s="496"/>
      <c r="N119" s="497"/>
      <c r="O119" s="498"/>
      <c r="P119" s="499"/>
      <c r="Q119" s="500">
        <v>45855</v>
      </c>
      <c r="R119" s="148">
        <f t="shared" si="1"/>
        <v>1.0001308643590918</v>
      </c>
      <c r="S119" s="101" t="s">
        <v>1246</v>
      </c>
      <c r="T119" s="69"/>
    </row>
    <row r="120" spans="1:20" ht="57.6" x14ac:dyDescent="0.3">
      <c r="A120" s="98">
        <v>117</v>
      </c>
      <c r="B120" s="506">
        <v>1550</v>
      </c>
      <c r="C120" s="492">
        <v>45852</v>
      </c>
      <c r="D120" s="369">
        <v>37872877</v>
      </c>
      <c r="E120" s="264" t="s">
        <v>3798</v>
      </c>
      <c r="F120" s="101" t="s">
        <v>24</v>
      </c>
      <c r="G120" s="112" t="s">
        <v>8</v>
      </c>
      <c r="H120" s="493">
        <v>45852</v>
      </c>
      <c r="I120" s="25"/>
      <c r="J120" s="728" t="s">
        <v>383</v>
      </c>
      <c r="K120" s="494"/>
      <c r="L120" s="495"/>
      <c r="M120" s="496"/>
      <c r="N120" s="497"/>
      <c r="O120" s="498"/>
      <c r="P120" s="499"/>
      <c r="Q120" s="500">
        <v>45852</v>
      </c>
      <c r="R120" s="148">
        <f t="shared" si="1"/>
        <v>1</v>
      </c>
      <c r="S120" s="101" t="s">
        <v>1916</v>
      </c>
      <c r="T120" s="359"/>
    </row>
    <row r="121" spans="1:20" ht="43.2" x14ac:dyDescent="0.3">
      <c r="A121" s="98">
        <v>118</v>
      </c>
      <c r="B121" s="506">
        <v>1550</v>
      </c>
      <c r="C121" s="492">
        <v>45852</v>
      </c>
      <c r="D121" s="369">
        <v>88673383</v>
      </c>
      <c r="E121" s="270" t="s">
        <v>3799</v>
      </c>
      <c r="F121" s="101" t="s">
        <v>17</v>
      </c>
      <c r="G121" s="112" t="s">
        <v>8</v>
      </c>
      <c r="H121" s="493">
        <v>45852</v>
      </c>
      <c r="I121" s="25"/>
      <c r="J121" s="100" t="s">
        <v>82</v>
      </c>
      <c r="K121" s="494"/>
      <c r="L121" s="495"/>
      <c r="M121" s="496"/>
      <c r="N121" s="497"/>
      <c r="O121" s="498"/>
      <c r="P121" s="499"/>
      <c r="Q121" s="500">
        <v>45852</v>
      </c>
      <c r="R121" s="148">
        <f t="shared" si="1"/>
        <v>1</v>
      </c>
      <c r="S121" s="101" t="s">
        <v>3146</v>
      </c>
      <c r="T121" s="69"/>
    </row>
    <row r="122" spans="1:20" ht="43.2" x14ac:dyDescent="0.3">
      <c r="A122" s="98">
        <v>119</v>
      </c>
      <c r="B122" s="506" t="s">
        <v>301</v>
      </c>
      <c r="C122" s="492">
        <v>45852</v>
      </c>
      <c r="D122" s="369">
        <v>87002582</v>
      </c>
      <c r="E122" s="270" t="s">
        <v>3800</v>
      </c>
      <c r="F122" s="101" t="s">
        <v>33</v>
      </c>
      <c r="G122" s="112" t="s">
        <v>6</v>
      </c>
      <c r="H122" s="493">
        <v>45852</v>
      </c>
      <c r="I122" s="25"/>
      <c r="J122" s="727" t="s">
        <v>99</v>
      </c>
      <c r="K122" s="494"/>
      <c r="L122" s="495"/>
      <c r="M122" s="496"/>
      <c r="N122" s="497"/>
      <c r="O122" s="498"/>
      <c r="P122" s="499"/>
      <c r="Q122" s="500">
        <v>45853</v>
      </c>
      <c r="R122" s="148">
        <f t="shared" si="1"/>
        <v>1.0000218092994853</v>
      </c>
      <c r="S122" s="101" t="s">
        <v>1312</v>
      </c>
      <c r="T122" s="69"/>
    </row>
    <row r="123" spans="1:20" ht="43.2" x14ac:dyDescent="0.3">
      <c r="A123" s="98">
        <v>120</v>
      </c>
      <c r="B123" s="506" t="s">
        <v>80</v>
      </c>
      <c r="C123" s="492">
        <v>45852</v>
      </c>
      <c r="D123" s="369">
        <v>6434347</v>
      </c>
      <c r="E123" s="270" t="s">
        <v>3801</v>
      </c>
      <c r="F123" s="344" t="s">
        <v>1</v>
      </c>
      <c r="G123" s="112" t="s">
        <v>4</v>
      </c>
      <c r="H123" s="493">
        <v>45852</v>
      </c>
      <c r="I123" s="25"/>
      <c r="J123" s="727" t="s">
        <v>99</v>
      </c>
      <c r="K123" s="494" t="s">
        <v>262</v>
      </c>
      <c r="L123" s="495"/>
      <c r="M123" s="496"/>
      <c r="N123" s="497"/>
      <c r="O123" s="498"/>
      <c r="P123" s="499"/>
      <c r="Q123" s="500">
        <v>45867</v>
      </c>
      <c r="R123" s="148">
        <f t="shared" si="1"/>
        <v>1.0003271394922795</v>
      </c>
      <c r="S123" s="101" t="s">
        <v>3792</v>
      </c>
      <c r="T123" s="69"/>
    </row>
    <row r="124" spans="1:20" ht="43.2" x14ac:dyDescent="0.3">
      <c r="A124" s="98">
        <v>121</v>
      </c>
      <c r="B124" s="506">
        <v>1550</v>
      </c>
      <c r="C124" s="492">
        <v>45852</v>
      </c>
      <c r="D124" s="369">
        <v>66680867</v>
      </c>
      <c r="E124" s="270" t="s">
        <v>3802</v>
      </c>
      <c r="F124" s="101" t="s">
        <v>49</v>
      </c>
      <c r="G124" s="112" t="s">
        <v>4</v>
      </c>
      <c r="H124" s="493">
        <v>45852</v>
      </c>
      <c r="I124" s="25"/>
      <c r="J124" s="100" t="s">
        <v>266</v>
      </c>
      <c r="K124" s="494"/>
      <c r="L124" s="495"/>
      <c r="M124" s="496"/>
      <c r="N124" s="497"/>
      <c r="O124" s="498"/>
      <c r="P124" s="499"/>
      <c r="Q124" s="500">
        <v>45852</v>
      </c>
      <c r="R124" s="148">
        <f t="shared" si="1"/>
        <v>1</v>
      </c>
      <c r="S124" s="101" t="s">
        <v>1850</v>
      </c>
      <c r="T124" s="69"/>
    </row>
    <row r="125" spans="1:20" ht="43.2" x14ac:dyDescent="0.3">
      <c r="A125" s="98">
        <v>122</v>
      </c>
      <c r="B125" s="506">
        <v>1550</v>
      </c>
      <c r="C125" s="492">
        <v>45852</v>
      </c>
      <c r="D125" s="369">
        <v>118392425</v>
      </c>
      <c r="E125" s="270" t="s">
        <v>3802</v>
      </c>
      <c r="F125" s="101" t="s">
        <v>49</v>
      </c>
      <c r="G125" s="112" t="s">
        <v>4</v>
      </c>
      <c r="H125" s="493">
        <v>45852</v>
      </c>
      <c r="I125" s="25"/>
      <c r="J125" s="100" t="s">
        <v>266</v>
      </c>
      <c r="K125" s="494"/>
      <c r="L125" s="495"/>
      <c r="M125" s="496"/>
      <c r="N125" s="497"/>
      <c r="O125" s="498"/>
      <c r="P125" s="499"/>
      <c r="Q125" s="500">
        <v>45852</v>
      </c>
      <c r="R125" s="148">
        <f t="shared" si="1"/>
        <v>1</v>
      </c>
      <c r="S125" s="101" t="s">
        <v>1850</v>
      </c>
      <c r="T125" s="69"/>
    </row>
    <row r="126" spans="1:20" ht="28.8" x14ac:dyDescent="0.3">
      <c r="A126" s="98">
        <v>123</v>
      </c>
      <c r="B126" s="506">
        <v>1550</v>
      </c>
      <c r="C126" s="492">
        <v>45852</v>
      </c>
      <c r="D126" s="369">
        <v>108590658</v>
      </c>
      <c r="E126" s="263" t="s">
        <v>3803</v>
      </c>
      <c r="F126" s="101" t="s">
        <v>17</v>
      </c>
      <c r="G126" s="112" t="s">
        <v>8</v>
      </c>
      <c r="H126" s="493">
        <v>45852</v>
      </c>
      <c r="I126" s="25"/>
      <c r="J126" s="100" t="s">
        <v>82</v>
      </c>
      <c r="K126" s="494"/>
      <c r="L126" s="495"/>
      <c r="M126" s="496"/>
      <c r="N126" s="497"/>
      <c r="O126" s="498"/>
      <c r="P126" s="499"/>
      <c r="Q126" s="500">
        <v>45852</v>
      </c>
      <c r="R126" s="148">
        <f t="shared" si="1"/>
        <v>1</v>
      </c>
      <c r="S126" s="633" t="s">
        <v>1916</v>
      </c>
      <c r="T126" s="69"/>
    </row>
    <row r="127" spans="1:20" ht="28.8" x14ac:dyDescent="0.3">
      <c r="A127" s="98">
        <v>124</v>
      </c>
      <c r="B127" s="506">
        <v>1550</v>
      </c>
      <c r="C127" s="492">
        <v>45852</v>
      </c>
      <c r="D127" s="369">
        <v>67035906</v>
      </c>
      <c r="E127" s="264" t="s">
        <v>3804</v>
      </c>
      <c r="F127" s="101" t="s">
        <v>1</v>
      </c>
      <c r="G127" s="112" t="s">
        <v>4</v>
      </c>
      <c r="H127" s="493">
        <v>45852</v>
      </c>
      <c r="I127" s="25"/>
      <c r="J127" s="100" t="s">
        <v>2992</v>
      </c>
      <c r="K127" s="494"/>
      <c r="L127" s="495"/>
      <c r="M127" s="496"/>
      <c r="N127" s="497"/>
      <c r="O127" s="498"/>
      <c r="P127" s="499"/>
      <c r="Q127" s="500">
        <v>45852</v>
      </c>
      <c r="R127" s="148">
        <f t="shared" si="1"/>
        <v>1</v>
      </c>
      <c r="S127" s="264" t="s">
        <v>3792</v>
      </c>
      <c r="T127" s="69"/>
    </row>
    <row r="128" spans="1:20" ht="57.6" x14ac:dyDescent="0.3">
      <c r="A128" s="98">
        <v>125</v>
      </c>
      <c r="B128" s="506">
        <v>1550</v>
      </c>
      <c r="C128" s="492">
        <v>45852</v>
      </c>
      <c r="D128" s="369">
        <v>13258583</v>
      </c>
      <c r="E128" s="264" t="s">
        <v>3805</v>
      </c>
      <c r="F128" s="101" t="s">
        <v>24</v>
      </c>
      <c r="G128" s="112" t="s">
        <v>8</v>
      </c>
      <c r="H128" s="493">
        <v>45852</v>
      </c>
      <c r="I128" s="25"/>
      <c r="J128" s="728" t="s">
        <v>383</v>
      </c>
      <c r="K128" s="494"/>
      <c r="L128" s="495"/>
      <c r="M128" s="496"/>
      <c r="N128" s="497"/>
      <c r="O128" s="498"/>
      <c r="P128" s="499"/>
      <c r="Q128" s="500">
        <v>45852</v>
      </c>
      <c r="R128" s="148">
        <f t="shared" si="1"/>
        <v>1</v>
      </c>
      <c r="S128" s="634" t="s">
        <v>1916</v>
      </c>
      <c r="T128" s="167"/>
    </row>
    <row r="129" spans="1:20" ht="28.8" x14ac:dyDescent="0.3">
      <c r="A129" s="98">
        <v>126</v>
      </c>
      <c r="B129" s="506" t="s">
        <v>301</v>
      </c>
      <c r="C129" s="492">
        <v>45852</v>
      </c>
      <c r="D129" s="369">
        <v>99297116</v>
      </c>
      <c r="E129" s="264" t="s">
        <v>3806</v>
      </c>
      <c r="F129" s="101" t="s">
        <v>12</v>
      </c>
      <c r="G129" s="112" t="s">
        <v>4</v>
      </c>
      <c r="H129" s="493">
        <v>45852</v>
      </c>
      <c r="I129" s="25"/>
      <c r="J129" s="100" t="s">
        <v>82</v>
      </c>
      <c r="K129" s="494"/>
      <c r="L129" s="495"/>
      <c r="M129" s="496"/>
      <c r="N129" s="497"/>
      <c r="O129" s="498"/>
      <c r="P129" s="499"/>
      <c r="Q129" s="500">
        <v>45852</v>
      </c>
      <c r="R129" s="148">
        <f t="shared" si="1"/>
        <v>1</v>
      </c>
      <c r="S129" s="264" t="s">
        <v>720</v>
      </c>
      <c r="T129" s="69"/>
    </row>
    <row r="130" spans="1:20" ht="43.2" x14ac:dyDescent="0.3">
      <c r="A130" s="98">
        <v>127</v>
      </c>
      <c r="B130" s="506">
        <v>1550</v>
      </c>
      <c r="C130" s="492">
        <v>45852</v>
      </c>
      <c r="D130" s="369">
        <v>27219054</v>
      </c>
      <c r="E130" s="264" t="s">
        <v>3807</v>
      </c>
      <c r="F130" s="101" t="s">
        <v>33</v>
      </c>
      <c r="G130" s="112" t="s">
        <v>6</v>
      </c>
      <c r="H130" s="493">
        <v>45852</v>
      </c>
      <c r="I130" s="25"/>
      <c r="J130" s="727" t="s">
        <v>99</v>
      </c>
      <c r="K130" s="494"/>
      <c r="L130" s="495"/>
      <c r="M130" s="496"/>
      <c r="N130" s="497"/>
      <c r="O130" s="498"/>
      <c r="P130" s="499"/>
      <c r="Q130" s="500">
        <v>45853</v>
      </c>
      <c r="R130" s="148">
        <f t="shared" si="1"/>
        <v>1.0000218092994853</v>
      </c>
      <c r="S130" s="264" t="s">
        <v>2808</v>
      </c>
      <c r="T130" s="121"/>
    </row>
    <row r="131" spans="1:20" ht="28.8" x14ac:dyDescent="0.3">
      <c r="A131" s="98">
        <v>128</v>
      </c>
      <c r="B131" s="506">
        <v>1550</v>
      </c>
      <c r="C131" s="492">
        <v>45852</v>
      </c>
      <c r="D131" s="369">
        <v>120167409</v>
      </c>
      <c r="E131" s="264" t="s">
        <v>3808</v>
      </c>
      <c r="F131" s="101" t="s">
        <v>1</v>
      </c>
      <c r="G131" s="112" t="s">
        <v>4</v>
      </c>
      <c r="H131" s="493">
        <v>45852</v>
      </c>
      <c r="I131" s="25"/>
      <c r="J131" s="100" t="s">
        <v>3809</v>
      </c>
      <c r="K131" s="494"/>
      <c r="L131" s="495"/>
      <c r="M131" s="496"/>
      <c r="N131" s="497"/>
      <c r="O131" s="498"/>
      <c r="P131" s="499"/>
      <c r="Q131" s="500">
        <v>45852</v>
      </c>
      <c r="R131" s="148">
        <f t="shared" si="1"/>
        <v>1</v>
      </c>
      <c r="S131" s="264" t="s">
        <v>3792</v>
      </c>
      <c r="T131" s="167"/>
    </row>
    <row r="132" spans="1:20" ht="86.4" x14ac:dyDescent="0.3">
      <c r="A132" s="98">
        <v>129</v>
      </c>
      <c r="B132" s="506" t="s">
        <v>80</v>
      </c>
      <c r="C132" s="492">
        <v>45852</v>
      </c>
      <c r="D132" s="369">
        <v>2529874</v>
      </c>
      <c r="E132" s="270" t="s">
        <v>3810</v>
      </c>
      <c r="F132" s="344" t="s">
        <v>38</v>
      </c>
      <c r="G132" s="112" t="s">
        <v>6</v>
      </c>
      <c r="H132" s="493">
        <v>45852</v>
      </c>
      <c r="I132" s="25"/>
      <c r="J132" s="727" t="s">
        <v>253</v>
      </c>
      <c r="K132" s="557"/>
      <c r="L132" s="495"/>
      <c r="M132" s="496"/>
      <c r="N132" s="497"/>
      <c r="O132" s="498"/>
      <c r="P132" s="499"/>
      <c r="Q132" s="500">
        <v>45860</v>
      </c>
      <c r="R132" s="148">
        <f t="shared" ref="R132:R195" si="2">Q132/H132</f>
        <v>1.0001744743958825</v>
      </c>
      <c r="S132" s="101" t="s">
        <v>2597</v>
      </c>
      <c r="T132" s="167"/>
    </row>
    <row r="133" spans="1:20" ht="43.2" x14ac:dyDescent="0.3">
      <c r="A133" s="98">
        <v>130</v>
      </c>
      <c r="B133" s="506" t="s">
        <v>80</v>
      </c>
      <c r="C133" s="492">
        <v>45852</v>
      </c>
      <c r="D133" s="369">
        <v>1452150</v>
      </c>
      <c r="E133" s="270" t="s">
        <v>3811</v>
      </c>
      <c r="F133" s="344" t="s">
        <v>17</v>
      </c>
      <c r="G133" s="112" t="s">
        <v>8</v>
      </c>
      <c r="H133" s="493">
        <v>45852</v>
      </c>
      <c r="I133" s="25"/>
      <c r="J133" s="100" t="s">
        <v>82</v>
      </c>
      <c r="K133" s="557"/>
      <c r="L133" s="495"/>
      <c r="M133" s="496"/>
      <c r="N133" s="497"/>
      <c r="O133" s="498"/>
      <c r="P133" s="499"/>
      <c r="Q133" s="500">
        <v>45853</v>
      </c>
      <c r="R133" s="148">
        <f t="shared" si="2"/>
        <v>1.0000218092994853</v>
      </c>
      <c r="S133" s="101" t="s">
        <v>3418</v>
      </c>
      <c r="T133" s="69"/>
    </row>
    <row r="134" spans="1:20" ht="43.2" x14ac:dyDescent="0.3">
      <c r="A134" s="98">
        <v>131</v>
      </c>
      <c r="B134" s="506">
        <v>1550</v>
      </c>
      <c r="C134" s="492">
        <v>45852</v>
      </c>
      <c r="D134" s="369" t="s">
        <v>3812</v>
      </c>
      <c r="E134" s="270" t="s">
        <v>3813</v>
      </c>
      <c r="F134" s="344" t="s">
        <v>12</v>
      </c>
      <c r="G134" s="112" t="s">
        <v>6</v>
      </c>
      <c r="H134" s="493">
        <v>45853</v>
      </c>
      <c r="I134" s="25"/>
      <c r="J134" s="732" t="s">
        <v>159</v>
      </c>
      <c r="K134" s="558"/>
      <c r="L134" s="508"/>
      <c r="M134" s="365"/>
      <c r="N134" s="509"/>
      <c r="O134" s="510"/>
      <c r="P134" s="511"/>
      <c r="Q134" s="500">
        <v>45855</v>
      </c>
      <c r="R134" s="148">
        <f t="shared" si="2"/>
        <v>1.0000436176477003</v>
      </c>
      <c r="S134" s="101" t="s">
        <v>2597</v>
      </c>
      <c r="T134" s="167"/>
    </row>
    <row r="135" spans="1:20" ht="57.6" x14ac:dyDescent="0.3">
      <c r="A135" s="98">
        <v>132</v>
      </c>
      <c r="B135" s="506">
        <v>1550</v>
      </c>
      <c r="C135" s="492">
        <v>45853</v>
      </c>
      <c r="D135" s="369">
        <v>6373933</v>
      </c>
      <c r="E135" s="270" t="s">
        <v>3814</v>
      </c>
      <c r="F135" s="344" t="s">
        <v>7</v>
      </c>
      <c r="G135" s="112" t="s">
        <v>6</v>
      </c>
      <c r="H135" s="493">
        <v>45853</v>
      </c>
      <c r="I135" s="25"/>
      <c r="J135" s="107" t="s">
        <v>2352</v>
      </c>
      <c r="K135" s="557"/>
      <c r="L135" s="495"/>
      <c r="M135" s="496"/>
      <c r="N135" s="497"/>
      <c r="O135" s="498"/>
      <c r="P135" s="499"/>
      <c r="Q135" s="500">
        <v>45853</v>
      </c>
      <c r="R135" s="148">
        <f t="shared" si="2"/>
        <v>1</v>
      </c>
      <c r="S135" s="101" t="s">
        <v>1936</v>
      </c>
      <c r="T135" s="167"/>
    </row>
    <row r="136" spans="1:20" ht="100.8" x14ac:dyDescent="0.3">
      <c r="A136" s="98">
        <v>133</v>
      </c>
      <c r="B136" s="506" t="s">
        <v>301</v>
      </c>
      <c r="C136" s="492">
        <v>45853</v>
      </c>
      <c r="D136" s="369">
        <v>33703302</v>
      </c>
      <c r="E136" s="270" t="s">
        <v>3815</v>
      </c>
      <c r="F136" s="344" t="s">
        <v>7</v>
      </c>
      <c r="G136" s="112" t="s">
        <v>6</v>
      </c>
      <c r="H136" s="493">
        <v>45853</v>
      </c>
      <c r="I136" s="25"/>
      <c r="J136" s="100" t="s">
        <v>2547</v>
      </c>
      <c r="K136" s="558"/>
      <c r="L136" s="508"/>
      <c r="M136" s="365"/>
      <c r="N136" s="509"/>
      <c r="O136" s="510"/>
      <c r="P136" s="511"/>
      <c r="Q136" s="500">
        <v>45854</v>
      </c>
      <c r="R136" s="148">
        <f t="shared" si="2"/>
        <v>1.0000218088238502</v>
      </c>
      <c r="S136" s="101" t="s">
        <v>3783</v>
      </c>
      <c r="T136" s="344"/>
    </row>
    <row r="137" spans="1:20" ht="57.6" x14ac:dyDescent="0.3">
      <c r="A137" s="98">
        <v>134</v>
      </c>
      <c r="B137" s="506">
        <v>1550</v>
      </c>
      <c r="C137" s="492">
        <v>45853</v>
      </c>
      <c r="D137" s="369">
        <v>1704664</v>
      </c>
      <c r="E137" s="270" t="s">
        <v>3816</v>
      </c>
      <c r="F137" s="344" t="s">
        <v>3</v>
      </c>
      <c r="G137" s="112" t="s">
        <v>4</v>
      </c>
      <c r="H137" s="493">
        <v>45853</v>
      </c>
      <c r="I137" s="25"/>
      <c r="J137" s="728" t="s">
        <v>383</v>
      </c>
      <c r="K137" s="626" t="s">
        <v>262</v>
      </c>
      <c r="L137" s="508"/>
      <c r="M137" s="365"/>
      <c r="N137" s="509"/>
      <c r="O137" s="510"/>
      <c r="P137" s="511"/>
      <c r="Q137" s="500">
        <v>45853</v>
      </c>
      <c r="R137" s="148">
        <f t="shared" si="2"/>
        <v>1</v>
      </c>
      <c r="S137" s="101" t="s">
        <v>3792</v>
      </c>
      <c r="T137" s="69"/>
    </row>
    <row r="138" spans="1:20" ht="43.2" x14ac:dyDescent="0.3">
      <c r="A138" s="98">
        <v>135</v>
      </c>
      <c r="B138" s="506" t="s">
        <v>1826</v>
      </c>
      <c r="C138" s="492">
        <v>45853</v>
      </c>
      <c r="D138" s="369">
        <v>60028319</v>
      </c>
      <c r="E138" s="271" t="s">
        <v>3817</v>
      </c>
      <c r="F138" s="344" t="s">
        <v>27</v>
      </c>
      <c r="G138" s="112" t="s">
        <v>4</v>
      </c>
      <c r="H138" s="493">
        <v>45853</v>
      </c>
      <c r="I138" s="25">
        <v>10000304735</v>
      </c>
      <c r="J138" s="100" t="s">
        <v>22</v>
      </c>
      <c r="K138" s="558"/>
      <c r="L138" s="508"/>
      <c r="M138" s="365"/>
      <c r="N138" s="509"/>
      <c r="O138" s="510"/>
      <c r="P138" s="511"/>
      <c r="Q138" s="500">
        <v>45855</v>
      </c>
      <c r="R138" s="148">
        <f t="shared" si="2"/>
        <v>1.0000436176477003</v>
      </c>
      <c r="S138" s="101" t="s">
        <v>1312</v>
      </c>
      <c r="T138" s="69"/>
    </row>
    <row r="139" spans="1:20" ht="43.2" x14ac:dyDescent="0.3">
      <c r="A139" s="98">
        <v>136</v>
      </c>
      <c r="B139" s="506" t="s">
        <v>301</v>
      </c>
      <c r="C139" s="492">
        <v>45853</v>
      </c>
      <c r="D139" s="369">
        <v>82631794</v>
      </c>
      <c r="E139" s="271" t="s">
        <v>3818</v>
      </c>
      <c r="F139" s="344" t="s">
        <v>1</v>
      </c>
      <c r="G139" s="112" t="s">
        <v>6</v>
      </c>
      <c r="H139" s="493">
        <v>45853</v>
      </c>
      <c r="I139" s="25"/>
      <c r="J139" s="100" t="s">
        <v>2306</v>
      </c>
      <c r="K139" s="494"/>
      <c r="L139" s="495"/>
      <c r="M139" s="496"/>
      <c r="N139" s="497"/>
      <c r="O139" s="498"/>
      <c r="P139" s="499"/>
      <c r="Q139" s="500">
        <v>45854</v>
      </c>
      <c r="R139" s="148">
        <f t="shared" si="2"/>
        <v>1.0000218088238502</v>
      </c>
      <c r="S139" s="101" t="s">
        <v>1860</v>
      </c>
      <c r="T139" s="69"/>
    </row>
    <row r="140" spans="1:20" ht="115.2" x14ac:dyDescent="0.3">
      <c r="A140" s="98">
        <v>137</v>
      </c>
      <c r="B140" s="506">
        <v>1550</v>
      </c>
      <c r="C140" s="492">
        <v>45853</v>
      </c>
      <c r="D140" s="369">
        <v>736554</v>
      </c>
      <c r="E140" s="270" t="s">
        <v>3819</v>
      </c>
      <c r="F140" s="344" t="s">
        <v>1</v>
      </c>
      <c r="G140" s="112" t="s">
        <v>6</v>
      </c>
      <c r="H140" s="493">
        <v>45853</v>
      </c>
      <c r="I140" s="25"/>
      <c r="J140" s="100" t="s">
        <v>2306</v>
      </c>
      <c r="K140" s="558"/>
      <c r="L140" s="508"/>
      <c r="M140" s="365"/>
      <c r="N140" s="509"/>
      <c r="O140" s="510"/>
      <c r="P140" s="511"/>
      <c r="Q140" s="500">
        <v>45854</v>
      </c>
      <c r="R140" s="148">
        <f t="shared" si="2"/>
        <v>1.0000218088238502</v>
      </c>
      <c r="S140" s="101" t="s">
        <v>1934</v>
      </c>
      <c r="T140" s="69"/>
    </row>
    <row r="141" spans="1:20" ht="28.8" x14ac:dyDescent="0.3">
      <c r="A141" s="98">
        <v>138</v>
      </c>
      <c r="B141" s="506">
        <v>1550</v>
      </c>
      <c r="C141" s="492">
        <v>45853</v>
      </c>
      <c r="D141" s="369">
        <v>312412606</v>
      </c>
      <c r="E141" s="270" t="s">
        <v>3820</v>
      </c>
      <c r="F141" s="344" t="s">
        <v>3</v>
      </c>
      <c r="G141" s="112" t="s">
        <v>4</v>
      </c>
      <c r="H141" s="493">
        <v>45853</v>
      </c>
      <c r="I141" s="25"/>
      <c r="J141" s="100" t="s">
        <v>82</v>
      </c>
      <c r="K141" s="558"/>
      <c r="L141" s="508"/>
      <c r="M141" s="365"/>
      <c r="N141" s="509"/>
      <c r="O141" s="510"/>
      <c r="P141" s="511"/>
      <c r="Q141" s="500">
        <v>45859</v>
      </c>
      <c r="R141" s="148">
        <f t="shared" si="2"/>
        <v>1.0001308529431008</v>
      </c>
      <c r="S141" s="101" t="s">
        <v>3020</v>
      </c>
      <c r="T141" s="69"/>
    </row>
    <row r="142" spans="1:20" ht="28.8" x14ac:dyDescent="0.3">
      <c r="A142" s="98">
        <v>139</v>
      </c>
      <c r="B142" s="506">
        <v>1550</v>
      </c>
      <c r="C142" s="492">
        <v>45853</v>
      </c>
      <c r="D142" s="369">
        <v>27824713</v>
      </c>
      <c r="E142" s="263" t="s">
        <v>3821</v>
      </c>
      <c r="F142" s="344" t="s">
        <v>7</v>
      </c>
      <c r="G142" s="112" t="s">
        <v>4</v>
      </c>
      <c r="H142" s="493">
        <v>45853</v>
      </c>
      <c r="I142" s="25"/>
      <c r="J142" s="107" t="s">
        <v>3822</v>
      </c>
      <c r="K142" s="558"/>
      <c r="L142" s="508"/>
      <c r="M142" s="365"/>
      <c r="N142" s="509"/>
      <c r="O142" s="510"/>
      <c r="P142" s="511"/>
      <c r="Q142" s="500">
        <v>45854</v>
      </c>
      <c r="R142" s="148">
        <f t="shared" si="2"/>
        <v>1.0000218088238502</v>
      </c>
      <c r="S142" s="101" t="s">
        <v>3823</v>
      </c>
      <c r="T142" s="69"/>
    </row>
    <row r="143" spans="1:20" ht="28.8" x14ac:dyDescent="0.3">
      <c r="A143" s="98">
        <v>140</v>
      </c>
      <c r="B143" s="506">
        <v>1550</v>
      </c>
      <c r="C143" s="492">
        <v>45853</v>
      </c>
      <c r="D143" s="369">
        <v>23543361</v>
      </c>
      <c r="E143" s="264" t="s">
        <v>3824</v>
      </c>
      <c r="F143" s="344" t="s">
        <v>31</v>
      </c>
      <c r="G143" s="112" t="s">
        <v>4</v>
      </c>
      <c r="H143" s="493">
        <v>45853</v>
      </c>
      <c r="I143" s="25"/>
      <c r="J143" s="100" t="s">
        <v>82</v>
      </c>
      <c r="K143" s="558"/>
      <c r="L143" s="508"/>
      <c r="M143" s="365"/>
      <c r="N143" s="509"/>
      <c r="O143" s="510"/>
      <c r="P143" s="511"/>
      <c r="Q143" s="500">
        <v>45854</v>
      </c>
      <c r="R143" s="148">
        <f t="shared" si="2"/>
        <v>1.0000218088238502</v>
      </c>
      <c r="S143" s="101" t="s">
        <v>2597</v>
      </c>
      <c r="T143" s="69"/>
    </row>
    <row r="144" spans="1:20" ht="43.2" x14ac:dyDescent="0.3">
      <c r="A144" s="98">
        <v>141</v>
      </c>
      <c r="B144" s="506">
        <v>1550</v>
      </c>
      <c r="C144" s="492">
        <v>45854</v>
      </c>
      <c r="D144" s="369">
        <v>108326500</v>
      </c>
      <c r="E144" s="264" t="s">
        <v>3825</v>
      </c>
      <c r="F144" s="344" t="s">
        <v>33</v>
      </c>
      <c r="G144" s="112" t="s">
        <v>8</v>
      </c>
      <c r="H144" s="493">
        <v>45854</v>
      </c>
      <c r="I144" s="25"/>
      <c r="J144" s="727" t="s">
        <v>99</v>
      </c>
      <c r="K144" s="558"/>
      <c r="L144" s="508"/>
      <c r="M144" s="365"/>
      <c r="N144" s="509"/>
      <c r="O144" s="510"/>
      <c r="P144" s="511"/>
      <c r="Q144" s="500">
        <v>45855</v>
      </c>
      <c r="R144" s="148">
        <f t="shared" si="2"/>
        <v>1.0000218083482357</v>
      </c>
      <c r="S144" s="101" t="s">
        <v>8</v>
      </c>
      <c r="T144" s="167"/>
    </row>
    <row r="145" spans="1:20" ht="28.8" x14ac:dyDescent="0.3">
      <c r="A145" s="98">
        <v>142</v>
      </c>
      <c r="B145" s="506">
        <v>1550</v>
      </c>
      <c r="C145" s="492">
        <v>45854</v>
      </c>
      <c r="D145" s="369">
        <v>120565366</v>
      </c>
      <c r="E145" s="270" t="s">
        <v>3826</v>
      </c>
      <c r="F145" s="344" t="s">
        <v>1</v>
      </c>
      <c r="G145" s="112" t="s">
        <v>4</v>
      </c>
      <c r="H145" s="493">
        <v>45854</v>
      </c>
      <c r="I145" s="25"/>
      <c r="J145" s="100" t="s">
        <v>2306</v>
      </c>
      <c r="K145" s="494"/>
      <c r="L145" s="495"/>
      <c r="M145" s="496"/>
      <c r="N145" s="497"/>
      <c r="O145" s="498"/>
      <c r="P145" s="499"/>
      <c r="Q145" s="500">
        <v>45854</v>
      </c>
      <c r="R145" s="148">
        <f t="shared" si="2"/>
        <v>1</v>
      </c>
      <c r="S145" s="101" t="s">
        <v>2970</v>
      </c>
      <c r="T145" s="69"/>
    </row>
    <row r="146" spans="1:20" ht="57.6" x14ac:dyDescent="0.3">
      <c r="A146" s="98">
        <v>143</v>
      </c>
      <c r="B146" s="506">
        <v>1550</v>
      </c>
      <c r="C146" s="492">
        <v>45854</v>
      </c>
      <c r="D146" s="369">
        <v>16871804</v>
      </c>
      <c r="E146" s="270" t="s">
        <v>3827</v>
      </c>
      <c r="F146" s="344" t="s">
        <v>37</v>
      </c>
      <c r="G146" s="112" t="s">
        <v>4</v>
      </c>
      <c r="H146" s="493">
        <v>45854</v>
      </c>
      <c r="I146" s="25"/>
      <c r="J146" s="100" t="s">
        <v>2367</v>
      </c>
      <c r="K146" s="507"/>
      <c r="L146" s="508"/>
      <c r="M146" s="365"/>
      <c r="N146" s="509"/>
      <c r="O146" s="510"/>
      <c r="P146" s="511"/>
      <c r="Q146" s="500">
        <v>45856</v>
      </c>
      <c r="R146" s="148">
        <f t="shared" si="2"/>
        <v>1.0000436166964715</v>
      </c>
      <c r="S146" s="101" t="s">
        <v>2970</v>
      </c>
      <c r="T146" s="167"/>
    </row>
    <row r="147" spans="1:20" ht="57.6" x14ac:dyDescent="0.3">
      <c r="A147" s="98">
        <v>144</v>
      </c>
      <c r="B147" s="506">
        <v>1550</v>
      </c>
      <c r="C147" s="492">
        <v>45854</v>
      </c>
      <c r="D147" s="369">
        <v>93799691</v>
      </c>
      <c r="E147" s="270" t="s">
        <v>3828</v>
      </c>
      <c r="F147" s="344" t="s">
        <v>37</v>
      </c>
      <c r="G147" s="112" t="s">
        <v>4</v>
      </c>
      <c r="H147" s="493">
        <v>45854</v>
      </c>
      <c r="I147" s="25"/>
      <c r="J147" s="100" t="s">
        <v>2306</v>
      </c>
      <c r="K147" s="507"/>
      <c r="L147" s="508"/>
      <c r="M147" s="365"/>
      <c r="N147" s="509"/>
      <c r="O147" s="510"/>
      <c r="P147" s="511"/>
      <c r="Q147" s="500">
        <v>45856</v>
      </c>
      <c r="R147" s="148">
        <f t="shared" si="2"/>
        <v>1.0000436166964715</v>
      </c>
      <c r="S147" s="101" t="s">
        <v>151</v>
      </c>
      <c r="T147" s="167"/>
    </row>
    <row r="148" spans="1:20" ht="57.6" x14ac:dyDescent="0.3">
      <c r="A148" s="98">
        <v>145</v>
      </c>
      <c r="B148" s="506">
        <v>1550</v>
      </c>
      <c r="C148" s="492">
        <v>45854</v>
      </c>
      <c r="D148" s="369" t="s">
        <v>3829</v>
      </c>
      <c r="E148" s="270" t="s">
        <v>3745</v>
      </c>
      <c r="F148" s="344" t="s">
        <v>24</v>
      </c>
      <c r="G148" s="112" t="s">
        <v>4</v>
      </c>
      <c r="H148" s="493">
        <v>45854</v>
      </c>
      <c r="I148" s="25"/>
      <c r="J148" s="728" t="s">
        <v>383</v>
      </c>
      <c r="K148" s="494"/>
      <c r="L148" s="495"/>
      <c r="M148" s="496"/>
      <c r="N148" s="497"/>
      <c r="O148" s="498"/>
      <c r="P148" s="499"/>
      <c r="Q148" s="500">
        <v>45854</v>
      </c>
      <c r="R148" s="148">
        <f t="shared" si="2"/>
        <v>1</v>
      </c>
      <c r="S148" s="101" t="s">
        <v>3830</v>
      </c>
      <c r="T148" s="69"/>
    </row>
    <row r="149" spans="1:20" ht="28.8" x14ac:dyDescent="0.3">
      <c r="A149" s="98">
        <v>146</v>
      </c>
      <c r="B149" s="506">
        <v>1550</v>
      </c>
      <c r="C149" s="492">
        <v>45854</v>
      </c>
      <c r="D149" s="369">
        <v>77951263</v>
      </c>
      <c r="E149" s="270" t="s">
        <v>3831</v>
      </c>
      <c r="F149" s="344" t="s">
        <v>3</v>
      </c>
      <c r="G149" s="112" t="s">
        <v>8</v>
      </c>
      <c r="H149" s="493">
        <v>45854</v>
      </c>
      <c r="I149" s="25"/>
      <c r="J149" s="100" t="s">
        <v>82</v>
      </c>
      <c r="K149" s="507"/>
      <c r="L149" s="508"/>
      <c r="M149" s="365"/>
      <c r="N149" s="509"/>
      <c r="O149" s="510"/>
      <c r="P149" s="511"/>
      <c r="Q149" s="500">
        <v>45862</v>
      </c>
      <c r="R149" s="148">
        <f t="shared" si="2"/>
        <v>1.0001744667858856</v>
      </c>
      <c r="S149" s="101" t="s">
        <v>8</v>
      </c>
      <c r="T149" s="69"/>
    </row>
    <row r="150" spans="1:20" ht="86.4" x14ac:dyDescent="0.3">
      <c r="A150" s="98">
        <v>147</v>
      </c>
      <c r="B150" s="506" t="s">
        <v>301</v>
      </c>
      <c r="C150" s="492">
        <v>45854</v>
      </c>
      <c r="D150" s="369">
        <v>8282315</v>
      </c>
      <c r="E150" s="270" t="s">
        <v>3832</v>
      </c>
      <c r="F150" s="344" t="s">
        <v>1</v>
      </c>
      <c r="G150" s="112" t="s">
        <v>6</v>
      </c>
      <c r="H150" s="493">
        <v>45854</v>
      </c>
      <c r="I150" s="25"/>
      <c r="J150" s="107" t="s">
        <v>2544</v>
      </c>
      <c r="K150" s="494"/>
      <c r="L150" s="495"/>
      <c r="M150" s="496"/>
      <c r="N150" s="497"/>
      <c r="O150" s="498"/>
      <c r="P150" s="499"/>
      <c r="Q150" s="500">
        <v>45856</v>
      </c>
      <c r="R150" s="148">
        <f t="shared" si="2"/>
        <v>1.0000436166964715</v>
      </c>
      <c r="S150" s="101" t="s">
        <v>1860</v>
      </c>
      <c r="T150" s="69"/>
    </row>
    <row r="151" spans="1:20" ht="86.4" x14ac:dyDescent="0.3">
      <c r="A151" s="98">
        <v>148</v>
      </c>
      <c r="B151" s="506" t="s">
        <v>301</v>
      </c>
      <c r="C151" s="492">
        <v>45854</v>
      </c>
      <c r="D151" s="369">
        <v>104831286</v>
      </c>
      <c r="E151" s="270" t="s">
        <v>3833</v>
      </c>
      <c r="F151" s="344" t="s">
        <v>25</v>
      </c>
      <c r="G151" s="112" t="s">
        <v>6</v>
      </c>
      <c r="H151" s="493">
        <v>45854</v>
      </c>
      <c r="I151" s="25"/>
      <c r="J151" s="107" t="s">
        <v>135</v>
      </c>
      <c r="K151" s="494"/>
      <c r="L151" s="495"/>
      <c r="M151" s="496"/>
      <c r="N151" s="497"/>
      <c r="O151" s="498"/>
      <c r="P151" s="499"/>
      <c r="Q151" s="500">
        <v>45855</v>
      </c>
      <c r="R151" s="148">
        <f t="shared" si="2"/>
        <v>1.0000218083482357</v>
      </c>
      <c r="S151" s="101" t="s">
        <v>3783</v>
      </c>
      <c r="T151" s="69"/>
    </row>
    <row r="152" spans="1:20" ht="115.2" x14ac:dyDescent="0.3">
      <c r="A152" s="98">
        <v>149</v>
      </c>
      <c r="B152" s="506">
        <v>1550</v>
      </c>
      <c r="C152" s="492">
        <v>45854</v>
      </c>
      <c r="D152" s="537">
        <v>3483940</v>
      </c>
      <c r="E152" s="270" t="s">
        <v>3834</v>
      </c>
      <c r="F152" s="344" t="s">
        <v>7</v>
      </c>
      <c r="G152" s="112" t="s">
        <v>6</v>
      </c>
      <c r="H152" s="493">
        <v>45854</v>
      </c>
      <c r="I152" s="25"/>
      <c r="J152" s="100" t="s">
        <v>2306</v>
      </c>
      <c r="K152" s="494"/>
      <c r="L152" s="495"/>
      <c r="M152" s="496"/>
      <c r="N152" s="497"/>
      <c r="O152" s="498"/>
      <c r="P152" s="499"/>
      <c r="Q152" s="500">
        <v>45859</v>
      </c>
      <c r="R152" s="148">
        <f t="shared" si="2"/>
        <v>1.0001090417411784</v>
      </c>
      <c r="S152" s="101" t="s">
        <v>1934</v>
      </c>
      <c r="T152" s="167"/>
    </row>
    <row r="153" spans="1:20" ht="43.2" x14ac:dyDescent="0.3">
      <c r="A153" s="98">
        <v>150</v>
      </c>
      <c r="B153" s="506" t="s">
        <v>1044</v>
      </c>
      <c r="C153" s="492">
        <v>45854</v>
      </c>
      <c r="D153" s="36">
        <v>15601064</v>
      </c>
      <c r="E153" s="635" t="s">
        <v>3835</v>
      </c>
      <c r="F153" s="344" t="s">
        <v>49</v>
      </c>
      <c r="G153" s="112" t="s">
        <v>4</v>
      </c>
      <c r="H153" s="493">
        <v>45854</v>
      </c>
      <c r="I153" s="25"/>
      <c r="J153" s="107" t="s">
        <v>266</v>
      </c>
      <c r="K153" s="494"/>
      <c r="L153" s="495"/>
      <c r="M153" s="496"/>
      <c r="N153" s="497"/>
      <c r="O153" s="498"/>
      <c r="P153" s="499"/>
      <c r="Q153" s="500">
        <v>45854</v>
      </c>
      <c r="R153" s="148">
        <f t="shared" si="2"/>
        <v>1</v>
      </c>
      <c r="S153" s="101" t="s">
        <v>720</v>
      </c>
      <c r="T153" s="69"/>
    </row>
    <row r="154" spans="1:20" ht="43.2" x14ac:dyDescent="0.3">
      <c r="A154" s="98">
        <v>151</v>
      </c>
      <c r="B154" s="506" t="s">
        <v>1044</v>
      </c>
      <c r="C154" s="492">
        <v>45854</v>
      </c>
      <c r="D154" s="219">
        <v>104749709</v>
      </c>
      <c r="E154" s="635" t="s">
        <v>3835</v>
      </c>
      <c r="F154" s="344" t="s">
        <v>49</v>
      </c>
      <c r="G154" s="112" t="s">
        <v>4</v>
      </c>
      <c r="H154" s="493">
        <v>45854</v>
      </c>
      <c r="I154" s="25"/>
      <c r="J154" s="107" t="s">
        <v>266</v>
      </c>
      <c r="K154" s="494"/>
      <c r="L154" s="495"/>
      <c r="M154" s="496"/>
      <c r="N154" s="497"/>
      <c r="O154" s="498"/>
      <c r="P154" s="499"/>
      <c r="Q154" s="500">
        <v>45854</v>
      </c>
      <c r="R154" s="148">
        <f t="shared" si="2"/>
        <v>1</v>
      </c>
      <c r="S154" s="101" t="s">
        <v>720</v>
      </c>
      <c r="T154" s="69"/>
    </row>
    <row r="155" spans="1:20" ht="43.2" x14ac:dyDescent="0.3">
      <c r="A155" s="98">
        <v>152</v>
      </c>
      <c r="B155" s="506" t="s">
        <v>1044</v>
      </c>
      <c r="C155" s="492">
        <v>45854</v>
      </c>
      <c r="D155" s="369">
        <v>58033491</v>
      </c>
      <c r="E155" s="270" t="s">
        <v>3835</v>
      </c>
      <c r="F155" s="344" t="s">
        <v>49</v>
      </c>
      <c r="G155" s="112" t="s">
        <v>4</v>
      </c>
      <c r="H155" s="493">
        <v>45854</v>
      </c>
      <c r="I155" s="25"/>
      <c r="J155" s="107" t="s">
        <v>266</v>
      </c>
      <c r="K155" s="494"/>
      <c r="L155" s="495"/>
      <c r="M155" s="496"/>
      <c r="N155" s="497"/>
      <c r="O155" s="498"/>
      <c r="P155" s="499"/>
      <c r="Q155" s="500">
        <v>45854</v>
      </c>
      <c r="R155" s="148">
        <f t="shared" si="2"/>
        <v>1</v>
      </c>
      <c r="S155" s="101" t="s">
        <v>720</v>
      </c>
      <c r="T155" s="167"/>
    </row>
    <row r="156" spans="1:20" ht="43.2" x14ac:dyDescent="0.3">
      <c r="A156" s="98">
        <v>153</v>
      </c>
      <c r="B156" s="506" t="s">
        <v>1044</v>
      </c>
      <c r="C156" s="492">
        <v>45854</v>
      </c>
      <c r="D156" s="369">
        <v>118358146</v>
      </c>
      <c r="E156" s="270" t="s">
        <v>3835</v>
      </c>
      <c r="F156" s="344" t="s">
        <v>49</v>
      </c>
      <c r="G156" s="112" t="s">
        <v>4</v>
      </c>
      <c r="H156" s="493">
        <v>45854</v>
      </c>
      <c r="I156" s="25"/>
      <c r="J156" s="107" t="s">
        <v>266</v>
      </c>
      <c r="K156" s="494"/>
      <c r="L156" s="495"/>
      <c r="M156" s="496"/>
      <c r="N156" s="497"/>
      <c r="O156" s="498"/>
      <c r="P156" s="499"/>
      <c r="Q156" s="500">
        <v>45854</v>
      </c>
      <c r="R156" s="148">
        <f t="shared" si="2"/>
        <v>1</v>
      </c>
      <c r="S156" s="101" t="s">
        <v>720</v>
      </c>
      <c r="T156" s="167"/>
    </row>
    <row r="157" spans="1:20" ht="43.2" x14ac:dyDescent="0.3">
      <c r="A157" s="98">
        <v>154</v>
      </c>
      <c r="B157" s="506" t="s">
        <v>1044</v>
      </c>
      <c r="C157" s="492">
        <v>45854</v>
      </c>
      <c r="D157" s="369">
        <v>19112734</v>
      </c>
      <c r="E157" s="270" t="s">
        <v>3835</v>
      </c>
      <c r="F157" s="344" t="s">
        <v>49</v>
      </c>
      <c r="G157" s="112" t="s">
        <v>4</v>
      </c>
      <c r="H157" s="493">
        <v>45854</v>
      </c>
      <c r="I157" s="25"/>
      <c r="J157" s="107" t="s">
        <v>266</v>
      </c>
      <c r="K157" s="494"/>
      <c r="L157" s="495"/>
      <c r="M157" s="496"/>
      <c r="N157" s="497"/>
      <c r="O157" s="498"/>
      <c r="P157" s="499"/>
      <c r="Q157" s="500">
        <v>45854</v>
      </c>
      <c r="R157" s="148">
        <f t="shared" si="2"/>
        <v>1</v>
      </c>
      <c r="S157" s="101" t="s">
        <v>720</v>
      </c>
      <c r="T157" s="167"/>
    </row>
    <row r="158" spans="1:20" ht="43.2" x14ac:dyDescent="0.3">
      <c r="A158" s="98">
        <v>155</v>
      </c>
      <c r="B158" s="506" t="s">
        <v>1044</v>
      </c>
      <c r="C158" s="492">
        <v>45854</v>
      </c>
      <c r="D158" s="369">
        <v>35508825</v>
      </c>
      <c r="E158" s="270" t="s">
        <v>3835</v>
      </c>
      <c r="F158" s="344" t="s">
        <v>49</v>
      </c>
      <c r="G158" s="112" t="s">
        <v>4</v>
      </c>
      <c r="H158" s="493">
        <v>45854</v>
      </c>
      <c r="I158" s="25"/>
      <c r="J158" s="107" t="s">
        <v>266</v>
      </c>
      <c r="K158" s="494"/>
      <c r="L158" s="495"/>
      <c r="M158" s="496"/>
      <c r="N158" s="497"/>
      <c r="O158" s="498"/>
      <c r="P158" s="499"/>
      <c r="Q158" s="500">
        <v>45854</v>
      </c>
      <c r="R158" s="148">
        <f t="shared" si="2"/>
        <v>1</v>
      </c>
      <c r="S158" s="101" t="s">
        <v>720</v>
      </c>
      <c r="T158" s="167"/>
    </row>
    <row r="159" spans="1:20" ht="43.2" x14ac:dyDescent="0.3">
      <c r="A159" s="98">
        <v>156</v>
      </c>
      <c r="B159" s="506" t="s">
        <v>1044</v>
      </c>
      <c r="C159" s="492">
        <v>45854</v>
      </c>
      <c r="D159" s="369">
        <v>87302985</v>
      </c>
      <c r="E159" s="270" t="s">
        <v>3835</v>
      </c>
      <c r="F159" s="344" t="s">
        <v>49</v>
      </c>
      <c r="G159" s="112" t="s">
        <v>4</v>
      </c>
      <c r="H159" s="493">
        <v>45854</v>
      </c>
      <c r="I159" s="25"/>
      <c r="J159" s="107" t="s">
        <v>266</v>
      </c>
      <c r="K159" s="494"/>
      <c r="L159" s="495"/>
      <c r="M159" s="496"/>
      <c r="N159" s="497"/>
      <c r="O159" s="498"/>
      <c r="P159" s="499"/>
      <c r="Q159" s="500">
        <v>45854</v>
      </c>
      <c r="R159" s="148">
        <f t="shared" si="2"/>
        <v>1</v>
      </c>
      <c r="S159" s="101" t="s">
        <v>720</v>
      </c>
      <c r="T159" s="167"/>
    </row>
    <row r="160" spans="1:20" ht="43.2" x14ac:dyDescent="0.3">
      <c r="A160" s="98">
        <v>157</v>
      </c>
      <c r="B160" s="506" t="s">
        <v>1044</v>
      </c>
      <c r="C160" s="492">
        <v>45854</v>
      </c>
      <c r="D160" s="369">
        <v>102183422</v>
      </c>
      <c r="E160" s="270" t="s">
        <v>3835</v>
      </c>
      <c r="F160" s="344" t="s">
        <v>49</v>
      </c>
      <c r="G160" s="112" t="s">
        <v>4</v>
      </c>
      <c r="H160" s="493">
        <v>45854</v>
      </c>
      <c r="I160" s="25"/>
      <c r="J160" s="107" t="s">
        <v>266</v>
      </c>
      <c r="K160" s="494"/>
      <c r="L160" s="495"/>
      <c r="M160" s="496"/>
      <c r="N160" s="497"/>
      <c r="O160" s="498"/>
      <c r="P160" s="499"/>
      <c r="Q160" s="500">
        <v>45854</v>
      </c>
      <c r="R160" s="148">
        <f t="shared" si="2"/>
        <v>1</v>
      </c>
      <c r="S160" s="101" t="s">
        <v>720</v>
      </c>
      <c r="T160" s="69"/>
    </row>
    <row r="161" spans="1:20" ht="28.8" x14ac:dyDescent="0.3">
      <c r="A161" s="98">
        <v>158</v>
      </c>
      <c r="B161" s="506" t="s">
        <v>1044</v>
      </c>
      <c r="C161" s="492">
        <v>45855</v>
      </c>
      <c r="D161" s="369">
        <v>107375419</v>
      </c>
      <c r="E161" s="264" t="s">
        <v>3836</v>
      </c>
      <c r="F161" s="344" t="s">
        <v>1</v>
      </c>
      <c r="G161" s="112" t="s">
        <v>4</v>
      </c>
      <c r="H161" s="493">
        <v>45855</v>
      </c>
      <c r="I161" s="25"/>
      <c r="J161" s="100" t="s">
        <v>2306</v>
      </c>
      <c r="K161" s="494"/>
      <c r="L161" s="495"/>
      <c r="M161" s="496"/>
      <c r="N161" s="497"/>
      <c r="O161" s="498"/>
      <c r="P161" s="499"/>
      <c r="Q161" s="500">
        <v>45855</v>
      </c>
      <c r="R161" s="148">
        <f t="shared" si="2"/>
        <v>1</v>
      </c>
      <c r="S161" s="559" t="s">
        <v>720</v>
      </c>
      <c r="T161" s="69"/>
    </row>
    <row r="162" spans="1:20" ht="57.6" x14ac:dyDescent="0.3">
      <c r="A162" s="98">
        <v>159</v>
      </c>
      <c r="B162" s="506">
        <v>1550</v>
      </c>
      <c r="C162" s="492">
        <v>45855</v>
      </c>
      <c r="D162" s="369">
        <v>46292489</v>
      </c>
      <c r="E162" s="264" t="s">
        <v>3837</v>
      </c>
      <c r="F162" s="344" t="s">
        <v>24</v>
      </c>
      <c r="G162" s="112" t="s">
        <v>4</v>
      </c>
      <c r="H162" s="493">
        <v>45855</v>
      </c>
      <c r="I162" s="25"/>
      <c r="J162" s="107" t="s">
        <v>1260</v>
      </c>
      <c r="K162" s="494"/>
      <c r="L162" s="495"/>
      <c r="M162" s="496"/>
      <c r="N162" s="497"/>
      <c r="O162" s="498"/>
      <c r="P162" s="499"/>
      <c r="Q162" s="500">
        <v>45856</v>
      </c>
      <c r="R162" s="148">
        <f t="shared" si="2"/>
        <v>1.0000218078726419</v>
      </c>
      <c r="S162" s="559" t="s">
        <v>2974</v>
      </c>
      <c r="T162" s="69"/>
    </row>
    <row r="163" spans="1:20" ht="129.6" x14ac:dyDescent="0.3">
      <c r="A163" s="98">
        <v>160</v>
      </c>
      <c r="B163" s="506">
        <v>1150</v>
      </c>
      <c r="C163" s="492">
        <v>45855</v>
      </c>
      <c r="D163" s="369">
        <v>66551412</v>
      </c>
      <c r="E163" s="264" t="s">
        <v>3838</v>
      </c>
      <c r="F163" s="344" t="s">
        <v>3839</v>
      </c>
      <c r="G163" s="112" t="s">
        <v>6</v>
      </c>
      <c r="H163" s="493">
        <v>45855</v>
      </c>
      <c r="I163" s="25"/>
      <c r="J163" s="107" t="s">
        <v>2504</v>
      </c>
      <c r="K163" s="494"/>
      <c r="L163" s="495"/>
      <c r="M163" s="496"/>
      <c r="N163" s="497"/>
      <c r="O163" s="498"/>
      <c r="P163" s="499"/>
      <c r="Q163" s="500">
        <v>45855</v>
      </c>
      <c r="R163" s="148">
        <f t="shared" si="2"/>
        <v>1</v>
      </c>
      <c r="S163" s="559" t="s">
        <v>1312</v>
      </c>
      <c r="T163" s="69"/>
    </row>
    <row r="164" spans="1:20" ht="43.2" x14ac:dyDescent="0.3">
      <c r="A164" s="98">
        <v>161</v>
      </c>
      <c r="B164" s="553">
        <v>1550</v>
      </c>
      <c r="C164" s="556">
        <v>45855</v>
      </c>
      <c r="D164" s="537">
        <v>107876876</v>
      </c>
      <c r="E164" s="290" t="s">
        <v>3840</v>
      </c>
      <c r="F164" s="416" t="s">
        <v>1</v>
      </c>
      <c r="G164" s="417" t="s">
        <v>8</v>
      </c>
      <c r="H164" s="560">
        <v>45855</v>
      </c>
      <c r="I164" s="561"/>
      <c r="J164" s="100" t="s">
        <v>2352</v>
      </c>
      <c r="K164" s="562"/>
      <c r="L164" s="563"/>
      <c r="M164" s="564"/>
      <c r="N164" s="565"/>
      <c r="O164" s="566"/>
      <c r="P164" s="567"/>
      <c r="Q164" s="500">
        <v>45855</v>
      </c>
      <c r="R164" s="148">
        <f t="shared" si="2"/>
        <v>1</v>
      </c>
      <c r="S164" s="559" t="s">
        <v>3841</v>
      </c>
      <c r="T164" s="69"/>
    </row>
    <row r="165" spans="1:20" ht="28.8" x14ac:dyDescent="0.3">
      <c r="A165" s="98">
        <v>162</v>
      </c>
      <c r="B165" s="111" t="s">
        <v>1826</v>
      </c>
      <c r="C165" s="512">
        <v>45855</v>
      </c>
      <c r="D165" s="219">
        <v>84106271</v>
      </c>
      <c r="E165" s="109" t="s">
        <v>3794</v>
      </c>
      <c r="F165" s="111" t="s">
        <v>3</v>
      </c>
      <c r="G165" s="125" t="s">
        <v>4</v>
      </c>
      <c r="H165" s="568">
        <v>45855</v>
      </c>
      <c r="I165" s="341"/>
      <c r="J165" s="100" t="s">
        <v>82</v>
      </c>
      <c r="K165" s="569"/>
      <c r="L165" s="570"/>
      <c r="M165" s="570"/>
      <c r="N165" s="571"/>
      <c r="O165" s="572"/>
      <c r="P165" s="572"/>
      <c r="Q165" s="500">
        <v>45861</v>
      </c>
      <c r="R165" s="148">
        <f t="shared" si="2"/>
        <v>1.0001308472358521</v>
      </c>
      <c r="S165" s="101" t="s">
        <v>720</v>
      </c>
      <c r="T165" s="57"/>
    </row>
    <row r="166" spans="1:20" ht="28.8" x14ac:dyDescent="0.3">
      <c r="A166" s="98">
        <v>163</v>
      </c>
      <c r="B166" s="554">
        <v>1550</v>
      </c>
      <c r="C166" s="573">
        <v>45855</v>
      </c>
      <c r="D166" s="369"/>
      <c r="E166" s="277" t="s">
        <v>3842</v>
      </c>
      <c r="F166" s="101" t="s">
        <v>21</v>
      </c>
      <c r="G166" s="81" t="s">
        <v>4</v>
      </c>
      <c r="H166" s="493">
        <v>45855</v>
      </c>
      <c r="I166" s="555"/>
      <c r="J166" s="100" t="s">
        <v>2513</v>
      </c>
      <c r="K166" s="574"/>
      <c r="L166" s="575"/>
      <c r="M166" s="576"/>
      <c r="N166" s="577"/>
      <c r="O166" s="578"/>
      <c r="P166" s="579"/>
      <c r="Q166" s="500">
        <v>45863</v>
      </c>
      <c r="R166" s="148">
        <f t="shared" si="2"/>
        <v>1.0001744629811362</v>
      </c>
      <c r="S166" s="101" t="s">
        <v>2974</v>
      </c>
      <c r="T166" s="69"/>
    </row>
    <row r="167" spans="1:20" ht="57.6" x14ac:dyDescent="0.3">
      <c r="A167" s="98">
        <v>164</v>
      </c>
      <c r="B167" s="506">
        <v>1550</v>
      </c>
      <c r="C167" s="492">
        <v>45855</v>
      </c>
      <c r="D167" s="369">
        <v>103344063</v>
      </c>
      <c r="E167" s="270" t="s">
        <v>3843</v>
      </c>
      <c r="F167" s="344" t="s">
        <v>1326</v>
      </c>
      <c r="G167" s="112" t="s">
        <v>4</v>
      </c>
      <c r="H167" s="493">
        <v>45855</v>
      </c>
      <c r="I167" s="25"/>
      <c r="J167" s="727" t="s">
        <v>99</v>
      </c>
      <c r="K167" s="494"/>
      <c r="L167" s="495"/>
      <c r="M167" s="496"/>
      <c r="N167" s="497"/>
      <c r="O167" s="498"/>
      <c r="P167" s="499"/>
      <c r="Q167" s="500">
        <v>45855</v>
      </c>
      <c r="R167" s="148">
        <f t="shared" si="2"/>
        <v>1</v>
      </c>
      <c r="S167" s="101" t="s">
        <v>1934</v>
      </c>
      <c r="T167" s="69"/>
    </row>
    <row r="168" spans="1:20" ht="28.8" x14ac:dyDescent="0.3">
      <c r="A168" s="98">
        <v>165</v>
      </c>
      <c r="B168" s="506">
        <v>1550</v>
      </c>
      <c r="C168" s="492">
        <v>45855</v>
      </c>
      <c r="D168" s="369">
        <v>23716800</v>
      </c>
      <c r="E168" s="270" t="s">
        <v>3844</v>
      </c>
      <c r="F168" s="344" t="s">
        <v>1</v>
      </c>
      <c r="G168" s="112" t="s">
        <v>4</v>
      </c>
      <c r="H168" s="493">
        <v>45855</v>
      </c>
      <c r="I168" s="25"/>
      <c r="J168" s="100" t="s">
        <v>2367</v>
      </c>
      <c r="K168" s="494"/>
      <c r="L168" s="495"/>
      <c r="M168" s="496"/>
      <c r="N168" s="497"/>
      <c r="O168" s="498"/>
      <c r="P168" s="499"/>
      <c r="Q168" s="500">
        <v>45856</v>
      </c>
      <c r="R168" s="148">
        <f t="shared" si="2"/>
        <v>1.0000218078726419</v>
      </c>
      <c r="S168" s="101" t="s">
        <v>720</v>
      </c>
      <c r="T168" s="69"/>
    </row>
    <row r="169" spans="1:20" ht="57.6" x14ac:dyDescent="0.3">
      <c r="A169" s="98">
        <v>166</v>
      </c>
      <c r="B169" s="506">
        <v>1550</v>
      </c>
      <c r="C169" s="492">
        <v>45855</v>
      </c>
      <c r="D169" s="369">
        <v>101586302</v>
      </c>
      <c r="E169" s="270" t="s">
        <v>3845</v>
      </c>
      <c r="F169" s="344" t="s">
        <v>24</v>
      </c>
      <c r="G169" s="112" t="s">
        <v>4</v>
      </c>
      <c r="H169" s="493">
        <v>45855</v>
      </c>
      <c r="I169" s="25"/>
      <c r="J169" s="728" t="s">
        <v>383</v>
      </c>
      <c r="K169" s="494"/>
      <c r="L169" s="495"/>
      <c r="M169" s="496"/>
      <c r="N169" s="497"/>
      <c r="O169" s="498"/>
      <c r="P169" s="499"/>
      <c r="Q169" s="500">
        <v>45856</v>
      </c>
      <c r="R169" s="148">
        <f t="shared" si="2"/>
        <v>1.0000218078726419</v>
      </c>
      <c r="S169" s="101" t="s">
        <v>3047</v>
      </c>
      <c r="T169" s="69"/>
    </row>
    <row r="170" spans="1:20" ht="43.2" x14ac:dyDescent="0.3">
      <c r="A170" s="98">
        <v>167</v>
      </c>
      <c r="B170" s="506">
        <v>1550</v>
      </c>
      <c r="C170" s="492">
        <v>45855</v>
      </c>
      <c r="D170" s="369">
        <v>68838476</v>
      </c>
      <c r="E170" s="270" t="s">
        <v>3846</v>
      </c>
      <c r="F170" s="344" t="s">
        <v>7</v>
      </c>
      <c r="G170" s="112" t="s">
        <v>6</v>
      </c>
      <c r="H170" s="493">
        <v>45855</v>
      </c>
      <c r="I170" s="25"/>
      <c r="J170" s="727" t="s">
        <v>99</v>
      </c>
      <c r="K170" s="494" t="s">
        <v>393</v>
      </c>
      <c r="L170" s="636">
        <v>45855</v>
      </c>
      <c r="M170" s="496"/>
      <c r="N170" s="497"/>
      <c r="O170" s="498"/>
      <c r="P170" s="499"/>
      <c r="Q170" s="500">
        <v>45856</v>
      </c>
      <c r="R170" s="148">
        <f t="shared" si="2"/>
        <v>1.0000218078726419</v>
      </c>
      <c r="S170" s="101" t="s">
        <v>2747</v>
      </c>
      <c r="T170" s="69"/>
    </row>
    <row r="171" spans="1:20" ht="28.8" x14ac:dyDescent="0.3">
      <c r="A171" s="98">
        <v>168</v>
      </c>
      <c r="B171" s="506">
        <v>1550</v>
      </c>
      <c r="C171" s="492">
        <v>45855</v>
      </c>
      <c r="D171" s="537">
        <v>120557746</v>
      </c>
      <c r="E171" s="275" t="s">
        <v>3847</v>
      </c>
      <c r="F171" s="416" t="s">
        <v>1</v>
      </c>
      <c r="G171" s="417" t="s">
        <v>4</v>
      </c>
      <c r="H171" s="560">
        <v>45855</v>
      </c>
      <c r="I171" s="561"/>
      <c r="J171" s="489" t="s">
        <v>3768</v>
      </c>
      <c r="K171" s="562"/>
      <c r="L171" s="563"/>
      <c r="M171" s="564"/>
      <c r="N171" s="565"/>
      <c r="O171" s="566"/>
      <c r="P171" s="567"/>
      <c r="Q171" s="500">
        <v>45859</v>
      </c>
      <c r="R171" s="148">
        <f t="shared" si="2"/>
        <v>1.000087231490568</v>
      </c>
      <c r="S171" s="101" t="s">
        <v>4</v>
      </c>
      <c r="T171" s="69"/>
    </row>
    <row r="172" spans="1:20" ht="72" x14ac:dyDescent="0.3">
      <c r="A172" s="98">
        <v>169</v>
      </c>
      <c r="B172" s="553">
        <v>1550</v>
      </c>
      <c r="C172" s="556">
        <v>45855</v>
      </c>
      <c r="D172" s="219">
        <v>59686928</v>
      </c>
      <c r="E172" s="109" t="s">
        <v>3848</v>
      </c>
      <c r="F172" s="111" t="s">
        <v>33</v>
      </c>
      <c r="G172" s="125" t="s">
        <v>6</v>
      </c>
      <c r="H172" s="568">
        <v>45855</v>
      </c>
      <c r="I172" s="341"/>
      <c r="J172" s="727" t="s">
        <v>99</v>
      </c>
      <c r="K172" s="569"/>
      <c r="L172" s="570"/>
      <c r="M172" s="570"/>
      <c r="N172" s="571"/>
      <c r="O172" s="572"/>
      <c r="P172" s="572"/>
      <c r="Q172" s="500">
        <v>45856</v>
      </c>
      <c r="R172" s="148">
        <f t="shared" si="2"/>
        <v>1.0000218078726419</v>
      </c>
      <c r="S172" s="101" t="s">
        <v>1811</v>
      </c>
      <c r="T172" s="167"/>
    </row>
    <row r="173" spans="1:20" ht="57.6" x14ac:dyDescent="0.3">
      <c r="A173" s="98">
        <v>170</v>
      </c>
      <c r="B173" s="111">
        <v>1550</v>
      </c>
      <c r="C173" s="502">
        <v>45855</v>
      </c>
      <c r="D173" s="219">
        <v>39591395</v>
      </c>
      <c r="E173" s="109" t="s">
        <v>3849</v>
      </c>
      <c r="F173" s="111" t="s">
        <v>33</v>
      </c>
      <c r="G173" s="125" t="s">
        <v>6</v>
      </c>
      <c r="H173" s="568">
        <v>45855</v>
      </c>
      <c r="I173" s="341"/>
      <c r="J173" s="727" t="s">
        <v>99</v>
      </c>
      <c r="K173" s="569"/>
      <c r="L173" s="570"/>
      <c r="M173" s="570"/>
      <c r="N173" s="571"/>
      <c r="O173" s="572"/>
      <c r="P173" s="572"/>
      <c r="Q173" s="500">
        <v>45856</v>
      </c>
      <c r="R173" s="148">
        <f t="shared" si="2"/>
        <v>1.0000218078726419</v>
      </c>
      <c r="S173" s="101" t="s">
        <v>1860</v>
      </c>
      <c r="T173" s="167"/>
    </row>
    <row r="174" spans="1:20" ht="28.8" x14ac:dyDescent="0.3">
      <c r="A174" s="98">
        <v>171</v>
      </c>
      <c r="B174" s="554">
        <v>1550</v>
      </c>
      <c r="C174" s="573">
        <v>45855</v>
      </c>
      <c r="D174" s="369">
        <v>70485771</v>
      </c>
      <c r="E174" s="262" t="s">
        <v>3850</v>
      </c>
      <c r="F174" s="101" t="s">
        <v>23</v>
      </c>
      <c r="G174" s="81" t="s">
        <v>4</v>
      </c>
      <c r="H174" s="493">
        <v>45855</v>
      </c>
      <c r="I174" s="555"/>
      <c r="J174" s="107" t="s">
        <v>3385</v>
      </c>
      <c r="K174" s="574"/>
      <c r="L174" s="575"/>
      <c r="M174" s="576"/>
      <c r="N174" s="577"/>
      <c r="O174" s="578"/>
      <c r="P174" s="579"/>
      <c r="Q174" s="500">
        <v>45856</v>
      </c>
      <c r="R174" s="148">
        <f t="shared" si="2"/>
        <v>1.0000218078726419</v>
      </c>
      <c r="S174" s="101" t="s">
        <v>3020</v>
      </c>
      <c r="T174" s="69"/>
    </row>
    <row r="175" spans="1:20" ht="28.8" x14ac:dyDescent="0.3">
      <c r="A175" s="98">
        <v>172</v>
      </c>
      <c r="B175" s="506">
        <v>1550</v>
      </c>
      <c r="C175" s="492">
        <v>45855</v>
      </c>
      <c r="D175" s="369">
        <v>120476185</v>
      </c>
      <c r="E175" s="262" t="s">
        <v>3851</v>
      </c>
      <c r="F175" s="344" t="s">
        <v>1</v>
      </c>
      <c r="G175" s="112" t="s">
        <v>4</v>
      </c>
      <c r="H175" s="493">
        <v>45855</v>
      </c>
      <c r="I175" s="25"/>
      <c r="J175" s="107" t="s">
        <v>3809</v>
      </c>
      <c r="K175" s="494"/>
      <c r="L175" s="637"/>
      <c r="M175" s="496"/>
      <c r="N175" s="497"/>
      <c r="O175" s="498"/>
      <c r="P175" s="499"/>
      <c r="Q175" s="500">
        <v>45866</v>
      </c>
      <c r="R175" s="148">
        <f t="shared" si="2"/>
        <v>1.0002398865990623</v>
      </c>
      <c r="S175" s="101" t="s">
        <v>2979</v>
      </c>
      <c r="T175" s="69"/>
    </row>
    <row r="176" spans="1:20" ht="43.2" x14ac:dyDescent="0.3">
      <c r="A176" s="98">
        <v>173</v>
      </c>
      <c r="B176" s="506">
        <v>1550</v>
      </c>
      <c r="C176" s="492">
        <v>45855</v>
      </c>
      <c r="D176" s="369">
        <v>96369256</v>
      </c>
      <c r="E176" s="262" t="s">
        <v>3852</v>
      </c>
      <c r="F176" s="344" t="s">
        <v>1</v>
      </c>
      <c r="G176" s="112" t="s">
        <v>8</v>
      </c>
      <c r="H176" s="493">
        <v>45855</v>
      </c>
      <c r="I176" s="25"/>
      <c r="J176" s="727" t="s">
        <v>99</v>
      </c>
      <c r="K176" s="494"/>
      <c r="L176" s="637"/>
      <c r="M176" s="496"/>
      <c r="N176" s="497"/>
      <c r="O176" s="498"/>
      <c r="P176" s="499"/>
      <c r="Q176" s="500">
        <v>45860</v>
      </c>
      <c r="R176" s="148">
        <f t="shared" si="2"/>
        <v>1.0001090393632102</v>
      </c>
      <c r="S176" s="101" t="s">
        <v>3853</v>
      </c>
      <c r="T176" s="167"/>
    </row>
    <row r="177" spans="1:20" ht="144" x14ac:dyDescent="0.3">
      <c r="A177" s="98">
        <v>174</v>
      </c>
      <c r="B177" s="506" t="s">
        <v>301</v>
      </c>
      <c r="C177" s="492">
        <v>45855</v>
      </c>
      <c r="D177" s="369">
        <v>37883526</v>
      </c>
      <c r="E177" s="262" t="s">
        <v>3854</v>
      </c>
      <c r="F177" s="344" t="s">
        <v>3</v>
      </c>
      <c r="G177" s="112" t="s">
        <v>6</v>
      </c>
      <c r="H177" s="493">
        <v>45855</v>
      </c>
      <c r="I177" s="25"/>
      <c r="J177" s="100" t="s">
        <v>82</v>
      </c>
      <c r="K177" s="494"/>
      <c r="L177" s="495"/>
      <c r="M177" s="496"/>
      <c r="N177" s="497"/>
      <c r="O177" s="498"/>
      <c r="P177" s="499"/>
      <c r="Q177" s="500">
        <v>45861</v>
      </c>
      <c r="R177" s="148">
        <f t="shared" si="2"/>
        <v>1.0001308472358521</v>
      </c>
      <c r="S177" s="101" t="s">
        <v>1312</v>
      </c>
      <c r="T177" s="167"/>
    </row>
    <row r="178" spans="1:20" ht="43.2" x14ac:dyDescent="0.3">
      <c r="A178" s="98">
        <v>175</v>
      </c>
      <c r="B178" s="506">
        <v>1550</v>
      </c>
      <c r="C178" s="492">
        <v>45856</v>
      </c>
      <c r="D178" s="369"/>
      <c r="E178" t="s">
        <v>3855</v>
      </c>
      <c r="F178" s="344" t="s">
        <v>15</v>
      </c>
      <c r="G178" s="112" t="s">
        <v>4</v>
      </c>
      <c r="H178" s="493">
        <v>45856</v>
      </c>
      <c r="I178" s="25"/>
      <c r="J178" s="727" t="s">
        <v>99</v>
      </c>
      <c r="K178" s="494"/>
      <c r="L178" s="495"/>
      <c r="M178" s="496"/>
      <c r="N178" s="497"/>
      <c r="O178" s="498"/>
      <c r="P178" s="499"/>
      <c r="Q178" s="500">
        <v>45859</v>
      </c>
      <c r="R178" s="148">
        <f t="shared" si="2"/>
        <v>1.0000654221912073</v>
      </c>
      <c r="S178" s="101" t="s">
        <v>2970</v>
      </c>
      <c r="T178" s="167"/>
    </row>
    <row r="179" spans="1:20" ht="43.2" x14ac:dyDescent="0.3">
      <c r="A179" s="98">
        <v>176</v>
      </c>
      <c r="B179" s="506">
        <v>1550</v>
      </c>
      <c r="C179" s="492">
        <v>45856</v>
      </c>
      <c r="D179" s="369"/>
      <c r="E179" s="262" t="s">
        <v>3856</v>
      </c>
      <c r="F179" s="344" t="s">
        <v>1</v>
      </c>
      <c r="G179" s="112" t="s">
        <v>4</v>
      </c>
      <c r="H179" s="493">
        <v>45856</v>
      </c>
      <c r="I179" s="638"/>
      <c r="J179" s="727" t="s">
        <v>99</v>
      </c>
      <c r="K179" s="494" t="s">
        <v>393</v>
      </c>
      <c r="L179" s="495"/>
      <c r="M179" s="496"/>
      <c r="N179" s="497"/>
      <c r="O179" s="498"/>
      <c r="P179" s="499"/>
      <c r="Q179" s="500">
        <v>45860</v>
      </c>
      <c r="R179" s="148">
        <f t="shared" si="2"/>
        <v>1.0000872295882763</v>
      </c>
      <c r="S179" s="101" t="s">
        <v>2970</v>
      </c>
      <c r="T179" s="167"/>
    </row>
    <row r="180" spans="1:20" ht="43.2" x14ac:dyDescent="0.3">
      <c r="A180" s="98">
        <v>177</v>
      </c>
      <c r="B180" s="506" t="s">
        <v>1826</v>
      </c>
      <c r="C180" s="492">
        <v>45856</v>
      </c>
      <c r="D180" s="369">
        <v>79714706</v>
      </c>
      <c r="E180" s="262" t="s">
        <v>3857</v>
      </c>
      <c r="F180" s="344" t="s">
        <v>25</v>
      </c>
      <c r="G180" s="112" t="s">
        <v>4</v>
      </c>
      <c r="H180" s="493">
        <v>45856</v>
      </c>
      <c r="I180" s="25">
        <v>10000305283</v>
      </c>
      <c r="J180" s="107" t="s">
        <v>135</v>
      </c>
      <c r="K180" s="494"/>
      <c r="L180" s="495"/>
      <c r="M180" s="496"/>
      <c r="N180" s="497"/>
      <c r="O180" s="498"/>
      <c r="P180" s="499"/>
      <c r="Q180" s="500">
        <v>45904</v>
      </c>
      <c r="R180" s="148">
        <f t="shared" si="2"/>
        <v>1.0010467550593161</v>
      </c>
      <c r="S180" s="101" t="s">
        <v>720</v>
      </c>
      <c r="T180" s="167"/>
    </row>
    <row r="181" spans="1:20" ht="57.6" x14ac:dyDescent="0.3">
      <c r="A181" s="98">
        <v>178</v>
      </c>
      <c r="B181" s="506" t="s">
        <v>301</v>
      </c>
      <c r="C181" s="492">
        <v>45856</v>
      </c>
      <c r="D181" s="369">
        <v>82403899</v>
      </c>
      <c r="E181" s="262" t="s">
        <v>3858</v>
      </c>
      <c r="F181" s="344" t="s">
        <v>39</v>
      </c>
      <c r="G181" s="112" t="s">
        <v>8</v>
      </c>
      <c r="H181" s="493">
        <v>45856</v>
      </c>
      <c r="I181" s="25"/>
      <c r="J181" s="107" t="s">
        <v>22</v>
      </c>
      <c r="K181" s="494"/>
      <c r="L181" s="495"/>
      <c r="M181" s="496"/>
      <c r="N181" s="497"/>
      <c r="O181" s="498"/>
      <c r="P181" s="499"/>
      <c r="Q181" s="500">
        <v>45867</v>
      </c>
      <c r="R181" s="148">
        <f t="shared" si="2"/>
        <v>1.00023988136776</v>
      </c>
      <c r="S181" s="101" t="s">
        <v>3743</v>
      </c>
      <c r="T181" s="167" t="s">
        <v>3859</v>
      </c>
    </row>
    <row r="182" spans="1:20" ht="43.2" x14ac:dyDescent="0.3">
      <c r="A182" s="98">
        <v>179</v>
      </c>
      <c r="B182" s="506">
        <v>1550</v>
      </c>
      <c r="C182" s="492">
        <v>45856</v>
      </c>
      <c r="D182" s="369">
        <v>101842864</v>
      </c>
      <c r="E182" s="262" t="s">
        <v>3860</v>
      </c>
      <c r="F182" s="344" t="s">
        <v>14</v>
      </c>
      <c r="G182" s="112" t="s">
        <v>8</v>
      </c>
      <c r="H182" s="493">
        <v>45856</v>
      </c>
      <c r="I182" s="25"/>
      <c r="J182" s="727" t="s">
        <v>253</v>
      </c>
      <c r="K182" s="494"/>
      <c r="L182" s="495"/>
      <c r="M182" s="496"/>
      <c r="N182" s="497"/>
      <c r="O182" s="498"/>
      <c r="P182" s="499"/>
      <c r="Q182" s="500">
        <v>45856</v>
      </c>
      <c r="R182" s="148">
        <f t="shared" si="2"/>
        <v>1</v>
      </c>
      <c r="S182" s="101" t="s">
        <v>3861</v>
      </c>
      <c r="T182" s="69"/>
    </row>
    <row r="183" spans="1:20" ht="43.2" x14ac:dyDescent="0.3">
      <c r="A183" s="98">
        <v>180</v>
      </c>
      <c r="B183" s="506">
        <v>1550</v>
      </c>
      <c r="C183" s="492">
        <v>45856</v>
      </c>
      <c r="D183" s="369">
        <v>37736051</v>
      </c>
      <c r="E183" s="262" t="s">
        <v>3862</v>
      </c>
      <c r="F183" s="344" t="s">
        <v>33</v>
      </c>
      <c r="G183" s="112" t="s">
        <v>6</v>
      </c>
      <c r="H183" s="493">
        <v>45856</v>
      </c>
      <c r="I183" s="25"/>
      <c r="J183" s="727" t="s">
        <v>99</v>
      </c>
      <c r="K183" s="494"/>
      <c r="L183" s="495"/>
      <c r="M183" s="496"/>
      <c r="N183" s="497"/>
      <c r="O183" s="498"/>
      <c r="P183" s="499"/>
      <c r="Q183" s="500">
        <v>45856</v>
      </c>
      <c r="R183" s="148">
        <f t="shared" si="2"/>
        <v>1</v>
      </c>
      <c r="S183" s="101" t="s">
        <v>3468</v>
      </c>
      <c r="T183" s="167"/>
    </row>
    <row r="184" spans="1:20" ht="43.2" x14ac:dyDescent="0.3">
      <c r="A184" s="98">
        <v>181</v>
      </c>
      <c r="B184" s="506" t="s">
        <v>80</v>
      </c>
      <c r="C184" s="492">
        <v>45856</v>
      </c>
      <c r="D184" s="369">
        <v>67275869</v>
      </c>
      <c r="E184" s="262" t="s">
        <v>3863</v>
      </c>
      <c r="F184" s="344" t="s">
        <v>3</v>
      </c>
      <c r="G184" s="112" t="s">
        <v>8</v>
      </c>
      <c r="H184" s="493">
        <v>45856</v>
      </c>
      <c r="I184" s="25"/>
      <c r="J184" s="100" t="s">
        <v>82</v>
      </c>
      <c r="K184" s="494"/>
      <c r="L184" s="495"/>
      <c r="M184" s="496"/>
      <c r="N184" s="497"/>
      <c r="O184" s="498"/>
      <c r="P184" s="499"/>
      <c r="Q184" s="500">
        <v>45889</v>
      </c>
      <c r="R184" s="148">
        <f t="shared" si="2"/>
        <v>1.0007196441032797</v>
      </c>
      <c r="S184" s="101" t="s">
        <v>3418</v>
      </c>
      <c r="T184" s="69"/>
    </row>
    <row r="185" spans="1:20" ht="43.2" x14ac:dyDescent="0.3">
      <c r="A185" s="98">
        <v>182</v>
      </c>
      <c r="B185" s="506">
        <v>1550</v>
      </c>
      <c r="C185" s="492">
        <v>45856</v>
      </c>
      <c r="D185" s="369">
        <v>47042516</v>
      </c>
      <c r="E185" s="262" t="s">
        <v>3864</v>
      </c>
      <c r="F185" s="344" t="s">
        <v>23</v>
      </c>
      <c r="G185" s="112" t="s">
        <v>8</v>
      </c>
      <c r="H185" s="493">
        <v>45856</v>
      </c>
      <c r="I185" s="25"/>
      <c r="J185" s="107" t="s">
        <v>135</v>
      </c>
      <c r="K185" s="494"/>
      <c r="L185" s="495"/>
      <c r="M185" s="496"/>
      <c r="N185" s="497"/>
      <c r="O185" s="498"/>
      <c r="P185" s="499"/>
      <c r="Q185" s="500">
        <v>45856</v>
      </c>
      <c r="R185" s="148">
        <f t="shared" si="2"/>
        <v>1</v>
      </c>
      <c r="S185" s="101" t="s">
        <v>528</v>
      </c>
      <c r="T185" s="69"/>
    </row>
    <row r="186" spans="1:20" ht="43.2" x14ac:dyDescent="0.3">
      <c r="A186" s="98">
        <v>183</v>
      </c>
      <c r="B186" s="506">
        <v>1550</v>
      </c>
      <c r="C186" s="492">
        <v>45856</v>
      </c>
      <c r="D186" s="369">
        <v>119860155</v>
      </c>
      <c r="E186" s="261" t="s">
        <v>3865</v>
      </c>
      <c r="F186" s="344" t="s">
        <v>49</v>
      </c>
      <c r="G186" s="112" t="s">
        <v>4</v>
      </c>
      <c r="H186" s="493">
        <v>45856</v>
      </c>
      <c r="I186" s="25"/>
      <c r="J186" s="107" t="s">
        <v>266</v>
      </c>
      <c r="K186" s="494"/>
      <c r="L186" s="495"/>
      <c r="M186" s="496"/>
      <c r="N186" s="497"/>
      <c r="O186" s="498"/>
      <c r="P186" s="499"/>
      <c r="Q186" s="500">
        <v>45856</v>
      </c>
      <c r="R186" s="148">
        <f t="shared" si="2"/>
        <v>1</v>
      </c>
      <c r="S186" s="101" t="s">
        <v>3830</v>
      </c>
      <c r="T186" s="69"/>
    </row>
    <row r="187" spans="1:20" ht="43.2" x14ac:dyDescent="0.3">
      <c r="A187" s="98">
        <v>184</v>
      </c>
      <c r="B187" s="506" t="s">
        <v>1826</v>
      </c>
      <c r="C187" s="492">
        <v>45856</v>
      </c>
      <c r="D187">
        <v>67897789</v>
      </c>
      <c r="E187" s="262" t="s">
        <v>3865</v>
      </c>
      <c r="F187" s="344" t="s">
        <v>49</v>
      </c>
      <c r="G187" s="112" t="s">
        <v>4</v>
      </c>
      <c r="H187" s="493">
        <v>45856</v>
      </c>
      <c r="I187" s="25"/>
      <c r="J187" s="107" t="s">
        <v>266</v>
      </c>
      <c r="K187" s="494"/>
      <c r="L187" s="495"/>
      <c r="M187" s="496"/>
      <c r="N187" s="497"/>
      <c r="O187" s="498"/>
      <c r="P187" s="499"/>
      <c r="Q187" s="500">
        <v>45856</v>
      </c>
      <c r="R187" s="148">
        <f t="shared" si="2"/>
        <v>1</v>
      </c>
      <c r="S187" s="101" t="s">
        <v>720</v>
      </c>
      <c r="T187" s="69"/>
    </row>
    <row r="188" spans="1:20" x14ac:dyDescent="0.3">
      <c r="A188" s="98">
        <v>185</v>
      </c>
      <c r="B188" s="506">
        <v>1550</v>
      </c>
      <c r="C188" s="492">
        <v>45856</v>
      </c>
      <c r="D188" s="369"/>
      <c r="E188" t="s">
        <v>3866</v>
      </c>
      <c r="F188" s="344" t="s">
        <v>31</v>
      </c>
      <c r="G188" s="112" t="s">
        <v>4</v>
      </c>
      <c r="H188" s="493">
        <v>45856</v>
      </c>
      <c r="I188" s="25">
        <v>10000305363</v>
      </c>
      <c r="J188" s="107" t="s">
        <v>135</v>
      </c>
      <c r="K188" s="494"/>
      <c r="L188" s="495"/>
      <c r="M188" s="496"/>
      <c r="N188" s="497"/>
      <c r="O188" s="498"/>
      <c r="P188" s="499"/>
      <c r="Q188" s="500">
        <v>45867</v>
      </c>
      <c r="R188" s="148">
        <f t="shared" si="2"/>
        <v>1.00023988136776</v>
      </c>
      <c r="S188" s="101" t="s">
        <v>3047</v>
      </c>
      <c r="T188" s="69"/>
    </row>
    <row r="189" spans="1:20" x14ac:dyDescent="0.3">
      <c r="A189" s="98">
        <v>186</v>
      </c>
      <c r="B189" s="506">
        <v>1550</v>
      </c>
      <c r="C189" s="492">
        <v>45856</v>
      </c>
      <c r="D189" s="369"/>
      <c r="E189" s="262" t="s">
        <v>3867</v>
      </c>
      <c r="F189" s="344" t="s">
        <v>31</v>
      </c>
      <c r="G189" s="112" t="s">
        <v>4</v>
      </c>
      <c r="H189" s="493">
        <v>45856</v>
      </c>
      <c r="I189">
        <v>10000304992</v>
      </c>
      <c r="J189" s="107" t="s">
        <v>135</v>
      </c>
      <c r="K189" s="494"/>
      <c r="L189" s="495"/>
      <c r="M189" s="496"/>
      <c r="N189" s="497"/>
      <c r="O189" s="498"/>
      <c r="P189" s="499"/>
      <c r="Q189" s="500">
        <v>45856</v>
      </c>
      <c r="R189" s="148">
        <f t="shared" si="2"/>
        <v>1</v>
      </c>
      <c r="S189" s="101" t="s">
        <v>3047</v>
      </c>
      <c r="T189" s="69"/>
    </row>
    <row r="190" spans="1:20" ht="57.6" x14ac:dyDescent="0.3">
      <c r="A190" s="98">
        <v>187</v>
      </c>
      <c r="B190" s="506" t="s">
        <v>1826</v>
      </c>
      <c r="C190" s="492">
        <v>45856</v>
      </c>
      <c r="D190" s="369" t="s">
        <v>3868</v>
      </c>
      <c r="E190" s="262" t="s">
        <v>3869</v>
      </c>
      <c r="F190" s="344" t="s">
        <v>24</v>
      </c>
      <c r="G190" s="112" t="s">
        <v>4</v>
      </c>
      <c r="H190" s="493">
        <v>45856</v>
      </c>
      <c r="I190" s="25"/>
      <c r="J190" s="728" t="s">
        <v>383</v>
      </c>
      <c r="K190" s="494"/>
      <c r="L190" s="495"/>
      <c r="M190" s="496"/>
      <c r="N190" s="497"/>
      <c r="O190" s="498"/>
      <c r="P190" s="499"/>
      <c r="Q190" s="500">
        <v>45856</v>
      </c>
      <c r="R190" s="148">
        <f t="shared" si="2"/>
        <v>1</v>
      </c>
      <c r="S190" s="101" t="s">
        <v>3870</v>
      </c>
      <c r="T190" s="69"/>
    </row>
    <row r="191" spans="1:20" ht="28.8" x14ac:dyDescent="0.3">
      <c r="A191" s="98">
        <v>188</v>
      </c>
      <c r="B191" s="506">
        <v>1550</v>
      </c>
      <c r="C191" s="492">
        <v>45856</v>
      </c>
      <c r="D191" s="369">
        <v>28581601</v>
      </c>
      <c r="E191" s="270" t="s">
        <v>3871</v>
      </c>
      <c r="F191" s="344" t="s">
        <v>3</v>
      </c>
      <c r="G191" s="112" t="s">
        <v>8</v>
      </c>
      <c r="H191" s="493">
        <v>45856</v>
      </c>
      <c r="I191" s="25"/>
      <c r="J191" s="100" t="s">
        <v>2306</v>
      </c>
      <c r="K191" s="507"/>
      <c r="L191" s="508"/>
      <c r="M191" s="365"/>
      <c r="N191" s="509"/>
      <c r="O191" s="510"/>
      <c r="P191" s="511"/>
      <c r="Q191" s="500">
        <v>45859</v>
      </c>
      <c r="R191" s="148">
        <f t="shared" si="2"/>
        <v>1.0000654221912073</v>
      </c>
      <c r="S191" s="101" t="s">
        <v>3872</v>
      </c>
      <c r="T191" s="167"/>
    </row>
    <row r="192" spans="1:20" ht="43.2" x14ac:dyDescent="0.3">
      <c r="A192" s="98">
        <v>189</v>
      </c>
      <c r="B192" s="506">
        <v>1550</v>
      </c>
      <c r="C192" s="492">
        <v>45856</v>
      </c>
      <c r="D192" s="369">
        <v>36942340</v>
      </c>
      <c r="E192" s="730" t="s">
        <v>3873</v>
      </c>
      <c r="F192" s="731" t="s">
        <v>52</v>
      </c>
      <c r="G192" s="112" t="s">
        <v>8</v>
      </c>
      <c r="H192" s="493">
        <v>45856</v>
      </c>
      <c r="I192" s="25"/>
      <c r="J192" s="107" t="s">
        <v>3874</v>
      </c>
      <c r="K192" s="494"/>
      <c r="L192" s="495"/>
      <c r="M192" s="496"/>
      <c r="N192" s="497"/>
      <c r="O192" s="498"/>
      <c r="P192" s="499"/>
      <c r="Q192" s="500">
        <v>45859</v>
      </c>
      <c r="R192" s="148">
        <f t="shared" si="2"/>
        <v>1.0000654221912073</v>
      </c>
      <c r="S192" s="101" t="s">
        <v>270</v>
      </c>
      <c r="T192" s="167"/>
    </row>
    <row r="193" spans="1:20" ht="28.8" x14ac:dyDescent="0.3">
      <c r="A193" s="98">
        <v>190</v>
      </c>
      <c r="B193" s="506">
        <v>1550</v>
      </c>
      <c r="C193" s="492">
        <v>45856</v>
      </c>
      <c r="D193" s="369">
        <v>110161769</v>
      </c>
      <c r="E193" s="270" t="s">
        <v>3875</v>
      </c>
      <c r="F193" s="344" t="s">
        <v>9</v>
      </c>
      <c r="G193" s="112" t="s">
        <v>4</v>
      </c>
      <c r="H193" s="493">
        <v>45856</v>
      </c>
      <c r="I193" s="25"/>
      <c r="J193" s="107" t="s">
        <v>2513</v>
      </c>
      <c r="K193" s="494" t="s">
        <v>393</v>
      </c>
      <c r="L193" s="495"/>
      <c r="M193" s="496"/>
      <c r="N193" s="497"/>
      <c r="O193" s="498"/>
      <c r="P193" s="499"/>
      <c r="Q193" s="500">
        <v>45861</v>
      </c>
      <c r="R193" s="148">
        <f t="shared" si="2"/>
        <v>1.0001090369853454</v>
      </c>
      <c r="S193" s="101" t="s">
        <v>3830</v>
      </c>
      <c r="T193" s="167"/>
    </row>
    <row r="194" spans="1:20" ht="43.2" x14ac:dyDescent="0.3">
      <c r="A194" s="98">
        <v>191</v>
      </c>
      <c r="B194" s="506">
        <v>1550</v>
      </c>
      <c r="C194" s="492">
        <v>45856</v>
      </c>
      <c r="D194" s="369">
        <v>7134568</v>
      </c>
      <c r="E194" s="270" t="s">
        <v>3647</v>
      </c>
      <c r="F194" s="344" t="s">
        <v>32</v>
      </c>
      <c r="G194" s="112" t="s">
        <v>8</v>
      </c>
      <c r="H194" s="493">
        <v>45856</v>
      </c>
      <c r="I194" s="25"/>
      <c r="J194" s="107" t="s">
        <v>106</v>
      </c>
      <c r="K194" s="494"/>
      <c r="L194" s="495"/>
      <c r="M194" s="496"/>
      <c r="N194" s="497"/>
      <c r="O194" s="498"/>
      <c r="P194" s="499"/>
      <c r="Q194" s="500">
        <v>45875</v>
      </c>
      <c r="R194" s="148">
        <f t="shared" si="2"/>
        <v>1.0004143405443127</v>
      </c>
      <c r="S194" s="101" t="s">
        <v>3853</v>
      </c>
      <c r="T194" s="167"/>
    </row>
    <row r="195" spans="1:20" ht="72" x14ac:dyDescent="0.3">
      <c r="A195" s="98">
        <v>192</v>
      </c>
      <c r="B195" s="506">
        <v>1550</v>
      </c>
      <c r="C195" s="492">
        <v>45856</v>
      </c>
      <c r="D195" s="369">
        <v>29246113</v>
      </c>
      <c r="E195" s="270" t="s">
        <v>3876</v>
      </c>
      <c r="F195" s="344" t="s">
        <v>3</v>
      </c>
      <c r="G195" s="112" t="s">
        <v>6</v>
      </c>
      <c r="H195" s="493">
        <v>45856</v>
      </c>
      <c r="I195" s="25">
        <v>10000306377</v>
      </c>
      <c r="J195" s="100" t="s">
        <v>82</v>
      </c>
      <c r="K195" s="507"/>
      <c r="L195" s="508"/>
      <c r="M195" s="365"/>
      <c r="N195" s="509"/>
      <c r="O195" s="510"/>
      <c r="P195" s="511"/>
      <c r="Q195" s="500">
        <v>45867</v>
      </c>
      <c r="R195" s="148">
        <f t="shared" si="2"/>
        <v>1.00023988136776</v>
      </c>
      <c r="S195" s="101" t="s">
        <v>1811</v>
      </c>
      <c r="T195" s="167"/>
    </row>
    <row r="196" spans="1:20" ht="28.8" x14ac:dyDescent="0.3">
      <c r="A196" s="98">
        <v>193</v>
      </c>
      <c r="B196" s="506">
        <v>1550</v>
      </c>
      <c r="C196" s="492">
        <v>45859</v>
      </c>
      <c r="D196" s="369">
        <v>105538264</v>
      </c>
      <c r="E196" s="270" t="s">
        <v>3877</v>
      </c>
      <c r="F196" s="344" t="s">
        <v>1</v>
      </c>
      <c r="G196" s="112" t="s">
        <v>4</v>
      </c>
      <c r="H196" s="493">
        <v>45859</v>
      </c>
      <c r="I196" s="25"/>
      <c r="J196" s="100" t="s">
        <v>2306</v>
      </c>
      <c r="K196" s="507"/>
      <c r="L196" s="508"/>
      <c r="M196" s="365"/>
      <c r="N196" s="509"/>
      <c r="O196" s="510"/>
      <c r="P196" s="511"/>
      <c r="Q196" s="500">
        <v>45859</v>
      </c>
      <c r="R196" s="148">
        <f t="shared" ref="R196:R259" si="3">Q196/H196</f>
        <v>1</v>
      </c>
      <c r="S196" s="101" t="s">
        <v>3830</v>
      </c>
      <c r="T196" s="167"/>
    </row>
    <row r="197" spans="1:20" ht="72" x14ac:dyDescent="0.3">
      <c r="A197" s="98">
        <v>194</v>
      </c>
      <c r="B197" s="506" t="s">
        <v>301</v>
      </c>
      <c r="C197" s="492">
        <v>45859</v>
      </c>
      <c r="D197" s="369">
        <v>97903337</v>
      </c>
      <c r="E197" s="270" t="s">
        <v>3878</v>
      </c>
      <c r="F197" s="344" t="s">
        <v>3</v>
      </c>
      <c r="G197" s="112" t="s">
        <v>6</v>
      </c>
      <c r="H197" s="493">
        <v>45859</v>
      </c>
      <c r="I197" s="25">
        <v>10000306377</v>
      </c>
      <c r="J197" s="100" t="s">
        <v>82</v>
      </c>
      <c r="K197" s="507"/>
      <c r="L197" s="508"/>
      <c r="M197" s="365"/>
      <c r="N197" s="509"/>
      <c r="O197" s="510"/>
      <c r="P197" s="511"/>
      <c r="Q197" s="500">
        <v>45866</v>
      </c>
      <c r="R197" s="148">
        <f t="shared" si="3"/>
        <v>1.0001526417933231</v>
      </c>
      <c r="S197" s="101" t="s">
        <v>3783</v>
      </c>
      <c r="T197" s="167"/>
    </row>
    <row r="198" spans="1:20" ht="72" x14ac:dyDescent="0.3">
      <c r="A198" s="98">
        <v>195</v>
      </c>
      <c r="B198" s="506">
        <v>1550</v>
      </c>
      <c r="C198" s="492">
        <v>45859</v>
      </c>
      <c r="D198" s="369"/>
      <c r="E198" s="270" t="s">
        <v>3879</v>
      </c>
      <c r="F198" s="344" t="s">
        <v>21</v>
      </c>
      <c r="G198" s="112" t="s">
        <v>6</v>
      </c>
      <c r="H198" s="493">
        <v>45859</v>
      </c>
      <c r="I198" s="25"/>
      <c r="J198" s="727" t="s">
        <v>99</v>
      </c>
      <c r="K198" s="507"/>
      <c r="L198" s="508"/>
      <c r="M198" s="365"/>
      <c r="N198" s="509"/>
      <c r="O198" s="510"/>
      <c r="P198" s="511"/>
      <c r="Q198" s="500">
        <v>45860</v>
      </c>
      <c r="R198" s="148">
        <f t="shared" si="3"/>
        <v>1.0000218059704746</v>
      </c>
      <c r="S198" s="101" t="s">
        <v>2597</v>
      </c>
      <c r="T198" s="69"/>
    </row>
    <row r="199" spans="1:20" ht="28.8" x14ac:dyDescent="0.3">
      <c r="A199" s="98">
        <v>196</v>
      </c>
      <c r="B199" s="506">
        <v>1550</v>
      </c>
      <c r="C199" s="492">
        <v>45859</v>
      </c>
      <c r="D199" s="369">
        <v>54521904</v>
      </c>
      <c r="E199" s="270" t="s">
        <v>3880</v>
      </c>
      <c r="F199" s="344" t="s">
        <v>3</v>
      </c>
      <c r="G199" s="112" t="s">
        <v>6</v>
      </c>
      <c r="H199" s="493">
        <v>45859</v>
      </c>
      <c r="I199" s="25"/>
      <c r="J199" s="100" t="s">
        <v>82</v>
      </c>
      <c r="K199" s="226"/>
      <c r="L199" s="580"/>
      <c r="M199" s="228"/>
      <c r="N199" s="509"/>
      <c r="O199" s="510"/>
      <c r="P199" s="511"/>
      <c r="Q199" s="500">
        <v>45867</v>
      </c>
      <c r="R199" s="148">
        <f t="shared" si="3"/>
        <v>1.0001744477637977</v>
      </c>
      <c r="S199" s="101" t="s">
        <v>2597</v>
      </c>
      <c r="T199" s="69"/>
    </row>
    <row r="200" spans="1:20" ht="72" x14ac:dyDescent="0.3">
      <c r="A200" s="98">
        <v>197</v>
      </c>
      <c r="B200" s="506">
        <v>1550</v>
      </c>
      <c r="C200" s="492">
        <v>45859</v>
      </c>
      <c r="D200" s="369"/>
      <c r="E200" s="270" t="s">
        <v>3881</v>
      </c>
      <c r="F200" s="344" t="s">
        <v>1314</v>
      </c>
      <c r="G200" s="112" t="s">
        <v>6</v>
      </c>
      <c r="H200" s="493">
        <v>45859</v>
      </c>
      <c r="I200" s="25"/>
      <c r="J200" s="727" t="s">
        <v>99</v>
      </c>
      <c r="K200" s="226"/>
      <c r="L200" s="580"/>
      <c r="M200" s="228"/>
      <c r="N200" s="509"/>
      <c r="O200" s="510"/>
      <c r="P200" s="511"/>
      <c r="Q200" s="500">
        <v>45859</v>
      </c>
      <c r="R200" s="148">
        <f t="shared" si="3"/>
        <v>1</v>
      </c>
      <c r="S200" s="101" t="s">
        <v>2747</v>
      </c>
      <c r="T200" s="69"/>
    </row>
    <row r="201" spans="1:20" ht="43.2" x14ac:dyDescent="0.3">
      <c r="A201" s="98">
        <v>198</v>
      </c>
      <c r="B201" s="506">
        <v>1550</v>
      </c>
      <c r="C201" s="492">
        <v>45859</v>
      </c>
      <c r="D201" s="369">
        <v>27738760</v>
      </c>
      <c r="E201" s="270" t="s">
        <v>3882</v>
      </c>
      <c r="F201" s="344" t="s">
        <v>7</v>
      </c>
      <c r="G201" s="112" t="s">
        <v>8</v>
      </c>
      <c r="H201" s="493">
        <v>45859</v>
      </c>
      <c r="I201" s="25"/>
      <c r="J201" s="100" t="s">
        <v>2432</v>
      </c>
      <c r="K201" s="226"/>
      <c r="L201" s="580"/>
      <c r="M201" s="228"/>
      <c r="N201" s="509"/>
      <c r="O201" s="510"/>
      <c r="P201" s="511"/>
      <c r="Q201" s="500">
        <v>45859</v>
      </c>
      <c r="R201" s="148">
        <f t="shared" si="3"/>
        <v>1</v>
      </c>
      <c r="S201" s="101" t="s">
        <v>3841</v>
      </c>
      <c r="T201" s="69"/>
    </row>
    <row r="202" spans="1:20" ht="28.8" x14ac:dyDescent="0.3">
      <c r="A202" s="98">
        <v>199</v>
      </c>
      <c r="B202" s="506">
        <v>1550</v>
      </c>
      <c r="C202" s="492">
        <v>45859</v>
      </c>
      <c r="D202" s="369" t="s">
        <v>3883</v>
      </c>
      <c r="E202" s="270" t="s">
        <v>3611</v>
      </c>
      <c r="F202" s="344" t="s">
        <v>1</v>
      </c>
      <c r="G202" s="112" t="s">
        <v>8</v>
      </c>
      <c r="H202" s="493">
        <v>45859</v>
      </c>
      <c r="I202" s="25"/>
      <c r="J202" s="100" t="s">
        <v>2367</v>
      </c>
      <c r="K202" s="507"/>
      <c r="L202" s="508"/>
      <c r="M202" s="365"/>
      <c r="N202" s="509"/>
      <c r="O202" s="510"/>
      <c r="P202" s="511"/>
      <c r="Q202" s="500">
        <v>45859</v>
      </c>
      <c r="R202" s="148">
        <f t="shared" si="3"/>
        <v>1</v>
      </c>
      <c r="S202" s="101" t="s">
        <v>528</v>
      </c>
      <c r="T202" s="167"/>
    </row>
    <row r="203" spans="1:20" ht="115.2" x14ac:dyDescent="0.3">
      <c r="A203" s="98">
        <v>200</v>
      </c>
      <c r="B203" s="506">
        <v>1550</v>
      </c>
      <c r="C203" s="492">
        <v>45859</v>
      </c>
      <c r="D203" s="369">
        <v>26374994</v>
      </c>
      <c r="E203" s="270" t="s">
        <v>3884</v>
      </c>
      <c r="F203" s="344" t="s">
        <v>7</v>
      </c>
      <c r="G203" s="112" t="s">
        <v>6</v>
      </c>
      <c r="H203" s="493">
        <v>45859</v>
      </c>
      <c r="I203" s="25"/>
      <c r="J203" s="107" t="s">
        <v>2513</v>
      </c>
      <c r="K203" s="494"/>
      <c r="L203" s="495"/>
      <c r="M203" s="496"/>
      <c r="N203" s="497"/>
      <c r="O203" s="498"/>
      <c r="P203" s="499"/>
      <c r="Q203" s="500">
        <v>45859</v>
      </c>
      <c r="R203" s="148">
        <f t="shared" si="3"/>
        <v>1</v>
      </c>
      <c r="S203" s="101" t="s">
        <v>1936</v>
      </c>
      <c r="T203" s="69"/>
    </row>
    <row r="204" spans="1:20" ht="43.2" x14ac:dyDescent="0.3">
      <c r="A204" s="98">
        <v>201</v>
      </c>
      <c r="B204" s="506">
        <v>1550</v>
      </c>
      <c r="C204" s="492">
        <v>45859</v>
      </c>
      <c r="D204" s="369">
        <v>51698390</v>
      </c>
      <c r="E204" s="270" t="s">
        <v>3885</v>
      </c>
      <c r="F204" s="344" t="s">
        <v>7</v>
      </c>
      <c r="G204" s="112" t="s">
        <v>6</v>
      </c>
      <c r="H204" s="493">
        <v>45859</v>
      </c>
      <c r="I204" s="25"/>
      <c r="J204" s="107" t="s">
        <v>2513</v>
      </c>
      <c r="K204" s="494" t="s">
        <v>393</v>
      </c>
      <c r="L204" s="636">
        <v>45859</v>
      </c>
      <c r="M204" s="496"/>
      <c r="N204" s="497"/>
      <c r="O204" s="498"/>
      <c r="P204" s="499"/>
      <c r="Q204" s="500">
        <v>45860</v>
      </c>
      <c r="R204" s="148">
        <f t="shared" si="3"/>
        <v>1.0000218059704746</v>
      </c>
      <c r="S204" s="101" t="s">
        <v>2808</v>
      </c>
      <c r="T204" s="69"/>
    </row>
    <row r="205" spans="1:20" ht="57.6" x14ac:dyDescent="0.3">
      <c r="A205" s="98">
        <v>202</v>
      </c>
      <c r="B205" s="553">
        <v>1550</v>
      </c>
      <c r="C205" s="556">
        <v>45859</v>
      </c>
      <c r="D205" s="537">
        <v>93793</v>
      </c>
      <c r="E205" s="275" t="s">
        <v>3886</v>
      </c>
      <c r="F205" s="416" t="s">
        <v>37</v>
      </c>
      <c r="G205" s="112" t="s">
        <v>4</v>
      </c>
      <c r="H205" s="493">
        <v>45859</v>
      </c>
      <c r="I205" s="25"/>
      <c r="J205" s="100" t="s">
        <v>2367</v>
      </c>
      <c r="K205" s="494"/>
      <c r="L205" s="495"/>
      <c r="M205" s="496"/>
      <c r="N205" s="497"/>
      <c r="O205" s="498"/>
      <c r="P205" s="499"/>
      <c r="Q205" s="500">
        <v>45860</v>
      </c>
      <c r="R205" s="148">
        <f t="shared" si="3"/>
        <v>1.0000218059704746</v>
      </c>
      <c r="S205" s="101" t="s">
        <v>4</v>
      </c>
      <c r="T205" s="69"/>
    </row>
    <row r="206" spans="1:20" ht="86.4" x14ac:dyDescent="0.3">
      <c r="A206" s="98">
        <v>203</v>
      </c>
      <c r="B206" s="111">
        <v>1550</v>
      </c>
      <c r="C206" s="512">
        <v>45860</v>
      </c>
      <c r="D206" s="219">
        <v>302124470</v>
      </c>
      <c r="E206" s="109" t="s">
        <v>3887</v>
      </c>
      <c r="F206" s="111" t="s">
        <v>3</v>
      </c>
      <c r="G206" s="112" t="s">
        <v>6</v>
      </c>
      <c r="H206" s="493">
        <v>45860</v>
      </c>
      <c r="I206" s="25">
        <v>10000309812</v>
      </c>
      <c r="J206" s="100" t="s">
        <v>82</v>
      </c>
      <c r="K206" s="494"/>
      <c r="L206" s="495"/>
      <c r="M206" s="496"/>
      <c r="N206" s="497"/>
      <c r="O206" s="498"/>
      <c r="P206" s="499"/>
      <c r="Q206" s="500">
        <v>45901</v>
      </c>
      <c r="R206" s="148">
        <f t="shared" si="3"/>
        <v>1.0008940252943741</v>
      </c>
      <c r="S206" s="101" t="s">
        <v>2597</v>
      </c>
      <c r="T206" s="69"/>
    </row>
    <row r="207" spans="1:20" ht="43.2" x14ac:dyDescent="0.3">
      <c r="A207" s="98">
        <v>204</v>
      </c>
      <c r="B207" s="111" t="s">
        <v>3888</v>
      </c>
      <c r="C207" s="512">
        <v>45860</v>
      </c>
      <c r="D207" s="36" t="s">
        <v>3889</v>
      </c>
      <c r="E207" s="60" t="s">
        <v>3890</v>
      </c>
      <c r="F207" s="111" t="s">
        <v>45</v>
      </c>
      <c r="G207" s="112" t="s">
        <v>6</v>
      </c>
      <c r="H207" s="493">
        <v>45860</v>
      </c>
      <c r="I207" s="25"/>
      <c r="J207" s="727" t="s">
        <v>253</v>
      </c>
      <c r="K207" s="494"/>
      <c r="L207" s="495"/>
      <c r="M207" s="496"/>
      <c r="N207" s="497"/>
      <c r="O207" s="498"/>
      <c r="P207" s="499"/>
      <c r="Q207" s="500">
        <v>45861</v>
      </c>
      <c r="R207" s="148">
        <f t="shared" si="3"/>
        <v>1.0000218054949848</v>
      </c>
      <c r="S207" s="101" t="s">
        <v>2597</v>
      </c>
      <c r="T207" s="69" t="s">
        <v>3891</v>
      </c>
    </row>
    <row r="208" spans="1:20" ht="72" x14ac:dyDescent="0.3">
      <c r="A208" s="98">
        <v>205</v>
      </c>
      <c r="B208" s="591" t="s">
        <v>301</v>
      </c>
      <c r="C208" s="656">
        <v>45860</v>
      </c>
      <c r="D208" s="537">
        <v>32230249</v>
      </c>
      <c r="E208" s="284" t="s">
        <v>3892</v>
      </c>
      <c r="F208" s="182" t="s">
        <v>3</v>
      </c>
      <c r="G208" s="112" t="s">
        <v>6</v>
      </c>
      <c r="H208" s="493">
        <v>45860</v>
      </c>
      <c r="I208" s="25"/>
      <c r="J208" s="100" t="s">
        <v>2306</v>
      </c>
      <c r="K208" s="494"/>
      <c r="L208" s="495"/>
      <c r="M208" s="496"/>
      <c r="N208" s="497"/>
      <c r="O208" s="498"/>
      <c r="P208" s="499"/>
      <c r="Q208" s="500">
        <v>45860</v>
      </c>
      <c r="R208" s="148">
        <f t="shared" si="3"/>
        <v>1</v>
      </c>
      <c r="S208" s="101" t="s">
        <v>1312</v>
      </c>
      <c r="T208" s="57"/>
    </row>
    <row r="209" spans="1:20" ht="115.2" x14ac:dyDescent="0.3">
      <c r="A209" s="98">
        <v>206</v>
      </c>
      <c r="B209" s="111" t="s">
        <v>3888</v>
      </c>
      <c r="C209" s="512">
        <v>44764</v>
      </c>
      <c r="D209" s="219">
        <v>45252297</v>
      </c>
      <c r="E209" s="60" t="s">
        <v>3893</v>
      </c>
      <c r="F209" s="111" t="s">
        <v>38</v>
      </c>
      <c r="G209" s="112" t="s">
        <v>6</v>
      </c>
      <c r="H209" s="493">
        <v>45860</v>
      </c>
      <c r="I209" s="25"/>
      <c r="J209" s="727" t="s">
        <v>253</v>
      </c>
      <c r="K209" s="494"/>
      <c r="L209" s="495"/>
      <c r="M209" s="496"/>
      <c r="N209" s="497"/>
      <c r="O209" s="498"/>
      <c r="P209" s="499"/>
      <c r="Q209" s="500">
        <v>45895</v>
      </c>
      <c r="R209" s="148">
        <f t="shared" si="3"/>
        <v>1.0007631923244658</v>
      </c>
      <c r="S209" s="101" t="s">
        <v>2597</v>
      </c>
      <c r="T209" s="57" t="s">
        <v>3894</v>
      </c>
    </row>
    <row r="210" spans="1:20" ht="43.2" x14ac:dyDescent="0.3">
      <c r="A210" s="98">
        <v>207</v>
      </c>
      <c r="B210" s="554" t="s">
        <v>1826</v>
      </c>
      <c r="C210" s="573">
        <v>45860</v>
      </c>
      <c r="D210">
        <v>110527216</v>
      </c>
      <c r="E210" s="277" t="s">
        <v>3895</v>
      </c>
      <c r="F210" s="101" t="s">
        <v>49</v>
      </c>
      <c r="G210" s="112" t="s">
        <v>4</v>
      </c>
      <c r="H210" s="493">
        <v>45860</v>
      </c>
      <c r="I210" s="25"/>
      <c r="J210" s="107" t="s">
        <v>266</v>
      </c>
      <c r="K210" s="494"/>
      <c r="L210" s="495"/>
      <c r="M210" s="496"/>
      <c r="N210" s="497"/>
      <c r="O210" s="498"/>
      <c r="P210" s="499"/>
      <c r="Q210" s="500">
        <v>45860</v>
      </c>
      <c r="R210" s="148">
        <f t="shared" si="3"/>
        <v>1</v>
      </c>
      <c r="S210" s="101" t="s">
        <v>720</v>
      </c>
      <c r="T210" s="201"/>
    </row>
    <row r="211" spans="1:20" ht="115.2" x14ac:dyDescent="0.3">
      <c r="A211" s="98">
        <v>208</v>
      </c>
      <c r="B211" s="506">
        <v>1550</v>
      </c>
      <c r="C211" s="492">
        <v>45860</v>
      </c>
      <c r="D211" s="369">
        <v>30617792</v>
      </c>
      <c r="E211" s="270" t="s">
        <v>3896</v>
      </c>
      <c r="F211" s="344" t="s">
        <v>12</v>
      </c>
      <c r="G211" s="112" t="s">
        <v>6</v>
      </c>
      <c r="H211" s="493">
        <v>45860</v>
      </c>
      <c r="I211" s="25"/>
      <c r="J211" s="732" t="s">
        <v>159</v>
      </c>
      <c r="K211" s="513"/>
      <c r="L211" s="514"/>
      <c r="M211" s="515"/>
      <c r="N211" s="31"/>
      <c r="O211" s="53"/>
      <c r="P211" s="55"/>
      <c r="Q211" s="500">
        <v>45863</v>
      </c>
      <c r="R211" s="148">
        <f t="shared" si="3"/>
        <v>1.0000654164849543</v>
      </c>
      <c r="S211" s="101" t="s">
        <v>2597</v>
      </c>
      <c r="T211" s="257"/>
    </row>
    <row r="212" spans="1:20" ht="43.2" x14ac:dyDescent="0.3">
      <c r="A212" s="98">
        <v>209</v>
      </c>
      <c r="B212" s="506">
        <v>1550</v>
      </c>
      <c r="C212" s="492">
        <v>45860</v>
      </c>
      <c r="D212" s="369">
        <v>58832033</v>
      </c>
      <c r="E212" s="261" t="s">
        <v>3897</v>
      </c>
      <c r="F212" s="344" t="s">
        <v>12</v>
      </c>
      <c r="G212" s="112" t="s">
        <v>4</v>
      </c>
      <c r="H212" s="493">
        <v>45860</v>
      </c>
      <c r="I212" s="25"/>
      <c r="J212" s="732" t="s">
        <v>159</v>
      </c>
      <c r="K212" s="494"/>
      <c r="L212" s="495"/>
      <c r="M212" s="496"/>
      <c r="N212" s="497"/>
      <c r="O212" s="498"/>
      <c r="P212" s="499"/>
      <c r="Q212" s="500">
        <v>45861</v>
      </c>
      <c r="R212" s="148">
        <f t="shared" si="3"/>
        <v>1.0000218054949848</v>
      </c>
      <c r="S212" s="101" t="s">
        <v>2597</v>
      </c>
      <c r="T212" s="57"/>
    </row>
    <row r="213" spans="1:20" ht="43.2" x14ac:dyDescent="0.3">
      <c r="A213" s="98">
        <v>210</v>
      </c>
      <c r="B213" s="506" t="s">
        <v>301</v>
      </c>
      <c r="C213" s="492">
        <v>45860</v>
      </c>
      <c r="D213" s="369">
        <v>8688508</v>
      </c>
      <c r="E213" s="261" t="s">
        <v>2423</v>
      </c>
      <c r="F213" s="344" t="s">
        <v>49</v>
      </c>
      <c r="G213" s="112" t="s">
        <v>6</v>
      </c>
      <c r="H213" s="493">
        <v>45860</v>
      </c>
      <c r="I213" s="25"/>
      <c r="J213" s="107" t="s">
        <v>266</v>
      </c>
      <c r="K213" s="494"/>
      <c r="L213" s="495"/>
      <c r="M213" s="496"/>
      <c r="N213" s="497"/>
      <c r="O213" s="498"/>
      <c r="P213" s="499"/>
      <c r="Q213" s="500">
        <v>45860</v>
      </c>
      <c r="R213" s="148">
        <f t="shared" si="3"/>
        <v>1</v>
      </c>
      <c r="S213" s="101" t="s">
        <v>1312</v>
      </c>
      <c r="T213" s="57"/>
    </row>
    <row r="214" spans="1:20" ht="28.8" x14ac:dyDescent="0.3">
      <c r="A214" s="98">
        <v>211</v>
      </c>
      <c r="B214" s="506">
        <v>1550</v>
      </c>
      <c r="C214" s="492">
        <v>45860</v>
      </c>
      <c r="D214" s="369">
        <v>81920067</v>
      </c>
      <c r="E214" s="262" t="s">
        <v>3898</v>
      </c>
      <c r="F214" s="344" t="s">
        <v>3</v>
      </c>
      <c r="G214" s="112" t="s">
        <v>4</v>
      </c>
      <c r="H214" s="493">
        <v>45860</v>
      </c>
      <c r="I214" s="25"/>
      <c r="J214" s="100" t="s">
        <v>82</v>
      </c>
      <c r="K214" s="494"/>
      <c r="L214" s="495"/>
      <c r="M214" s="496"/>
      <c r="N214" s="497"/>
      <c r="O214" s="498"/>
      <c r="P214" s="499"/>
      <c r="Q214" s="500">
        <v>45887</v>
      </c>
      <c r="R214" s="148">
        <f t="shared" si="3"/>
        <v>1.0005887483645879</v>
      </c>
      <c r="S214" s="101" t="s">
        <v>3899</v>
      </c>
      <c r="T214" s="201"/>
    </row>
    <row r="215" spans="1:20" ht="43.2" x14ac:dyDescent="0.3">
      <c r="A215" s="98">
        <v>212</v>
      </c>
      <c r="B215" s="506">
        <v>1550</v>
      </c>
      <c r="C215" s="492">
        <v>45860</v>
      </c>
      <c r="D215" s="369">
        <v>81007213</v>
      </c>
      <c r="E215" s="270" t="s">
        <v>2387</v>
      </c>
      <c r="F215" s="344" t="s">
        <v>48</v>
      </c>
      <c r="G215" s="112" t="s">
        <v>8</v>
      </c>
      <c r="H215" s="493">
        <v>45860</v>
      </c>
      <c r="I215" s="25"/>
      <c r="J215" s="727" t="s">
        <v>99</v>
      </c>
      <c r="K215" s="518"/>
      <c r="L215" s="518"/>
      <c r="M215" s="519"/>
      <c r="N215" s="520"/>
      <c r="O215" s="520"/>
      <c r="P215" s="521"/>
      <c r="Q215" s="500">
        <v>45870</v>
      </c>
      <c r="R215" s="148">
        <f t="shared" si="3"/>
        <v>1.0002180549498474</v>
      </c>
      <c r="S215" s="101" t="s">
        <v>8</v>
      </c>
      <c r="T215" s="201" t="s">
        <v>3900</v>
      </c>
    </row>
    <row r="216" spans="1:20" x14ac:dyDescent="0.3">
      <c r="A216" s="98">
        <v>213</v>
      </c>
      <c r="B216" s="506">
        <v>1550</v>
      </c>
      <c r="C216" s="492">
        <v>45860</v>
      </c>
      <c r="D216" t="s">
        <v>3901</v>
      </c>
      <c r="E216" s="270" t="s">
        <v>3902</v>
      </c>
      <c r="F216" s="344" t="s">
        <v>23</v>
      </c>
      <c r="G216" s="112" t="s">
        <v>4</v>
      </c>
      <c r="H216" s="493">
        <v>45860</v>
      </c>
      <c r="I216" s="25"/>
      <c r="J216" s="107" t="s">
        <v>135</v>
      </c>
      <c r="K216" s="518"/>
      <c r="L216" s="518"/>
      <c r="M216" s="519"/>
      <c r="N216" s="520"/>
      <c r="O216" s="520"/>
      <c r="P216" s="521"/>
      <c r="Q216" s="500">
        <v>45881</v>
      </c>
      <c r="R216" s="148">
        <f t="shared" si="3"/>
        <v>1.0004579153946795</v>
      </c>
      <c r="S216" s="101" t="s">
        <v>3020</v>
      </c>
      <c r="T216" s="201" t="s">
        <v>3903</v>
      </c>
    </row>
    <row r="217" spans="1:20" ht="43.2" x14ac:dyDescent="0.3">
      <c r="A217" s="98">
        <v>214</v>
      </c>
      <c r="B217" s="506">
        <v>1550</v>
      </c>
      <c r="C217" s="492">
        <v>45860</v>
      </c>
      <c r="D217" s="369">
        <v>31072836</v>
      </c>
      <c r="E217" s="270" t="s">
        <v>2387</v>
      </c>
      <c r="F217" s="344" t="s">
        <v>48</v>
      </c>
      <c r="G217" s="112" t="s">
        <v>8</v>
      </c>
      <c r="H217" s="493">
        <v>45860</v>
      </c>
      <c r="I217" s="25"/>
      <c r="J217" s="727" t="s">
        <v>99</v>
      </c>
      <c r="K217" s="518"/>
      <c r="L217" s="518"/>
      <c r="M217" s="519"/>
      <c r="N217" s="520"/>
      <c r="O217" s="520"/>
      <c r="P217" s="521"/>
      <c r="Q217" s="500">
        <v>45870</v>
      </c>
      <c r="R217" s="148">
        <f t="shared" si="3"/>
        <v>1.0002180549498474</v>
      </c>
      <c r="S217" s="101" t="s">
        <v>8</v>
      </c>
      <c r="T217" s="201" t="s">
        <v>3900</v>
      </c>
    </row>
    <row r="218" spans="1:20" ht="43.2" x14ac:dyDescent="0.3">
      <c r="A218" s="98">
        <v>215</v>
      </c>
      <c r="B218" s="506">
        <v>1550</v>
      </c>
      <c r="C218" s="492">
        <v>45860</v>
      </c>
      <c r="D218" s="369">
        <v>78932459</v>
      </c>
      <c r="E218" s="270" t="s">
        <v>2387</v>
      </c>
      <c r="F218" s="344" t="s">
        <v>48</v>
      </c>
      <c r="G218" s="112" t="s">
        <v>8</v>
      </c>
      <c r="H218" s="493">
        <v>45860</v>
      </c>
      <c r="I218" s="25"/>
      <c r="J218" s="727" t="s">
        <v>99</v>
      </c>
      <c r="K218" s="518"/>
      <c r="L218" s="518"/>
      <c r="M218" s="519"/>
      <c r="N218" s="520"/>
      <c r="O218" s="520"/>
      <c r="P218" s="521"/>
      <c r="Q218" s="500">
        <v>45870</v>
      </c>
      <c r="R218" s="148">
        <f t="shared" si="3"/>
        <v>1.0002180549498474</v>
      </c>
      <c r="S218" s="101" t="s">
        <v>8</v>
      </c>
      <c r="T218" s="201" t="s">
        <v>3900</v>
      </c>
    </row>
    <row r="219" spans="1:20" ht="43.2" x14ac:dyDescent="0.3">
      <c r="A219" s="98">
        <v>216</v>
      </c>
      <c r="B219" s="506">
        <v>1550</v>
      </c>
      <c r="C219" s="492">
        <v>45860</v>
      </c>
      <c r="D219" s="369">
        <v>30724562</v>
      </c>
      <c r="E219" s="270" t="s">
        <v>2387</v>
      </c>
      <c r="F219" s="344" t="s">
        <v>48</v>
      </c>
      <c r="G219" s="112" t="s">
        <v>8</v>
      </c>
      <c r="H219" s="493">
        <v>45860</v>
      </c>
      <c r="I219" s="25"/>
      <c r="J219" s="727" t="s">
        <v>99</v>
      </c>
      <c r="K219" s="518"/>
      <c r="L219" s="518"/>
      <c r="M219" s="519"/>
      <c r="N219" s="520"/>
      <c r="O219" s="520"/>
      <c r="P219" s="521"/>
      <c r="Q219" s="500">
        <v>45870</v>
      </c>
      <c r="R219" s="148">
        <f t="shared" si="3"/>
        <v>1.0002180549498474</v>
      </c>
      <c r="S219" s="101" t="s">
        <v>8</v>
      </c>
      <c r="T219" s="201" t="s">
        <v>3900</v>
      </c>
    </row>
    <row r="220" spans="1:20" ht="43.2" x14ac:dyDescent="0.3">
      <c r="A220" s="98">
        <v>217</v>
      </c>
      <c r="B220" s="506">
        <v>1550</v>
      </c>
      <c r="C220" s="492">
        <v>45860</v>
      </c>
      <c r="D220" s="369">
        <v>8287171</v>
      </c>
      <c r="E220" s="270" t="s">
        <v>2387</v>
      </c>
      <c r="F220" s="344" t="s">
        <v>48</v>
      </c>
      <c r="G220" s="112" t="s">
        <v>8</v>
      </c>
      <c r="H220" s="493">
        <v>45860</v>
      </c>
      <c r="I220" s="25"/>
      <c r="J220" s="727" t="s">
        <v>99</v>
      </c>
      <c r="K220" s="518"/>
      <c r="L220" s="518"/>
      <c r="M220" s="519"/>
      <c r="N220" s="520"/>
      <c r="O220" s="520"/>
      <c r="P220" s="521"/>
      <c r="Q220" s="500">
        <v>45870</v>
      </c>
      <c r="R220" s="148">
        <f t="shared" si="3"/>
        <v>1.0002180549498474</v>
      </c>
      <c r="S220" s="101" t="s">
        <v>8</v>
      </c>
      <c r="T220" s="201" t="s">
        <v>3900</v>
      </c>
    </row>
    <row r="221" spans="1:20" ht="43.2" x14ac:dyDescent="0.3">
      <c r="A221" s="98">
        <v>218</v>
      </c>
      <c r="B221" s="506">
        <v>1550</v>
      </c>
      <c r="C221" s="492">
        <v>45860</v>
      </c>
      <c r="D221" s="369">
        <v>95118268</v>
      </c>
      <c r="E221" s="270" t="s">
        <v>2387</v>
      </c>
      <c r="F221" s="344" t="s">
        <v>48</v>
      </c>
      <c r="G221" s="112" t="s">
        <v>8</v>
      </c>
      <c r="H221" s="493">
        <v>45860</v>
      </c>
      <c r="I221" s="25"/>
      <c r="J221" s="727" t="s">
        <v>99</v>
      </c>
      <c r="K221" s="518"/>
      <c r="L221" s="518"/>
      <c r="M221" s="519"/>
      <c r="N221" s="520"/>
      <c r="O221" s="520"/>
      <c r="P221" s="521"/>
      <c r="Q221" s="500">
        <v>45870</v>
      </c>
      <c r="R221" s="148">
        <f t="shared" si="3"/>
        <v>1.0002180549498474</v>
      </c>
      <c r="S221" s="101" t="s">
        <v>8</v>
      </c>
      <c r="T221" s="201" t="s">
        <v>3900</v>
      </c>
    </row>
    <row r="222" spans="1:20" ht="43.2" x14ac:dyDescent="0.3">
      <c r="A222" s="98">
        <v>219</v>
      </c>
      <c r="B222" s="506">
        <v>1550</v>
      </c>
      <c r="C222" s="492">
        <v>45860</v>
      </c>
      <c r="D222" s="369">
        <v>42411300</v>
      </c>
      <c r="E222" s="270" t="s">
        <v>2387</v>
      </c>
      <c r="F222" s="344" t="s">
        <v>48</v>
      </c>
      <c r="G222" s="112" t="s">
        <v>8</v>
      </c>
      <c r="H222" s="493">
        <v>45860</v>
      </c>
      <c r="I222" s="25"/>
      <c r="J222" s="727" t="s">
        <v>99</v>
      </c>
      <c r="K222" s="518"/>
      <c r="L222" s="518"/>
      <c r="M222" s="519"/>
      <c r="N222" s="520"/>
      <c r="O222" s="520"/>
      <c r="P222" s="521"/>
      <c r="Q222" s="500">
        <v>45870</v>
      </c>
      <c r="R222" s="148">
        <f t="shared" si="3"/>
        <v>1.0002180549498474</v>
      </c>
      <c r="S222" s="101" t="s">
        <v>8</v>
      </c>
      <c r="T222" s="201" t="s">
        <v>3900</v>
      </c>
    </row>
    <row r="223" spans="1:20" ht="43.2" x14ac:dyDescent="0.3">
      <c r="A223" s="98">
        <v>220</v>
      </c>
      <c r="B223" s="506">
        <v>1550</v>
      </c>
      <c r="C223" s="492">
        <v>45860</v>
      </c>
      <c r="D223" s="369">
        <v>97972355</v>
      </c>
      <c r="E223" s="270" t="s">
        <v>2387</v>
      </c>
      <c r="F223" s="344" t="s">
        <v>48</v>
      </c>
      <c r="G223" s="112" t="s">
        <v>8</v>
      </c>
      <c r="H223" s="493">
        <v>45860</v>
      </c>
      <c r="I223" s="25"/>
      <c r="J223" s="727" t="s">
        <v>99</v>
      </c>
      <c r="K223" s="518"/>
      <c r="L223" s="518"/>
      <c r="M223" s="519"/>
      <c r="N223" s="520"/>
      <c r="O223" s="520"/>
      <c r="P223" s="521"/>
      <c r="Q223" s="500">
        <v>45870</v>
      </c>
      <c r="R223" s="148">
        <f t="shared" si="3"/>
        <v>1.0002180549498474</v>
      </c>
      <c r="S223" s="101" t="s">
        <v>8</v>
      </c>
      <c r="T223" s="201" t="s">
        <v>3900</v>
      </c>
    </row>
    <row r="224" spans="1:20" ht="43.2" x14ac:dyDescent="0.3">
      <c r="A224" s="98">
        <v>221</v>
      </c>
      <c r="B224" s="506">
        <v>1550</v>
      </c>
      <c r="C224" s="492">
        <v>45860</v>
      </c>
      <c r="D224" s="369">
        <v>36317667</v>
      </c>
      <c r="E224" s="270" t="s">
        <v>2387</v>
      </c>
      <c r="F224" s="344" t="s">
        <v>48</v>
      </c>
      <c r="G224" s="112" t="s">
        <v>8</v>
      </c>
      <c r="H224" s="493">
        <v>45860</v>
      </c>
      <c r="I224" s="25"/>
      <c r="J224" s="727" t="s">
        <v>99</v>
      </c>
      <c r="K224" s="518"/>
      <c r="L224" s="518"/>
      <c r="M224" s="519"/>
      <c r="N224" s="520"/>
      <c r="O224" s="520"/>
      <c r="P224" s="521"/>
      <c r="Q224" s="500">
        <v>45870</v>
      </c>
      <c r="R224" s="148">
        <f t="shared" si="3"/>
        <v>1.0002180549498474</v>
      </c>
      <c r="S224" s="101" t="s">
        <v>8</v>
      </c>
      <c r="T224" s="201" t="s">
        <v>3900</v>
      </c>
    </row>
    <row r="225" spans="1:20" ht="43.2" x14ac:dyDescent="0.3">
      <c r="A225" s="98">
        <v>222</v>
      </c>
      <c r="B225" s="506">
        <v>1550</v>
      </c>
      <c r="C225" s="492">
        <v>45860</v>
      </c>
      <c r="D225" s="369">
        <v>92196187</v>
      </c>
      <c r="E225" s="270" t="s">
        <v>2387</v>
      </c>
      <c r="F225" s="344" t="s">
        <v>48</v>
      </c>
      <c r="G225" s="112" t="s">
        <v>8</v>
      </c>
      <c r="H225" s="493">
        <v>45860</v>
      </c>
      <c r="I225" s="25"/>
      <c r="J225" s="727" t="s">
        <v>99</v>
      </c>
      <c r="K225" s="518"/>
      <c r="L225" s="518"/>
      <c r="M225" s="519"/>
      <c r="N225" s="520"/>
      <c r="O225" s="520"/>
      <c r="P225" s="521"/>
      <c r="Q225" s="500">
        <v>45870</v>
      </c>
      <c r="R225" s="148">
        <f t="shared" si="3"/>
        <v>1.0002180549498474</v>
      </c>
      <c r="S225" s="101" t="s">
        <v>8</v>
      </c>
      <c r="T225" s="201" t="s">
        <v>3900</v>
      </c>
    </row>
    <row r="226" spans="1:20" ht="57.6" x14ac:dyDescent="0.3">
      <c r="A226" s="98">
        <v>223</v>
      </c>
      <c r="B226" s="506">
        <v>1550</v>
      </c>
      <c r="C226" s="492">
        <v>45860</v>
      </c>
      <c r="D226" s="369">
        <v>6654355</v>
      </c>
      <c r="E226" s="270" t="s">
        <v>3904</v>
      </c>
      <c r="F226" s="344" t="s">
        <v>24</v>
      </c>
      <c r="G226" s="172" t="s">
        <v>6</v>
      </c>
      <c r="H226" s="493">
        <v>45860</v>
      </c>
      <c r="I226" s="25"/>
      <c r="J226" s="728" t="s">
        <v>383</v>
      </c>
      <c r="K226" s="518"/>
      <c r="L226" s="518"/>
      <c r="M226" s="519"/>
      <c r="N226" s="520"/>
      <c r="O226" s="520"/>
      <c r="P226" s="521"/>
      <c r="Q226" s="516">
        <v>45863</v>
      </c>
      <c r="R226" s="148">
        <f t="shared" si="3"/>
        <v>1.0000654164849543</v>
      </c>
      <c r="S226" s="101" t="s">
        <v>3905</v>
      </c>
      <c r="T226" s="57"/>
    </row>
    <row r="227" spans="1:20" ht="28.8" x14ac:dyDescent="0.3">
      <c r="A227" s="98">
        <v>224</v>
      </c>
      <c r="B227" s="506">
        <v>1550</v>
      </c>
      <c r="C227" s="492">
        <v>45861</v>
      </c>
      <c r="D227" s="369">
        <v>89869001</v>
      </c>
      <c r="E227" s="270" t="s">
        <v>3906</v>
      </c>
      <c r="F227" s="344" t="s">
        <v>1</v>
      </c>
      <c r="G227" s="112" t="s">
        <v>8</v>
      </c>
      <c r="H227" s="493">
        <v>45861</v>
      </c>
      <c r="I227" s="25"/>
      <c r="J227" s="100" t="s">
        <v>2367</v>
      </c>
      <c r="K227" s="494"/>
      <c r="L227" s="495"/>
      <c r="M227" s="496"/>
      <c r="N227" s="497"/>
      <c r="O227" s="498"/>
      <c r="P227" s="499"/>
      <c r="Q227" s="516">
        <v>45863</v>
      </c>
      <c r="R227" s="148">
        <f t="shared" si="3"/>
        <v>1.0000436100390311</v>
      </c>
      <c r="S227" s="101" t="s">
        <v>270</v>
      </c>
      <c r="T227" s="57"/>
    </row>
    <row r="228" spans="1:20" ht="43.2" x14ac:dyDescent="0.3">
      <c r="A228" s="98">
        <v>225</v>
      </c>
      <c r="B228" s="506">
        <v>1550</v>
      </c>
      <c r="C228" s="492">
        <v>45861</v>
      </c>
      <c r="D228">
        <v>50760319</v>
      </c>
      <c r="E228" s="270" t="s">
        <v>3865</v>
      </c>
      <c r="F228" s="344" t="s">
        <v>49</v>
      </c>
      <c r="G228" s="172" t="s">
        <v>4</v>
      </c>
      <c r="H228" s="493">
        <v>45861</v>
      </c>
      <c r="I228" s="25"/>
      <c r="J228" s="107" t="s">
        <v>266</v>
      </c>
      <c r="K228" s="518"/>
      <c r="L228" s="518"/>
      <c r="M228" s="519"/>
      <c r="N228" s="520"/>
      <c r="O228" s="520"/>
      <c r="P228" s="521"/>
      <c r="Q228" s="516">
        <v>45861</v>
      </c>
      <c r="R228" s="148">
        <f t="shared" si="3"/>
        <v>1</v>
      </c>
      <c r="S228" s="101" t="s">
        <v>2970</v>
      </c>
      <c r="T228" s="201"/>
    </row>
    <row r="229" spans="1:20" ht="43.2" x14ac:dyDescent="0.3">
      <c r="A229" s="98">
        <v>226</v>
      </c>
      <c r="B229" s="506">
        <v>1550</v>
      </c>
      <c r="C229" s="492">
        <v>45861</v>
      </c>
      <c r="D229" s="369">
        <v>112364306</v>
      </c>
      <c r="E229" s="639" t="s">
        <v>3907</v>
      </c>
      <c r="F229" s="344" t="s">
        <v>12</v>
      </c>
      <c r="G229" s="172" t="s">
        <v>4</v>
      </c>
      <c r="H229" s="493">
        <v>45861</v>
      </c>
      <c r="I229" s="25"/>
      <c r="J229" s="732" t="s">
        <v>159</v>
      </c>
      <c r="K229" s="513"/>
      <c r="L229" s="514"/>
      <c r="M229" s="515"/>
      <c r="N229" s="31"/>
      <c r="O229" s="53"/>
      <c r="P229" s="55"/>
      <c r="Q229" s="516">
        <v>45881</v>
      </c>
      <c r="R229" s="148">
        <f t="shared" si="3"/>
        <v>1.0004361003903099</v>
      </c>
      <c r="S229" s="101" t="s">
        <v>1934</v>
      </c>
      <c r="T229" s="57"/>
    </row>
    <row r="230" spans="1:20" ht="43.2" x14ac:dyDescent="0.3">
      <c r="A230" s="98">
        <v>227</v>
      </c>
      <c r="B230" s="506" t="s">
        <v>1826</v>
      </c>
      <c r="C230" s="492">
        <v>45861</v>
      </c>
      <c r="D230" s="369">
        <v>81565380</v>
      </c>
      <c r="E230" s="270" t="s">
        <v>3908</v>
      </c>
      <c r="F230" s="344" t="s">
        <v>1</v>
      </c>
      <c r="G230" s="112" t="s">
        <v>4</v>
      </c>
      <c r="H230" s="493">
        <v>45861</v>
      </c>
      <c r="I230" s="25"/>
      <c r="J230" s="727" t="s">
        <v>99</v>
      </c>
      <c r="K230" s="494"/>
      <c r="L230" s="495"/>
      <c r="M230" s="496"/>
      <c r="N230" s="497"/>
      <c r="O230" s="498"/>
      <c r="P230" s="499"/>
      <c r="Q230" s="516">
        <v>45862</v>
      </c>
      <c r="R230" s="148">
        <f t="shared" si="3"/>
        <v>1.0000218050195155</v>
      </c>
      <c r="S230" s="101" t="s">
        <v>3783</v>
      </c>
      <c r="T230" s="57"/>
    </row>
    <row r="231" spans="1:20" ht="43.2" x14ac:dyDescent="0.3">
      <c r="A231" s="98">
        <v>228</v>
      </c>
      <c r="B231" s="506" t="s">
        <v>80</v>
      </c>
      <c r="C231" s="492">
        <v>45861</v>
      </c>
      <c r="D231" s="369">
        <v>34504443</v>
      </c>
      <c r="E231" s="270" t="s">
        <v>3909</v>
      </c>
      <c r="F231" s="344" t="s">
        <v>12</v>
      </c>
      <c r="G231" s="172" t="s">
        <v>8</v>
      </c>
      <c r="H231" s="493">
        <v>45861</v>
      </c>
      <c r="I231" s="25"/>
      <c r="J231" s="100" t="s">
        <v>82</v>
      </c>
      <c r="K231" s="513"/>
      <c r="L231" s="514"/>
      <c r="M231" s="515"/>
      <c r="N231" s="31"/>
      <c r="O231" s="53"/>
      <c r="P231" s="55"/>
      <c r="Q231" s="516">
        <v>45869</v>
      </c>
      <c r="R231" s="148">
        <f t="shared" si="3"/>
        <v>1.0001744401561239</v>
      </c>
      <c r="S231" s="101" t="s">
        <v>3418</v>
      </c>
      <c r="T231" s="201"/>
    </row>
    <row r="232" spans="1:20" ht="43.2" x14ac:dyDescent="0.3">
      <c r="A232" s="98">
        <v>229</v>
      </c>
      <c r="B232" s="554" t="s">
        <v>80</v>
      </c>
      <c r="C232" s="516">
        <v>45861</v>
      </c>
      <c r="D232" s="369">
        <v>50243438</v>
      </c>
      <c r="E232" s="270" t="s">
        <v>3910</v>
      </c>
      <c r="F232" s="378" t="s">
        <v>58</v>
      </c>
      <c r="G232" s="221" t="s">
        <v>8</v>
      </c>
      <c r="H232" s="493">
        <v>45861</v>
      </c>
      <c r="I232" s="503"/>
      <c r="J232" s="107" t="s">
        <v>22</v>
      </c>
      <c r="K232" s="518"/>
      <c r="L232" s="518"/>
      <c r="M232" s="519"/>
      <c r="N232" s="520"/>
      <c r="O232" s="520"/>
      <c r="P232" s="521"/>
      <c r="Q232" s="346">
        <v>45866</v>
      </c>
      <c r="R232" s="148">
        <f t="shared" si="3"/>
        <v>1.0001090250975775</v>
      </c>
      <c r="S232" s="101" t="s">
        <v>3418</v>
      </c>
      <c r="T232" s="57"/>
    </row>
    <row r="233" spans="1:20" ht="43.2" x14ac:dyDescent="0.3">
      <c r="A233" s="98">
        <v>230</v>
      </c>
      <c r="B233" s="554" t="s">
        <v>80</v>
      </c>
      <c r="C233" s="516">
        <v>45861</v>
      </c>
      <c r="D233" s="369">
        <v>38901315</v>
      </c>
      <c r="E233" s="270" t="s">
        <v>3911</v>
      </c>
      <c r="F233" s="378" t="s">
        <v>17</v>
      </c>
      <c r="G233" s="221" t="s">
        <v>8</v>
      </c>
      <c r="H233" s="493">
        <v>45861</v>
      </c>
      <c r="I233" s="503"/>
      <c r="J233" s="100" t="s">
        <v>82</v>
      </c>
      <c r="K233" s="518"/>
      <c r="L233" s="518"/>
      <c r="M233" s="519"/>
      <c r="N233" s="520"/>
      <c r="O233" s="520"/>
      <c r="P233" s="521"/>
      <c r="Q233" s="346">
        <v>45862</v>
      </c>
      <c r="R233" s="148">
        <f t="shared" si="3"/>
        <v>1.0000218050195155</v>
      </c>
      <c r="S233" s="101" t="s">
        <v>3418</v>
      </c>
      <c r="T233" s="57"/>
    </row>
    <row r="234" spans="1:20" ht="43.2" x14ac:dyDescent="0.3">
      <c r="A234" s="98">
        <v>231</v>
      </c>
      <c r="B234" s="554" t="s">
        <v>1826</v>
      </c>
      <c r="C234" s="581">
        <v>45861</v>
      </c>
      <c r="D234">
        <v>95195203</v>
      </c>
      <c r="E234" s="271" t="s">
        <v>3865</v>
      </c>
      <c r="F234" s="378" t="s">
        <v>49</v>
      </c>
      <c r="G234" s="221" t="s">
        <v>4</v>
      </c>
      <c r="H234" s="493">
        <v>45861</v>
      </c>
      <c r="I234" s="25"/>
      <c r="J234" s="107" t="s">
        <v>266</v>
      </c>
      <c r="K234" s="518"/>
      <c r="L234" s="518"/>
      <c r="M234" s="519"/>
      <c r="N234" s="520"/>
      <c r="O234" s="520"/>
      <c r="P234" s="521"/>
      <c r="Q234" s="346">
        <v>45861</v>
      </c>
      <c r="R234" s="148">
        <f t="shared" si="3"/>
        <v>1</v>
      </c>
      <c r="S234" s="101" t="s">
        <v>720</v>
      </c>
      <c r="T234" s="201"/>
    </row>
    <row r="235" spans="1:20" ht="28.8" x14ac:dyDescent="0.3">
      <c r="A235" s="98">
        <v>232</v>
      </c>
      <c r="B235" s="554">
        <v>1550</v>
      </c>
      <c r="C235" s="581">
        <v>45859</v>
      </c>
      <c r="D235">
        <v>5544211</v>
      </c>
      <c r="E235" t="s">
        <v>3912</v>
      </c>
      <c r="F235" s="378" t="s">
        <v>31</v>
      </c>
      <c r="G235" s="221" t="s">
        <v>4</v>
      </c>
      <c r="H235" s="493">
        <v>45859</v>
      </c>
      <c r="I235" s="503"/>
      <c r="J235" s="100" t="s">
        <v>82</v>
      </c>
      <c r="K235" s="513"/>
      <c r="L235" s="582"/>
      <c r="M235" s="515"/>
      <c r="N235" s="31"/>
      <c r="O235" s="53"/>
      <c r="P235" s="55"/>
      <c r="Q235" s="346">
        <v>45863</v>
      </c>
      <c r="R235" s="148">
        <f t="shared" si="3"/>
        <v>1.000087223881899</v>
      </c>
      <c r="S235" s="101" t="s">
        <v>1934</v>
      </c>
      <c r="T235" s="57"/>
    </row>
    <row r="236" spans="1:20" ht="57.6" x14ac:dyDescent="0.3">
      <c r="A236" s="98">
        <v>233</v>
      </c>
      <c r="B236" s="554">
        <v>1550</v>
      </c>
      <c r="C236" s="516">
        <v>45861</v>
      </c>
      <c r="D236" s="369">
        <v>7195419</v>
      </c>
      <c r="E236" s="270" t="s">
        <v>3913</v>
      </c>
      <c r="F236" s="378" t="s">
        <v>15</v>
      </c>
      <c r="G236" s="221" t="s">
        <v>8</v>
      </c>
      <c r="H236" s="493">
        <v>45861</v>
      </c>
      <c r="I236" s="503"/>
      <c r="J236" s="727" t="s">
        <v>99</v>
      </c>
      <c r="K236" s="518"/>
      <c r="L236" s="518"/>
      <c r="M236" s="519"/>
      <c r="N236" s="520"/>
      <c r="O236" s="520"/>
      <c r="P236" s="521"/>
      <c r="Q236" s="346">
        <v>45898</v>
      </c>
      <c r="R236" s="148">
        <f t="shared" si="3"/>
        <v>1.0008067857220733</v>
      </c>
      <c r="S236" s="101" t="s">
        <v>3914</v>
      </c>
      <c r="T236" s="57"/>
    </row>
    <row r="237" spans="1:20" ht="86.4" x14ac:dyDescent="0.3">
      <c r="A237" s="98">
        <v>234</v>
      </c>
      <c r="B237" s="554">
        <v>1550</v>
      </c>
      <c r="C237" s="516">
        <v>45861</v>
      </c>
      <c r="D237" s="369">
        <v>3037924</v>
      </c>
      <c r="E237" s="270" t="s">
        <v>3915</v>
      </c>
      <c r="F237" s="378" t="s">
        <v>1</v>
      </c>
      <c r="G237" s="221" t="s">
        <v>6</v>
      </c>
      <c r="H237" s="493">
        <v>45861</v>
      </c>
      <c r="I237" s="503"/>
      <c r="J237" s="107" t="s">
        <v>2432</v>
      </c>
      <c r="K237" s="518"/>
      <c r="L237" s="518"/>
      <c r="M237" s="519"/>
      <c r="N237" s="520"/>
      <c r="O237" s="520"/>
      <c r="P237" s="521"/>
      <c r="Q237" s="346">
        <v>45863</v>
      </c>
      <c r="R237" s="148">
        <f t="shared" si="3"/>
        <v>1.0000436100390311</v>
      </c>
      <c r="S237" s="101" t="s">
        <v>1934</v>
      </c>
      <c r="T237" s="57"/>
    </row>
    <row r="238" spans="1:20" ht="57.6" x14ac:dyDescent="0.3">
      <c r="A238" s="98">
        <v>235</v>
      </c>
      <c r="B238" s="554">
        <v>1550</v>
      </c>
      <c r="C238" s="581">
        <v>45861</v>
      </c>
      <c r="D238" s="369">
        <v>23540982</v>
      </c>
      <c r="E238" s="270" t="s">
        <v>3916</v>
      </c>
      <c r="F238" s="378" t="s">
        <v>3</v>
      </c>
      <c r="G238" s="221" t="s">
        <v>6</v>
      </c>
      <c r="H238" s="493">
        <v>45861</v>
      </c>
      <c r="I238" s="503"/>
      <c r="J238" s="100" t="s">
        <v>2306</v>
      </c>
      <c r="K238" s="513"/>
      <c r="L238" s="582"/>
      <c r="M238" s="515"/>
      <c r="N238" s="31"/>
      <c r="O238" s="53"/>
      <c r="P238" s="55"/>
      <c r="Q238" s="346">
        <v>45861</v>
      </c>
      <c r="R238" s="148">
        <f t="shared" si="3"/>
        <v>1</v>
      </c>
      <c r="S238" s="101" t="s">
        <v>2808</v>
      </c>
      <c r="T238" s="57"/>
    </row>
    <row r="239" spans="1:20" ht="28.8" x14ac:dyDescent="0.3">
      <c r="A239" s="98">
        <v>236</v>
      </c>
      <c r="B239" s="554">
        <v>1550</v>
      </c>
      <c r="C239" s="516">
        <v>45861</v>
      </c>
      <c r="D239" s="369">
        <v>68882157</v>
      </c>
      <c r="E239" s="640" t="s">
        <v>3917</v>
      </c>
      <c r="F239" s="378" t="s">
        <v>1</v>
      </c>
      <c r="G239" s="221" t="s">
        <v>8</v>
      </c>
      <c r="H239" s="493">
        <v>45861</v>
      </c>
      <c r="I239" s="503"/>
      <c r="J239" s="100" t="s">
        <v>2544</v>
      </c>
      <c r="K239" s="513"/>
      <c r="L239" s="582"/>
      <c r="M239" s="515"/>
      <c r="N239" s="31"/>
      <c r="O239" s="53"/>
      <c r="P239" s="55"/>
      <c r="Q239" s="346">
        <v>45868</v>
      </c>
      <c r="R239" s="148">
        <f t="shared" si="3"/>
        <v>1.0001526351366083</v>
      </c>
      <c r="S239" s="101" t="s">
        <v>3918</v>
      </c>
      <c r="T239" s="57"/>
    </row>
    <row r="240" spans="1:20" ht="43.2" x14ac:dyDescent="0.3">
      <c r="A240" s="98">
        <v>237</v>
      </c>
      <c r="B240" s="554">
        <v>1550</v>
      </c>
      <c r="C240" s="581">
        <v>45862</v>
      </c>
      <c r="D240" s="369">
        <v>105280216</v>
      </c>
      <c r="E240" s="270" t="s">
        <v>3919</v>
      </c>
      <c r="F240" s="378" t="s">
        <v>1</v>
      </c>
      <c r="G240" s="221" t="s">
        <v>4</v>
      </c>
      <c r="H240" s="493">
        <v>45862</v>
      </c>
      <c r="I240" s="503"/>
      <c r="J240" s="107" t="s">
        <v>2411</v>
      </c>
      <c r="K240" s="513"/>
      <c r="L240" s="582"/>
      <c r="M240" s="515"/>
      <c r="N240" s="31"/>
      <c r="O240" s="53"/>
      <c r="P240" s="55"/>
      <c r="Q240" s="346">
        <v>45862</v>
      </c>
      <c r="R240" s="148">
        <f t="shared" si="3"/>
        <v>1</v>
      </c>
      <c r="S240" s="101" t="s">
        <v>720</v>
      </c>
      <c r="T240" s="201"/>
    </row>
    <row r="241" spans="1:20" ht="72" x14ac:dyDescent="0.3">
      <c r="A241" s="98">
        <v>238</v>
      </c>
      <c r="B241" s="554">
        <v>1550</v>
      </c>
      <c r="C241" s="581" t="s">
        <v>3920</v>
      </c>
      <c r="D241" s="369">
        <v>72103930</v>
      </c>
      <c r="E241" s="261" t="s">
        <v>3921</v>
      </c>
      <c r="F241" s="101" t="s">
        <v>58</v>
      </c>
      <c r="G241" s="221" t="s">
        <v>6</v>
      </c>
      <c r="H241" s="493">
        <v>45862</v>
      </c>
      <c r="I241" s="503"/>
      <c r="J241" s="107" t="s">
        <v>22</v>
      </c>
      <c r="K241" s="518"/>
      <c r="L241" s="518"/>
      <c r="M241" s="519"/>
      <c r="N241" s="520"/>
      <c r="O241" s="520"/>
      <c r="P241" s="521"/>
      <c r="Q241" s="346">
        <v>45869</v>
      </c>
      <c r="R241" s="148">
        <f t="shared" si="3"/>
        <v>1.0001526318084688</v>
      </c>
      <c r="S241" s="101" t="s">
        <v>2808</v>
      </c>
      <c r="T241" s="57"/>
    </row>
    <row r="242" spans="1:20" ht="28.8" x14ac:dyDescent="0.3">
      <c r="A242" s="98">
        <v>239</v>
      </c>
      <c r="B242" s="554" t="s">
        <v>2510</v>
      </c>
      <c r="C242" s="581">
        <v>45862</v>
      </c>
      <c r="D242" s="369">
        <v>74546171</v>
      </c>
      <c r="E242" s="261" t="s">
        <v>3922</v>
      </c>
      <c r="F242" s="378" t="s">
        <v>17</v>
      </c>
      <c r="G242" s="221" t="s">
        <v>4</v>
      </c>
      <c r="H242" s="493">
        <v>45862</v>
      </c>
      <c r="I242" s="503">
        <v>10000306998</v>
      </c>
      <c r="J242" s="100" t="s">
        <v>82</v>
      </c>
      <c r="K242" s="518"/>
      <c r="L242" s="518"/>
      <c r="M242" s="519"/>
      <c r="N242" s="520"/>
      <c r="O242" s="520"/>
      <c r="P242" s="521"/>
      <c r="Q242" s="346">
        <v>46008</v>
      </c>
      <c r="R242" s="148">
        <f t="shared" si="3"/>
        <v>1.0031834634337795</v>
      </c>
      <c r="S242" s="101" t="s">
        <v>720</v>
      </c>
      <c r="T242" s="57"/>
    </row>
    <row r="243" spans="1:20" ht="43.2" x14ac:dyDescent="0.3">
      <c r="A243" s="98">
        <v>240</v>
      </c>
      <c r="B243" s="583" t="s">
        <v>80</v>
      </c>
      <c r="C243" s="581">
        <v>45862</v>
      </c>
      <c r="D243" s="369">
        <v>74171283</v>
      </c>
      <c r="E243" s="261" t="s">
        <v>3923</v>
      </c>
      <c r="F243" s="378" t="s">
        <v>3</v>
      </c>
      <c r="G243" s="221" t="s">
        <v>8</v>
      </c>
      <c r="H243" s="493">
        <v>45862</v>
      </c>
      <c r="I243" s="503"/>
      <c r="J243" s="100" t="s">
        <v>2306</v>
      </c>
      <c r="K243" s="518"/>
      <c r="L243" s="518"/>
      <c r="M243" s="519"/>
      <c r="N243" s="520"/>
      <c r="O243" s="520"/>
      <c r="P243" s="521"/>
      <c r="Q243" s="346">
        <v>45863</v>
      </c>
      <c r="R243" s="148">
        <f t="shared" si="3"/>
        <v>1.000021804544067</v>
      </c>
      <c r="S243" s="101" t="s">
        <v>3418</v>
      </c>
      <c r="T243" s="57"/>
    </row>
    <row r="244" spans="1:20" ht="43.2" x14ac:dyDescent="0.3">
      <c r="A244" s="98">
        <v>241</v>
      </c>
      <c r="B244" s="583">
        <v>1550</v>
      </c>
      <c r="C244" s="584">
        <v>45862</v>
      </c>
      <c r="D244" s="369">
        <v>72516909</v>
      </c>
      <c r="E244" s="271" t="s">
        <v>3924</v>
      </c>
      <c r="F244" s="101" t="s">
        <v>1</v>
      </c>
      <c r="G244" s="81" t="s">
        <v>4</v>
      </c>
      <c r="H244" s="493">
        <v>45862</v>
      </c>
      <c r="I244" s="585"/>
      <c r="J244" s="727" t="s">
        <v>99</v>
      </c>
      <c r="K244" s="513"/>
      <c r="L244" s="514"/>
      <c r="M244" s="515"/>
      <c r="N244" s="31"/>
      <c r="O244" s="53"/>
      <c r="P244" s="55"/>
      <c r="Q244" s="346">
        <v>45881</v>
      </c>
      <c r="R244" s="148">
        <f t="shared" si="3"/>
        <v>1.0004142863372727</v>
      </c>
      <c r="S244" s="101" t="s">
        <v>3047</v>
      </c>
      <c r="T244" s="57" t="s">
        <v>3925</v>
      </c>
    </row>
    <row r="245" spans="1:20" ht="28.8" x14ac:dyDescent="0.3">
      <c r="A245" s="98">
        <v>242</v>
      </c>
      <c r="B245" s="583">
        <v>1550</v>
      </c>
      <c r="C245" s="584">
        <v>45862</v>
      </c>
      <c r="D245" s="369">
        <v>17857287</v>
      </c>
      <c r="E245" s="271" t="s">
        <v>3926</v>
      </c>
      <c r="F245" s="101" t="s">
        <v>3</v>
      </c>
      <c r="G245" s="81" t="s">
        <v>8</v>
      </c>
      <c r="H245" s="493">
        <v>45862</v>
      </c>
      <c r="I245" s="503"/>
      <c r="J245" s="100" t="s">
        <v>82</v>
      </c>
      <c r="K245" s="513"/>
      <c r="L245" s="514"/>
      <c r="M245" s="515"/>
      <c r="N245" s="31"/>
      <c r="O245" s="53"/>
      <c r="P245" s="55"/>
      <c r="Q245" s="346">
        <v>45877</v>
      </c>
      <c r="R245" s="148">
        <f t="shared" si="3"/>
        <v>1.0003270681610048</v>
      </c>
      <c r="S245" s="101" t="s">
        <v>3918</v>
      </c>
      <c r="T245" s="57" t="s">
        <v>3927</v>
      </c>
    </row>
    <row r="246" spans="1:20" ht="129.6" x14ac:dyDescent="0.3">
      <c r="A246" s="98">
        <v>243</v>
      </c>
      <c r="B246" s="618">
        <v>1550</v>
      </c>
      <c r="C246" s="592">
        <v>45862</v>
      </c>
      <c r="D246" s="537">
        <v>112455581</v>
      </c>
      <c r="E246" s="271" t="s">
        <v>3928</v>
      </c>
      <c r="F246" s="101" t="s">
        <v>1</v>
      </c>
      <c r="G246" s="81" t="s">
        <v>6</v>
      </c>
      <c r="H246" s="493">
        <v>45862</v>
      </c>
      <c r="I246" s="503"/>
      <c r="J246" s="107" t="s">
        <v>2544</v>
      </c>
      <c r="K246" s="513"/>
      <c r="L246" s="514"/>
      <c r="M246" s="515"/>
      <c r="N246" s="31"/>
      <c r="O246" s="53"/>
      <c r="P246" s="55"/>
      <c r="Q246" s="346">
        <v>45874</v>
      </c>
      <c r="R246" s="148">
        <f t="shared" si="3"/>
        <v>1.0002616545288039</v>
      </c>
      <c r="S246" s="101" t="s">
        <v>1934</v>
      </c>
      <c r="T246" s="57"/>
    </row>
    <row r="247" spans="1:20" ht="43.2" x14ac:dyDescent="0.3">
      <c r="A247" s="98">
        <v>244</v>
      </c>
      <c r="B247" s="126" t="s">
        <v>1826</v>
      </c>
      <c r="C247" s="206">
        <v>45862</v>
      </c>
      <c r="D247" s="36">
        <v>25619829</v>
      </c>
      <c r="E247" s="641" t="s">
        <v>3865</v>
      </c>
      <c r="F247" s="387" t="s">
        <v>49</v>
      </c>
      <c r="G247" s="81" t="s">
        <v>4</v>
      </c>
      <c r="H247" s="493">
        <v>45862</v>
      </c>
      <c r="I247" s="586"/>
      <c r="J247" s="107" t="s">
        <v>266</v>
      </c>
      <c r="K247" s="513"/>
      <c r="L247" s="514"/>
      <c r="M247" s="515"/>
      <c r="N247" s="31"/>
      <c r="O247" s="53"/>
      <c r="P247" s="55"/>
      <c r="Q247" s="346">
        <v>45862</v>
      </c>
      <c r="R247" s="148">
        <f t="shared" si="3"/>
        <v>1</v>
      </c>
      <c r="S247" s="101" t="s">
        <v>720</v>
      </c>
      <c r="T247" s="57"/>
    </row>
    <row r="248" spans="1:20" ht="86.4" x14ac:dyDescent="0.3">
      <c r="A248" s="98">
        <v>245</v>
      </c>
      <c r="B248" s="126">
        <v>1550</v>
      </c>
      <c r="C248" s="206">
        <v>45862</v>
      </c>
      <c r="D248" s="219">
        <v>119644541</v>
      </c>
      <c r="E248" s="641" t="s">
        <v>3929</v>
      </c>
      <c r="F248" s="101" t="s">
        <v>49</v>
      </c>
      <c r="G248" s="81" t="s">
        <v>6</v>
      </c>
      <c r="H248" s="493">
        <v>45862</v>
      </c>
      <c r="I248" s="503"/>
      <c r="J248" s="732" t="s">
        <v>253</v>
      </c>
      <c r="K248" s="513"/>
      <c r="L248" s="514"/>
      <c r="M248" s="515"/>
      <c r="N248" s="31"/>
      <c r="O248" s="53"/>
      <c r="P248" s="55"/>
      <c r="Q248" s="346">
        <v>45862</v>
      </c>
      <c r="R248" s="148">
        <f t="shared" si="3"/>
        <v>1</v>
      </c>
      <c r="S248" s="101" t="s">
        <v>2747</v>
      </c>
      <c r="T248" s="57"/>
    </row>
    <row r="249" spans="1:20" ht="28.8" x14ac:dyDescent="0.3">
      <c r="A249" s="98">
        <v>246</v>
      </c>
      <c r="B249" s="583">
        <v>1550</v>
      </c>
      <c r="C249" s="584">
        <v>45862</v>
      </c>
      <c r="D249" s="369">
        <v>120530120</v>
      </c>
      <c r="E249" s="271" t="s">
        <v>3930</v>
      </c>
      <c r="F249" s="387" t="s">
        <v>1</v>
      </c>
      <c r="G249" s="81" t="s">
        <v>8</v>
      </c>
      <c r="H249" s="493">
        <v>45862</v>
      </c>
      <c r="I249" s="587"/>
      <c r="J249" s="100" t="s">
        <v>2306</v>
      </c>
      <c r="K249" s="513"/>
      <c r="L249" s="514"/>
      <c r="M249" s="515"/>
      <c r="N249" s="31"/>
      <c r="O249" s="53"/>
      <c r="P249" s="55"/>
      <c r="Q249" s="346">
        <v>45862</v>
      </c>
      <c r="R249" s="148">
        <f t="shared" si="3"/>
        <v>1</v>
      </c>
      <c r="S249" s="101" t="s">
        <v>3931</v>
      </c>
      <c r="T249" s="57"/>
    </row>
    <row r="250" spans="1:20" ht="43.2" x14ac:dyDescent="0.3">
      <c r="A250" s="98">
        <v>247</v>
      </c>
      <c r="B250" s="583" t="s">
        <v>301</v>
      </c>
      <c r="C250" s="584">
        <v>45862</v>
      </c>
      <c r="D250" s="369">
        <v>58447237</v>
      </c>
      <c r="E250" s="271" t="s">
        <v>3932</v>
      </c>
      <c r="F250" s="101" t="s">
        <v>12</v>
      </c>
      <c r="G250" s="81" t="s">
        <v>8</v>
      </c>
      <c r="H250" s="493">
        <v>45862</v>
      </c>
      <c r="I250" s="503"/>
      <c r="J250" s="732" t="s">
        <v>159</v>
      </c>
      <c r="K250" s="355"/>
      <c r="L250" s="518"/>
      <c r="M250" s="519"/>
      <c r="N250" s="520"/>
      <c r="O250" s="520"/>
      <c r="P250" s="521"/>
      <c r="Q250" s="346">
        <v>45863</v>
      </c>
      <c r="R250" s="148">
        <f t="shared" si="3"/>
        <v>1.000021804544067</v>
      </c>
      <c r="S250" s="101" t="s">
        <v>3861</v>
      </c>
      <c r="T250" s="201"/>
    </row>
    <row r="251" spans="1:20" ht="43.2" x14ac:dyDescent="0.3">
      <c r="A251" s="98">
        <v>248</v>
      </c>
      <c r="B251" s="583">
        <v>1550</v>
      </c>
      <c r="C251" s="584">
        <v>45862</v>
      </c>
      <c r="D251" s="369">
        <v>60559829</v>
      </c>
      <c r="E251" s="271" t="s">
        <v>3933</v>
      </c>
      <c r="F251" s="101" t="s">
        <v>36</v>
      </c>
      <c r="G251" s="81" t="s">
        <v>4</v>
      </c>
      <c r="H251" s="493">
        <v>45862</v>
      </c>
      <c r="I251" s="503"/>
      <c r="J251" s="727" t="s">
        <v>99</v>
      </c>
      <c r="K251" s="513"/>
      <c r="L251" s="514"/>
      <c r="M251" s="515"/>
      <c r="N251" s="31"/>
      <c r="O251" s="53"/>
      <c r="P251" s="55"/>
      <c r="Q251" s="346">
        <v>45882</v>
      </c>
      <c r="R251" s="148">
        <f t="shared" si="3"/>
        <v>1.0004360908813397</v>
      </c>
      <c r="S251" s="101" t="s">
        <v>3870</v>
      </c>
      <c r="T251" s="201"/>
    </row>
    <row r="252" spans="1:20" ht="43.2" x14ac:dyDescent="0.3">
      <c r="A252" s="98">
        <v>249</v>
      </c>
      <c r="B252" s="583" t="s">
        <v>301</v>
      </c>
      <c r="C252" s="584">
        <v>45862</v>
      </c>
      <c r="D252" s="369">
        <v>99736136</v>
      </c>
      <c r="E252" s="271" t="s">
        <v>3934</v>
      </c>
      <c r="F252" s="101" t="s">
        <v>49</v>
      </c>
      <c r="G252" s="81" t="s">
        <v>6</v>
      </c>
      <c r="H252" s="493">
        <v>45862</v>
      </c>
      <c r="I252" s="503"/>
      <c r="J252" s="107" t="s">
        <v>266</v>
      </c>
      <c r="K252" s="518"/>
      <c r="L252" s="518"/>
      <c r="M252" s="519"/>
      <c r="N252" s="520"/>
      <c r="O252" s="520"/>
      <c r="P252" s="521"/>
      <c r="Q252" s="346">
        <v>45862</v>
      </c>
      <c r="R252" s="148">
        <f t="shared" si="3"/>
        <v>1</v>
      </c>
      <c r="S252" s="101" t="s">
        <v>1312</v>
      </c>
      <c r="T252" s="201"/>
    </row>
    <row r="253" spans="1:20" ht="43.2" x14ac:dyDescent="0.3">
      <c r="A253" s="98">
        <v>250</v>
      </c>
      <c r="B253" s="583" t="s">
        <v>301</v>
      </c>
      <c r="C253" s="584">
        <v>45862</v>
      </c>
      <c r="D253" s="369">
        <v>115166823</v>
      </c>
      <c r="E253" s="271" t="s">
        <v>2423</v>
      </c>
      <c r="F253" s="101" t="s">
        <v>49</v>
      </c>
      <c r="G253" s="81" t="s">
        <v>8</v>
      </c>
      <c r="H253" s="493">
        <v>45862</v>
      </c>
      <c r="I253" s="503"/>
      <c r="J253" s="107" t="s">
        <v>266</v>
      </c>
      <c r="K253" s="513"/>
      <c r="L253" s="514"/>
      <c r="M253" s="515"/>
      <c r="N253" s="31"/>
      <c r="O253" s="53"/>
      <c r="P253" s="55"/>
      <c r="Q253" s="346">
        <v>45862</v>
      </c>
      <c r="R253" s="148">
        <f t="shared" si="3"/>
        <v>1</v>
      </c>
      <c r="S253" s="101" t="s">
        <v>3861</v>
      </c>
      <c r="T253" s="201"/>
    </row>
    <row r="254" spans="1:20" ht="43.2" x14ac:dyDescent="0.3">
      <c r="A254" s="98">
        <v>251</v>
      </c>
      <c r="B254" s="583" t="s">
        <v>301</v>
      </c>
      <c r="C254" s="584">
        <v>45862</v>
      </c>
      <c r="D254" s="369">
        <v>120074443</v>
      </c>
      <c r="E254" s="270" t="s">
        <v>3935</v>
      </c>
      <c r="F254" s="101" t="s">
        <v>49</v>
      </c>
      <c r="G254" s="81" t="s">
        <v>8</v>
      </c>
      <c r="H254" s="493">
        <v>45862</v>
      </c>
      <c r="I254" s="503"/>
      <c r="J254" s="107" t="s">
        <v>266</v>
      </c>
      <c r="K254" s="513"/>
      <c r="L254" s="514"/>
      <c r="M254" s="515"/>
      <c r="N254" s="31"/>
      <c r="O254" s="53"/>
      <c r="P254" s="55"/>
      <c r="Q254" s="346">
        <v>45862</v>
      </c>
      <c r="R254" s="148">
        <f t="shared" si="3"/>
        <v>1</v>
      </c>
      <c r="S254" s="101" t="s">
        <v>3861</v>
      </c>
      <c r="T254" s="201"/>
    </row>
    <row r="255" spans="1:20" ht="43.2" x14ac:dyDescent="0.3">
      <c r="A255" s="98">
        <v>252</v>
      </c>
      <c r="B255" s="583" t="s">
        <v>301</v>
      </c>
      <c r="C255" s="584">
        <v>45862</v>
      </c>
      <c r="D255" s="369">
        <v>120077523</v>
      </c>
      <c r="E255" s="270" t="s">
        <v>2423</v>
      </c>
      <c r="F255" s="344" t="s">
        <v>49</v>
      </c>
      <c r="G255" s="112" t="s">
        <v>8</v>
      </c>
      <c r="H255" s="493">
        <v>45862</v>
      </c>
      <c r="I255" s="25"/>
      <c r="J255" s="107" t="s">
        <v>266</v>
      </c>
      <c r="K255" s="518"/>
      <c r="L255" s="518"/>
      <c r="M255" s="519"/>
      <c r="N255" s="520"/>
      <c r="O255" s="520"/>
      <c r="P255" s="521"/>
      <c r="Q255" s="516">
        <v>45862</v>
      </c>
      <c r="R255" s="148">
        <f t="shared" si="3"/>
        <v>1</v>
      </c>
      <c r="S255" s="101" t="s">
        <v>3861</v>
      </c>
      <c r="T255" s="201"/>
    </row>
    <row r="256" spans="1:20" ht="43.2" x14ac:dyDescent="0.3">
      <c r="A256" s="98">
        <v>253</v>
      </c>
      <c r="B256" s="583" t="s">
        <v>301</v>
      </c>
      <c r="C256" s="584">
        <v>45862</v>
      </c>
      <c r="D256" s="369">
        <v>108429741</v>
      </c>
      <c r="E256" s="270" t="s">
        <v>2423</v>
      </c>
      <c r="F256" s="101" t="s">
        <v>49</v>
      </c>
      <c r="G256" s="112" t="s">
        <v>8</v>
      </c>
      <c r="H256" s="493">
        <v>45862</v>
      </c>
      <c r="I256" s="585"/>
      <c r="J256" s="107" t="s">
        <v>266</v>
      </c>
      <c r="K256" s="518"/>
      <c r="L256" s="518"/>
      <c r="M256" s="519"/>
      <c r="N256" s="520"/>
      <c r="O256" s="520"/>
      <c r="P256" s="521"/>
      <c r="Q256" s="516">
        <v>45862</v>
      </c>
      <c r="R256" s="148">
        <f t="shared" si="3"/>
        <v>1</v>
      </c>
      <c r="S256" s="101" t="s">
        <v>3861</v>
      </c>
      <c r="T256" s="201"/>
    </row>
    <row r="257" spans="1:20" ht="43.2" x14ac:dyDescent="0.3">
      <c r="A257" s="98">
        <v>254</v>
      </c>
      <c r="B257" s="583" t="s">
        <v>301</v>
      </c>
      <c r="C257" s="584">
        <v>45862</v>
      </c>
      <c r="D257" s="369">
        <v>79726690</v>
      </c>
      <c r="E257" s="271" t="s">
        <v>2423</v>
      </c>
      <c r="F257" s="378" t="s">
        <v>49</v>
      </c>
      <c r="G257" s="221" t="s">
        <v>8</v>
      </c>
      <c r="H257" s="493">
        <v>45862</v>
      </c>
      <c r="I257" s="503"/>
      <c r="J257" s="107" t="s">
        <v>266</v>
      </c>
      <c r="K257" s="518"/>
      <c r="L257" s="518"/>
      <c r="M257" s="519"/>
      <c r="N257" s="520"/>
      <c r="O257" s="520"/>
      <c r="P257" s="521"/>
      <c r="Q257" s="516">
        <v>45862</v>
      </c>
      <c r="R257" s="148">
        <f t="shared" si="3"/>
        <v>1</v>
      </c>
      <c r="S257" s="101" t="s">
        <v>3861</v>
      </c>
      <c r="T257" s="201"/>
    </row>
    <row r="258" spans="1:20" ht="43.2" x14ac:dyDescent="0.3">
      <c r="A258" s="98">
        <v>255</v>
      </c>
      <c r="B258" s="583" t="s">
        <v>301</v>
      </c>
      <c r="C258" s="584">
        <v>45862</v>
      </c>
      <c r="D258" s="369">
        <v>15602540</v>
      </c>
      <c r="E258" s="270" t="s">
        <v>2423</v>
      </c>
      <c r="F258" s="378" t="s">
        <v>49</v>
      </c>
      <c r="G258" s="221" t="s">
        <v>8</v>
      </c>
      <c r="H258" s="493">
        <v>45862</v>
      </c>
      <c r="I258" s="503"/>
      <c r="J258" s="107" t="s">
        <v>266</v>
      </c>
      <c r="K258" s="518"/>
      <c r="L258" s="518"/>
      <c r="M258" s="519"/>
      <c r="N258" s="520"/>
      <c r="O258" s="520"/>
      <c r="P258" s="521"/>
      <c r="Q258" s="516">
        <v>45862</v>
      </c>
      <c r="R258" s="148">
        <f t="shared" si="3"/>
        <v>1</v>
      </c>
      <c r="S258" s="101" t="s">
        <v>3861</v>
      </c>
      <c r="T258" s="201"/>
    </row>
    <row r="259" spans="1:20" ht="43.2" x14ac:dyDescent="0.3">
      <c r="A259" s="98">
        <v>256</v>
      </c>
      <c r="B259" s="583" t="s">
        <v>301</v>
      </c>
      <c r="C259" s="584">
        <v>45862</v>
      </c>
      <c r="D259" s="369">
        <v>114855730</v>
      </c>
      <c r="E259" s="261" t="s">
        <v>2423</v>
      </c>
      <c r="F259" s="378" t="s">
        <v>49</v>
      </c>
      <c r="G259" s="221" t="s">
        <v>8</v>
      </c>
      <c r="H259" s="493">
        <v>45862</v>
      </c>
      <c r="I259" s="503"/>
      <c r="J259" s="107" t="s">
        <v>266</v>
      </c>
      <c r="K259" s="518"/>
      <c r="L259" s="518"/>
      <c r="M259" s="519"/>
      <c r="N259" s="520"/>
      <c r="O259" s="520"/>
      <c r="P259" s="521"/>
      <c r="Q259" s="516">
        <v>45862</v>
      </c>
      <c r="R259" s="148">
        <f t="shared" si="3"/>
        <v>1</v>
      </c>
      <c r="S259" s="101" t="s">
        <v>3861</v>
      </c>
      <c r="T259" s="57"/>
    </row>
    <row r="260" spans="1:20" ht="28.8" x14ac:dyDescent="0.3">
      <c r="A260" s="98">
        <v>257</v>
      </c>
      <c r="B260" s="583">
        <v>1550</v>
      </c>
      <c r="C260" s="584">
        <v>45863</v>
      </c>
      <c r="D260" s="369">
        <v>119992264</v>
      </c>
      <c r="E260" s="262" t="s">
        <v>3936</v>
      </c>
      <c r="F260" s="378" t="s">
        <v>9</v>
      </c>
      <c r="G260" s="221" t="s">
        <v>4</v>
      </c>
      <c r="H260" s="493">
        <v>45863</v>
      </c>
      <c r="I260" s="503"/>
      <c r="J260" s="107" t="s">
        <v>2513</v>
      </c>
      <c r="K260" s="518"/>
      <c r="L260" s="518"/>
      <c r="M260" s="519"/>
      <c r="N260" s="520"/>
      <c r="O260" s="520"/>
      <c r="P260" s="521"/>
      <c r="Q260" s="516">
        <v>45863</v>
      </c>
      <c r="R260" s="148">
        <f t="shared" ref="R260:R313" si="4">Q260/H260</f>
        <v>1</v>
      </c>
      <c r="S260" s="101" t="s">
        <v>3830</v>
      </c>
      <c r="T260" s="201"/>
    </row>
    <row r="261" spans="1:20" ht="57.6" x14ac:dyDescent="0.3">
      <c r="A261" s="98">
        <v>258</v>
      </c>
      <c r="B261" s="583" t="s">
        <v>80</v>
      </c>
      <c r="C261" s="584">
        <v>45863</v>
      </c>
      <c r="D261" s="369"/>
      <c r="E261" s="262" t="s">
        <v>3937</v>
      </c>
      <c r="F261" s="378" t="s">
        <v>1314</v>
      </c>
      <c r="G261" s="221" t="s">
        <v>8</v>
      </c>
      <c r="H261" s="493">
        <v>45863</v>
      </c>
      <c r="I261" s="503"/>
      <c r="J261" s="727" t="s">
        <v>99</v>
      </c>
      <c r="K261" s="518"/>
      <c r="L261" s="518"/>
      <c r="M261" s="519"/>
      <c r="N261" s="520"/>
      <c r="O261" s="520"/>
      <c r="P261" s="521"/>
      <c r="Q261" s="516">
        <v>45867</v>
      </c>
      <c r="R261" s="148">
        <f t="shared" si="4"/>
        <v>1.0000872162745569</v>
      </c>
      <c r="S261" s="101" t="s">
        <v>3418</v>
      </c>
      <c r="T261" s="57"/>
    </row>
    <row r="262" spans="1:20" ht="57.6" x14ac:dyDescent="0.3">
      <c r="A262" s="98">
        <v>259</v>
      </c>
      <c r="B262" s="583">
        <v>1550</v>
      </c>
      <c r="C262" s="584">
        <v>45863</v>
      </c>
      <c r="D262" s="369">
        <v>3746070</v>
      </c>
      <c r="E262" s="271" t="s">
        <v>3938</v>
      </c>
      <c r="F262" s="378" t="s">
        <v>49</v>
      </c>
      <c r="G262" s="221" t="s">
        <v>8</v>
      </c>
      <c r="H262" s="493">
        <v>45863</v>
      </c>
      <c r="I262" s="503"/>
      <c r="J262" s="732" t="s">
        <v>253</v>
      </c>
      <c r="K262" s="513"/>
      <c r="L262" s="514"/>
      <c r="M262" s="515"/>
      <c r="N262" s="31"/>
      <c r="O262" s="53"/>
      <c r="P262" s="55"/>
      <c r="Q262" s="516">
        <v>45866</v>
      </c>
      <c r="R262" s="148">
        <f t="shared" si="4"/>
        <v>1.0000654122059176</v>
      </c>
      <c r="S262" s="101" t="s">
        <v>1806</v>
      </c>
      <c r="T262" s="57"/>
    </row>
    <row r="263" spans="1:20" ht="57.6" x14ac:dyDescent="0.3">
      <c r="A263" s="98">
        <v>260</v>
      </c>
      <c r="B263" s="583">
        <v>1550</v>
      </c>
      <c r="C263" s="584">
        <v>45863</v>
      </c>
      <c r="D263" s="369"/>
      <c r="E263" s="270" t="s">
        <v>3939</v>
      </c>
      <c r="F263" s="378" t="s">
        <v>21</v>
      </c>
      <c r="G263" s="221" t="s">
        <v>8</v>
      </c>
      <c r="H263" s="493">
        <v>45863</v>
      </c>
      <c r="I263" s="503"/>
      <c r="J263" s="727" t="s">
        <v>99</v>
      </c>
      <c r="K263" s="513"/>
      <c r="L263" s="582"/>
      <c r="M263" s="515"/>
      <c r="N263" s="31"/>
      <c r="O263" s="53"/>
      <c r="P263" s="55"/>
      <c r="Q263" s="516">
        <v>45868</v>
      </c>
      <c r="R263" s="148">
        <f t="shared" si="4"/>
        <v>1.0001090203431959</v>
      </c>
      <c r="S263" s="101" t="s">
        <v>3146</v>
      </c>
      <c r="T263" s="57"/>
    </row>
    <row r="264" spans="1:20" ht="43.2" x14ac:dyDescent="0.3">
      <c r="A264" s="98">
        <v>261</v>
      </c>
      <c r="B264" s="583" t="s">
        <v>1826</v>
      </c>
      <c r="C264" s="346">
        <v>45866</v>
      </c>
      <c r="D264" s="588">
        <v>97444669</v>
      </c>
      <c r="E264" s="270" t="s">
        <v>3940</v>
      </c>
      <c r="F264" s="387" t="s">
        <v>1</v>
      </c>
      <c r="G264" s="81" t="s">
        <v>4</v>
      </c>
      <c r="H264" s="493">
        <v>45866</v>
      </c>
      <c r="I264" s="587"/>
      <c r="J264" s="727" t="s">
        <v>99</v>
      </c>
      <c r="K264" s="518"/>
      <c r="L264" s="518"/>
      <c r="M264" s="519"/>
      <c r="N264" s="520"/>
      <c r="O264" s="520"/>
      <c r="P264" s="521"/>
      <c r="Q264" s="516">
        <v>45868</v>
      </c>
      <c r="R264" s="148">
        <f t="shared" si="4"/>
        <v>1.0000436052849606</v>
      </c>
      <c r="S264" s="101" t="s">
        <v>720</v>
      </c>
      <c r="T264" s="201"/>
    </row>
    <row r="265" spans="1:20" ht="43.2" x14ac:dyDescent="0.3">
      <c r="A265" s="98">
        <v>262</v>
      </c>
      <c r="B265" s="583">
        <v>1550</v>
      </c>
      <c r="C265" s="584">
        <v>45866</v>
      </c>
      <c r="D265">
        <v>36736392</v>
      </c>
      <c r="E265" s="270" t="s">
        <v>3865</v>
      </c>
      <c r="F265" s="387" t="s">
        <v>49</v>
      </c>
      <c r="G265" s="172" t="s">
        <v>4</v>
      </c>
      <c r="H265" s="493">
        <v>45866</v>
      </c>
      <c r="I265" s="587"/>
      <c r="J265" s="107" t="s">
        <v>266</v>
      </c>
      <c r="K265" s="518"/>
      <c r="L265" s="518"/>
      <c r="M265" s="519"/>
      <c r="N265" s="520"/>
      <c r="O265" s="520"/>
      <c r="P265" s="521"/>
      <c r="Q265" s="346">
        <v>45866</v>
      </c>
      <c r="R265" s="148">
        <f t="shared" si="4"/>
        <v>1</v>
      </c>
      <c r="S265" s="101" t="s">
        <v>2970</v>
      </c>
      <c r="T265" s="201"/>
    </row>
    <row r="266" spans="1:20" ht="43.2" x14ac:dyDescent="0.3">
      <c r="A266" s="98">
        <v>263</v>
      </c>
      <c r="B266" s="583">
        <v>1550</v>
      </c>
      <c r="C266" s="584">
        <v>45866</v>
      </c>
      <c r="D266" s="369">
        <v>90073592</v>
      </c>
      <c r="E266" s="270" t="s">
        <v>3941</v>
      </c>
      <c r="F266" s="387" t="s">
        <v>14</v>
      </c>
      <c r="G266" s="172" t="s">
        <v>8</v>
      </c>
      <c r="H266" s="493">
        <v>45866</v>
      </c>
      <c r="I266" s="587"/>
      <c r="J266" s="727" t="s">
        <v>253</v>
      </c>
      <c r="K266" s="518"/>
      <c r="L266" s="518"/>
      <c r="M266" s="519"/>
      <c r="N266" s="520"/>
      <c r="O266" s="520"/>
      <c r="P266" s="521"/>
      <c r="Q266" s="346">
        <v>45870</v>
      </c>
      <c r="R266" s="148">
        <f t="shared" si="4"/>
        <v>1.000087210569921</v>
      </c>
      <c r="S266" s="101" t="s">
        <v>3931</v>
      </c>
      <c r="T266" s="201"/>
    </row>
    <row r="267" spans="1:20" ht="43.2" x14ac:dyDescent="0.3">
      <c r="A267" s="98">
        <v>264</v>
      </c>
      <c r="B267" s="583">
        <v>1550</v>
      </c>
      <c r="C267" s="584">
        <v>45866</v>
      </c>
      <c r="D267" s="369">
        <v>40954064</v>
      </c>
      <c r="E267" s="270" t="s">
        <v>3942</v>
      </c>
      <c r="F267" s="378" t="s">
        <v>12</v>
      </c>
      <c r="G267" s="81" t="s">
        <v>4</v>
      </c>
      <c r="H267" s="493">
        <v>45866</v>
      </c>
      <c r="I267" s="587"/>
      <c r="J267" s="732" t="s">
        <v>159</v>
      </c>
      <c r="K267" s="518"/>
      <c r="L267" s="518"/>
      <c r="M267" s="519"/>
      <c r="N267" s="520"/>
      <c r="O267" s="520"/>
      <c r="P267" s="521"/>
      <c r="Q267" s="346">
        <v>45869</v>
      </c>
      <c r="R267" s="148">
        <f t="shared" si="4"/>
        <v>1.0000654079274407</v>
      </c>
      <c r="S267" s="101" t="s">
        <v>3020</v>
      </c>
      <c r="T267" s="201"/>
    </row>
    <row r="268" spans="1:20" ht="43.2" x14ac:dyDescent="0.3">
      <c r="A268" s="98">
        <v>265</v>
      </c>
      <c r="B268" s="583" t="s">
        <v>80</v>
      </c>
      <c r="C268" s="584">
        <v>45866</v>
      </c>
      <c r="D268" s="369">
        <v>5417163</v>
      </c>
      <c r="E268" s="270" t="s">
        <v>3943</v>
      </c>
      <c r="F268" s="378" t="s">
        <v>17</v>
      </c>
      <c r="G268" s="81" t="s">
        <v>8</v>
      </c>
      <c r="H268" s="493">
        <v>45866</v>
      </c>
      <c r="I268" s="587"/>
      <c r="J268" s="100" t="s">
        <v>82</v>
      </c>
      <c r="K268" s="518"/>
      <c r="L268" s="518"/>
      <c r="M268" s="519"/>
      <c r="N268" s="520"/>
      <c r="O268" s="520"/>
      <c r="P268" s="521"/>
      <c r="Q268" s="346">
        <v>45866</v>
      </c>
      <c r="R268" s="148">
        <f t="shared" si="4"/>
        <v>1</v>
      </c>
      <c r="S268" s="101" t="s">
        <v>3418</v>
      </c>
      <c r="T268" s="201"/>
    </row>
    <row r="269" spans="1:20" ht="86.4" x14ac:dyDescent="0.3">
      <c r="A269" s="98">
        <v>266</v>
      </c>
      <c r="B269" s="583" t="s">
        <v>301</v>
      </c>
      <c r="C269" s="584">
        <v>45866</v>
      </c>
      <c r="D269" s="369">
        <v>79860265</v>
      </c>
      <c r="E269" s="270" t="s">
        <v>3944</v>
      </c>
      <c r="F269" s="378" t="s">
        <v>7</v>
      </c>
      <c r="G269" s="81" t="s">
        <v>6</v>
      </c>
      <c r="H269" s="493">
        <v>45866</v>
      </c>
      <c r="I269" s="587"/>
      <c r="J269" s="727" t="s">
        <v>99</v>
      </c>
      <c r="K269" s="518"/>
      <c r="L269" s="518"/>
      <c r="M269" s="519"/>
      <c r="N269" s="520"/>
      <c r="O269" s="520"/>
      <c r="P269" s="521"/>
      <c r="Q269" s="346">
        <v>45866</v>
      </c>
      <c r="R269" s="148">
        <f t="shared" si="4"/>
        <v>1</v>
      </c>
      <c r="S269" s="101" t="s">
        <v>2808</v>
      </c>
      <c r="T269" s="201"/>
    </row>
    <row r="270" spans="1:20" ht="172.8" x14ac:dyDescent="0.3">
      <c r="A270" s="98">
        <v>267</v>
      </c>
      <c r="B270" s="583">
        <v>1550</v>
      </c>
      <c r="C270" s="346">
        <v>45866</v>
      </c>
      <c r="D270" s="369">
        <v>39256677</v>
      </c>
      <c r="E270" s="270" t="s">
        <v>3945</v>
      </c>
      <c r="F270" s="378" t="s">
        <v>1</v>
      </c>
      <c r="G270" s="81" t="s">
        <v>6</v>
      </c>
      <c r="H270" s="493">
        <v>45866</v>
      </c>
      <c r="I270" s="587"/>
      <c r="J270" s="727" t="s">
        <v>99</v>
      </c>
      <c r="K270" s="518"/>
      <c r="L270" s="518"/>
      <c r="M270" s="519"/>
      <c r="N270" s="520"/>
      <c r="O270" s="520"/>
      <c r="P270" s="521"/>
      <c r="Q270" s="346">
        <v>45866</v>
      </c>
      <c r="R270" s="148">
        <f t="shared" si="4"/>
        <v>1</v>
      </c>
      <c r="S270" s="101" t="s">
        <v>1893</v>
      </c>
      <c r="T270" s="201"/>
    </row>
    <row r="271" spans="1:20" ht="28.8" x14ac:dyDescent="0.3">
      <c r="A271" s="98">
        <v>268</v>
      </c>
      <c r="B271" s="583">
        <v>1550</v>
      </c>
      <c r="C271" s="346">
        <v>45866</v>
      </c>
      <c r="D271" s="369"/>
      <c r="E271" s="270" t="s">
        <v>3946</v>
      </c>
      <c r="F271" s="378" t="s">
        <v>46</v>
      </c>
      <c r="G271" s="172" t="s">
        <v>4</v>
      </c>
      <c r="H271" s="493">
        <v>45866</v>
      </c>
      <c r="I271" s="503">
        <v>10000307413</v>
      </c>
      <c r="J271" s="107" t="s">
        <v>135</v>
      </c>
      <c r="K271" s="518"/>
      <c r="L271" s="518"/>
      <c r="M271" s="519"/>
      <c r="N271" s="520"/>
      <c r="O271" s="520"/>
      <c r="P271" s="521"/>
      <c r="Q271" s="346">
        <v>45866</v>
      </c>
      <c r="R271" s="148">
        <f t="shared" si="4"/>
        <v>1</v>
      </c>
      <c r="S271" s="101" t="s">
        <v>4</v>
      </c>
      <c r="T271" s="201"/>
    </row>
    <row r="272" spans="1:20" ht="28.8" x14ac:dyDescent="0.3">
      <c r="A272" s="98">
        <v>269</v>
      </c>
      <c r="B272" s="583" t="s">
        <v>1826</v>
      </c>
      <c r="C272" s="346">
        <v>45866</v>
      </c>
      <c r="D272" s="369">
        <v>74999540</v>
      </c>
      <c r="E272" s="261" t="s">
        <v>3947</v>
      </c>
      <c r="F272" s="378" t="s">
        <v>7</v>
      </c>
      <c r="G272" s="172" t="s">
        <v>4</v>
      </c>
      <c r="H272" s="493">
        <v>45866</v>
      </c>
      <c r="I272" s="503"/>
      <c r="J272" s="107" t="s">
        <v>3948</v>
      </c>
      <c r="K272" s="518"/>
      <c r="L272" s="518"/>
      <c r="M272" s="519"/>
      <c r="N272" s="520"/>
      <c r="O272" s="520"/>
      <c r="P272" s="521"/>
      <c r="Q272" s="346">
        <v>45866</v>
      </c>
      <c r="R272" s="148">
        <f t="shared" si="4"/>
        <v>1</v>
      </c>
      <c r="S272" s="589" t="s">
        <v>720</v>
      </c>
      <c r="T272" s="57"/>
    </row>
    <row r="273" spans="1:20" ht="57.6" x14ac:dyDescent="0.3">
      <c r="A273" s="98">
        <v>270</v>
      </c>
      <c r="B273" s="583">
        <v>1550</v>
      </c>
      <c r="C273" s="346">
        <v>45866</v>
      </c>
      <c r="D273" s="369">
        <v>106424610</v>
      </c>
      <c r="E273" s="262" t="s">
        <v>3949</v>
      </c>
      <c r="F273" s="378" t="s">
        <v>39</v>
      </c>
      <c r="G273" s="172" t="s">
        <v>4</v>
      </c>
      <c r="H273" s="493">
        <v>45866</v>
      </c>
      <c r="I273" s="503"/>
      <c r="J273" s="107" t="s">
        <v>2002</v>
      </c>
      <c r="K273" s="518"/>
      <c r="L273" s="518"/>
      <c r="M273" s="519"/>
      <c r="N273" s="520"/>
      <c r="O273" s="520"/>
      <c r="P273" s="521"/>
      <c r="Q273" s="346">
        <v>45866</v>
      </c>
      <c r="R273" s="148">
        <f t="shared" si="4"/>
        <v>1</v>
      </c>
      <c r="S273" s="590" t="s">
        <v>4</v>
      </c>
      <c r="T273" s="57"/>
    </row>
    <row r="274" spans="1:20" ht="57.6" x14ac:dyDescent="0.3">
      <c r="A274" s="98">
        <v>271</v>
      </c>
      <c r="B274" s="583" t="s">
        <v>301</v>
      </c>
      <c r="C274" s="346">
        <v>45866</v>
      </c>
      <c r="D274" s="369">
        <v>53983424</v>
      </c>
      <c r="E274" s="262" t="s">
        <v>3950</v>
      </c>
      <c r="F274" s="378" t="s">
        <v>33</v>
      </c>
      <c r="G274" s="172" t="s">
        <v>6</v>
      </c>
      <c r="H274" s="493">
        <v>45866</v>
      </c>
      <c r="I274" s="503"/>
      <c r="J274" s="727" t="s">
        <v>99</v>
      </c>
      <c r="K274" s="518"/>
      <c r="L274" s="518"/>
      <c r="M274" s="519"/>
      <c r="N274" s="520"/>
      <c r="O274" s="520"/>
      <c r="P274" s="521"/>
      <c r="Q274" s="346">
        <v>45866</v>
      </c>
      <c r="R274" s="148">
        <f t="shared" si="4"/>
        <v>1</v>
      </c>
      <c r="S274" s="590" t="s">
        <v>1860</v>
      </c>
      <c r="T274" s="57"/>
    </row>
    <row r="275" spans="1:20" ht="43.2" x14ac:dyDescent="0.3">
      <c r="A275" s="98">
        <v>272</v>
      </c>
      <c r="B275" s="591">
        <v>1550</v>
      </c>
      <c r="C275" s="592">
        <v>45866</v>
      </c>
      <c r="D275" s="537">
        <v>46192913</v>
      </c>
      <c r="E275" s="284" t="s">
        <v>3951</v>
      </c>
      <c r="F275" s="643" t="s">
        <v>12</v>
      </c>
      <c r="G275" s="172" t="s">
        <v>8</v>
      </c>
      <c r="H275" s="493">
        <v>45866</v>
      </c>
      <c r="I275" s="503"/>
      <c r="J275" s="732" t="s">
        <v>159</v>
      </c>
      <c r="K275" s="513"/>
      <c r="L275" s="514"/>
      <c r="M275" s="515"/>
      <c r="N275" s="31"/>
      <c r="O275" s="53"/>
      <c r="P275" s="55"/>
      <c r="Q275" s="346">
        <v>45869</v>
      </c>
      <c r="R275" s="148">
        <f t="shared" si="4"/>
        <v>1.0000654079274407</v>
      </c>
      <c r="S275" s="642" t="s">
        <v>3952</v>
      </c>
      <c r="T275" s="57"/>
    </row>
    <row r="276" spans="1:20" ht="86.4" x14ac:dyDescent="0.3">
      <c r="A276" s="98">
        <v>273</v>
      </c>
      <c r="B276" s="111">
        <v>1550</v>
      </c>
      <c r="C276" s="206">
        <v>45866</v>
      </c>
      <c r="D276" s="219">
        <v>50513605</v>
      </c>
      <c r="E276" s="109" t="s">
        <v>3953</v>
      </c>
      <c r="F276" s="111" t="s">
        <v>12</v>
      </c>
      <c r="G276" s="421" t="s">
        <v>6</v>
      </c>
      <c r="H276" s="560">
        <v>45866</v>
      </c>
      <c r="I276" s="593"/>
      <c r="J276" s="732" t="s">
        <v>159</v>
      </c>
      <c r="K276" s="513"/>
      <c r="L276" s="514"/>
      <c r="M276" s="515"/>
      <c r="N276" s="31"/>
      <c r="O276" s="53"/>
      <c r="P276" s="55"/>
      <c r="Q276" s="346">
        <v>45873</v>
      </c>
      <c r="R276" s="148">
        <f t="shared" si="4"/>
        <v>1.0001526184973619</v>
      </c>
      <c r="S276" s="101" t="s">
        <v>1893</v>
      </c>
      <c r="T276" s="57"/>
    </row>
    <row r="277" spans="1:20" ht="43.2" x14ac:dyDescent="0.3">
      <c r="A277" s="98">
        <v>274</v>
      </c>
      <c r="B277" s="111">
        <v>1550</v>
      </c>
      <c r="C277" s="206">
        <v>45867</v>
      </c>
      <c r="D277" s="219">
        <v>79440088</v>
      </c>
      <c r="E277" s="109" t="s">
        <v>2423</v>
      </c>
      <c r="F277" s="126" t="s">
        <v>49</v>
      </c>
      <c r="G277" s="377" t="s">
        <v>6</v>
      </c>
      <c r="H277" s="568">
        <v>45867</v>
      </c>
      <c r="I277" s="594"/>
      <c r="J277" s="107" t="s">
        <v>266</v>
      </c>
      <c r="K277" s="518"/>
      <c r="L277" s="518"/>
      <c r="M277" s="519"/>
      <c r="N277" s="520"/>
      <c r="O277" s="520"/>
      <c r="P277" s="521"/>
      <c r="Q277" s="346">
        <v>45867</v>
      </c>
      <c r="R277" s="148">
        <f t="shared" si="4"/>
        <v>1</v>
      </c>
      <c r="S277" s="101" t="s">
        <v>3905</v>
      </c>
      <c r="T277" s="201"/>
    </row>
    <row r="278" spans="1:20" ht="43.2" x14ac:dyDescent="0.3">
      <c r="A278" s="98">
        <v>275</v>
      </c>
      <c r="B278" s="595">
        <v>1550</v>
      </c>
      <c r="C278" s="596">
        <v>45867</v>
      </c>
      <c r="D278" s="369">
        <v>49071726</v>
      </c>
      <c r="E278" s="644" t="s">
        <v>3954</v>
      </c>
      <c r="F278" s="400" t="s">
        <v>12</v>
      </c>
      <c r="G278" s="172" t="s">
        <v>4</v>
      </c>
      <c r="H278" s="493">
        <v>45867</v>
      </c>
      <c r="I278" s="597"/>
      <c r="J278" s="732" t="s">
        <v>159</v>
      </c>
      <c r="K278" s="513"/>
      <c r="L278" s="514"/>
      <c r="M278" s="515"/>
      <c r="N278" s="31"/>
      <c r="O278" s="53"/>
      <c r="P278" s="55"/>
      <c r="Q278" s="516">
        <v>45869</v>
      </c>
      <c r="R278" s="148">
        <f t="shared" si="4"/>
        <v>1.0000436043342709</v>
      </c>
      <c r="S278" s="101" t="s">
        <v>3830</v>
      </c>
      <c r="T278" s="57"/>
    </row>
    <row r="279" spans="1:20" ht="28.8" x14ac:dyDescent="0.3">
      <c r="A279" s="98">
        <v>276</v>
      </c>
      <c r="B279" s="598">
        <v>1550</v>
      </c>
      <c r="C279" s="348">
        <v>45867</v>
      </c>
      <c r="D279" s="369">
        <v>120186683</v>
      </c>
      <c r="E279" s="270" t="s">
        <v>3955</v>
      </c>
      <c r="F279" s="387" t="s">
        <v>1</v>
      </c>
      <c r="G279" s="221" t="s">
        <v>4</v>
      </c>
      <c r="H279" s="493">
        <v>45867</v>
      </c>
      <c r="I279" s="587"/>
      <c r="J279" s="100" t="s">
        <v>2367</v>
      </c>
      <c r="K279" s="518"/>
      <c r="L279" s="518"/>
      <c r="M279" s="519"/>
      <c r="N279" s="520"/>
      <c r="O279" s="520"/>
      <c r="P279" s="521"/>
      <c r="Q279" s="346">
        <v>45868</v>
      </c>
      <c r="R279" s="148">
        <f t="shared" si="4"/>
        <v>1.0000218021671354</v>
      </c>
      <c r="S279" s="101" t="s">
        <v>3830</v>
      </c>
      <c r="T279" s="201"/>
    </row>
    <row r="280" spans="1:20" ht="43.2" x14ac:dyDescent="0.3">
      <c r="A280" s="98">
        <v>277</v>
      </c>
      <c r="B280" s="598">
        <v>1550</v>
      </c>
      <c r="C280" s="348">
        <v>45867</v>
      </c>
      <c r="D280">
        <v>102462380</v>
      </c>
      <c r="E280" s="270" t="s">
        <v>3835</v>
      </c>
      <c r="F280" s="388" t="s">
        <v>49</v>
      </c>
      <c r="G280" s="221" t="s">
        <v>4</v>
      </c>
      <c r="H280" s="493">
        <v>45867</v>
      </c>
      <c r="I280" s="587"/>
      <c r="J280" s="107" t="s">
        <v>266</v>
      </c>
      <c r="K280" s="518"/>
      <c r="L280" s="518"/>
      <c r="M280" s="519"/>
      <c r="N280" s="520"/>
      <c r="O280" s="520"/>
      <c r="P280" s="521"/>
      <c r="Q280" s="346">
        <v>45867</v>
      </c>
      <c r="R280" s="148">
        <f t="shared" si="4"/>
        <v>1</v>
      </c>
      <c r="S280" s="101" t="s">
        <v>2970</v>
      </c>
      <c r="T280" s="201"/>
    </row>
    <row r="281" spans="1:20" ht="28.8" x14ac:dyDescent="0.3">
      <c r="A281" s="98">
        <v>278</v>
      </c>
      <c r="B281" s="598">
        <v>1550</v>
      </c>
      <c r="C281" s="348">
        <v>45867</v>
      </c>
      <c r="D281" s="369">
        <v>104280638</v>
      </c>
      <c r="E281" s="270" t="s">
        <v>3956</v>
      </c>
      <c r="F281" s="400" t="s">
        <v>1</v>
      </c>
      <c r="G281" s="172" t="s">
        <v>4</v>
      </c>
      <c r="H281" s="493">
        <v>45867</v>
      </c>
      <c r="I281" s="597"/>
      <c r="J281" s="100" t="s">
        <v>2367</v>
      </c>
      <c r="K281" s="518"/>
      <c r="L281" s="518"/>
      <c r="M281" s="519"/>
      <c r="N281" s="520"/>
      <c r="O281" s="520"/>
      <c r="P281" s="521"/>
      <c r="Q281" s="346">
        <v>45868</v>
      </c>
      <c r="R281" s="148">
        <f t="shared" si="4"/>
        <v>1.0000218021671354</v>
      </c>
      <c r="S281" s="101" t="s">
        <v>3899</v>
      </c>
      <c r="T281" s="201"/>
    </row>
    <row r="282" spans="1:20" ht="43.2" x14ac:dyDescent="0.3">
      <c r="A282" s="98">
        <v>279</v>
      </c>
      <c r="B282" s="598">
        <v>1550</v>
      </c>
      <c r="C282" s="348">
        <v>45867</v>
      </c>
      <c r="D282">
        <v>113301871</v>
      </c>
      <c r="E282" s="270" t="s">
        <v>3865</v>
      </c>
      <c r="F282" s="388" t="s">
        <v>49</v>
      </c>
      <c r="G282" s="172" t="s">
        <v>4</v>
      </c>
      <c r="H282" s="493">
        <v>45867</v>
      </c>
      <c r="I282" s="587"/>
      <c r="J282" s="107" t="s">
        <v>266</v>
      </c>
      <c r="K282" s="518"/>
      <c r="L282" s="518"/>
      <c r="M282" s="519"/>
      <c r="N282" s="520"/>
      <c r="O282" s="520"/>
      <c r="P282" s="521"/>
      <c r="Q282" s="346">
        <v>45867</v>
      </c>
      <c r="R282" s="148">
        <f t="shared" si="4"/>
        <v>1</v>
      </c>
      <c r="S282" s="101" t="s">
        <v>2970</v>
      </c>
      <c r="T282" s="201"/>
    </row>
    <row r="283" spans="1:20" ht="43.2" x14ac:dyDescent="0.3">
      <c r="A283" s="98">
        <v>280</v>
      </c>
      <c r="B283" s="598">
        <v>1550</v>
      </c>
      <c r="C283" s="348">
        <v>45867</v>
      </c>
      <c r="D283" s="369">
        <v>5924820</v>
      </c>
      <c r="E283" s="263" t="s">
        <v>3957</v>
      </c>
      <c r="F283" s="378" t="s">
        <v>23</v>
      </c>
      <c r="G283" s="172" t="s">
        <v>6</v>
      </c>
      <c r="H283" s="493">
        <v>45867</v>
      </c>
      <c r="I283" s="503"/>
      <c r="J283" s="107" t="s">
        <v>135</v>
      </c>
      <c r="K283" s="513"/>
      <c r="L283" s="514"/>
      <c r="M283" s="515"/>
      <c r="N283" s="31"/>
      <c r="O283" s="53"/>
      <c r="P283" s="55"/>
      <c r="Q283" s="346">
        <v>45870</v>
      </c>
      <c r="R283" s="148">
        <f t="shared" si="4"/>
        <v>1.0000654065014063</v>
      </c>
      <c r="S283" s="101" t="s">
        <v>2747</v>
      </c>
      <c r="T283" s="201"/>
    </row>
    <row r="284" spans="1:20" ht="57.6" x14ac:dyDescent="0.3">
      <c r="A284" s="98">
        <v>281</v>
      </c>
      <c r="B284" s="598">
        <v>1550</v>
      </c>
      <c r="C284" s="348">
        <v>45867</v>
      </c>
      <c r="D284" s="369">
        <v>70239061</v>
      </c>
      <c r="E284" s="264" t="s">
        <v>3958</v>
      </c>
      <c r="F284" s="378" t="s">
        <v>24</v>
      </c>
      <c r="G284" s="172" t="s">
        <v>6</v>
      </c>
      <c r="H284" s="493">
        <v>45867</v>
      </c>
      <c r="I284" s="503"/>
      <c r="J284" s="728" t="s">
        <v>383</v>
      </c>
      <c r="K284" s="513"/>
      <c r="L284" s="514"/>
      <c r="M284" s="515"/>
      <c r="N284" s="31"/>
      <c r="O284" s="53"/>
      <c r="P284" s="55"/>
      <c r="Q284" s="346">
        <v>45869</v>
      </c>
      <c r="R284" s="148">
        <f t="shared" si="4"/>
        <v>1.0000436043342709</v>
      </c>
      <c r="S284" s="101" t="s">
        <v>3959</v>
      </c>
      <c r="T284" s="57"/>
    </row>
    <row r="285" spans="1:20" ht="43.2" x14ac:dyDescent="0.3">
      <c r="A285" s="98">
        <v>282</v>
      </c>
      <c r="B285" s="598">
        <v>1550</v>
      </c>
      <c r="C285" s="348">
        <v>45867</v>
      </c>
      <c r="D285" s="369">
        <v>98174479</v>
      </c>
      <c r="E285" s="264" t="s">
        <v>3960</v>
      </c>
      <c r="F285" s="378" t="s">
        <v>1</v>
      </c>
      <c r="G285" s="172" t="s">
        <v>4</v>
      </c>
      <c r="H285" s="493">
        <v>45867</v>
      </c>
      <c r="I285" s="503"/>
      <c r="J285" s="727" t="s">
        <v>99</v>
      </c>
      <c r="K285" s="513"/>
      <c r="L285" s="514"/>
      <c r="M285" s="515"/>
      <c r="N285" s="31"/>
      <c r="O285" s="53"/>
      <c r="P285" s="55"/>
      <c r="Q285" s="346">
        <v>45901</v>
      </c>
      <c r="R285" s="148">
        <f t="shared" si="4"/>
        <v>1.000741273682604</v>
      </c>
      <c r="S285" s="101" t="s">
        <v>2974</v>
      </c>
      <c r="T285" s="57" t="s">
        <v>3961</v>
      </c>
    </row>
    <row r="286" spans="1:20" ht="43.2" x14ac:dyDescent="0.3">
      <c r="A286" s="98">
        <v>283</v>
      </c>
      <c r="B286" s="598">
        <v>1550</v>
      </c>
      <c r="C286" s="348">
        <v>45867</v>
      </c>
      <c r="D286" s="369">
        <v>1356003</v>
      </c>
      <c r="E286" s="270" t="s">
        <v>3962</v>
      </c>
      <c r="F286" s="388" t="s">
        <v>12</v>
      </c>
      <c r="G286" s="221" t="s">
        <v>4</v>
      </c>
      <c r="H286" s="493">
        <v>45867</v>
      </c>
      <c r="I286" s="587"/>
      <c r="J286" s="732" t="s">
        <v>159</v>
      </c>
      <c r="K286" s="513"/>
      <c r="L286" s="514"/>
      <c r="M286" s="515"/>
      <c r="N286" s="31"/>
      <c r="O286" s="53"/>
      <c r="P286" s="55"/>
      <c r="Q286" s="346">
        <v>45869</v>
      </c>
      <c r="R286" s="148">
        <f t="shared" si="4"/>
        <v>1.0000436043342709</v>
      </c>
      <c r="S286" s="101" t="s">
        <v>720</v>
      </c>
      <c r="T286" s="57"/>
    </row>
    <row r="287" spans="1:20" ht="28.8" x14ac:dyDescent="0.3">
      <c r="A287" s="98">
        <v>284</v>
      </c>
      <c r="B287" s="598">
        <v>1550</v>
      </c>
      <c r="C287" s="348">
        <v>45868</v>
      </c>
      <c r="D287" s="369">
        <v>65934245</v>
      </c>
      <c r="E287" s="270" t="s">
        <v>3963</v>
      </c>
      <c r="F287" s="388" t="s">
        <v>1</v>
      </c>
      <c r="G287" s="221" t="s">
        <v>4</v>
      </c>
      <c r="H287" s="493">
        <v>45868</v>
      </c>
      <c r="I287" s="587"/>
      <c r="J287" s="100" t="s">
        <v>2367</v>
      </c>
      <c r="K287" s="513"/>
      <c r="L287" s="514"/>
      <c r="M287" s="515"/>
      <c r="N287" s="31"/>
      <c r="O287" s="53"/>
      <c r="P287" s="55"/>
      <c r="Q287" s="346">
        <v>45868</v>
      </c>
      <c r="R287" s="148">
        <f t="shared" si="4"/>
        <v>1</v>
      </c>
      <c r="S287" s="101" t="s">
        <v>4</v>
      </c>
      <c r="T287" s="57"/>
    </row>
    <row r="288" spans="1:20" ht="43.2" x14ac:dyDescent="0.3">
      <c r="A288" s="98">
        <v>285</v>
      </c>
      <c r="B288" s="598">
        <v>1550</v>
      </c>
      <c r="C288" s="348">
        <v>45868</v>
      </c>
      <c r="D288">
        <v>102314586</v>
      </c>
      <c r="E288" s="270" t="s">
        <v>3865</v>
      </c>
      <c r="F288" s="388" t="s">
        <v>49</v>
      </c>
      <c r="G288" s="221" t="s">
        <v>4</v>
      </c>
      <c r="H288" s="493">
        <v>45868</v>
      </c>
      <c r="I288" s="587"/>
      <c r="J288" s="107" t="s">
        <v>266</v>
      </c>
      <c r="K288" s="513"/>
      <c r="L288" s="514"/>
      <c r="M288" s="515"/>
      <c r="N288" s="31"/>
      <c r="O288" s="53"/>
      <c r="P288" s="55"/>
      <c r="Q288" s="346">
        <v>45868</v>
      </c>
      <c r="R288" s="148">
        <f t="shared" si="4"/>
        <v>1</v>
      </c>
      <c r="S288" s="101" t="s">
        <v>720</v>
      </c>
      <c r="T288" s="57"/>
    </row>
    <row r="289" spans="1:20" x14ac:dyDescent="0.3">
      <c r="A289" s="98">
        <v>286</v>
      </c>
      <c r="B289" s="598">
        <v>1550</v>
      </c>
      <c r="C289" s="348">
        <v>45868</v>
      </c>
      <c r="D289" s="369">
        <v>108361756</v>
      </c>
      <c r="E289" s="270" t="s">
        <v>3964</v>
      </c>
      <c r="F289" s="388" t="s">
        <v>58</v>
      </c>
      <c r="G289" s="221" t="s">
        <v>4</v>
      </c>
      <c r="H289" s="493">
        <v>45868</v>
      </c>
      <c r="I289" s="587"/>
      <c r="J289" s="107" t="s">
        <v>22</v>
      </c>
      <c r="K289" s="513"/>
      <c r="L289" s="514"/>
      <c r="M289" s="515"/>
      <c r="N289" s="31"/>
      <c r="O289" s="53"/>
      <c r="P289" s="55"/>
      <c r="Q289" s="346">
        <v>45869</v>
      </c>
      <c r="R289" s="148">
        <f t="shared" si="4"/>
        <v>1.0000218016918112</v>
      </c>
      <c r="S289" s="101" t="s">
        <v>3047</v>
      </c>
      <c r="T289" s="57"/>
    </row>
    <row r="290" spans="1:20" ht="43.2" x14ac:dyDescent="0.3">
      <c r="A290" s="98">
        <v>287</v>
      </c>
      <c r="B290" s="598">
        <v>1550</v>
      </c>
      <c r="C290" s="348">
        <v>45868</v>
      </c>
      <c r="D290" s="369">
        <v>16520971</v>
      </c>
      <c r="E290" s="270" t="s">
        <v>3965</v>
      </c>
      <c r="F290" s="388" t="s">
        <v>1</v>
      </c>
      <c r="G290" s="221" t="s">
        <v>4</v>
      </c>
      <c r="H290" s="493">
        <v>45868</v>
      </c>
      <c r="I290" s="587"/>
      <c r="J290" s="727" t="s">
        <v>99</v>
      </c>
      <c r="K290" s="513"/>
      <c r="L290" s="514"/>
      <c r="M290" s="515"/>
      <c r="N290" s="31"/>
      <c r="O290" s="53"/>
      <c r="P290" s="55"/>
      <c r="Q290" s="346">
        <v>45888</v>
      </c>
      <c r="R290" s="148">
        <f t="shared" si="4"/>
        <v>1.0004360338362257</v>
      </c>
      <c r="S290" s="101" t="s">
        <v>3899</v>
      </c>
      <c r="T290" s="57" t="s">
        <v>3966</v>
      </c>
    </row>
    <row r="291" spans="1:20" ht="28.8" x14ac:dyDescent="0.3">
      <c r="A291" s="98">
        <v>288</v>
      </c>
      <c r="B291" s="598">
        <v>1550</v>
      </c>
      <c r="C291" s="348">
        <v>45868</v>
      </c>
      <c r="D291" s="369" t="s">
        <v>3967</v>
      </c>
      <c r="E291" s="270" t="s">
        <v>3968</v>
      </c>
      <c r="F291" s="388" t="s">
        <v>1</v>
      </c>
      <c r="G291" s="221" t="s">
        <v>4</v>
      </c>
      <c r="H291" s="493">
        <v>45868</v>
      </c>
      <c r="I291" s="587"/>
      <c r="J291" s="100" t="s">
        <v>2367</v>
      </c>
      <c r="K291" s="513"/>
      <c r="L291" s="514"/>
      <c r="M291" s="515"/>
      <c r="N291" s="31"/>
      <c r="O291" s="53"/>
      <c r="P291" s="55"/>
      <c r="Q291" s="346">
        <v>45868</v>
      </c>
      <c r="R291" s="148">
        <f t="shared" si="4"/>
        <v>1</v>
      </c>
      <c r="S291" s="101" t="s">
        <v>2970</v>
      </c>
      <c r="T291" s="57"/>
    </row>
    <row r="292" spans="1:20" ht="28.8" x14ac:dyDescent="0.3">
      <c r="A292" s="98">
        <v>289</v>
      </c>
      <c r="B292" s="598">
        <v>1550</v>
      </c>
      <c r="C292" s="348">
        <v>45868</v>
      </c>
      <c r="D292" s="369">
        <v>95224467</v>
      </c>
      <c r="E292" s="270" t="s">
        <v>3969</v>
      </c>
      <c r="F292" s="388" t="s">
        <v>1</v>
      </c>
      <c r="G292" s="221" t="s">
        <v>4</v>
      </c>
      <c r="H292" s="493">
        <v>45868</v>
      </c>
      <c r="I292" s="587"/>
      <c r="J292" s="107" t="s">
        <v>2544</v>
      </c>
      <c r="K292" s="513"/>
      <c r="L292" s="514"/>
      <c r="M292" s="515"/>
      <c r="N292" s="31"/>
      <c r="O292" s="53"/>
      <c r="P292" s="55"/>
      <c r="Q292" s="346">
        <v>45874</v>
      </c>
      <c r="R292" s="148">
        <f t="shared" si="4"/>
        <v>1.0001308101508677</v>
      </c>
      <c r="S292" s="101" t="s">
        <v>3020</v>
      </c>
      <c r="T292" s="57"/>
    </row>
    <row r="293" spans="1:20" ht="43.2" x14ac:dyDescent="0.3">
      <c r="A293" s="98">
        <v>290</v>
      </c>
      <c r="B293" s="598">
        <v>1550</v>
      </c>
      <c r="C293" s="348">
        <v>45868</v>
      </c>
      <c r="D293" s="369"/>
      <c r="E293" s="270" t="s">
        <v>3970</v>
      </c>
      <c r="F293" s="388" t="s">
        <v>21</v>
      </c>
      <c r="G293" s="221" t="s">
        <v>4</v>
      </c>
      <c r="H293" s="493">
        <v>45868</v>
      </c>
      <c r="I293" s="587"/>
      <c r="J293" s="727" t="s">
        <v>99</v>
      </c>
      <c r="K293" s="513"/>
      <c r="L293" s="514"/>
      <c r="M293" s="515"/>
      <c r="N293" s="31"/>
      <c r="O293" s="53"/>
      <c r="P293" s="55"/>
      <c r="Q293" s="346">
        <v>45868</v>
      </c>
      <c r="R293" s="148">
        <f t="shared" si="4"/>
        <v>1</v>
      </c>
      <c r="S293" s="101" t="s">
        <v>2974</v>
      </c>
      <c r="T293" s="57"/>
    </row>
    <row r="294" spans="1:20" x14ac:dyDescent="0.3">
      <c r="A294" s="98">
        <v>291</v>
      </c>
      <c r="B294" s="598">
        <v>1550</v>
      </c>
      <c r="C294" s="348">
        <v>45868</v>
      </c>
      <c r="D294" s="369">
        <v>113603223</v>
      </c>
      <c r="E294" s="270" t="s">
        <v>3971</v>
      </c>
      <c r="F294" s="388" t="s">
        <v>58</v>
      </c>
      <c r="G294" s="221" t="s">
        <v>4</v>
      </c>
      <c r="H294" s="493">
        <v>45868</v>
      </c>
      <c r="I294" s="587"/>
      <c r="J294" s="107" t="s">
        <v>22</v>
      </c>
      <c r="K294" s="513"/>
      <c r="L294" s="514"/>
      <c r="M294" s="515"/>
      <c r="N294" s="31"/>
      <c r="O294" s="53"/>
      <c r="P294" s="55"/>
      <c r="Q294" s="346">
        <v>45888</v>
      </c>
      <c r="R294" s="148">
        <f t="shared" si="4"/>
        <v>1.0004360338362257</v>
      </c>
      <c r="S294" s="101" t="s">
        <v>3047</v>
      </c>
      <c r="T294" s="57"/>
    </row>
    <row r="295" spans="1:20" ht="28.8" x14ac:dyDescent="0.3">
      <c r="A295" s="98">
        <v>292</v>
      </c>
      <c r="B295" s="598">
        <v>1550</v>
      </c>
      <c r="C295" s="348">
        <v>45868</v>
      </c>
      <c r="D295" s="369">
        <v>85207349</v>
      </c>
      <c r="E295" s="270" t="s">
        <v>3972</v>
      </c>
      <c r="F295" s="344" t="s">
        <v>7</v>
      </c>
      <c r="G295" s="221" t="s">
        <v>4</v>
      </c>
      <c r="H295" s="493">
        <v>45868</v>
      </c>
      <c r="I295" s="25"/>
      <c r="J295" s="100" t="s">
        <v>2513</v>
      </c>
      <c r="K295" s="513"/>
      <c r="L295" s="514"/>
      <c r="M295" s="515"/>
      <c r="N295" s="31"/>
      <c r="O295" s="53"/>
      <c r="P295" s="55"/>
      <c r="Q295" s="346">
        <v>45869</v>
      </c>
      <c r="R295" s="148">
        <f t="shared" si="4"/>
        <v>1.0000218016918112</v>
      </c>
      <c r="S295" s="101" t="s">
        <v>3870</v>
      </c>
      <c r="T295" s="57"/>
    </row>
    <row r="296" spans="1:20" ht="57.6" x14ac:dyDescent="0.3">
      <c r="A296" s="98">
        <v>293</v>
      </c>
      <c r="B296" s="598">
        <v>1550</v>
      </c>
      <c r="C296" s="348">
        <v>45868</v>
      </c>
      <c r="D296" s="369">
        <v>1101358</v>
      </c>
      <c r="E296" s="270" t="s">
        <v>3973</v>
      </c>
      <c r="F296" s="344" t="s">
        <v>3</v>
      </c>
      <c r="G296" s="221" t="s">
        <v>6</v>
      </c>
      <c r="H296" s="493">
        <v>45868</v>
      </c>
      <c r="I296" s="25"/>
      <c r="J296" s="100" t="s">
        <v>2306</v>
      </c>
      <c r="K296" s="518"/>
      <c r="L296" s="518"/>
      <c r="M296" s="519"/>
      <c r="N296" s="520"/>
      <c r="O296" s="520"/>
      <c r="P296" s="521"/>
      <c r="Q296" s="346">
        <v>45870</v>
      </c>
      <c r="R296" s="148">
        <f t="shared" si="4"/>
        <v>1.0000436033836226</v>
      </c>
      <c r="S296" s="101" t="s">
        <v>3899</v>
      </c>
      <c r="T296" s="201"/>
    </row>
    <row r="297" spans="1:20" ht="43.2" x14ac:dyDescent="0.3">
      <c r="A297" s="98">
        <v>294</v>
      </c>
      <c r="B297" s="598" t="s">
        <v>301</v>
      </c>
      <c r="C297" s="348">
        <v>45868</v>
      </c>
      <c r="D297" s="537">
        <v>105556831</v>
      </c>
      <c r="E297" s="270" t="s">
        <v>3974</v>
      </c>
      <c r="F297" s="426" t="s">
        <v>3</v>
      </c>
      <c r="G297" s="421" t="s">
        <v>6</v>
      </c>
      <c r="H297" s="493">
        <v>45868</v>
      </c>
      <c r="I297" s="587"/>
      <c r="J297" s="100" t="s">
        <v>82</v>
      </c>
      <c r="K297" s="513"/>
      <c r="L297" s="514"/>
      <c r="M297" s="515"/>
      <c r="N297" s="31"/>
      <c r="O297" s="53"/>
      <c r="P297" s="55"/>
      <c r="Q297" s="346">
        <v>45870</v>
      </c>
      <c r="R297" s="148">
        <f t="shared" si="4"/>
        <v>1.0000436033836226</v>
      </c>
      <c r="S297" s="101" t="s">
        <v>3783</v>
      </c>
      <c r="T297" s="57"/>
    </row>
    <row r="298" spans="1:20" ht="43.2" x14ac:dyDescent="0.3">
      <c r="A298" s="98">
        <v>295</v>
      </c>
      <c r="B298" s="111">
        <v>1550</v>
      </c>
      <c r="C298" s="512">
        <v>45868</v>
      </c>
      <c r="D298" s="219">
        <v>3606481</v>
      </c>
      <c r="E298" s="270" t="s">
        <v>3975</v>
      </c>
      <c r="F298" s="111" t="s">
        <v>3</v>
      </c>
      <c r="G298" s="127" t="s">
        <v>8</v>
      </c>
      <c r="H298" s="599">
        <v>45868</v>
      </c>
      <c r="I298" s="25"/>
      <c r="J298" s="100" t="s">
        <v>3411</v>
      </c>
      <c r="K298" s="513"/>
      <c r="L298" s="514"/>
      <c r="M298" s="515"/>
      <c r="N298" s="31"/>
      <c r="O298" s="53"/>
      <c r="P298" s="55"/>
      <c r="Q298" s="346">
        <v>45870</v>
      </c>
      <c r="R298" s="148">
        <f t="shared" si="4"/>
        <v>1.0000436033836226</v>
      </c>
      <c r="S298" s="101" t="s">
        <v>3841</v>
      </c>
      <c r="T298" s="57"/>
    </row>
    <row r="299" spans="1:20" ht="28.8" x14ac:dyDescent="0.3">
      <c r="A299" s="98">
        <v>296</v>
      </c>
      <c r="B299" s="554">
        <v>1550</v>
      </c>
      <c r="C299" s="581">
        <v>45868</v>
      </c>
      <c r="D299" s="369">
        <v>105331422</v>
      </c>
      <c r="E299" s="270" t="s">
        <v>3976</v>
      </c>
      <c r="F299" s="401" t="s">
        <v>1</v>
      </c>
      <c r="G299" s="172" t="s">
        <v>4</v>
      </c>
      <c r="H299" s="493">
        <v>45868</v>
      </c>
      <c r="I299" s="25"/>
      <c r="J299" s="100" t="s">
        <v>2367</v>
      </c>
      <c r="K299" s="518"/>
      <c r="L299" s="518"/>
      <c r="M299" s="519"/>
      <c r="N299" s="520"/>
      <c r="O299" s="520"/>
      <c r="P299" s="521"/>
      <c r="Q299" s="346">
        <v>45875</v>
      </c>
      <c r="R299" s="148">
        <f t="shared" si="4"/>
        <v>1.0001526118426789</v>
      </c>
      <c r="S299" s="101" t="s">
        <v>720</v>
      </c>
      <c r="T299" s="57"/>
    </row>
    <row r="300" spans="1:20" ht="28.8" x14ac:dyDescent="0.3">
      <c r="A300" s="98">
        <v>297</v>
      </c>
      <c r="B300" s="554">
        <v>1550</v>
      </c>
      <c r="C300" s="581">
        <v>45869</v>
      </c>
      <c r="D300" s="369">
        <v>57657912</v>
      </c>
      <c r="E300" s="270" t="s">
        <v>3977</v>
      </c>
      <c r="F300" s="386" t="s">
        <v>1</v>
      </c>
      <c r="G300" s="221" t="s">
        <v>4</v>
      </c>
      <c r="H300" s="493">
        <v>45869</v>
      </c>
      <c r="I300" s="25"/>
      <c r="J300" s="100" t="s">
        <v>2544</v>
      </c>
      <c r="K300" s="518"/>
      <c r="L300" s="518"/>
      <c r="M300" s="519"/>
      <c r="N300" s="520"/>
      <c r="O300" s="520"/>
      <c r="P300" s="521"/>
      <c r="Q300" s="346">
        <v>45869</v>
      </c>
      <c r="R300" s="148">
        <f t="shared" si="4"/>
        <v>1</v>
      </c>
      <c r="S300" s="101" t="s">
        <v>4</v>
      </c>
      <c r="T300" s="57"/>
    </row>
    <row r="301" spans="1:20" ht="43.2" x14ac:dyDescent="0.3">
      <c r="A301" s="98">
        <v>298</v>
      </c>
      <c r="B301" s="554">
        <v>1550</v>
      </c>
      <c r="C301" s="581">
        <v>45869</v>
      </c>
      <c r="D301" s="369">
        <v>107931699</v>
      </c>
      <c r="E301" s="263" t="s">
        <v>3978</v>
      </c>
      <c r="F301" s="111" t="s">
        <v>49</v>
      </c>
      <c r="G301" s="127" t="s">
        <v>8</v>
      </c>
      <c r="H301" s="599">
        <v>45869</v>
      </c>
      <c r="I301" s="25"/>
      <c r="J301" s="100" t="s">
        <v>266</v>
      </c>
      <c r="K301" s="513"/>
      <c r="L301" s="514"/>
      <c r="M301" s="515"/>
      <c r="N301" s="31"/>
      <c r="O301" s="53"/>
      <c r="P301" s="55"/>
      <c r="Q301" s="346">
        <v>45869</v>
      </c>
      <c r="R301" s="148">
        <f t="shared" si="4"/>
        <v>1</v>
      </c>
      <c r="S301" s="101" t="s">
        <v>3861</v>
      </c>
      <c r="T301" s="57"/>
    </row>
    <row r="302" spans="1:20" ht="43.2" x14ac:dyDescent="0.3">
      <c r="A302" s="98">
        <v>299</v>
      </c>
      <c r="B302" s="126">
        <v>1550</v>
      </c>
      <c r="C302" s="206">
        <v>45869</v>
      </c>
      <c r="D302" s="645">
        <v>33737843</v>
      </c>
      <c r="E302" s="264" t="s">
        <v>3978</v>
      </c>
      <c r="F302" s="111" t="s">
        <v>49</v>
      </c>
      <c r="G302" s="127" t="s">
        <v>4</v>
      </c>
      <c r="H302" s="599">
        <v>45869</v>
      </c>
      <c r="I302" s="25"/>
      <c r="J302" s="100" t="s">
        <v>266</v>
      </c>
      <c r="K302" s="513"/>
      <c r="L302" s="514"/>
      <c r="M302" s="515"/>
      <c r="N302" s="31"/>
      <c r="O302" s="53"/>
      <c r="P302" s="55"/>
      <c r="Q302" s="346">
        <v>45869</v>
      </c>
      <c r="R302" s="148">
        <f t="shared" si="4"/>
        <v>1</v>
      </c>
      <c r="S302" s="101" t="s">
        <v>2970</v>
      </c>
      <c r="T302" s="201"/>
    </row>
    <row r="303" spans="1:20" ht="43.2" x14ac:dyDescent="0.3">
      <c r="A303" s="98">
        <v>300</v>
      </c>
      <c r="B303" s="126">
        <v>1550</v>
      </c>
      <c r="C303" s="206">
        <v>45869</v>
      </c>
      <c r="D303" s="369" t="s">
        <v>3979</v>
      </c>
      <c r="E303" s="270" t="s">
        <v>3502</v>
      </c>
      <c r="F303" s="386" t="s">
        <v>49</v>
      </c>
      <c r="G303" s="221" t="s">
        <v>8</v>
      </c>
      <c r="H303" s="493">
        <v>45869</v>
      </c>
      <c r="I303" s="341"/>
      <c r="J303" s="100" t="s">
        <v>266</v>
      </c>
      <c r="K303" s="513"/>
      <c r="L303" s="514"/>
      <c r="M303" s="515"/>
      <c r="N303" s="31"/>
      <c r="O303" s="53"/>
      <c r="P303" s="55"/>
      <c r="Q303" s="346">
        <v>45869</v>
      </c>
      <c r="R303" s="148">
        <f t="shared" si="4"/>
        <v>1</v>
      </c>
      <c r="S303" s="101" t="s">
        <v>3841</v>
      </c>
      <c r="T303" s="57"/>
    </row>
    <row r="304" spans="1:20" ht="43.2" x14ac:dyDescent="0.3">
      <c r="A304" s="98">
        <v>301</v>
      </c>
      <c r="B304" s="126">
        <v>1550</v>
      </c>
      <c r="C304" s="206">
        <v>45869</v>
      </c>
      <c r="D304">
        <v>32516908</v>
      </c>
      <c r="E304" s="270" t="s">
        <v>3502</v>
      </c>
      <c r="F304" s="111" t="s">
        <v>49</v>
      </c>
      <c r="G304" s="127" t="s">
        <v>4</v>
      </c>
      <c r="H304" s="599">
        <v>45869</v>
      </c>
      <c r="I304" s="25"/>
      <c r="J304" s="100" t="s">
        <v>266</v>
      </c>
      <c r="K304" s="513"/>
      <c r="L304" s="514"/>
      <c r="M304" s="515"/>
      <c r="N304" s="31"/>
      <c r="O304" s="53"/>
      <c r="P304" s="55"/>
      <c r="Q304" s="346">
        <v>45869</v>
      </c>
      <c r="R304" s="148">
        <f t="shared" si="4"/>
        <v>1</v>
      </c>
      <c r="S304" s="101" t="s">
        <v>2970</v>
      </c>
      <c r="T304" s="57"/>
    </row>
    <row r="305" spans="1:20" ht="100.8" x14ac:dyDescent="0.3">
      <c r="A305" s="98">
        <v>302</v>
      </c>
      <c r="B305" s="598" t="s">
        <v>301</v>
      </c>
      <c r="C305" s="348">
        <v>45869</v>
      </c>
      <c r="D305" s="537">
        <v>120466961</v>
      </c>
      <c r="E305" s="275" t="s">
        <v>3980</v>
      </c>
      <c r="F305" s="150" t="s">
        <v>21</v>
      </c>
      <c r="G305" s="340" t="s">
        <v>6</v>
      </c>
      <c r="H305" s="646">
        <v>45869</v>
      </c>
      <c r="I305" s="561"/>
      <c r="J305" s="238" t="s">
        <v>2513</v>
      </c>
      <c r="K305" s="513"/>
      <c r="L305" s="514"/>
      <c r="M305" s="515"/>
      <c r="N305" s="31"/>
      <c r="O305" s="53"/>
      <c r="P305" s="55"/>
      <c r="Q305" s="346">
        <v>45869</v>
      </c>
      <c r="R305" s="148">
        <f t="shared" si="4"/>
        <v>1</v>
      </c>
      <c r="S305" s="101" t="s">
        <v>6</v>
      </c>
      <c r="T305" s="201"/>
    </row>
    <row r="306" spans="1:20" ht="43.2" x14ac:dyDescent="0.3">
      <c r="A306" s="98">
        <v>303</v>
      </c>
      <c r="B306" s="126">
        <v>1550</v>
      </c>
      <c r="C306" s="206">
        <v>45869</v>
      </c>
      <c r="D306" s="219">
        <v>104663634</v>
      </c>
      <c r="E306" s="109" t="s">
        <v>3978</v>
      </c>
      <c r="F306" s="111" t="s">
        <v>49</v>
      </c>
      <c r="G306" s="125" t="s">
        <v>8</v>
      </c>
      <c r="H306" s="568">
        <v>45869</v>
      </c>
      <c r="I306" s="341"/>
      <c r="J306" s="125" t="s">
        <v>266</v>
      </c>
      <c r="K306" s="518"/>
      <c r="L306" s="518"/>
      <c r="M306" s="519"/>
      <c r="N306" s="520"/>
      <c r="O306" s="520"/>
      <c r="P306" s="521"/>
      <c r="Q306" s="346">
        <v>45869</v>
      </c>
      <c r="R306" s="148">
        <f t="shared" si="4"/>
        <v>1</v>
      </c>
      <c r="S306" s="101" t="s">
        <v>8</v>
      </c>
      <c r="T306" s="201"/>
    </row>
    <row r="307" spans="1:20" ht="43.2" x14ac:dyDescent="0.3">
      <c r="A307" s="98">
        <v>304</v>
      </c>
      <c r="B307" s="126">
        <v>1550</v>
      </c>
      <c r="C307" s="206">
        <v>45869</v>
      </c>
      <c r="D307" s="219" t="s">
        <v>3981</v>
      </c>
      <c r="E307" s="109" t="s">
        <v>3982</v>
      </c>
      <c r="F307" s="111" t="s">
        <v>12</v>
      </c>
      <c r="G307" s="127" t="s">
        <v>4</v>
      </c>
      <c r="H307" s="568">
        <v>45869</v>
      </c>
      <c r="I307" s="341"/>
      <c r="J307" s="732" t="s">
        <v>159</v>
      </c>
      <c r="K307" s="513"/>
      <c r="L307" s="514"/>
      <c r="M307" s="515"/>
      <c r="N307" s="31"/>
      <c r="O307" s="53"/>
      <c r="P307" s="55"/>
      <c r="Q307" s="346">
        <v>45873</v>
      </c>
      <c r="R307" s="148">
        <f t="shared" si="4"/>
        <v>1.0000872048660314</v>
      </c>
      <c r="S307" s="101" t="s">
        <v>2979</v>
      </c>
      <c r="T307" s="201"/>
    </row>
    <row r="308" spans="1:20" ht="43.2" x14ac:dyDescent="0.3">
      <c r="A308" s="98">
        <v>305</v>
      </c>
      <c r="B308" s="126">
        <v>1550</v>
      </c>
      <c r="C308" s="206">
        <v>45869</v>
      </c>
      <c r="D308" s="60">
        <v>69520933</v>
      </c>
      <c r="E308" s="60" t="s">
        <v>3983</v>
      </c>
      <c r="F308" s="111" t="s">
        <v>49</v>
      </c>
      <c r="G308" s="125" t="s">
        <v>6</v>
      </c>
      <c r="H308" s="568">
        <v>45869</v>
      </c>
      <c r="I308" s="341"/>
      <c r="J308" s="125" t="s">
        <v>266</v>
      </c>
      <c r="K308" s="518"/>
      <c r="L308" s="518"/>
      <c r="M308" s="519"/>
      <c r="N308" s="520"/>
      <c r="O308" s="520"/>
      <c r="P308" s="521"/>
      <c r="Q308" s="346">
        <v>45869</v>
      </c>
      <c r="R308" s="148">
        <f t="shared" si="4"/>
        <v>1</v>
      </c>
      <c r="S308" s="101" t="s">
        <v>6</v>
      </c>
      <c r="T308" s="387"/>
    </row>
    <row r="309" spans="1:20" ht="43.2" x14ac:dyDescent="0.3">
      <c r="A309" s="98">
        <v>306</v>
      </c>
      <c r="B309" s="126">
        <v>1550</v>
      </c>
      <c r="C309" s="206">
        <v>45869</v>
      </c>
      <c r="D309" s="60">
        <v>16660951</v>
      </c>
      <c r="E309" s="60" t="s">
        <v>3984</v>
      </c>
      <c r="F309" s="111" t="s">
        <v>49</v>
      </c>
      <c r="G309" s="127" t="s">
        <v>6</v>
      </c>
      <c r="H309" s="568">
        <v>45869</v>
      </c>
      <c r="I309" s="341"/>
      <c r="J309" s="125" t="s">
        <v>266</v>
      </c>
      <c r="K309" s="513"/>
      <c r="L309" s="514"/>
      <c r="M309" s="515"/>
      <c r="N309" s="31"/>
      <c r="O309" s="53"/>
      <c r="P309" s="55"/>
      <c r="Q309" s="346">
        <v>45869</v>
      </c>
      <c r="R309" s="148">
        <f t="shared" si="4"/>
        <v>1</v>
      </c>
      <c r="S309" s="101" t="s">
        <v>1934</v>
      </c>
      <c r="T309" s="201"/>
    </row>
    <row r="310" spans="1:20" ht="43.2" x14ac:dyDescent="0.3">
      <c r="A310" s="98">
        <v>307</v>
      </c>
      <c r="B310" s="126" t="s">
        <v>301</v>
      </c>
      <c r="C310" s="206">
        <v>45869</v>
      </c>
      <c r="D310" s="60">
        <v>120046938</v>
      </c>
      <c r="E310" s="60" t="s">
        <v>3985</v>
      </c>
      <c r="F310" s="111" t="s">
        <v>49</v>
      </c>
      <c r="G310" s="127" t="s">
        <v>6</v>
      </c>
      <c r="H310" s="568">
        <v>45869</v>
      </c>
      <c r="I310" s="341"/>
      <c r="J310" s="125" t="s">
        <v>266</v>
      </c>
      <c r="K310" s="518"/>
      <c r="L310" s="518"/>
      <c r="M310" s="519"/>
      <c r="N310" s="520"/>
      <c r="O310" s="520"/>
      <c r="P310" s="521"/>
      <c r="Q310" s="346">
        <v>45869</v>
      </c>
      <c r="R310" s="148">
        <f t="shared" si="4"/>
        <v>1</v>
      </c>
      <c r="S310" s="101" t="s">
        <v>1893</v>
      </c>
      <c r="T310" s="201"/>
    </row>
    <row r="311" spans="1:20" ht="43.2" x14ac:dyDescent="0.3">
      <c r="A311" s="98">
        <v>308</v>
      </c>
      <c r="B311" s="647" t="s">
        <v>301</v>
      </c>
      <c r="C311" s="648">
        <v>45869</v>
      </c>
      <c r="D311" s="369">
        <v>74147854</v>
      </c>
      <c r="E311" s="277" t="s">
        <v>3986</v>
      </c>
      <c r="F311" s="401" t="s">
        <v>19</v>
      </c>
      <c r="G311" s="172" t="s">
        <v>6</v>
      </c>
      <c r="H311" s="493">
        <v>45869</v>
      </c>
      <c r="I311" s="555"/>
      <c r="J311" s="732" t="s">
        <v>159</v>
      </c>
      <c r="K311" s="518"/>
      <c r="L311" s="518"/>
      <c r="M311" s="519"/>
      <c r="N311" s="520"/>
      <c r="O311" s="520"/>
      <c r="P311" s="521"/>
      <c r="Q311" s="346">
        <v>45869</v>
      </c>
      <c r="R311" s="148">
        <f t="shared" si="4"/>
        <v>1</v>
      </c>
      <c r="S311" s="101" t="s">
        <v>3783</v>
      </c>
      <c r="T311" s="201"/>
    </row>
    <row r="312" spans="1:20" ht="43.2" x14ac:dyDescent="0.3">
      <c r="A312" s="98">
        <v>309</v>
      </c>
      <c r="B312" s="601">
        <v>1550</v>
      </c>
      <c r="C312" s="602">
        <v>45869</v>
      </c>
      <c r="D312" s="537">
        <v>118617257</v>
      </c>
      <c r="E312" s="270" t="s">
        <v>3502</v>
      </c>
      <c r="F312" s="420" t="s">
        <v>49</v>
      </c>
      <c r="G312" s="421" t="s">
        <v>8</v>
      </c>
      <c r="H312" s="493">
        <v>45869</v>
      </c>
      <c r="I312" s="341"/>
      <c r="J312" s="100" t="s">
        <v>266</v>
      </c>
      <c r="K312" s="513"/>
      <c r="L312" s="514"/>
      <c r="M312" s="515"/>
      <c r="N312" s="31"/>
      <c r="O312" s="53"/>
      <c r="P312" s="55"/>
      <c r="Q312" s="346">
        <v>45869</v>
      </c>
      <c r="R312" s="148">
        <f t="shared" si="4"/>
        <v>1</v>
      </c>
      <c r="S312" s="101" t="s">
        <v>3861</v>
      </c>
      <c r="T312" s="201"/>
    </row>
    <row r="313" spans="1:20" ht="43.2" x14ac:dyDescent="0.3">
      <c r="A313" s="98">
        <v>310</v>
      </c>
      <c r="B313" s="126">
        <v>1550</v>
      </c>
      <c r="C313" s="206">
        <v>45869</v>
      </c>
      <c r="D313" s="219">
        <v>107237520</v>
      </c>
      <c r="E313" s="270" t="s">
        <v>3987</v>
      </c>
      <c r="F313" s="420" t="s">
        <v>49</v>
      </c>
      <c r="G313" s="421" t="s">
        <v>6</v>
      </c>
      <c r="H313" s="493">
        <v>45869</v>
      </c>
      <c r="I313" s="341"/>
      <c r="J313" s="100" t="s">
        <v>266</v>
      </c>
      <c r="K313" s="513"/>
      <c r="L313" s="514"/>
      <c r="M313" s="515"/>
      <c r="N313" s="31"/>
      <c r="O313" s="53"/>
      <c r="P313" s="55"/>
      <c r="Q313" s="346">
        <v>45869</v>
      </c>
      <c r="R313" s="148">
        <f t="shared" si="4"/>
        <v>1</v>
      </c>
      <c r="S313" s="101" t="s">
        <v>3988</v>
      </c>
      <c r="T313" s="201"/>
    </row>
    <row r="314" spans="1:20" x14ac:dyDescent="0.3">
      <c r="C314" s="657"/>
      <c r="E314" s="60"/>
      <c r="H314" s="657"/>
    </row>
    <row r="315" spans="1:20" x14ac:dyDescent="0.3">
      <c r="C315" s="657"/>
      <c r="E315" s="60"/>
      <c r="H315" s="657"/>
      <c r="Q315" s="657"/>
    </row>
  </sheetData>
  <autoFilter ref="A3:T313" xr:uid="{76DD89FD-9B4C-47D2-8C20-81388C03EB23}"/>
  <mergeCells count="1">
    <mergeCell ref="B1:T1"/>
  </mergeCells>
  <hyperlinks>
    <hyperlink ref="T5" r:id="rId1" xr:uid="{D57DCE15-3370-459C-9B47-3055A7635E8E}"/>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40FA4D46-99E9-4D7C-94F7-C7DCC9DA5047}">
          <x14:formula1>
            <xm:f>'Conceptos de Tipificación'!$E$4:$E$7</xm:f>
          </x14:formula1>
          <xm:sqref>G4:G313</xm:sqref>
        </x14:dataValidation>
        <x14:dataValidation type="list" allowBlank="1" showInputMessage="1" showErrorMessage="1" xr:uid="{BC06E024-5285-4F46-B9DF-0086CA66C615}">
          <x14:formula1>
            <xm:f>'Conceptos de Tipificación'!$A$3:$A$56</xm:f>
          </x14:formula1>
          <xm:sqref>F4:F1048576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D89FD-9B4C-47D2-8C20-81388C03EB23}">
  <sheetPr>
    <tabColor rgb="FF92D050"/>
  </sheetPr>
  <dimension ref="A1:T349"/>
  <sheetViews>
    <sheetView topLeftCell="A3" workbookViewId="0">
      <selection activeCell="Q149" sqref="Q149"/>
    </sheetView>
  </sheetViews>
  <sheetFormatPr baseColWidth="10" defaultColWidth="9.109375" defaultRowHeight="14.4" x14ac:dyDescent="0.3"/>
  <cols>
    <col min="1" max="1" width="4.44140625" bestFit="1" customWidth="1"/>
    <col min="2" max="2" width="13.44140625" customWidth="1"/>
    <col min="3" max="3" width="15.33203125" customWidth="1"/>
    <col min="4" max="4" width="12.44140625" customWidth="1"/>
    <col min="5" max="5" width="27.88671875" customWidth="1"/>
    <col min="6" max="6" width="15.109375" customWidth="1"/>
    <col min="7" max="7" width="14.88671875" customWidth="1"/>
    <col min="8" max="8" width="14.5546875" customWidth="1"/>
    <col min="9" max="9" width="13.6640625" customWidth="1"/>
    <col min="10" max="10" width="15.5546875" style="96" customWidth="1"/>
    <col min="11" max="11" width="14.88671875" customWidth="1"/>
    <col min="12" max="12" width="13.88671875" customWidth="1"/>
    <col min="13" max="13" width="14.44140625" customWidth="1"/>
    <col min="14" max="14" width="16.44140625" customWidth="1"/>
    <col min="15" max="15" width="14.5546875" customWidth="1"/>
    <col min="16" max="16" width="13" customWidth="1"/>
    <col min="17" max="17" width="14.5546875" customWidth="1"/>
    <col min="18" max="18" width="10.5546875" customWidth="1"/>
    <col min="19" max="19" width="12.5546875" customWidth="1"/>
    <col min="20" max="20" width="30.5546875" customWidth="1"/>
  </cols>
  <sheetData>
    <row r="1" spans="1:20" x14ac:dyDescent="0.3">
      <c r="A1" s="24"/>
      <c r="B1" s="857" t="s">
        <v>2268</v>
      </c>
      <c r="C1" s="857"/>
      <c r="D1" s="857"/>
      <c r="E1" s="857"/>
      <c r="F1" s="857"/>
      <c r="G1" s="857"/>
      <c r="H1" s="857"/>
      <c r="I1" s="857"/>
      <c r="J1" s="858"/>
      <c r="K1" s="857"/>
      <c r="L1" s="857"/>
      <c r="M1" s="857"/>
      <c r="N1" s="857"/>
      <c r="O1" s="857"/>
      <c r="P1" s="857"/>
      <c r="Q1" s="857"/>
      <c r="R1" s="857"/>
      <c r="S1" s="857"/>
      <c r="T1" s="857"/>
    </row>
    <row r="2" spans="1:20" ht="15" thickBot="1" x14ac:dyDescent="0.35">
      <c r="A2" s="24"/>
      <c r="B2" s="319"/>
      <c r="C2" s="319"/>
      <c r="D2" s="319"/>
      <c r="E2" s="319"/>
      <c r="F2" s="319"/>
      <c r="G2" s="319"/>
      <c r="H2" s="319"/>
      <c r="I2" s="319"/>
      <c r="J2" s="735"/>
      <c r="K2" s="319"/>
      <c r="L2" s="319"/>
      <c r="M2" s="319"/>
      <c r="N2" s="319"/>
      <c r="O2" s="319"/>
      <c r="P2" s="319"/>
      <c r="Q2" s="319"/>
      <c r="R2" s="319"/>
      <c r="S2" s="319"/>
      <c r="T2" s="319"/>
    </row>
    <row r="3" spans="1:20" ht="29.4" thickBot="1" x14ac:dyDescent="0.35">
      <c r="A3" s="24"/>
      <c r="B3" s="320" t="s">
        <v>66</v>
      </c>
      <c r="C3" s="321" t="s">
        <v>67</v>
      </c>
      <c r="D3" s="322" t="s">
        <v>2269</v>
      </c>
      <c r="E3" s="389" t="s">
        <v>68</v>
      </c>
      <c r="F3" s="370" t="s">
        <v>69</v>
      </c>
      <c r="G3" s="324" t="s">
        <v>70</v>
      </c>
      <c r="H3" s="325" t="s">
        <v>71</v>
      </c>
      <c r="I3" s="326" t="s">
        <v>72</v>
      </c>
      <c r="J3" s="736" t="s">
        <v>73</v>
      </c>
      <c r="K3" s="328" t="s">
        <v>74</v>
      </c>
      <c r="L3" s="325" t="s">
        <v>71</v>
      </c>
      <c r="M3" s="327" t="s">
        <v>73</v>
      </c>
      <c r="N3" s="328" t="s">
        <v>75</v>
      </c>
      <c r="O3" s="325" t="s">
        <v>71</v>
      </c>
      <c r="P3" s="327" t="s">
        <v>73</v>
      </c>
      <c r="Q3" s="329" t="s">
        <v>76</v>
      </c>
      <c r="R3" s="323" t="s">
        <v>77</v>
      </c>
      <c r="S3" s="323" t="s">
        <v>78</v>
      </c>
      <c r="T3" s="321" t="s">
        <v>79</v>
      </c>
    </row>
    <row r="4" spans="1:20" ht="43.2" x14ac:dyDescent="0.3">
      <c r="A4" s="98">
        <v>1</v>
      </c>
      <c r="B4" s="649" t="s">
        <v>80</v>
      </c>
      <c r="C4" s="523">
        <v>45870</v>
      </c>
      <c r="D4" s="369">
        <v>52331032</v>
      </c>
      <c r="E4" s="390" t="s">
        <v>3989</v>
      </c>
      <c r="F4" s="383" t="s">
        <v>17</v>
      </c>
      <c r="G4" s="221" t="s">
        <v>8</v>
      </c>
      <c r="H4" s="493">
        <v>45870</v>
      </c>
      <c r="I4" s="25"/>
      <c r="J4" s="732" t="s">
        <v>82</v>
      </c>
      <c r="K4" s="494"/>
      <c r="L4" s="495"/>
      <c r="M4" s="496"/>
      <c r="N4" s="497"/>
      <c r="O4" s="498"/>
      <c r="P4" s="499"/>
      <c r="Q4" s="529">
        <v>45873</v>
      </c>
      <c r="R4" s="148">
        <f t="shared" ref="R4:R35" si="0">Q4/H4</f>
        <v>1.0000654022236757</v>
      </c>
      <c r="S4" s="200" t="s">
        <v>3418</v>
      </c>
      <c r="T4" s="530"/>
    </row>
    <row r="5" spans="1:20" ht="43.2" x14ac:dyDescent="0.3">
      <c r="A5" s="98">
        <f t="shared" ref="A5:A36" si="1">A4+1</f>
        <v>2</v>
      </c>
      <c r="B5" s="522" t="s">
        <v>301</v>
      </c>
      <c r="C5" s="523">
        <v>45870</v>
      </c>
      <c r="D5" s="369">
        <v>96858389</v>
      </c>
      <c r="E5" s="270" t="s">
        <v>3502</v>
      </c>
      <c r="F5" s="200" t="s">
        <v>49</v>
      </c>
      <c r="G5" s="221" t="s">
        <v>8</v>
      </c>
      <c r="H5" s="493">
        <v>45870</v>
      </c>
      <c r="I5" s="25"/>
      <c r="J5" s="100" t="s">
        <v>266</v>
      </c>
      <c r="K5" s="494"/>
      <c r="L5" s="495"/>
      <c r="M5" s="496"/>
      <c r="N5" s="497"/>
      <c r="O5" s="498"/>
      <c r="P5" s="499"/>
      <c r="Q5" s="529">
        <v>45870</v>
      </c>
      <c r="R5" s="148">
        <f t="shared" si="0"/>
        <v>1</v>
      </c>
      <c r="S5" s="200" t="s">
        <v>3990</v>
      </c>
      <c r="T5" s="629"/>
    </row>
    <row r="6" spans="1:20" ht="57.6" x14ac:dyDescent="0.3">
      <c r="A6" s="98">
        <f t="shared" si="1"/>
        <v>3</v>
      </c>
      <c r="B6" s="522" t="s">
        <v>80</v>
      </c>
      <c r="C6" s="523">
        <v>45870</v>
      </c>
      <c r="D6" s="369"/>
      <c r="E6" s="270" t="s">
        <v>3991</v>
      </c>
      <c r="F6" s="200" t="s">
        <v>1314</v>
      </c>
      <c r="G6" s="221" t="s">
        <v>8</v>
      </c>
      <c r="H6" s="493">
        <v>45870</v>
      </c>
      <c r="I6" s="25"/>
      <c r="J6" s="727" t="s">
        <v>99</v>
      </c>
      <c r="K6" s="494"/>
      <c r="L6" s="495"/>
      <c r="M6" s="496"/>
      <c r="N6" s="497"/>
      <c r="O6" s="498"/>
      <c r="P6" s="499"/>
      <c r="Q6" s="529">
        <v>45870</v>
      </c>
      <c r="R6" s="148">
        <f t="shared" si="0"/>
        <v>1</v>
      </c>
      <c r="S6" s="200" t="s">
        <v>3418</v>
      </c>
      <c r="T6" s="535"/>
    </row>
    <row r="7" spans="1:20" ht="28.8" x14ac:dyDescent="0.3">
      <c r="A7" s="98">
        <f t="shared" si="1"/>
        <v>4</v>
      </c>
      <c r="B7" s="536" t="s">
        <v>1826</v>
      </c>
      <c r="C7" s="523">
        <v>45870</v>
      </c>
      <c r="D7" s="630">
        <v>120607298</v>
      </c>
      <c r="E7" s="308" t="s">
        <v>3992</v>
      </c>
      <c r="F7" s="200" t="s">
        <v>1</v>
      </c>
      <c r="G7" s="221" t="s">
        <v>4</v>
      </c>
      <c r="H7" s="493">
        <v>45870</v>
      </c>
      <c r="I7" s="25"/>
      <c r="J7" s="737" t="s">
        <v>3993</v>
      </c>
      <c r="K7" s="494"/>
      <c r="L7" s="495"/>
      <c r="M7" s="496"/>
      <c r="N7" s="497"/>
      <c r="O7" s="498"/>
      <c r="P7" s="499"/>
      <c r="Q7" s="539">
        <v>45870</v>
      </c>
      <c r="R7" s="148">
        <f t="shared" si="0"/>
        <v>1</v>
      </c>
      <c r="S7" s="200" t="s">
        <v>720</v>
      </c>
      <c r="T7" s="535"/>
    </row>
    <row r="8" spans="1:20" ht="72.75" customHeight="1" x14ac:dyDescent="0.3">
      <c r="A8" s="98">
        <f t="shared" si="1"/>
        <v>5</v>
      </c>
      <c r="B8" s="536" t="s">
        <v>1826</v>
      </c>
      <c r="C8" s="652">
        <v>45870</v>
      </c>
      <c r="D8" s="537">
        <v>120225778</v>
      </c>
      <c r="E8" s="275" t="s">
        <v>3994</v>
      </c>
      <c r="F8" s="653" t="s">
        <v>32</v>
      </c>
      <c r="G8" s="221" t="s">
        <v>4</v>
      </c>
      <c r="H8" s="493">
        <v>45870</v>
      </c>
      <c r="I8" s="25"/>
      <c r="J8" s="100" t="s">
        <v>106</v>
      </c>
      <c r="K8" s="494"/>
      <c r="L8" s="495"/>
      <c r="M8" s="496"/>
      <c r="N8" s="497"/>
      <c r="O8" s="498"/>
      <c r="P8" s="499"/>
      <c r="Q8" s="529">
        <v>45870</v>
      </c>
      <c r="R8" s="148">
        <f t="shared" si="0"/>
        <v>1</v>
      </c>
      <c r="S8" s="200" t="s">
        <v>1860</v>
      </c>
      <c r="T8" s="540"/>
    </row>
    <row r="9" spans="1:20" ht="44.25" customHeight="1" x14ac:dyDescent="0.3">
      <c r="A9" s="98">
        <f t="shared" si="1"/>
        <v>6</v>
      </c>
      <c r="B9" s="651">
        <v>1550</v>
      </c>
      <c r="C9" s="650">
        <v>45870</v>
      </c>
      <c r="D9" s="219">
        <v>105796379</v>
      </c>
      <c r="E9" s="214" t="s">
        <v>3995</v>
      </c>
      <c r="F9" s="219" t="s">
        <v>32</v>
      </c>
      <c r="G9" s="221" t="s">
        <v>6</v>
      </c>
      <c r="H9" s="493">
        <v>45870</v>
      </c>
      <c r="I9" s="25"/>
      <c r="J9" s="100" t="s">
        <v>106</v>
      </c>
      <c r="K9" s="494"/>
      <c r="L9" s="495"/>
      <c r="M9" s="496"/>
      <c r="N9" s="497"/>
      <c r="O9" s="498"/>
      <c r="P9" s="499"/>
      <c r="Q9" s="529">
        <v>45870</v>
      </c>
      <c r="R9" s="148">
        <f t="shared" si="0"/>
        <v>1</v>
      </c>
      <c r="S9" s="200" t="s">
        <v>3959</v>
      </c>
      <c r="T9" s="535"/>
    </row>
    <row r="10" spans="1:20" ht="63.75" customHeight="1" x14ac:dyDescent="0.3">
      <c r="A10" s="98">
        <f t="shared" si="1"/>
        <v>7</v>
      </c>
      <c r="B10" s="651">
        <v>1550</v>
      </c>
      <c r="C10" s="650">
        <v>45870</v>
      </c>
      <c r="D10" s="59">
        <v>62806238</v>
      </c>
      <c r="E10" s="60" t="s">
        <v>3996</v>
      </c>
      <c r="F10" s="219" t="s">
        <v>49</v>
      </c>
      <c r="G10" s="221" t="s">
        <v>6</v>
      </c>
      <c r="H10" s="493">
        <v>45870</v>
      </c>
      <c r="I10" s="25"/>
      <c r="J10" s="100" t="s">
        <v>266</v>
      </c>
      <c r="K10" s="494"/>
      <c r="L10" s="495"/>
      <c r="M10" s="496"/>
      <c r="N10" s="497"/>
      <c r="O10" s="498"/>
      <c r="P10" s="499"/>
      <c r="Q10" s="539">
        <v>45870</v>
      </c>
      <c r="R10" s="148">
        <f t="shared" si="0"/>
        <v>1</v>
      </c>
      <c r="S10" s="200" t="s">
        <v>3830</v>
      </c>
      <c r="T10" s="315"/>
    </row>
    <row r="11" spans="1:20" ht="44.25" customHeight="1" x14ac:dyDescent="0.3">
      <c r="A11" s="98">
        <f t="shared" si="1"/>
        <v>8</v>
      </c>
      <c r="B11" s="651">
        <v>1550</v>
      </c>
      <c r="C11" s="650">
        <v>45870</v>
      </c>
      <c r="D11" s="59">
        <v>118465600</v>
      </c>
      <c r="E11" s="60" t="s">
        <v>3997</v>
      </c>
      <c r="F11" s="219" t="s">
        <v>49</v>
      </c>
      <c r="G11" s="221" t="s">
        <v>6</v>
      </c>
      <c r="H11" s="493">
        <v>45870</v>
      </c>
      <c r="I11" s="25"/>
      <c r="J11" s="100" t="s">
        <v>266</v>
      </c>
      <c r="K11" s="494"/>
      <c r="L11" s="495"/>
      <c r="M11" s="496"/>
      <c r="N11" s="497"/>
      <c r="O11" s="498"/>
      <c r="P11" s="499"/>
      <c r="Q11" s="539">
        <v>45870</v>
      </c>
      <c r="R11" s="148">
        <f t="shared" si="0"/>
        <v>1</v>
      </c>
      <c r="S11" s="200" t="s">
        <v>3830</v>
      </c>
      <c r="T11" s="315"/>
    </row>
    <row r="12" spans="1:20" ht="44.25" customHeight="1" x14ac:dyDescent="0.3">
      <c r="A12" s="98">
        <f t="shared" si="1"/>
        <v>9</v>
      </c>
      <c r="B12" s="651">
        <v>1550</v>
      </c>
      <c r="C12" s="650">
        <v>45870</v>
      </c>
      <c r="D12" s="59">
        <v>78238978</v>
      </c>
      <c r="E12" s="60" t="s">
        <v>3998</v>
      </c>
      <c r="F12" s="219" t="s">
        <v>49</v>
      </c>
      <c r="G12" s="221" t="s">
        <v>6</v>
      </c>
      <c r="H12" s="493">
        <v>45870</v>
      </c>
      <c r="I12" s="25"/>
      <c r="J12" s="100" t="s">
        <v>266</v>
      </c>
      <c r="K12" s="494"/>
      <c r="L12" s="495"/>
      <c r="M12" s="496"/>
      <c r="N12" s="497"/>
      <c r="O12" s="498"/>
      <c r="P12" s="499"/>
      <c r="Q12" s="539">
        <v>45870</v>
      </c>
      <c r="R12" s="148">
        <f t="shared" si="0"/>
        <v>1</v>
      </c>
      <c r="S12" s="200" t="s">
        <v>3830</v>
      </c>
      <c r="T12" s="535"/>
    </row>
    <row r="13" spans="1:20" ht="43.2" x14ac:dyDescent="0.3">
      <c r="A13" s="98">
        <f t="shared" si="1"/>
        <v>10</v>
      </c>
      <c r="B13" s="536" t="s">
        <v>80</v>
      </c>
      <c r="C13" s="523">
        <v>45870</v>
      </c>
      <c r="D13" s="654">
        <v>109796225</v>
      </c>
      <c r="E13" s="277" t="s">
        <v>3999</v>
      </c>
      <c r="F13" s="200" t="s">
        <v>12</v>
      </c>
      <c r="G13" s="221" t="s">
        <v>8</v>
      </c>
      <c r="H13" s="493">
        <v>45870</v>
      </c>
      <c r="I13" s="25"/>
      <c r="J13" s="732" t="s">
        <v>159</v>
      </c>
      <c r="K13" s="494"/>
      <c r="L13" s="495"/>
      <c r="M13" s="496"/>
      <c r="N13" s="497"/>
      <c r="O13" s="498"/>
      <c r="P13" s="499"/>
      <c r="Q13" s="539">
        <v>45873</v>
      </c>
      <c r="R13" s="148">
        <f t="shared" si="0"/>
        <v>1.0000654022236757</v>
      </c>
      <c r="S13" s="200" t="s">
        <v>3418</v>
      </c>
      <c r="T13" s="535"/>
    </row>
    <row r="14" spans="1:20" ht="72" x14ac:dyDescent="0.3">
      <c r="A14" s="98">
        <f t="shared" si="1"/>
        <v>11</v>
      </c>
      <c r="B14" s="536" t="s">
        <v>301</v>
      </c>
      <c r="C14" s="523">
        <v>45870</v>
      </c>
      <c r="D14" s="541">
        <v>6909981</v>
      </c>
      <c r="E14" s="270" t="s">
        <v>4000</v>
      </c>
      <c r="F14" s="219" t="s">
        <v>32</v>
      </c>
      <c r="G14" s="221" t="s">
        <v>6</v>
      </c>
      <c r="H14" s="493">
        <v>45870</v>
      </c>
      <c r="I14" s="25"/>
      <c r="J14" s="100" t="s">
        <v>106</v>
      </c>
      <c r="K14" s="494"/>
      <c r="L14" s="495"/>
      <c r="M14" s="496"/>
      <c r="N14" s="497"/>
      <c r="O14" s="498"/>
      <c r="P14" s="499"/>
      <c r="Q14" s="529">
        <v>45873</v>
      </c>
      <c r="R14" s="148">
        <f t="shared" si="0"/>
        <v>1.0000654022236757</v>
      </c>
      <c r="S14" s="200" t="s">
        <v>2808</v>
      </c>
      <c r="T14" s="535"/>
    </row>
    <row r="15" spans="1:20" ht="43.2" x14ac:dyDescent="0.3">
      <c r="A15" s="98">
        <f t="shared" si="1"/>
        <v>12</v>
      </c>
      <c r="B15" s="536" t="s">
        <v>301</v>
      </c>
      <c r="C15" s="523">
        <v>45870</v>
      </c>
      <c r="D15" s="541">
        <v>8963142</v>
      </c>
      <c r="E15" s="270" t="s">
        <v>4001</v>
      </c>
      <c r="F15" s="219" t="s">
        <v>32</v>
      </c>
      <c r="G15" s="221" t="s">
        <v>6</v>
      </c>
      <c r="H15" s="493">
        <v>45870</v>
      </c>
      <c r="I15" s="25"/>
      <c r="J15" s="100" t="s">
        <v>106</v>
      </c>
      <c r="K15" s="494"/>
      <c r="L15" s="495"/>
      <c r="M15" s="496"/>
      <c r="N15" s="497"/>
      <c r="O15" s="498"/>
      <c r="P15" s="499"/>
      <c r="Q15" s="529">
        <v>45873</v>
      </c>
      <c r="R15" s="148">
        <f t="shared" si="0"/>
        <v>1.0000654022236757</v>
      </c>
      <c r="S15" s="200" t="s">
        <v>2808</v>
      </c>
      <c r="T15" s="315"/>
    </row>
    <row r="16" spans="1:20" ht="43.2" x14ac:dyDescent="0.3">
      <c r="A16" s="98">
        <f t="shared" si="1"/>
        <v>13</v>
      </c>
      <c r="B16" s="536" t="s">
        <v>1826</v>
      </c>
      <c r="C16" s="523">
        <v>45870</v>
      </c>
      <c r="D16" s="541">
        <v>101763069</v>
      </c>
      <c r="E16" s="308" t="s">
        <v>4002</v>
      </c>
      <c r="F16" s="200" t="s">
        <v>1</v>
      </c>
      <c r="G16" s="221" t="s">
        <v>4</v>
      </c>
      <c r="H16" s="493">
        <v>45870</v>
      </c>
      <c r="I16" s="25"/>
      <c r="J16" s="741" t="s">
        <v>99</v>
      </c>
      <c r="K16" s="494"/>
      <c r="L16" s="495"/>
      <c r="M16" s="496"/>
      <c r="N16" s="497"/>
      <c r="O16" s="498"/>
      <c r="P16" s="499"/>
      <c r="Q16" s="529">
        <v>45888</v>
      </c>
      <c r="R16" s="148">
        <f t="shared" si="0"/>
        <v>1.0003924133420536</v>
      </c>
      <c r="S16" s="200" t="s">
        <v>720</v>
      </c>
      <c r="T16" s="315" t="s">
        <v>4003</v>
      </c>
    </row>
    <row r="17" spans="1:20" ht="43.2" x14ac:dyDescent="0.3">
      <c r="A17" s="98">
        <f t="shared" si="1"/>
        <v>14</v>
      </c>
      <c r="B17" s="536" t="s">
        <v>1826</v>
      </c>
      <c r="C17" s="523">
        <v>45870</v>
      </c>
      <c r="D17" s="541">
        <v>49233696</v>
      </c>
      <c r="E17" s="270" t="s">
        <v>4004</v>
      </c>
      <c r="F17" s="200" t="s">
        <v>48</v>
      </c>
      <c r="G17" s="221" t="s">
        <v>4</v>
      </c>
      <c r="H17" s="493">
        <v>45870</v>
      </c>
      <c r="I17" s="25"/>
      <c r="J17" s="727" t="s">
        <v>99</v>
      </c>
      <c r="K17" s="494"/>
      <c r="L17" s="495"/>
      <c r="M17" s="496"/>
      <c r="N17" s="497"/>
      <c r="O17" s="498"/>
      <c r="P17" s="499"/>
      <c r="Q17" s="539">
        <v>45880</v>
      </c>
      <c r="R17" s="148">
        <f t="shared" si="0"/>
        <v>1.000218007412252</v>
      </c>
      <c r="S17" s="200" t="s">
        <v>720</v>
      </c>
      <c r="T17" s="315" t="s">
        <v>4005</v>
      </c>
    </row>
    <row r="18" spans="1:20" ht="43.2" x14ac:dyDescent="0.3">
      <c r="A18" s="98">
        <f t="shared" si="1"/>
        <v>15</v>
      </c>
      <c r="B18" s="536" t="s">
        <v>1826</v>
      </c>
      <c r="C18" s="523">
        <v>45870</v>
      </c>
      <c r="D18" s="541">
        <v>102948909</v>
      </c>
      <c r="E18" s="270" t="s">
        <v>4006</v>
      </c>
      <c r="F18" s="200" t="s">
        <v>12</v>
      </c>
      <c r="G18" s="221" t="s">
        <v>4</v>
      </c>
      <c r="H18" s="493">
        <v>45870</v>
      </c>
      <c r="I18" s="25"/>
      <c r="J18" s="732" t="s">
        <v>159</v>
      </c>
      <c r="K18" s="494"/>
      <c r="L18" s="495"/>
      <c r="M18" s="496"/>
      <c r="N18" s="497"/>
      <c r="O18" s="498"/>
      <c r="P18" s="499"/>
      <c r="Q18" s="529">
        <v>45873</v>
      </c>
      <c r="R18" s="148">
        <f t="shared" si="0"/>
        <v>1.0000654022236757</v>
      </c>
      <c r="S18" s="200" t="s">
        <v>720</v>
      </c>
      <c r="T18" s="535"/>
    </row>
    <row r="19" spans="1:20" ht="43.2" x14ac:dyDescent="0.3">
      <c r="A19" s="98">
        <f t="shared" si="1"/>
        <v>16</v>
      </c>
      <c r="B19" s="536" t="s">
        <v>301</v>
      </c>
      <c r="C19" s="523">
        <v>45870</v>
      </c>
      <c r="D19" s="541">
        <v>79207227</v>
      </c>
      <c r="E19" s="270" t="s">
        <v>4007</v>
      </c>
      <c r="F19" s="200" t="s">
        <v>32</v>
      </c>
      <c r="G19" s="221" t="s">
        <v>6</v>
      </c>
      <c r="H19" s="493">
        <v>45870</v>
      </c>
      <c r="I19" s="25"/>
      <c r="J19" s="100" t="s">
        <v>106</v>
      </c>
      <c r="K19" s="494"/>
      <c r="L19" s="495"/>
      <c r="M19" s="496"/>
      <c r="N19" s="497"/>
      <c r="O19" s="498"/>
      <c r="P19" s="499"/>
      <c r="Q19" s="529">
        <v>45873</v>
      </c>
      <c r="R19" s="148">
        <f t="shared" si="0"/>
        <v>1.0000654022236757</v>
      </c>
      <c r="S19" s="200" t="s">
        <v>2808</v>
      </c>
      <c r="T19" s="315"/>
    </row>
    <row r="20" spans="1:20" ht="72" x14ac:dyDescent="0.3">
      <c r="A20" s="98">
        <f t="shared" si="1"/>
        <v>17</v>
      </c>
      <c r="B20" s="536">
        <v>1550</v>
      </c>
      <c r="C20" s="523">
        <v>45870</v>
      </c>
      <c r="D20" s="541">
        <v>16553926</v>
      </c>
      <c r="E20" s="270" t="s">
        <v>4008</v>
      </c>
      <c r="F20" s="219" t="s">
        <v>32</v>
      </c>
      <c r="G20" s="221" t="s">
        <v>6</v>
      </c>
      <c r="H20" s="493">
        <v>45870</v>
      </c>
      <c r="I20" s="25"/>
      <c r="J20" s="100" t="s">
        <v>106</v>
      </c>
      <c r="K20" s="494"/>
      <c r="L20" s="495"/>
      <c r="M20" s="496"/>
      <c r="N20" s="497"/>
      <c r="O20" s="498"/>
      <c r="P20" s="499"/>
      <c r="Q20" s="529">
        <v>45873</v>
      </c>
      <c r="R20" s="148">
        <f t="shared" si="0"/>
        <v>1.0000654022236757</v>
      </c>
      <c r="S20" s="200" t="s">
        <v>3959</v>
      </c>
      <c r="T20" s="542"/>
    </row>
    <row r="21" spans="1:20" ht="57.6" x14ac:dyDescent="0.3">
      <c r="A21" s="98">
        <f t="shared" si="1"/>
        <v>18</v>
      </c>
      <c r="B21" s="536">
        <v>1550</v>
      </c>
      <c r="C21" s="523">
        <v>45870</v>
      </c>
      <c r="D21" s="541">
        <v>2291</v>
      </c>
      <c r="E21" s="270" t="s">
        <v>4009</v>
      </c>
      <c r="F21" s="219" t="s">
        <v>32</v>
      </c>
      <c r="G21" s="221" t="s">
        <v>6</v>
      </c>
      <c r="H21" s="493">
        <v>45870</v>
      </c>
      <c r="I21" s="25"/>
      <c r="J21" s="100" t="s">
        <v>106</v>
      </c>
      <c r="K21" s="494"/>
      <c r="L21" s="495"/>
      <c r="M21" s="496"/>
      <c r="N21" s="497"/>
      <c r="O21" s="498"/>
      <c r="P21" s="499"/>
      <c r="Q21" s="529">
        <v>45873</v>
      </c>
      <c r="R21" s="148">
        <f t="shared" si="0"/>
        <v>1.0000654022236757</v>
      </c>
      <c r="S21" s="200" t="s">
        <v>3959</v>
      </c>
      <c r="T21" s="315"/>
    </row>
    <row r="22" spans="1:20" ht="43.2" x14ac:dyDescent="0.3">
      <c r="A22" s="98">
        <f t="shared" si="1"/>
        <v>19</v>
      </c>
      <c r="B22" s="506">
        <v>1550</v>
      </c>
      <c r="C22" s="573">
        <v>45876</v>
      </c>
      <c r="D22" s="760">
        <v>69850828</v>
      </c>
      <c r="E22" s="271" t="s">
        <v>4010</v>
      </c>
      <c r="F22" s="111" t="s">
        <v>32</v>
      </c>
      <c r="G22" s="221" t="s">
        <v>6</v>
      </c>
      <c r="H22" s="493">
        <v>45876</v>
      </c>
      <c r="I22" s="25"/>
      <c r="J22" s="100" t="s">
        <v>106</v>
      </c>
      <c r="K22" s="494"/>
      <c r="L22" s="495"/>
      <c r="M22" s="496"/>
      <c r="N22" s="497"/>
      <c r="O22" s="498"/>
      <c r="P22" s="499"/>
      <c r="Q22" s="516">
        <v>45876</v>
      </c>
      <c r="R22" s="148">
        <f t="shared" si="0"/>
        <v>1</v>
      </c>
      <c r="S22" s="101" t="s">
        <v>3959</v>
      </c>
      <c r="T22" s="69"/>
    </row>
    <row r="23" spans="1:20" ht="57.6" x14ac:dyDescent="0.3">
      <c r="A23" s="98">
        <f t="shared" si="1"/>
        <v>20</v>
      </c>
      <c r="B23" s="536">
        <v>1550</v>
      </c>
      <c r="C23" s="523">
        <v>45870</v>
      </c>
      <c r="D23" s="543">
        <v>49094645</v>
      </c>
      <c r="E23" s="308" t="s">
        <v>4011</v>
      </c>
      <c r="F23" s="200" t="s">
        <v>39</v>
      </c>
      <c r="G23" s="221" t="s">
        <v>8</v>
      </c>
      <c r="H23" s="493">
        <v>45870</v>
      </c>
      <c r="I23" s="25"/>
      <c r="J23" s="100" t="s">
        <v>22</v>
      </c>
      <c r="K23" s="494"/>
      <c r="L23" s="495"/>
      <c r="M23" s="496"/>
      <c r="N23" s="497"/>
      <c r="O23" s="498"/>
      <c r="P23" s="499"/>
      <c r="Q23" s="529">
        <v>45870</v>
      </c>
      <c r="R23" s="148">
        <f t="shared" si="0"/>
        <v>1</v>
      </c>
      <c r="S23" s="200" t="s">
        <v>8</v>
      </c>
      <c r="T23" s="535"/>
    </row>
    <row r="24" spans="1:20" ht="43.2" x14ac:dyDescent="0.3">
      <c r="A24" s="98">
        <f t="shared" si="1"/>
        <v>21</v>
      </c>
      <c r="B24" s="536">
        <v>1550</v>
      </c>
      <c r="C24" s="523">
        <v>45870</v>
      </c>
      <c r="D24" s="543">
        <v>68267908</v>
      </c>
      <c r="E24" s="308" t="s">
        <v>3502</v>
      </c>
      <c r="F24" s="384" t="s">
        <v>49</v>
      </c>
      <c r="G24" s="221" t="s">
        <v>8</v>
      </c>
      <c r="H24" s="493">
        <v>45870</v>
      </c>
      <c r="I24" s="25"/>
      <c r="J24" s="100"/>
      <c r="K24" s="494"/>
      <c r="L24" s="495"/>
      <c r="M24" s="496"/>
      <c r="N24" s="497"/>
      <c r="O24" s="498"/>
      <c r="P24" s="499"/>
      <c r="Q24" s="539">
        <v>45870</v>
      </c>
      <c r="R24" s="148">
        <f t="shared" si="0"/>
        <v>1</v>
      </c>
      <c r="S24" s="200"/>
      <c r="T24" s="535"/>
    </row>
    <row r="25" spans="1:20" x14ac:dyDescent="0.3">
      <c r="A25" s="98">
        <f t="shared" si="1"/>
        <v>22</v>
      </c>
      <c r="B25" s="536">
        <v>1550</v>
      </c>
      <c r="C25" s="546">
        <v>45870</v>
      </c>
      <c r="D25" s="543">
        <v>5082196</v>
      </c>
      <c r="E25" s="270" t="s">
        <v>4012</v>
      </c>
      <c r="F25" s="384" t="s">
        <v>58</v>
      </c>
      <c r="G25" s="221" t="s">
        <v>4</v>
      </c>
      <c r="H25" s="493">
        <v>45870</v>
      </c>
      <c r="I25" s="25"/>
      <c r="J25" s="100" t="s">
        <v>22</v>
      </c>
      <c r="K25" s="494"/>
      <c r="L25" s="495"/>
      <c r="M25" s="496"/>
      <c r="N25" s="497"/>
      <c r="O25" s="498"/>
      <c r="P25" s="499"/>
      <c r="Q25" s="539">
        <v>45888</v>
      </c>
      <c r="R25" s="148">
        <f t="shared" si="0"/>
        <v>1.0003924133420536</v>
      </c>
      <c r="S25" s="200" t="s">
        <v>2970</v>
      </c>
      <c r="T25" s="315"/>
    </row>
    <row r="26" spans="1:20" ht="43.2" x14ac:dyDescent="0.3">
      <c r="A26" s="98">
        <f t="shared" si="1"/>
        <v>23</v>
      </c>
      <c r="B26" s="536">
        <v>1550</v>
      </c>
      <c r="C26" s="546">
        <v>45870</v>
      </c>
      <c r="D26" s="543">
        <v>16888243</v>
      </c>
      <c r="E26" s="270" t="s">
        <v>4013</v>
      </c>
      <c r="F26" s="200" t="s">
        <v>1</v>
      </c>
      <c r="G26" s="221" t="s">
        <v>8</v>
      </c>
      <c r="H26" s="493">
        <v>45870</v>
      </c>
      <c r="I26" s="25"/>
      <c r="J26" s="737" t="s">
        <v>2579</v>
      </c>
      <c r="K26" s="494"/>
      <c r="L26" s="495"/>
      <c r="M26" s="496"/>
      <c r="N26" s="497"/>
      <c r="O26" s="498"/>
      <c r="P26" s="499"/>
      <c r="Q26" s="539">
        <v>45870</v>
      </c>
      <c r="R26" s="148">
        <f t="shared" si="0"/>
        <v>1</v>
      </c>
      <c r="S26" s="200" t="s">
        <v>3841</v>
      </c>
      <c r="T26" s="315"/>
    </row>
    <row r="27" spans="1:20" ht="43.2" x14ac:dyDescent="0.3">
      <c r="A27" s="98">
        <f t="shared" si="1"/>
        <v>24</v>
      </c>
      <c r="B27" s="536" t="s">
        <v>301</v>
      </c>
      <c r="C27" s="546">
        <v>45873</v>
      </c>
      <c r="D27" s="543">
        <v>120580748</v>
      </c>
      <c r="E27" s="270" t="s">
        <v>4014</v>
      </c>
      <c r="F27" s="200" t="s">
        <v>1</v>
      </c>
      <c r="G27" s="221" t="s">
        <v>8</v>
      </c>
      <c r="H27" s="493">
        <v>45873</v>
      </c>
      <c r="I27" s="25"/>
      <c r="J27" s="737" t="s">
        <v>2352</v>
      </c>
      <c r="K27" s="494"/>
      <c r="L27" s="495"/>
      <c r="M27" s="496"/>
      <c r="N27" s="497"/>
      <c r="O27" s="498"/>
      <c r="P27" s="499"/>
      <c r="Q27" s="539">
        <v>45873</v>
      </c>
      <c r="R27" s="148">
        <f t="shared" si="0"/>
        <v>1</v>
      </c>
      <c r="S27" s="200" t="s">
        <v>3861</v>
      </c>
      <c r="T27" s="535"/>
    </row>
    <row r="28" spans="1:20" ht="28.8" x14ac:dyDescent="0.3">
      <c r="A28" s="98">
        <f t="shared" si="1"/>
        <v>25</v>
      </c>
      <c r="B28" s="536">
        <v>1550</v>
      </c>
      <c r="C28" s="546">
        <v>45873</v>
      </c>
      <c r="D28" s="543">
        <v>103970800</v>
      </c>
      <c r="E28" s="270" t="s">
        <v>4015</v>
      </c>
      <c r="F28" s="200" t="s">
        <v>1</v>
      </c>
      <c r="G28" s="221" t="s">
        <v>4</v>
      </c>
      <c r="H28" s="493">
        <v>45873</v>
      </c>
      <c r="I28" s="25"/>
      <c r="J28" s="737" t="s">
        <v>2417</v>
      </c>
      <c r="K28" s="494"/>
      <c r="L28" s="495"/>
      <c r="M28" s="496"/>
      <c r="N28" s="497"/>
      <c r="O28" s="498"/>
      <c r="P28" s="499"/>
      <c r="Q28" s="539">
        <v>45873</v>
      </c>
      <c r="R28" s="148">
        <f t="shared" si="0"/>
        <v>1</v>
      </c>
      <c r="S28" s="200" t="s">
        <v>720</v>
      </c>
      <c r="T28" s="535"/>
    </row>
    <row r="29" spans="1:20" ht="28.8" x14ac:dyDescent="0.3">
      <c r="A29" s="98">
        <f t="shared" si="1"/>
        <v>26</v>
      </c>
      <c r="B29" s="536" t="s">
        <v>80</v>
      </c>
      <c r="C29" s="546">
        <v>45873</v>
      </c>
      <c r="D29" s="543">
        <v>7616309</v>
      </c>
      <c r="E29" s="270" t="s">
        <v>4016</v>
      </c>
      <c r="F29" s="200" t="s">
        <v>17</v>
      </c>
      <c r="G29" s="221" t="s">
        <v>4</v>
      </c>
      <c r="H29" s="493">
        <v>45873</v>
      </c>
      <c r="I29" s="25" t="s">
        <v>4017</v>
      </c>
      <c r="J29" s="732" t="s">
        <v>82</v>
      </c>
      <c r="K29" s="494"/>
      <c r="L29" s="495"/>
      <c r="M29" s="496"/>
      <c r="N29" s="497"/>
      <c r="O29" s="498"/>
      <c r="P29" s="499"/>
      <c r="Q29" s="539">
        <v>46008</v>
      </c>
      <c r="R29" s="148">
        <f t="shared" si="0"/>
        <v>1.0029429075927017</v>
      </c>
      <c r="S29" s="200" t="s">
        <v>3020</v>
      </c>
      <c r="T29" s="535" t="s">
        <v>4018</v>
      </c>
    </row>
    <row r="30" spans="1:20" ht="28.8" x14ac:dyDescent="0.3">
      <c r="A30" s="98">
        <f t="shared" si="1"/>
        <v>27</v>
      </c>
      <c r="B30" s="536" t="s">
        <v>80</v>
      </c>
      <c r="C30" s="546">
        <v>45873</v>
      </c>
      <c r="D30" s="543">
        <v>116135689</v>
      </c>
      <c r="E30" s="270" t="s">
        <v>4019</v>
      </c>
      <c r="F30" s="200" t="s">
        <v>1</v>
      </c>
      <c r="G30" s="221" t="s">
        <v>4</v>
      </c>
      <c r="H30" s="493">
        <v>45873</v>
      </c>
      <c r="I30" s="25"/>
      <c r="J30" s="737" t="s">
        <v>4020</v>
      </c>
      <c r="K30" s="494"/>
      <c r="L30" s="495"/>
      <c r="M30" s="496"/>
      <c r="N30" s="497"/>
      <c r="O30" s="498"/>
      <c r="P30" s="499"/>
      <c r="Q30" s="539">
        <v>45874</v>
      </c>
      <c r="R30" s="148">
        <f t="shared" si="0"/>
        <v>1.0000217993155014</v>
      </c>
      <c r="S30" s="200" t="s">
        <v>4</v>
      </c>
      <c r="T30" s="315"/>
    </row>
    <row r="31" spans="1:20" ht="43.2" x14ac:dyDescent="0.3">
      <c r="A31" s="98">
        <f t="shared" si="1"/>
        <v>28</v>
      </c>
      <c r="B31" s="536" t="s">
        <v>80</v>
      </c>
      <c r="C31" s="546">
        <v>45873</v>
      </c>
      <c r="D31" s="543">
        <v>104929421</v>
      </c>
      <c r="E31" s="270" t="s">
        <v>4021</v>
      </c>
      <c r="F31" s="200" t="s">
        <v>1</v>
      </c>
      <c r="G31" s="221" t="s">
        <v>4</v>
      </c>
      <c r="H31" s="493">
        <v>45873</v>
      </c>
      <c r="I31" s="25"/>
      <c r="J31" s="741" t="s">
        <v>99</v>
      </c>
      <c r="K31" s="494"/>
      <c r="L31" s="495"/>
      <c r="M31" s="496"/>
      <c r="N31" s="497"/>
      <c r="O31" s="498"/>
      <c r="P31" s="499"/>
      <c r="Q31" s="539">
        <v>45888</v>
      </c>
      <c r="R31" s="148">
        <f t="shared" si="0"/>
        <v>1.0003269897325224</v>
      </c>
      <c r="S31" s="200" t="s">
        <v>2974</v>
      </c>
      <c r="T31" s="315" t="s">
        <v>4022</v>
      </c>
    </row>
    <row r="32" spans="1:20" ht="57.6" x14ac:dyDescent="0.3">
      <c r="A32" s="98">
        <f t="shared" si="1"/>
        <v>29</v>
      </c>
      <c r="B32" s="536">
        <v>1550</v>
      </c>
      <c r="C32" s="546">
        <v>45873</v>
      </c>
      <c r="D32" s="543">
        <v>30489024</v>
      </c>
      <c r="E32" s="270" t="s">
        <v>4023</v>
      </c>
      <c r="F32" s="200" t="s">
        <v>24</v>
      </c>
      <c r="G32" s="221" t="s">
        <v>4</v>
      </c>
      <c r="H32" s="493">
        <v>45873</v>
      </c>
      <c r="I32" s="25"/>
      <c r="J32" s="732" t="s">
        <v>383</v>
      </c>
      <c r="K32" s="494"/>
      <c r="L32" s="495"/>
      <c r="M32" s="496"/>
      <c r="N32" s="497"/>
      <c r="O32" s="498"/>
      <c r="P32" s="499"/>
      <c r="Q32" s="539">
        <v>45873</v>
      </c>
      <c r="R32" s="148">
        <f t="shared" si="0"/>
        <v>1</v>
      </c>
      <c r="S32" s="200" t="s">
        <v>3899</v>
      </c>
      <c r="T32" s="535"/>
    </row>
    <row r="33" spans="1:20" ht="115.2" x14ac:dyDescent="0.3">
      <c r="A33" s="98">
        <f t="shared" si="1"/>
        <v>30</v>
      </c>
      <c r="B33" s="536" t="s">
        <v>301</v>
      </c>
      <c r="C33" s="546">
        <v>45873</v>
      </c>
      <c r="D33" s="543">
        <v>37856537</v>
      </c>
      <c r="E33" s="270" t="s">
        <v>4024</v>
      </c>
      <c r="F33" s="200" t="s">
        <v>1326</v>
      </c>
      <c r="G33" s="221" t="s">
        <v>6</v>
      </c>
      <c r="H33" s="493">
        <v>45873</v>
      </c>
      <c r="I33" s="25"/>
      <c r="J33" s="727" t="s">
        <v>99</v>
      </c>
      <c r="K33" s="494"/>
      <c r="L33" s="495"/>
      <c r="M33" s="496"/>
      <c r="N33" s="497"/>
      <c r="O33" s="498"/>
      <c r="P33" s="499"/>
      <c r="Q33" s="539">
        <v>45874</v>
      </c>
      <c r="R33" s="148">
        <f t="shared" si="0"/>
        <v>1.0000217993155014</v>
      </c>
      <c r="S33" s="200" t="s">
        <v>3783</v>
      </c>
      <c r="T33" s="315"/>
    </row>
    <row r="34" spans="1:20" ht="43.2" x14ac:dyDescent="0.3">
      <c r="A34" s="98">
        <f t="shared" si="1"/>
        <v>31</v>
      </c>
      <c r="B34" s="536">
        <v>1550</v>
      </c>
      <c r="C34" s="546">
        <v>45873</v>
      </c>
      <c r="D34" s="543">
        <v>53687523</v>
      </c>
      <c r="E34" s="270" t="s">
        <v>4025</v>
      </c>
      <c r="F34" s="200" t="s">
        <v>49</v>
      </c>
      <c r="G34" s="221" t="s">
        <v>8</v>
      </c>
      <c r="H34" s="493">
        <v>45873</v>
      </c>
      <c r="I34" s="25"/>
      <c r="J34" s="100" t="s">
        <v>266</v>
      </c>
      <c r="K34" s="494"/>
      <c r="L34" s="495"/>
      <c r="M34" s="496"/>
      <c r="N34" s="497"/>
      <c r="O34" s="498"/>
      <c r="P34" s="499"/>
      <c r="Q34" s="539">
        <v>45873</v>
      </c>
      <c r="R34" s="148">
        <f t="shared" si="0"/>
        <v>1</v>
      </c>
      <c r="S34" s="200" t="s">
        <v>4026</v>
      </c>
      <c r="T34" s="315"/>
    </row>
    <row r="35" spans="1:20" ht="28.8" x14ac:dyDescent="0.3">
      <c r="A35" s="98">
        <f t="shared" si="1"/>
        <v>32</v>
      </c>
      <c r="B35" s="536" t="s">
        <v>80</v>
      </c>
      <c r="C35" s="546">
        <v>45873</v>
      </c>
      <c r="D35" s="543"/>
      <c r="E35" s="270" t="s">
        <v>4027</v>
      </c>
      <c r="F35" s="200" t="s">
        <v>31</v>
      </c>
      <c r="G35" s="221" t="s">
        <v>4</v>
      </c>
      <c r="H35" s="493">
        <v>45873</v>
      </c>
      <c r="I35" s="25"/>
      <c r="J35" s="100" t="s">
        <v>31</v>
      </c>
      <c r="K35" s="494"/>
      <c r="L35" s="495"/>
      <c r="M35" s="496"/>
      <c r="N35" s="497"/>
      <c r="O35" s="498"/>
      <c r="P35" s="499"/>
      <c r="Q35" s="539">
        <v>45875</v>
      </c>
      <c r="R35" s="148">
        <f t="shared" si="0"/>
        <v>1.000043598631003</v>
      </c>
      <c r="S35" s="200" t="s">
        <v>3020</v>
      </c>
      <c r="T35" s="315"/>
    </row>
    <row r="36" spans="1:20" ht="57.6" x14ac:dyDescent="0.3">
      <c r="A36" s="98">
        <f t="shared" si="1"/>
        <v>33</v>
      </c>
      <c r="B36" s="536" t="s">
        <v>80</v>
      </c>
      <c r="C36" s="546">
        <v>45873</v>
      </c>
      <c r="D36" s="543">
        <v>81146507</v>
      </c>
      <c r="E36" s="270" t="s">
        <v>4028</v>
      </c>
      <c r="F36" s="200" t="s">
        <v>23</v>
      </c>
      <c r="G36" s="221" t="s">
        <v>8</v>
      </c>
      <c r="H36" s="493">
        <v>45873</v>
      </c>
      <c r="I36" s="655">
        <v>10000309303</v>
      </c>
      <c r="J36" s="100" t="s">
        <v>135</v>
      </c>
      <c r="K36" s="494"/>
      <c r="L36" s="495"/>
      <c r="M36" s="496"/>
      <c r="N36" s="497"/>
      <c r="O36" s="498"/>
      <c r="P36" s="499"/>
      <c r="Q36" s="539">
        <v>45876</v>
      </c>
      <c r="R36" s="148">
        <f t="shared" ref="R36:R67" si="2">Q36/H36</f>
        <v>1.0000653979465044</v>
      </c>
      <c r="S36" s="200" t="s">
        <v>3146</v>
      </c>
      <c r="T36" s="315"/>
    </row>
    <row r="37" spans="1:20" ht="43.2" x14ac:dyDescent="0.3">
      <c r="A37" s="98">
        <f t="shared" ref="A37:A68" si="3">A36+1</f>
        <v>34</v>
      </c>
      <c r="B37" s="536">
        <v>1550</v>
      </c>
      <c r="C37" s="546">
        <v>45874</v>
      </c>
      <c r="D37" s="543">
        <v>77015223</v>
      </c>
      <c r="E37" s="270" t="s">
        <v>4029</v>
      </c>
      <c r="F37" s="384" t="s">
        <v>25</v>
      </c>
      <c r="G37" s="221" t="s">
        <v>4</v>
      </c>
      <c r="H37" s="493">
        <v>45874</v>
      </c>
      <c r="I37" s="655">
        <v>10000309301</v>
      </c>
      <c r="J37" s="100" t="s">
        <v>135</v>
      </c>
      <c r="K37" s="494"/>
      <c r="L37" s="495"/>
      <c r="M37" s="496"/>
      <c r="N37" s="497"/>
      <c r="O37" s="498"/>
      <c r="P37" s="499"/>
      <c r="Q37" s="539">
        <v>45888</v>
      </c>
      <c r="R37" s="148">
        <f t="shared" si="2"/>
        <v>1.0003051837642238</v>
      </c>
      <c r="S37" s="200" t="s">
        <v>3783</v>
      </c>
      <c r="T37" s="315"/>
    </row>
    <row r="38" spans="1:20" ht="43.2" x14ac:dyDescent="0.3">
      <c r="A38" s="98">
        <f t="shared" si="3"/>
        <v>35</v>
      </c>
      <c r="B38" s="536">
        <v>1550</v>
      </c>
      <c r="C38" s="546">
        <v>45874</v>
      </c>
      <c r="D38" s="543">
        <v>28388097</v>
      </c>
      <c r="E38" s="308" t="s">
        <v>4030</v>
      </c>
      <c r="F38" s="200" t="s">
        <v>58</v>
      </c>
      <c r="G38" s="221" t="s">
        <v>4</v>
      </c>
      <c r="H38" s="493">
        <v>45874</v>
      </c>
      <c r="I38" s="25"/>
      <c r="J38" s="732" t="s">
        <v>159</v>
      </c>
      <c r="K38" s="494"/>
      <c r="L38" s="495"/>
      <c r="M38" s="496"/>
      <c r="N38" s="497"/>
      <c r="O38" s="498"/>
      <c r="P38" s="499"/>
      <c r="Q38" s="539">
        <v>45888</v>
      </c>
      <c r="R38" s="148">
        <f t="shared" si="2"/>
        <v>1.0003051837642238</v>
      </c>
      <c r="S38" s="200" t="s">
        <v>2974</v>
      </c>
      <c r="T38" s="315"/>
    </row>
    <row r="39" spans="1:20" ht="43.2" x14ac:dyDescent="0.3">
      <c r="A39" s="98">
        <f t="shared" si="3"/>
        <v>36</v>
      </c>
      <c r="B39" s="506">
        <v>1550</v>
      </c>
      <c r="C39" s="546">
        <v>45874</v>
      </c>
      <c r="D39" s="543">
        <v>25732722</v>
      </c>
      <c r="E39" s="308" t="s">
        <v>4031</v>
      </c>
      <c r="F39" s="200" t="s">
        <v>33</v>
      </c>
      <c r="G39" s="221" t="s">
        <v>4</v>
      </c>
      <c r="H39" s="493">
        <v>45874</v>
      </c>
      <c r="I39" s="25"/>
      <c r="J39" s="727" t="s">
        <v>99</v>
      </c>
      <c r="K39" s="494"/>
      <c r="L39" s="495"/>
      <c r="M39" s="496"/>
      <c r="N39" s="497"/>
      <c r="O39" s="498"/>
      <c r="P39" s="499"/>
      <c r="Q39" s="539">
        <v>45874</v>
      </c>
      <c r="R39" s="148">
        <f t="shared" si="2"/>
        <v>1</v>
      </c>
      <c r="S39" s="200" t="s">
        <v>2979</v>
      </c>
      <c r="T39" s="315"/>
    </row>
    <row r="40" spans="1:20" ht="57.6" x14ac:dyDescent="0.3">
      <c r="A40" s="98">
        <f t="shared" si="3"/>
        <v>37</v>
      </c>
      <c r="B40" s="536">
        <v>1550</v>
      </c>
      <c r="C40" s="546">
        <v>45874</v>
      </c>
      <c r="D40" s="543">
        <v>45359164</v>
      </c>
      <c r="E40" s="270" t="s">
        <v>4032</v>
      </c>
      <c r="F40" s="200" t="s">
        <v>12</v>
      </c>
      <c r="G40" s="221" t="s">
        <v>8</v>
      </c>
      <c r="H40" s="493">
        <v>45874</v>
      </c>
      <c r="I40" s="25"/>
      <c r="J40" s="732" t="s">
        <v>159</v>
      </c>
      <c r="K40" s="494"/>
      <c r="L40" s="495"/>
      <c r="M40" s="496"/>
      <c r="N40" s="497"/>
      <c r="O40" s="498"/>
      <c r="P40" s="499"/>
      <c r="Q40" s="539">
        <v>45883</v>
      </c>
      <c r="R40" s="148">
        <f t="shared" si="2"/>
        <v>1.0001961895627152</v>
      </c>
      <c r="S40" s="101" t="s">
        <v>3841</v>
      </c>
      <c r="T40" s="69"/>
    </row>
    <row r="41" spans="1:20" x14ac:dyDescent="0.3">
      <c r="A41" s="98">
        <f t="shared" si="3"/>
        <v>38</v>
      </c>
      <c r="B41" s="506">
        <v>1550</v>
      </c>
      <c r="C41" s="492">
        <v>45874</v>
      </c>
      <c r="D41" s="543"/>
      <c r="E41" s="271" t="s">
        <v>4033</v>
      </c>
      <c r="F41" s="200" t="s">
        <v>14</v>
      </c>
      <c r="G41" s="221" t="s">
        <v>4</v>
      </c>
      <c r="H41" s="493">
        <v>45874</v>
      </c>
      <c r="I41" s="25">
        <v>10000309316</v>
      </c>
      <c r="J41" s="100" t="s">
        <v>135</v>
      </c>
      <c r="K41" s="494"/>
      <c r="L41" s="495"/>
      <c r="M41" s="496"/>
      <c r="N41" s="497"/>
      <c r="O41" s="498"/>
      <c r="P41" s="499"/>
      <c r="Q41" s="500">
        <v>45883</v>
      </c>
      <c r="R41" s="148">
        <f t="shared" si="2"/>
        <v>1.0001961895627152</v>
      </c>
      <c r="S41" s="101" t="s">
        <v>4</v>
      </c>
      <c r="T41" s="69"/>
    </row>
    <row r="42" spans="1:20" ht="57.6" x14ac:dyDescent="0.3">
      <c r="A42" s="98">
        <f t="shared" si="3"/>
        <v>39</v>
      </c>
      <c r="B42" s="506">
        <v>1550</v>
      </c>
      <c r="C42" s="492">
        <v>45874</v>
      </c>
      <c r="D42" s="543">
        <v>90699165</v>
      </c>
      <c r="E42" s="271" t="s">
        <v>4034</v>
      </c>
      <c r="F42" s="200" t="s">
        <v>12</v>
      </c>
      <c r="G42" s="221" t="s">
        <v>8</v>
      </c>
      <c r="H42" s="493">
        <v>45874</v>
      </c>
      <c r="I42" s="25"/>
      <c r="J42" s="732" t="s">
        <v>159</v>
      </c>
      <c r="K42" s="494"/>
      <c r="L42" s="495"/>
      <c r="M42" s="496"/>
      <c r="N42" s="497"/>
      <c r="O42" s="498"/>
      <c r="P42" s="499"/>
      <c r="Q42" s="539">
        <v>45888</v>
      </c>
      <c r="R42" s="148">
        <f t="shared" si="2"/>
        <v>1.0003051837642238</v>
      </c>
      <c r="S42" s="101" t="s">
        <v>4026</v>
      </c>
      <c r="T42" s="69"/>
    </row>
    <row r="43" spans="1:20" ht="57.6" x14ac:dyDescent="0.3">
      <c r="A43" s="98">
        <f t="shared" si="3"/>
        <v>40</v>
      </c>
      <c r="B43" s="536">
        <v>1550</v>
      </c>
      <c r="C43" s="546">
        <v>45874</v>
      </c>
      <c r="D43" s="543">
        <v>119644835</v>
      </c>
      <c r="E43" s="270" t="s">
        <v>4035</v>
      </c>
      <c r="F43" s="384" t="s">
        <v>19</v>
      </c>
      <c r="G43" s="221" t="s">
        <v>8</v>
      </c>
      <c r="H43" s="493">
        <v>45874</v>
      </c>
      <c r="I43" s="25"/>
      <c r="J43" s="732" t="s">
        <v>159</v>
      </c>
      <c r="K43" s="494"/>
      <c r="L43" s="495"/>
      <c r="M43" s="496"/>
      <c r="N43" s="497"/>
      <c r="O43" s="498"/>
      <c r="P43" s="499"/>
      <c r="Q43" s="539">
        <v>45874</v>
      </c>
      <c r="R43" s="148">
        <f t="shared" si="2"/>
        <v>1</v>
      </c>
      <c r="S43" s="101" t="s">
        <v>3146</v>
      </c>
      <c r="T43" s="69"/>
    </row>
    <row r="44" spans="1:20" ht="43.2" x14ac:dyDescent="0.3">
      <c r="A44" s="98">
        <f t="shared" si="3"/>
        <v>41</v>
      </c>
      <c r="B44" s="536">
        <v>1550</v>
      </c>
      <c r="C44" s="546">
        <v>45874</v>
      </c>
      <c r="D44" s="543">
        <v>1721585</v>
      </c>
      <c r="E44" s="270" t="s">
        <v>4036</v>
      </c>
      <c r="F44" s="384" t="s">
        <v>12</v>
      </c>
      <c r="G44" s="221" t="s">
        <v>4</v>
      </c>
      <c r="H44" s="493">
        <v>45874</v>
      </c>
      <c r="I44" s="25"/>
      <c r="J44" s="732" t="s">
        <v>159</v>
      </c>
      <c r="K44" s="494"/>
      <c r="L44" s="495"/>
      <c r="M44" s="496"/>
      <c r="N44" s="497"/>
      <c r="O44" s="498"/>
      <c r="P44" s="499"/>
      <c r="Q44" s="539">
        <v>45888</v>
      </c>
      <c r="R44" s="148">
        <f t="shared" si="2"/>
        <v>1.0003051837642238</v>
      </c>
      <c r="S44" s="101" t="s">
        <v>1811</v>
      </c>
      <c r="T44" s="69"/>
    </row>
    <row r="45" spans="1:20" ht="57.6" x14ac:dyDescent="0.3">
      <c r="A45" s="98">
        <f t="shared" si="3"/>
        <v>42</v>
      </c>
      <c r="B45" s="536">
        <v>1550</v>
      </c>
      <c r="C45" s="546">
        <v>45874</v>
      </c>
      <c r="D45" s="543">
        <v>120604310</v>
      </c>
      <c r="E45" s="261" t="s">
        <v>4037</v>
      </c>
      <c r="F45" s="101" t="s">
        <v>21</v>
      </c>
      <c r="G45" s="221" t="s">
        <v>8</v>
      </c>
      <c r="H45" s="493">
        <v>45874</v>
      </c>
      <c r="I45" s="25"/>
      <c r="J45" s="100" t="s">
        <v>3479</v>
      </c>
      <c r="K45" s="494"/>
      <c r="L45" s="495"/>
      <c r="M45" s="496"/>
      <c r="N45" s="497"/>
      <c r="O45" s="498"/>
      <c r="P45" s="499"/>
      <c r="Q45" s="539">
        <v>45877</v>
      </c>
      <c r="R45" s="148">
        <f t="shared" si="2"/>
        <v>1.000065396520905</v>
      </c>
      <c r="S45" s="101" t="s">
        <v>3914</v>
      </c>
      <c r="T45" s="69"/>
    </row>
    <row r="46" spans="1:20" ht="43.2" x14ac:dyDescent="0.3">
      <c r="A46" s="98">
        <f t="shared" si="3"/>
        <v>43</v>
      </c>
      <c r="B46" s="536">
        <v>1550</v>
      </c>
      <c r="C46" s="546">
        <v>45875</v>
      </c>
      <c r="D46" s="543">
        <v>51947684</v>
      </c>
      <c r="E46" s="262" t="s">
        <v>4038</v>
      </c>
      <c r="F46" s="101" t="s">
        <v>1</v>
      </c>
      <c r="G46" s="221" t="s">
        <v>4</v>
      </c>
      <c r="H46" s="493">
        <v>45875</v>
      </c>
      <c r="I46" s="25"/>
      <c r="J46" s="741" t="s">
        <v>99</v>
      </c>
      <c r="K46" s="494"/>
      <c r="L46" s="495"/>
      <c r="M46" s="496"/>
      <c r="N46" s="497"/>
      <c r="O46" s="498"/>
      <c r="P46" s="499"/>
      <c r="Q46" s="539">
        <v>45880</v>
      </c>
      <c r="R46" s="148">
        <f t="shared" si="2"/>
        <v>1.000108991825613</v>
      </c>
      <c r="S46" s="101" t="s">
        <v>720</v>
      </c>
      <c r="T46" s="69"/>
    </row>
    <row r="47" spans="1:20" ht="43.2" x14ac:dyDescent="0.3">
      <c r="A47" s="98">
        <f t="shared" si="3"/>
        <v>44</v>
      </c>
      <c r="B47" s="536" t="s">
        <v>80</v>
      </c>
      <c r="C47" s="546">
        <v>45875</v>
      </c>
      <c r="D47" s="543">
        <v>108846202</v>
      </c>
      <c r="E47" s="262" t="s">
        <v>4039</v>
      </c>
      <c r="F47" s="101" t="s">
        <v>48</v>
      </c>
      <c r="G47" s="221" t="s">
        <v>4</v>
      </c>
      <c r="H47" s="493">
        <v>45875</v>
      </c>
      <c r="I47" s="25"/>
      <c r="J47" s="727" t="s">
        <v>99</v>
      </c>
      <c r="K47" s="494"/>
      <c r="L47" s="495"/>
      <c r="M47" s="496"/>
      <c r="N47" s="497"/>
      <c r="O47" s="498"/>
      <c r="P47" s="499"/>
      <c r="Q47" s="539">
        <v>45888</v>
      </c>
      <c r="R47" s="148">
        <f t="shared" si="2"/>
        <v>1.0002833787465939</v>
      </c>
      <c r="S47" s="101" t="s">
        <v>3020</v>
      </c>
      <c r="T47" s="315" t="s">
        <v>4040</v>
      </c>
    </row>
    <row r="48" spans="1:20" ht="28.8" x14ac:dyDescent="0.3">
      <c r="A48" s="98">
        <f t="shared" si="3"/>
        <v>45</v>
      </c>
      <c r="B48" s="536">
        <v>1550</v>
      </c>
      <c r="C48" s="546">
        <v>45875</v>
      </c>
      <c r="D48" s="543">
        <v>120170299</v>
      </c>
      <c r="E48" s="262" t="s">
        <v>4041</v>
      </c>
      <c r="F48" s="101" t="s">
        <v>1</v>
      </c>
      <c r="G48" s="221" t="s">
        <v>4</v>
      </c>
      <c r="H48" s="493">
        <v>45875</v>
      </c>
      <c r="I48" s="25"/>
      <c r="J48" s="738" t="s">
        <v>2367</v>
      </c>
      <c r="K48" s="494"/>
      <c r="L48" s="495"/>
      <c r="M48" s="496"/>
      <c r="N48" s="497"/>
      <c r="O48" s="498"/>
      <c r="P48" s="499"/>
      <c r="Q48" s="501">
        <v>45875</v>
      </c>
      <c r="R48" s="148">
        <f t="shared" si="2"/>
        <v>1</v>
      </c>
      <c r="S48" s="101" t="s">
        <v>3899</v>
      </c>
      <c r="T48" s="69"/>
    </row>
    <row r="49" spans="1:20" ht="28.8" x14ac:dyDescent="0.3">
      <c r="A49" s="98">
        <f t="shared" si="3"/>
        <v>46</v>
      </c>
      <c r="B49" s="506" t="s">
        <v>80</v>
      </c>
      <c r="C49" s="492">
        <v>45875</v>
      </c>
      <c r="D49" s="543">
        <v>80249116</v>
      </c>
      <c r="E49" s="262" t="s">
        <v>4042</v>
      </c>
      <c r="F49" s="101" t="s">
        <v>17</v>
      </c>
      <c r="G49" s="221" t="s">
        <v>4</v>
      </c>
      <c r="H49" s="493">
        <v>45875</v>
      </c>
      <c r="I49" s="25"/>
      <c r="J49" s="732" t="s">
        <v>82</v>
      </c>
      <c r="K49" s="494"/>
      <c r="L49" s="495"/>
      <c r="M49" s="496"/>
      <c r="N49" s="497"/>
      <c r="O49" s="498"/>
      <c r="P49" s="499"/>
      <c r="Q49" s="539">
        <v>45875</v>
      </c>
      <c r="R49" s="148">
        <f t="shared" si="2"/>
        <v>1</v>
      </c>
      <c r="S49" s="101" t="s">
        <v>3020</v>
      </c>
      <c r="T49" s="69"/>
    </row>
    <row r="50" spans="1:20" ht="43.2" x14ac:dyDescent="0.3">
      <c r="A50" s="98">
        <f t="shared" si="3"/>
        <v>47</v>
      </c>
      <c r="B50" s="506">
        <v>1550</v>
      </c>
      <c r="C50" s="492">
        <v>45875</v>
      </c>
      <c r="D50" s="543">
        <v>90699165</v>
      </c>
      <c r="E50" s="262" t="s">
        <v>4043</v>
      </c>
      <c r="F50" s="101" t="s">
        <v>12</v>
      </c>
      <c r="G50" s="221" t="s">
        <v>4</v>
      </c>
      <c r="H50" s="493">
        <v>45875</v>
      </c>
      <c r="I50" s="25"/>
      <c r="J50" s="732" t="s">
        <v>159</v>
      </c>
      <c r="K50" s="494"/>
      <c r="L50" s="495"/>
      <c r="M50" s="496"/>
      <c r="N50" s="497"/>
      <c r="O50" s="498"/>
      <c r="P50" s="499"/>
      <c r="Q50" s="501">
        <v>45875</v>
      </c>
      <c r="R50" s="148">
        <f t="shared" si="2"/>
        <v>1</v>
      </c>
      <c r="S50" s="101" t="s">
        <v>2974</v>
      </c>
      <c r="T50" s="69"/>
    </row>
    <row r="51" spans="1:20" ht="28.8" x14ac:dyDescent="0.3">
      <c r="A51" s="98">
        <f t="shared" si="3"/>
        <v>48</v>
      </c>
      <c r="B51" s="491">
        <v>1550</v>
      </c>
      <c r="C51" s="492">
        <v>45875</v>
      </c>
      <c r="D51" s="543">
        <v>97872342</v>
      </c>
      <c r="E51" s="262" t="s">
        <v>4044</v>
      </c>
      <c r="F51" s="101" t="s">
        <v>1</v>
      </c>
      <c r="G51" s="221" t="s">
        <v>4</v>
      </c>
      <c r="H51" s="493">
        <v>45875</v>
      </c>
      <c r="I51" s="25"/>
      <c r="J51" s="738" t="s">
        <v>2367</v>
      </c>
      <c r="K51" s="494"/>
      <c r="L51" s="495"/>
      <c r="M51" s="496"/>
      <c r="N51" s="497"/>
      <c r="O51" s="498"/>
      <c r="P51" s="499"/>
      <c r="Q51" s="539">
        <v>45875</v>
      </c>
      <c r="R51" s="148">
        <f t="shared" si="2"/>
        <v>1</v>
      </c>
      <c r="S51" s="101" t="s">
        <v>4</v>
      </c>
      <c r="T51" s="167"/>
    </row>
    <row r="52" spans="1:20" ht="57.6" x14ac:dyDescent="0.3">
      <c r="A52" s="98">
        <f t="shared" si="3"/>
        <v>49</v>
      </c>
      <c r="B52" s="491">
        <v>1550</v>
      </c>
      <c r="C52" s="492">
        <v>45875</v>
      </c>
      <c r="D52" s="543">
        <v>119203766</v>
      </c>
      <c r="E52" s="260" t="s">
        <v>4045</v>
      </c>
      <c r="F52" s="101" t="s">
        <v>1</v>
      </c>
      <c r="G52" s="221" t="s">
        <v>8</v>
      </c>
      <c r="H52" s="493">
        <v>45875</v>
      </c>
      <c r="I52" s="25"/>
      <c r="J52" s="737" t="s">
        <v>2367</v>
      </c>
      <c r="K52" s="494"/>
      <c r="L52" s="495"/>
      <c r="M52" s="496"/>
      <c r="N52" s="497"/>
      <c r="O52" s="498"/>
      <c r="P52" s="499"/>
      <c r="Q52" s="539">
        <v>45877</v>
      </c>
      <c r="R52" s="148">
        <f t="shared" si="2"/>
        <v>1.0000435967302452</v>
      </c>
      <c r="S52" s="101" t="s">
        <v>3914</v>
      </c>
      <c r="T52" s="69"/>
    </row>
    <row r="53" spans="1:20" x14ac:dyDescent="0.3">
      <c r="A53" s="98">
        <f t="shared" si="3"/>
        <v>50</v>
      </c>
      <c r="B53" s="491" t="s">
        <v>80</v>
      </c>
      <c r="C53" s="492">
        <v>45875</v>
      </c>
      <c r="D53" s="543"/>
      <c r="E53" s="212" t="s">
        <v>4046</v>
      </c>
      <c r="F53" s="101" t="s">
        <v>31</v>
      </c>
      <c r="G53" s="221" t="s">
        <v>4</v>
      </c>
      <c r="H53" s="493">
        <v>45875</v>
      </c>
      <c r="I53" s="25"/>
      <c r="J53" s="100" t="s">
        <v>31</v>
      </c>
      <c r="K53" s="494"/>
      <c r="L53" s="495"/>
      <c r="M53" s="496"/>
      <c r="N53" s="497"/>
      <c r="O53" s="498"/>
      <c r="P53" s="499"/>
      <c r="Q53" s="501">
        <v>45876</v>
      </c>
      <c r="R53" s="148">
        <f t="shared" si="2"/>
        <v>1.0000217983651225</v>
      </c>
      <c r="S53" s="101" t="s">
        <v>4</v>
      </c>
      <c r="T53" s="69"/>
    </row>
    <row r="54" spans="1:20" ht="28.8" x14ac:dyDescent="0.3">
      <c r="A54" s="98">
        <f t="shared" si="3"/>
        <v>51</v>
      </c>
      <c r="B54" s="491">
        <v>1550</v>
      </c>
      <c r="C54" s="556">
        <v>45875</v>
      </c>
      <c r="D54" s="543">
        <v>77009959</v>
      </c>
      <c r="E54" s="661" t="s">
        <v>4047</v>
      </c>
      <c r="F54" s="101" t="s">
        <v>60</v>
      </c>
      <c r="G54" s="221" t="s">
        <v>4</v>
      </c>
      <c r="H54" s="493">
        <v>45875</v>
      </c>
      <c r="I54" s="25"/>
      <c r="J54" s="100" t="s">
        <v>266</v>
      </c>
      <c r="K54" s="494" t="s">
        <v>393</v>
      </c>
      <c r="L54" s="636"/>
      <c r="M54" s="496"/>
      <c r="N54" s="497"/>
      <c r="O54" s="498"/>
      <c r="P54" s="499"/>
      <c r="Q54" s="501">
        <v>45898</v>
      </c>
      <c r="R54" s="148">
        <f t="shared" si="2"/>
        <v>1.0005013623978201</v>
      </c>
      <c r="S54" s="101" t="s">
        <v>2979</v>
      </c>
      <c r="T54" s="69"/>
    </row>
    <row r="55" spans="1:20" ht="43.2" x14ac:dyDescent="0.3">
      <c r="A55" s="98">
        <f t="shared" si="3"/>
        <v>52</v>
      </c>
      <c r="B55" s="660">
        <v>1550</v>
      </c>
      <c r="C55" s="512">
        <v>45875</v>
      </c>
      <c r="D55" s="219">
        <v>12403725</v>
      </c>
      <c r="E55" s="175" t="s">
        <v>4048</v>
      </c>
      <c r="F55" s="385" t="s">
        <v>17</v>
      </c>
      <c r="G55" s="221" t="s">
        <v>8</v>
      </c>
      <c r="H55" s="493">
        <v>45875</v>
      </c>
      <c r="I55" s="655">
        <v>10000313924</v>
      </c>
      <c r="J55" s="732" t="s">
        <v>82</v>
      </c>
      <c r="K55" s="494"/>
      <c r="L55" s="495"/>
      <c r="M55" s="496"/>
      <c r="N55" s="497"/>
      <c r="O55" s="498"/>
      <c r="P55" s="499"/>
      <c r="Q55" s="539">
        <v>46008</v>
      </c>
      <c r="R55" s="148">
        <f t="shared" si="2"/>
        <v>1.0028991825613078</v>
      </c>
      <c r="S55" s="101" t="s">
        <v>3418</v>
      </c>
      <c r="T55" s="671" t="s">
        <v>4018</v>
      </c>
    </row>
    <row r="56" spans="1:20" ht="28.8" x14ac:dyDescent="0.3">
      <c r="A56" s="98">
        <f t="shared" si="3"/>
        <v>53</v>
      </c>
      <c r="B56" s="506">
        <v>1550</v>
      </c>
      <c r="C56" s="573">
        <v>45875</v>
      </c>
      <c r="D56" s="662">
        <v>118514733</v>
      </c>
      <c r="E56" s="212" t="s">
        <v>4049</v>
      </c>
      <c r="F56" s="101" t="s">
        <v>1</v>
      </c>
      <c r="G56" s="221" t="s">
        <v>4</v>
      </c>
      <c r="H56" s="493">
        <v>45875</v>
      </c>
      <c r="I56" s="25"/>
      <c r="J56" s="737" t="s">
        <v>4050</v>
      </c>
      <c r="K56" s="494"/>
      <c r="L56" s="495"/>
      <c r="M56" s="496"/>
      <c r="N56" s="497"/>
      <c r="O56" s="498"/>
      <c r="P56" s="499"/>
      <c r="Q56" s="501">
        <v>45881</v>
      </c>
      <c r="R56" s="148">
        <f t="shared" si="2"/>
        <v>1.0001307901907357</v>
      </c>
      <c r="S56" s="101" t="s">
        <v>720</v>
      </c>
      <c r="T56" s="69"/>
    </row>
    <row r="57" spans="1:20" ht="43.2" x14ac:dyDescent="0.3">
      <c r="A57" s="98">
        <f t="shared" si="3"/>
        <v>54</v>
      </c>
      <c r="B57" s="506" t="s">
        <v>80</v>
      </c>
      <c r="C57" s="492">
        <v>45875</v>
      </c>
      <c r="D57" s="543">
        <v>55646603</v>
      </c>
      <c r="E57" s="212" t="s">
        <v>4039</v>
      </c>
      <c r="F57" s="101" t="s">
        <v>48</v>
      </c>
      <c r="G57" s="221" t="s">
        <v>4</v>
      </c>
      <c r="H57" s="493">
        <v>45875</v>
      </c>
      <c r="I57" s="25"/>
      <c r="J57" s="727" t="s">
        <v>99</v>
      </c>
      <c r="K57" s="494"/>
      <c r="L57" s="495"/>
      <c r="M57" s="496"/>
      <c r="N57" s="497"/>
      <c r="O57" s="498"/>
      <c r="P57" s="499"/>
      <c r="Q57" s="501">
        <v>45888</v>
      </c>
      <c r="R57" s="148">
        <f t="shared" si="2"/>
        <v>1.0002833787465939</v>
      </c>
      <c r="S57" s="101" t="s">
        <v>3020</v>
      </c>
      <c r="T57" s="315" t="s">
        <v>4051</v>
      </c>
    </row>
    <row r="58" spans="1:20" ht="43.2" x14ac:dyDescent="0.3">
      <c r="A58" s="98">
        <f t="shared" si="3"/>
        <v>55</v>
      </c>
      <c r="B58" s="506">
        <v>1550</v>
      </c>
      <c r="C58" s="492">
        <v>45876</v>
      </c>
      <c r="D58" s="658">
        <v>94019460</v>
      </c>
      <c r="E58" s="212" t="s">
        <v>4010</v>
      </c>
      <c r="F58" s="101" t="s">
        <v>32</v>
      </c>
      <c r="G58" s="221" t="s">
        <v>6</v>
      </c>
      <c r="H58" s="493">
        <v>45876</v>
      </c>
      <c r="I58" s="25"/>
      <c r="J58" s="100" t="s">
        <v>106</v>
      </c>
      <c r="K58" s="494"/>
      <c r="L58" s="495"/>
      <c r="M58" s="496"/>
      <c r="N58" s="497"/>
      <c r="O58" s="498"/>
      <c r="P58" s="499"/>
      <c r="Q58" s="500">
        <v>45876</v>
      </c>
      <c r="R58" s="148">
        <f t="shared" si="2"/>
        <v>1</v>
      </c>
      <c r="S58" s="101" t="s">
        <v>3959</v>
      </c>
      <c r="T58" s="69"/>
    </row>
    <row r="59" spans="1:20" ht="43.2" x14ac:dyDescent="0.3">
      <c r="A59" s="98">
        <f t="shared" si="3"/>
        <v>56</v>
      </c>
      <c r="B59" s="506">
        <v>1550</v>
      </c>
      <c r="C59" s="492">
        <v>45876</v>
      </c>
      <c r="D59" s="658">
        <v>82013799</v>
      </c>
      <c r="E59" s="212" t="s">
        <v>4010</v>
      </c>
      <c r="F59" s="101" t="s">
        <v>32</v>
      </c>
      <c r="G59" s="221" t="s">
        <v>6</v>
      </c>
      <c r="H59" s="493">
        <v>45876</v>
      </c>
      <c r="I59" s="25"/>
      <c r="J59" s="100" t="s">
        <v>106</v>
      </c>
      <c r="K59" s="494"/>
      <c r="L59" s="495"/>
      <c r="M59" s="496"/>
      <c r="N59" s="497"/>
      <c r="O59" s="498"/>
      <c r="P59" s="499"/>
      <c r="Q59" s="539">
        <v>45876</v>
      </c>
      <c r="R59" s="148">
        <f t="shared" si="2"/>
        <v>1</v>
      </c>
      <c r="S59" s="101" t="s">
        <v>3905</v>
      </c>
      <c r="T59" s="167"/>
    </row>
    <row r="60" spans="1:20" ht="43.2" x14ac:dyDescent="0.3">
      <c r="A60" s="98">
        <f t="shared" si="3"/>
        <v>57</v>
      </c>
      <c r="B60" s="506">
        <v>1550</v>
      </c>
      <c r="C60" s="492">
        <v>45876</v>
      </c>
      <c r="D60" s="658">
        <v>42205700</v>
      </c>
      <c r="E60" s="212" t="s">
        <v>4010</v>
      </c>
      <c r="F60" s="101" t="s">
        <v>32</v>
      </c>
      <c r="G60" s="221" t="s">
        <v>6</v>
      </c>
      <c r="H60" s="493">
        <v>45876</v>
      </c>
      <c r="I60" s="25"/>
      <c r="J60" s="100" t="s">
        <v>106</v>
      </c>
      <c r="K60" s="494"/>
      <c r="L60" s="495"/>
      <c r="M60" s="496"/>
      <c r="N60" s="497"/>
      <c r="O60" s="498"/>
      <c r="P60" s="499"/>
      <c r="Q60" s="501">
        <v>45876</v>
      </c>
      <c r="R60" s="148">
        <f t="shared" si="2"/>
        <v>1</v>
      </c>
      <c r="S60" s="101" t="s">
        <v>3783</v>
      </c>
      <c r="T60" s="69"/>
    </row>
    <row r="61" spans="1:20" ht="43.2" x14ac:dyDescent="0.3">
      <c r="A61" s="98">
        <f t="shared" si="3"/>
        <v>58</v>
      </c>
      <c r="B61" s="506">
        <v>1550</v>
      </c>
      <c r="C61" s="492">
        <v>45876</v>
      </c>
      <c r="D61" s="658">
        <v>46853995</v>
      </c>
      <c r="E61" s="212" t="s">
        <v>4010</v>
      </c>
      <c r="F61" s="101" t="s">
        <v>32</v>
      </c>
      <c r="G61" s="221" t="s">
        <v>6</v>
      </c>
      <c r="H61" s="493">
        <v>45876</v>
      </c>
      <c r="I61" s="25"/>
      <c r="J61" s="100" t="s">
        <v>106</v>
      </c>
      <c r="K61" s="494"/>
      <c r="L61" s="495"/>
      <c r="M61" s="496"/>
      <c r="N61" s="497"/>
      <c r="O61" s="498"/>
      <c r="P61" s="499"/>
      <c r="Q61" s="501">
        <v>45876</v>
      </c>
      <c r="R61" s="148">
        <f t="shared" si="2"/>
        <v>1</v>
      </c>
      <c r="S61" s="101" t="s">
        <v>1893</v>
      </c>
      <c r="T61" s="69"/>
    </row>
    <row r="62" spans="1:20" ht="43.2" x14ac:dyDescent="0.3">
      <c r="A62" s="98">
        <f t="shared" si="3"/>
        <v>59</v>
      </c>
      <c r="B62" s="506">
        <v>1550</v>
      </c>
      <c r="C62" s="492">
        <v>45876</v>
      </c>
      <c r="D62" s="761">
        <v>29515300</v>
      </c>
      <c r="E62" s="212" t="s">
        <v>4010</v>
      </c>
      <c r="F62" s="101" t="s">
        <v>32</v>
      </c>
      <c r="G62" s="221" t="s">
        <v>6</v>
      </c>
      <c r="H62" s="493">
        <v>45876</v>
      </c>
      <c r="I62" s="25"/>
      <c r="J62" s="100" t="s">
        <v>106</v>
      </c>
      <c r="K62" s="494"/>
      <c r="L62" s="495"/>
      <c r="M62" s="496"/>
      <c r="N62" s="497"/>
      <c r="O62" s="498"/>
      <c r="P62" s="499"/>
      <c r="Q62" s="501">
        <v>45876</v>
      </c>
      <c r="R62" s="148">
        <f t="shared" si="2"/>
        <v>1</v>
      </c>
      <c r="S62" s="101" t="s">
        <v>1893</v>
      </c>
      <c r="T62" s="167"/>
    </row>
    <row r="63" spans="1:20" ht="43.2" x14ac:dyDescent="0.3">
      <c r="A63" s="98">
        <f t="shared" si="3"/>
        <v>60</v>
      </c>
      <c r="B63" s="506">
        <v>1550</v>
      </c>
      <c r="C63" s="492">
        <v>45876</v>
      </c>
      <c r="D63" s="543">
        <v>5130921</v>
      </c>
      <c r="E63" s="212" t="s">
        <v>4010</v>
      </c>
      <c r="F63" s="101" t="s">
        <v>32</v>
      </c>
      <c r="G63" s="221" t="s">
        <v>6</v>
      </c>
      <c r="H63" s="493">
        <v>45876</v>
      </c>
      <c r="I63" s="25"/>
      <c r="J63" s="100" t="s">
        <v>106</v>
      </c>
      <c r="K63" s="494"/>
      <c r="L63" s="495"/>
      <c r="M63" s="496"/>
      <c r="N63" s="497"/>
      <c r="O63" s="498"/>
      <c r="P63" s="499"/>
      <c r="Q63" s="501">
        <v>45876</v>
      </c>
      <c r="R63" s="148">
        <f t="shared" si="2"/>
        <v>1</v>
      </c>
      <c r="S63" s="101" t="s">
        <v>1893</v>
      </c>
      <c r="T63" s="57"/>
    </row>
    <row r="64" spans="1:20" ht="43.2" x14ac:dyDescent="0.3">
      <c r="A64" s="98">
        <f t="shared" si="3"/>
        <v>61</v>
      </c>
      <c r="B64" s="506">
        <v>1550</v>
      </c>
      <c r="C64" s="492">
        <v>45876</v>
      </c>
      <c r="D64" s="543">
        <v>68862563</v>
      </c>
      <c r="E64" s="212" t="s">
        <v>4010</v>
      </c>
      <c r="F64" s="101" t="s">
        <v>32</v>
      </c>
      <c r="G64" s="221" t="s">
        <v>6</v>
      </c>
      <c r="H64" s="493">
        <v>45876</v>
      </c>
      <c r="I64" s="25"/>
      <c r="J64" s="100" t="s">
        <v>106</v>
      </c>
      <c r="K64" s="494"/>
      <c r="L64" s="495"/>
      <c r="M64" s="496"/>
      <c r="N64" s="497"/>
      <c r="O64" s="498"/>
      <c r="P64" s="499"/>
      <c r="Q64" s="501">
        <v>45876</v>
      </c>
      <c r="R64" s="148">
        <f t="shared" si="2"/>
        <v>1</v>
      </c>
      <c r="S64" s="101" t="s">
        <v>3959</v>
      </c>
      <c r="T64" s="69"/>
    </row>
    <row r="65" spans="1:20" ht="43.2" x14ac:dyDescent="0.3">
      <c r="A65" s="98">
        <f t="shared" si="3"/>
        <v>62</v>
      </c>
      <c r="B65" s="506">
        <v>1550</v>
      </c>
      <c r="C65" s="492">
        <v>45876</v>
      </c>
      <c r="D65" s="543">
        <v>6129943</v>
      </c>
      <c r="E65" s="212" t="s">
        <v>4010</v>
      </c>
      <c r="F65" s="101" t="s">
        <v>32</v>
      </c>
      <c r="G65" s="221" t="s">
        <v>6</v>
      </c>
      <c r="H65" s="493">
        <v>45876</v>
      </c>
      <c r="I65" s="25"/>
      <c r="J65" s="100" t="s">
        <v>106</v>
      </c>
      <c r="K65" s="494"/>
      <c r="L65" s="495"/>
      <c r="M65" s="496"/>
      <c r="N65" s="497"/>
      <c r="O65" s="498"/>
      <c r="P65" s="499"/>
      <c r="Q65" s="501">
        <v>45876</v>
      </c>
      <c r="R65" s="148">
        <f t="shared" si="2"/>
        <v>1</v>
      </c>
      <c r="S65" s="101" t="s">
        <v>1934</v>
      </c>
      <c r="T65" s="69"/>
    </row>
    <row r="66" spans="1:20" ht="43.2" x14ac:dyDescent="0.3">
      <c r="A66" s="98">
        <f t="shared" si="3"/>
        <v>63</v>
      </c>
      <c r="B66" s="506">
        <v>1550</v>
      </c>
      <c r="C66" s="556">
        <v>45876</v>
      </c>
      <c r="D66" s="760">
        <v>33853231</v>
      </c>
      <c r="E66" s="661" t="s">
        <v>4010</v>
      </c>
      <c r="F66" s="101" t="s">
        <v>32</v>
      </c>
      <c r="G66" s="221" t="s">
        <v>6</v>
      </c>
      <c r="H66" s="493">
        <v>45876</v>
      </c>
      <c r="I66" s="25"/>
      <c r="J66" s="100" t="s">
        <v>106</v>
      </c>
      <c r="K66" s="494"/>
      <c r="L66" s="495"/>
      <c r="M66" s="496"/>
      <c r="N66" s="497"/>
      <c r="O66" s="498"/>
      <c r="P66" s="499"/>
      <c r="Q66" s="501">
        <v>45876</v>
      </c>
      <c r="R66" s="148">
        <f t="shared" si="2"/>
        <v>1</v>
      </c>
      <c r="S66" s="101" t="s">
        <v>2808</v>
      </c>
      <c r="T66" s="69"/>
    </row>
    <row r="67" spans="1:20" ht="43.2" x14ac:dyDescent="0.3">
      <c r="A67" s="98">
        <f t="shared" si="3"/>
        <v>64</v>
      </c>
      <c r="B67" s="506">
        <v>1550</v>
      </c>
      <c r="C67" s="512">
        <v>45876</v>
      </c>
      <c r="D67" s="659">
        <v>38847310</v>
      </c>
      <c r="E67" s="175" t="s">
        <v>4010</v>
      </c>
      <c r="F67" s="101" t="s">
        <v>32</v>
      </c>
      <c r="G67" s="221" t="s">
        <v>6</v>
      </c>
      <c r="H67" s="493">
        <v>45876</v>
      </c>
      <c r="I67" s="25"/>
      <c r="J67" s="100" t="s">
        <v>106</v>
      </c>
      <c r="K67" s="494"/>
      <c r="L67" s="495"/>
      <c r="M67" s="496"/>
      <c r="N67" s="497"/>
      <c r="O67" s="498"/>
      <c r="P67" s="499"/>
      <c r="Q67" s="501">
        <v>45876</v>
      </c>
      <c r="R67" s="148">
        <f t="shared" si="2"/>
        <v>1</v>
      </c>
      <c r="S67" s="101" t="s">
        <v>2808</v>
      </c>
      <c r="T67" s="167"/>
    </row>
    <row r="68" spans="1:20" ht="43.2" x14ac:dyDescent="0.3">
      <c r="A68" s="98">
        <f t="shared" si="3"/>
        <v>65</v>
      </c>
      <c r="B68" s="506">
        <v>1550</v>
      </c>
      <c r="C68" s="512">
        <v>45876</v>
      </c>
      <c r="D68" s="219">
        <v>38475073</v>
      </c>
      <c r="E68" s="175" t="s">
        <v>4010</v>
      </c>
      <c r="F68" s="101" t="s">
        <v>32</v>
      </c>
      <c r="G68" s="221" t="s">
        <v>6</v>
      </c>
      <c r="H68" s="493">
        <v>45876</v>
      </c>
      <c r="I68" s="25"/>
      <c r="J68" s="100" t="s">
        <v>106</v>
      </c>
      <c r="K68" s="494"/>
      <c r="L68" s="495"/>
      <c r="M68" s="496"/>
      <c r="N68" s="497"/>
      <c r="O68" s="498"/>
      <c r="P68" s="499"/>
      <c r="Q68" s="501">
        <v>45876</v>
      </c>
      <c r="R68" s="148">
        <f t="shared" ref="R68:R99" si="4">Q68/H68</f>
        <v>1</v>
      </c>
      <c r="S68" s="101" t="s">
        <v>1860</v>
      </c>
      <c r="T68" s="167"/>
    </row>
    <row r="69" spans="1:20" ht="43.2" x14ac:dyDescent="0.3">
      <c r="A69" s="98">
        <f t="shared" ref="A69:A77" si="5">A68+1</f>
        <v>66</v>
      </c>
      <c r="B69" s="506">
        <v>1550</v>
      </c>
      <c r="C69" s="512">
        <v>45876</v>
      </c>
      <c r="D69" s="36">
        <v>118419935</v>
      </c>
      <c r="E69" s="175" t="s">
        <v>4010</v>
      </c>
      <c r="F69" s="101" t="s">
        <v>32</v>
      </c>
      <c r="G69" s="112" t="s">
        <v>4</v>
      </c>
      <c r="H69" s="493">
        <v>45876</v>
      </c>
      <c r="I69" s="25"/>
      <c r="J69" s="100" t="s">
        <v>106</v>
      </c>
      <c r="K69" s="494"/>
      <c r="L69" s="495"/>
      <c r="M69" s="496"/>
      <c r="N69" s="497"/>
      <c r="O69" s="498"/>
      <c r="P69" s="499"/>
      <c r="Q69" s="501">
        <v>45876</v>
      </c>
      <c r="R69" s="148">
        <f t="shared" si="4"/>
        <v>1</v>
      </c>
      <c r="S69" s="101"/>
      <c r="T69" s="167"/>
    </row>
    <row r="70" spans="1:20" ht="43.2" x14ac:dyDescent="0.3">
      <c r="A70" s="98">
        <f t="shared" si="5"/>
        <v>67</v>
      </c>
      <c r="B70" s="660" t="s">
        <v>80</v>
      </c>
      <c r="C70" s="512">
        <v>45876</v>
      </c>
      <c r="D70" s="219">
        <v>24229261</v>
      </c>
      <c r="E70" s="175" t="s">
        <v>4052</v>
      </c>
      <c r="F70" s="386" t="s">
        <v>1</v>
      </c>
      <c r="G70" s="112" t="s">
        <v>4</v>
      </c>
      <c r="H70" s="493">
        <v>45876</v>
      </c>
      <c r="I70" s="25"/>
      <c r="J70" s="741" t="s">
        <v>99</v>
      </c>
      <c r="K70" s="494"/>
      <c r="L70" s="495"/>
      <c r="M70" s="496"/>
      <c r="N70" s="497"/>
      <c r="O70" s="498"/>
      <c r="P70" s="499"/>
      <c r="Q70" s="501">
        <v>45888</v>
      </c>
      <c r="R70" s="148">
        <f t="shared" si="4"/>
        <v>1.0002615746795711</v>
      </c>
      <c r="S70" s="101" t="s">
        <v>3020</v>
      </c>
      <c r="T70" s="315" t="s">
        <v>4051</v>
      </c>
    </row>
    <row r="71" spans="1:20" ht="43.2" x14ac:dyDescent="0.3">
      <c r="A71" s="98">
        <f t="shared" si="5"/>
        <v>68</v>
      </c>
      <c r="B71" s="506" t="s">
        <v>80</v>
      </c>
      <c r="C71" s="573">
        <v>45876</v>
      </c>
      <c r="D71" s="662">
        <v>103276831</v>
      </c>
      <c r="E71" s="212" t="s">
        <v>4053</v>
      </c>
      <c r="F71" s="386" t="s">
        <v>1</v>
      </c>
      <c r="G71" s="112" t="s">
        <v>4</v>
      </c>
      <c r="H71" s="493">
        <v>45876</v>
      </c>
      <c r="I71" s="341"/>
      <c r="J71" s="741" t="s">
        <v>99</v>
      </c>
      <c r="K71" s="494"/>
      <c r="L71" s="495"/>
      <c r="M71" s="496"/>
      <c r="N71" s="497"/>
      <c r="O71" s="498"/>
      <c r="P71" s="499"/>
      <c r="Q71" s="501">
        <v>45882</v>
      </c>
      <c r="R71" s="148">
        <f t="shared" si="4"/>
        <v>1.0001307873397856</v>
      </c>
      <c r="S71" s="101" t="s">
        <v>3020</v>
      </c>
      <c r="T71" s="69"/>
    </row>
    <row r="72" spans="1:20" ht="43.2" x14ac:dyDescent="0.3">
      <c r="A72" s="98">
        <f t="shared" si="5"/>
        <v>69</v>
      </c>
      <c r="B72" s="506">
        <v>1550</v>
      </c>
      <c r="C72" s="492">
        <v>45876</v>
      </c>
      <c r="D72" s="543">
        <v>26889315</v>
      </c>
      <c r="E72" s="212" t="s">
        <v>4054</v>
      </c>
      <c r="F72" s="386" t="s">
        <v>1</v>
      </c>
      <c r="G72" s="112" t="s">
        <v>4</v>
      </c>
      <c r="H72" s="493">
        <v>45876</v>
      </c>
      <c r="I72" s="341"/>
      <c r="J72" s="741" t="s">
        <v>99</v>
      </c>
      <c r="K72" s="494"/>
      <c r="L72" s="495"/>
      <c r="M72" s="496"/>
      <c r="N72" s="497"/>
      <c r="O72" s="498"/>
      <c r="P72" s="499"/>
      <c r="Q72" s="501">
        <v>45880</v>
      </c>
      <c r="R72" s="148">
        <f t="shared" si="4"/>
        <v>1.000087191559857</v>
      </c>
      <c r="S72" s="101" t="s">
        <v>720</v>
      </c>
      <c r="T72" s="69"/>
    </row>
    <row r="73" spans="1:20" ht="43.2" x14ac:dyDescent="0.3">
      <c r="A73" s="98">
        <f t="shared" si="5"/>
        <v>70</v>
      </c>
      <c r="B73" s="506">
        <v>1550</v>
      </c>
      <c r="C73" s="512">
        <v>45876</v>
      </c>
      <c r="D73" s="36">
        <v>61458228</v>
      </c>
      <c r="E73" s="175" t="s">
        <v>4010</v>
      </c>
      <c r="F73" s="386" t="s">
        <v>32</v>
      </c>
      <c r="G73" s="112" t="s">
        <v>4</v>
      </c>
      <c r="H73" s="493">
        <v>45876</v>
      </c>
      <c r="I73" s="341"/>
      <c r="J73" s="100" t="s">
        <v>106</v>
      </c>
      <c r="K73" s="494"/>
      <c r="L73" s="495"/>
      <c r="M73" s="496"/>
      <c r="N73" s="497"/>
      <c r="O73" s="498"/>
      <c r="P73" s="499"/>
      <c r="Q73" s="501">
        <v>45876</v>
      </c>
      <c r="R73" s="148">
        <f t="shared" si="4"/>
        <v>1</v>
      </c>
      <c r="S73" s="101"/>
      <c r="T73" s="167"/>
    </row>
    <row r="74" spans="1:20" ht="43.2" x14ac:dyDescent="0.3">
      <c r="A74" s="98">
        <f t="shared" si="5"/>
        <v>71</v>
      </c>
      <c r="B74" s="506">
        <v>1550</v>
      </c>
      <c r="C74" s="512">
        <v>45876</v>
      </c>
      <c r="D74" s="36">
        <v>6894623</v>
      </c>
      <c r="E74" s="175" t="s">
        <v>4010</v>
      </c>
      <c r="F74" s="386" t="s">
        <v>32</v>
      </c>
      <c r="G74" s="112" t="s">
        <v>4</v>
      </c>
      <c r="H74" s="493">
        <v>45876</v>
      </c>
      <c r="I74" s="341"/>
      <c r="J74" s="100" t="s">
        <v>106</v>
      </c>
      <c r="K74" s="494"/>
      <c r="L74" s="495"/>
      <c r="M74" s="496"/>
      <c r="N74" s="497"/>
      <c r="O74" s="498"/>
      <c r="P74" s="499"/>
      <c r="Q74" s="501">
        <v>45876</v>
      </c>
      <c r="R74" s="148">
        <f t="shared" si="4"/>
        <v>1</v>
      </c>
      <c r="S74" s="101"/>
      <c r="T74" s="69"/>
    </row>
    <row r="75" spans="1:20" ht="43.2" x14ac:dyDescent="0.3">
      <c r="A75" s="98">
        <f t="shared" si="5"/>
        <v>72</v>
      </c>
      <c r="B75" s="506">
        <v>1550</v>
      </c>
      <c r="C75" s="512">
        <v>45876</v>
      </c>
      <c r="D75" s="36">
        <v>78792096</v>
      </c>
      <c r="E75" s="175" t="s">
        <v>4010</v>
      </c>
      <c r="F75" s="386" t="s">
        <v>32</v>
      </c>
      <c r="G75" s="112" t="s">
        <v>4</v>
      </c>
      <c r="H75" s="493">
        <v>45876</v>
      </c>
      <c r="I75" s="341"/>
      <c r="J75" s="100" t="s">
        <v>106</v>
      </c>
      <c r="K75" s="494"/>
      <c r="L75" s="495"/>
      <c r="M75" s="496"/>
      <c r="N75" s="497"/>
      <c r="O75" s="498"/>
      <c r="P75" s="499"/>
      <c r="Q75" s="501">
        <v>45876</v>
      </c>
      <c r="R75" s="148">
        <f t="shared" si="4"/>
        <v>1</v>
      </c>
      <c r="S75" s="101"/>
      <c r="T75" s="69"/>
    </row>
    <row r="76" spans="1:20" ht="43.2" x14ac:dyDescent="0.3">
      <c r="A76" s="98">
        <f t="shared" si="5"/>
        <v>73</v>
      </c>
      <c r="B76" s="506">
        <v>1550</v>
      </c>
      <c r="C76" s="512">
        <v>45876</v>
      </c>
      <c r="D76" s="36">
        <v>112685242</v>
      </c>
      <c r="E76" s="175" t="s">
        <v>4010</v>
      </c>
      <c r="F76" s="386" t="s">
        <v>32</v>
      </c>
      <c r="G76" s="112" t="s">
        <v>4</v>
      </c>
      <c r="H76" s="493">
        <v>45876</v>
      </c>
      <c r="I76" s="341"/>
      <c r="J76" s="100" t="s">
        <v>106</v>
      </c>
      <c r="K76" s="507"/>
      <c r="L76" s="508"/>
      <c r="M76" s="365"/>
      <c r="N76" s="509"/>
      <c r="O76" s="510"/>
      <c r="P76" s="511"/>
      <c r="Q76" s="501">
        <v>45876</v>
      </c>
      <c r="R76" s="148">
        <f t="shared" si="4"/>
        <v>1</v>
      </c>
      <c r="S76" s="101"/>
      <c r="T76" s="167"/>
    </row>
    <row r="77" spans="1:20" ht="43.2" x14ac:dyDescent="0.3">
      <c r="A77" s="98">
        <f t="shared" si="5"/>
        <v>74</v>
      </c>
      <c r="B77" s="506">
        <v>1550</v>
      </c>
      <c r="C77" s="512">
        <v>45876</v>
      </c>
      <c r="D77" s="663">
        <v>1140469</v>
      </c>
      <c r="E77" s="175" t="s">
        <v>4010</v>
      </c>
      <c r="F77" s="386" t="s">
        <v>32</v>
      </c>
      <c r="G77" s="112" t="s">
        <v>4</v>
      </c>
      <c r="H77" s="493">
        <v>45876</v>
      </c>
      <c r="I77" s="341"/>
      <c r="J77" s="100" t="s">
        <v>106</v>
      </c>
      <c r="K77" s="494"/>
      <c r="L77" s="495"/>
      <c r="M77" s="496"/>
      <c r="N77" s="497"/>
      <c r="O77" s="498"/>
      <c r="P77" s="499"/>
      <c r="Q77" s="501">
        <v>45876</v>
      </c>
      <c r="R77" s="148">
        <f t="shared" si="4"/>
        <v>1</v>
      </c>
      <c r="S77" s="101"/>
      <c r="T77" s="69"/>
    </row>
    <row r="78" spans="1:20" ht="43.2" x14ac:dyDescent="0.3">
      <c r="A78" s="98">
        <f ca="1">A87+1</f>
        <v>77</v>
      </c>
      <c r="B78" s="506">
        <v>1550</v>
      </c>
      <c r="C78" s="512">
        <v>45876</v>
      </c>
      <c r="D78" s="36">
        <v>12049185</v>
      </c>
      <c r="E78" s="175" t="s">
        <v>4010</v>
      </c>
      <c r="F78" s="386" t="s">
        <v>32</v>
      </c>
      <c r="G78" s="112" t="s">
        <v>4</v>
      </c>
      <c r="H78" s="493">
        <v>45876</v>
      </c>
      <c r="I78" s="341"/>
      <c r="J78" s="100" t="s">
        <v>106</v>
      </c>
      <c r="K78" s="494"/>
      <c r="L78" s="495"/>
      <c r="M78" s="496"/>
      <c r="N78" s="497"/>
      <c r="O78" s="498"/>
      <c r="P78" s="499"/>
      <c r="Q78" s="501">
        <v>45876</v>
      </c>
      <c r="R78" s="148">
        <f t="shared" si="4"/>
        <v>1</v>
      </c>
      <c r="S78" s="101"/>
      <c r="T78" s="69"/>
    </row>
    <row r="79" spans="1:20" ht="43.2" x14ac:dyDescent="0.3">
      <c r="A79" s="98">
        <f t="shared" ref="A79:A87" ca="1" si="6">A78+1</f>
        <v>78</v>
      </c>
      <c r="B79" s="506">
        <v>1550</v>
      </c>
      <c r="C79" s="512">
        <v>45876</v>
      </c>
      <c r="D79" s="36">
        <v>76273083</v>
      </c>
      <c r="E79" s="175" t="s">
        <v>4010</v>
      </c>
      <c r="F79" s="386" t="s">
        <v>32</v>
      </c>
      <c r="G79" s="112" t="s">
        <v>4</v>
      </c>
      <c r="H79" s="493">
        <v>45876</v>
      </c>
      <c r="I79" s="341"/>
      <c r="J79" s="100" t="s">
        <v>106</v>
      </c>
      <c r="K79" s="494"/>
      <c r="L79" s="495"/>
      <c r="M79" s="496"/>
      <c r="N79" s="497"/>
      <c r="O79" s="498"/>
      <c r="P79" s="499"/>
      <c r="Q79" s="501">
        <v>45876</v>
      </c>
      <c r="R79" s="148">
        <f t="shared" si="4"/>
        <v>1</v>
      </c>
      <c r="S79" s="101"/>
      <c r="T79" s="69"/>
    </row>
    <row r="80" spans="1:20" ht="43.2" x14ac:dyDescent="0.3">
      <c r="A80" s="98">
        <f t="shared" ca="1" si="6"/>
        <v>82</v>
      </c>
      <c r="B80" s="491">
        <v>1550</v>
      </c>
      <c r="C80" s="512">
        <v>45876</v>
      </c>
      <c r="D80" s="219">
        <v>1444980</v>
      </c>
      <c r="E80" s="175" t="s">
        <v>4010</v>
      </c>
      <c r="F80" s="386" t="s">
        <v>32</v>
      </c>
      <c r="G80" s="112" t="s">
        <v>4</v>
      </c>
      <c r="H80" s="493">
        <v>45876</v>
      </c>
      <c r="I80" s="341"/>
      <c r="J80" s="100" t="s">
        <v>106</v>
      </c>
      <c r="K80" s="494" t="s">
        <v>393</v>
      </c>
      <c r="L80" s="495"/>
      <c r="M80" s="496"/>
      <c r="N80" s="497"/>
      <c r="O80" s="498"/>
      <c r="P80" s="499"/>
      <c r="Q80" s="500">
        <v>45877</v>
      </c>
      <c r="R80" s="148">
        <f t="shared" si="4"/>
        <v>1.0000217978899641</v>
      </c>
      <c r="S80" s="101" t="s">
        <v>2974</v>
      </c>
      <c r="T80" s="69"/>
    </row>
    <row r="81" spans="1:20" ht="43.2" x14ac:dyDescent="0.3">
      <c r="A81" s="98">
        <f t="shared" ca="1" si="6"/>
        <v>79</v>
      </c>
      <c r="B81" s="553">
        <v>1550</v>
      </c>
      <c r="C81" s="512">
        <v>45876</v>
      </c>
      <c r="D81" s="36">
        <v>6888909</v>
      </c>
      <c r="E81" s="212" t="s">
        <v>4055</v>
      </c>
      <c r="F81" s="101" t="s">
        <v>12</v>
      </c>
      <c r="G81" s="112" t="s">
        <v>4</v>
      </c>
      <c r="H81" s="493">
        <v>45876</v>
      </c>
      <c r="I81" s="555"/>
      <c r="J81" s="732" t="s">
        <v>159</v>
      </c>
      <c r="K81" s="494"/>
      <c r="L81" s="495"/>
      <c r="M81" s="496"/>
      <c r="N81" s="497"/>
      <c r="O81" s="498"/>
      <c r="P81" s="499"/>
      <c r="Q81" s="501">
        <v>45901</v>
      </c>
      <c r="R81" s="148">
        <f t="shared" si="4"/>
        <v>1.0005449472491064</v>
      </c>
      <c r="S81" s="101" t="s">
        <v>720</v>
      </c>
      <c r="T81" s="69"/>
    </row>
    <row r="82" spans="1:20" ht="43.2" x14ac:dyDescent="0.3">
      <c r="A82" s="98">
        <f t="shared" ca="1" si="6"/>
        <v>80</v>
      </c>
      <c r="B82" s="506">
        <v>1550</v>
      </c>
      <c r="C82" s="492">
        <v>45876</v>
      </c>
      <c r="D82" s="543">
        <v>1893009</v>
      </c>
      <c r="E82" s="212" t="s">
        <v>4056</v>
      </c>
      <c r="F82" s="385" t="s">
        <v>26</v>
      </c>
      <c r="G82" s="112" t="s">
        <v>4</v>
      </c>
      <c r="H82" s="493">
        <v>45876</v>
      </c>
      <c r="I82" s="517"/>
      <c r="J82" s="738" t="s">
        <v>2367</v>
      </c>
      <c r="K82" s="507"/>
      <c r="L82" s="508"/>
      <c r="M82" s="365"/>
      <c r="N82" s="509"/>
      <c r="O82" s="510"/>
      <c r="P82" s="511"/>
      <c r="Q82" s="501">
        <v>45909</v>
      </c>
      <c r="R82" s="148">
        <f t="shared" si="4"/>
        <v>1.0007193303688202</v>
      </c>
      <c r="S82" s="101" t="s">
        <v>2970</v>
      </c>
      <c r="T82" s="167"/>
    </row>
    <row r="83" spans="1:20" ht="28.8" x14ac:dyDescent="0.3">
      <c r="A83" s="98">
        <f t="shared" ca="1" si="6"/>
        <v>81</v>
      </c>
      <c r="B83" s="491">
        <v>1550</v>
      </c>
      <c r="C83" s="492">
        <v>45876</v>
      </c>
      <c r="D83" s="543">
        <v>4677390</v>
      </c>
      <c r="E83" s="212" t="s">
        <v>4057</v>
      </c>
      <c r="F83" s="101" t="s">
        <v>1</v>
      </c>
      <c r="G83" s="112" t="s">
        <v>4</v>
      </c>
      <c r="H83" s="493">
        <v>45876</v>
      </c>
      <c r="I83" s="25"/>
      <c r="J83" s="737" t="s">
        <v>3180</v>
      </c>
      <c r="K83" s="494"/>
      <c r="L83" s="495"/>
      <c r="M83" s="496"/>
      <c r="N83" s="497"/>
      <c r="O83" s="498"/>
      <c r="P83" s="499"/>
      <c r="Q83" s="500">
        <v>45876</v>
      </c>
      <c r="R83" s="148">
        <f t="shared" si="4"/>
        <v>1</v>
      </c>
      <c r="S83" s="101" t="s">
        <v>720</v>
      </c>
      <c r="T83" s="69"/>
    </row>
    <row r="84" spans="1:20" ht="57.6" x14ac:dyDescent="0.3">
      <c r="A84" s="98">
        <f t="shared" ca="1" si="6"/>
        <v>128</v>
      </c>
      <c r="B84" s="506">
        <v>1550</v>
      </c>
      <c r="C84" s="492">
        <v>45881</v>
      </c>
      <c r="D84" s="543">
        <v>95712437</v>
      </c>
      <c r="E84" s="175" t="s">
        <v>4058</v>
      </c>
      <c r="F84" s="101" t="s">
        <v>32</v>
      </c>
      <c r="G84" s="112" t="s">
        <v>8</v>
      </c>
      <c r="H84" s="493">
        <v>45881</v>
      </c>
      <c r="I84" s="25"/>
      <c r="J84" s="100" t="s">
        <v>106</v>
      </c>
      <c r="K84" s="494"/>
      <c r="L84" s="495"/>
      <c r="M84" s="496"/>
      <c r="N84" s="497"/>
      <c r="O84" s="498"/>
      <c r="P84" s="499"/>
      <c r="Q84" s="500">
        <v>45883</v>
      </c>
      <c r="R84" s="148">
        <f t="shared" si="4"/>
        <v>1.0000435910289662</v>
      </c>
      <c r="S84" s="387" t="s">
        <v>3146</v>
      </c>
      <c r="T84" s="121"/>
    </row>
    <row r="85" spans="1:20" ht="28.8" x14ac:dyDescent="0.3">
      <c r="A85" s="98">
        <f t="shared" ca="1" si="6"/>
        <v>83</v>
      </c>
      <c r="B85" s="491">
        <v>1550</v>
      </c>
      <c r="C85" s="556">
        <v>45876</v>
      </c>
      <c r="D85" s="543">
        <v>120522756</v>
      </c>
      <c r="E85" s="212" t="s">
        <v>4059</v>
      </c>
      <c r="F85" s="101" t="s">
        <v>1</v>
      </c>
      <c r="G85" s="112" t="s">
        <v>4</v>
      </c>
      <c r="H85" s="493">
        <v>45876</v>
      </c>
      <c r="I85" s="25"/>
      <c r="J85" s="737" t="s">
        <v>2992</v>
      </c>
      <c r="K85" s="494"/>
      <c r="L85" s="495"/>
      <c r="M85" s="496"/>
      <c r="N85" s="497"/>
      <c r="O85" s="498"/>
      <c r="P85" s="499"/>
      <c r="Q85" s="500">
        <v>45877</v>
      </c>
      <c r="R85" s="148">
        <f t="shared" si="4"/>
        <v>1.0000217978899641</v>
      </c>
      <c r="S85" s="101" t="s">
        <v>2979</v>
      </c>
      <c r="T85" s="69"/>
    </row>
    <row r="86" spans="1:20" ht="72" x14ac:dyDescent="0.3">
      <c r="A86" s="98">
        <f t="shared" ca="1" si="6"/>
        <v>84</v>
      </c>
      <c r="B86" s="491">
        <v>1550</v>
      </c>
      <c r="C86" s="492">
        <v>45876</v>
      </c>
      <c r="D86" s="543">
        <v>72421738</v>
      </c>
      <c r="E86" s="212" t="s">
        <v>4060</v>
      </c>
      <c r="F86" s="101" t="s">
        <v>1</v>
      </c>
      <c r="G86" s="112" t="s">
        <v>4</v>
      </c>
      <c r="H86" s="493">
        <v>45876</v>
      </c>
      <c r="I86" s="25"/>
      <c r="J86" s="741" t="s">
        <v>99</v>
      </c>
      <c r="K86" s="494"/>
      <c r="L86" s="495"/>
      <c r="M86" s="496"/>
      <c r="N86" s="497"/>
      <c r="O86" s="498"/>
      <c r="P86" s="499"/>
      <c r="Q86" s="500">
        <v>45889</v>
      </c>
      <c r="R86" s="148">
        <f t="shared" si="4"/>
        <v>1.0002833725695353</v>
      </c>
      <c r="S86" s="101" t="s">
        <v>3020</v>
      </c>
      <c r="T86" s="69"/>
    </row>
    <row r="87" spans="1:20" ht="129.6" x14ac:dyDescent="0.3">
      <c r="A87" s="98">
        <f t="shared" ca="1" si="6"/>
        <v>85</v>
      </c>
      <c r="B87" s="491">
        <v>1550</v>
      </c>
      <c r="C87" s="347">
        <v>45876</v>
      </c>
      <c r="D87" s="543">
        <v>88809587</v>
      </c>
      <c r="E87" s="212" t="s">
        <v>4061</v>
      </c>
      <c r="F87" s="386" t="s">
        <v>7</v>
      </c>
      <c r="G87" s="112" t="s">
        <v>6</v>
      </c>
      <c r="H87" s="493">
        <v>45877</v>
      </c>
      <c r="I87" s="341"/>
      <c r="J87" s="100" t="s">
        <v>2547</v>
      </c>
      <c r="K87" s="494"/>
      <c r="L87" s="495"/>
      <c r="M87" s="496"/>
      <c r="N87" s="497"/>
      <c r="O87" s="498"/>
      <c r="P87" s="499"/>
      <c r="Q87" s="501">
        <v>45883</v>
      </c>
      <c r="R87" s="148">
        <f t="shared" si="4"/>
        <v>1.0001307844889595</v>
      </c>
      <c r="S87" s="101" t="s">
        <v>2808</v>
      </c>
      <c r="T87" s="167"/>
    </row>
    <row r="88" spans="1:20" x14ac:dyDescent="0.3">
      <c r="A88" s="98">
        <f ca="1">A78+1</f>
        <v>76</v>
      </c>
      <c r="B88" s="491">
        <v>1550</v>
      </c>
      <c r="C88" s="347">
        <v>45877</v>
      </c>
      <c r="D88" s="543">
        <v>65089669</v>
      </c>
      <c r="E88" s="212" t="s">
        <v>4062</v>
      </c>
      <c r="F88" s="386" t="s">
        <v>31</v>
      </c>
      <c r="G88" s="112" t="s">
        <v>4</v>
      </c>
      <c r="H88" s="493">
        <v>45877</v>
      </c>
      <c r="I88" s="341">
        <v>10000310209</v>
      </c>
      <c r="J88" s="100" t="s">
        <v>135</v>
      </c>
      <c r="K88" s="494"/>
      <c r="L88" s="495"/>
      <c r="M88" s="496"/>
      <c r="N88" s="497"/>
      <c r="O88" s="498"/>
      <c r="P88" s="499"/>
      <c r="Q88" s="501">
        <v>45880</v>
      </c>
      <c r="R88" s="148">
        <f t="shared" si="4"/>
        <v>1.0000653922444798</v>
      </c>
      <c r="S88" s="101" t="s">
        <v>4063</v>
      </c>
      <c r="T88" s="69"/>
    </row>
    <row r="89" spans="1:20" ht="28.8" x14ac:dyDescent="0.3">
      <c r="A89" s="98">
        <f ca="1">A87+1</f>
        <v>86</v>
      </c>
      <c r="B89" s="491">
        <v>1550</v>
      </c>
      <c r="C89" s="502">
        <v>45877</v>
      </c>
      <c r="D89" s="543">
        <v>120597322</v>
      </c>
      <c r="E89" s="212" t="s">
        <v>4064</v>
      </c>
      <c r="F89" s="101" t="s">
        <v>1</v>
      </c>
      <c r="G89" s="112" t="s">
        <v>8</v>
      </c>
      <c r="H89" s="493">
        <v>45877</v>
      </c>
      <c r="I89" s="503"/>
      <c r="J89" s="737" t="s">
        <v>2352</v>
      </c>
      <c r="K89" s="494"/>
      <c r="L89" s="495"/>
      <c r="M89" s="496"/>
      <c r="N89" s="497"/>
      <c r="O89" s="498"/>
      <c r="P89" s="499"/>
      <c r="Q89" s="500">
        <v>45882</v>
      </c>
      <c r="R89" s="148">
        <f t="shared" si="4"/>
        <v>1.0001089870741331</v>
      </c>
      <c r="S89" s="101" t="s">
        <v>4026</v>
      </c>
      <c r="T89" s="69"/>
    </row>
    <row r="90" spans="1:20" ht="28.8" x14ac:dyDescent="0.3">
      <c r="A90" s="98">
        <f t="shared" ref="A90:A153" ca="1" si="7">A89+1</f>
        <v>87</v>
      </c>
      <c r="B90" s="491" t="s">
        <v>80</v>
      </c>
      <c r="C90" s="282">
        <v>45877</v>
      </c>
      <c r="D90" s="543">
        <v>120523388</v>
      </c>
      <c r="E90" s="212" t="s">
        <v>4065</v>
      </c>
      <c r="F90" s="101" t="s">
        <v>1</v>
      </c>
      <c r="G90" s="376" t="s">
        <v>4</v>
      </c>
      <c r="H90" s="493">
        <v>45877</v>
      </c>
      <c r="I90" s="341"/>
      <c r="J90" s="737" t="s">
        <v>4020</v>
      </c>
      <c r="K90" s="494"/>
      <c r="L90" s="495"/>
      <c r="M90" s="496"/>
      <c r="N90" s="497"/>
      <c r="O90" s="498"/>
      <c r="P90" s="499"/>
      <c r="Q90" s="500">
        <v>45880</v>
      </c>
      <c r="R90" s="148">
        <f t="shared" si="4"/>
        <v>1.0000653922444798</v>
      </c>
      <c r="S90" s="101" t="s">
        <v>3020</v>
      </c>
      <c r="T90" s="69"/>
    </row>
    <row r="91" spans="1:20" ht="43.2" x14ac:dyDescent="0.3">
      <c r="A91" s="98">
        <f t="shared" ca="1" si="7"/>
        <v>88</v>
      </c>
      <c r="B91" s="491" t="s">
        <v>80</v>
      </c>
      <c r="C91" s="282">
        <v>45877</v>
      </c>
      <c r="D91" s="815">
        <v>37404318</v>
      </c>
      <c r="E91" s="212" t="s">
        <v>4066</v>
      </c>
      <c r="F91" s="101" t="s">
        <v>12</v>
      </c>
      <c r="G91" s="376" t="s">
        <v>4</v>
      </c>
      <c r="H91" s="493">
        <v>45877</v>
      </c>
      <c r="I91" s="341"/>
      <c r="J91" s="732" t="s">
        <v>159</v>
      </c>
      <c r="K91" s="494"/>
      <c r="L91" s="495"/>
      <c r="M91" s="496"/>
      <c r="N91" s="497"/>
      <c r="O91" s="498"/>
      <c r="P91" s="499"/>
      <c r="Q91" s="500">
        <v>45887</v>
      </c>
      <c r="R91" s="148">
        <f t="shared" si="4"/>
        <v>1.000217974148266</v>
      </c>
      <c r="S91" s="101"/>
      <c r="T91" s="69"/>
    </row>
    <row r="92" spans="1:20" ht="43.2" x14ac:dyDescent="0.3">
      <c r="A92" s="98">
        <f t="shared" ca="1" si="7"/>
        <v>89</v>
      </c>
      <c r="B92" s="491" t="s">
        <v>80</v>
      </c>
      <c r="C92" s="282">
        <v>45877</v>
      </c>
      <c r="D92" s="815">
        <v>8493235</v>
      </c>
      <c r="E92" s="212" t="s">
        <v>4066</v>
      </c>
      <c r="F92" s="101" t="s">
        <v>12</v>
      </c>
      <c r="G92" s="376" t="s">
        <v>4</v>
      </c>
      <c r="H92" s="493">
        <v>45877</v>
      </c>
      <c r="I92" s="341"/>
      <c r="J92" s="732" t="s">
        <v>159</v>
      </c>
      <c r="K92" s="494"/>
      <c r="L92" s="495"/>
      <c r="M92" s="496"/>
      <c r="N92" s="497"/>
      <c r="O92" s="498"/>
      <c r="P92" s="499"/>
      <c r="Q92" s="500">
        <v>45887</v>
      </c>
      <c r="R92" s="148">
        <f t="shared" si="4"/>
        <v>1.000217974148266</v>
      </c>
      <c r="S92" s="101"/>
      <c r="T92" s="69"/>
    </row>
    <row r="93" spans="1:20" ht="28.8" x14ac:dyDescent="0.3">
      <c r="A93" s="98">
        <f t="shared" ca="1" si="7"/>
        <v>90</v>
      </c>
      <c r="B93" s="491">
        <v>1550</v>
      </c>
      <c r="C93" s="282">
        <v>45877</v>
      </c>
      <c r="D93" s="543">
        <v>50344390</v>
      </c>
      <c r="E93" s="212" t="s">
        <v>3345</v>
      </c>
      <c r="F93" s="386" t="s">
        <v>3</v>
      </c>
      <c r="G93" s="112" t="s">
        <v>4</v>
      </c>
      <c r="H93" s="493">
        <v>45877</v>
      </c>
      <c r="I93" s="341">
        <v>10000310273</v>
      </c>
      <c r="J93" s="732" t="s">
        <v>82</v>
      </c>
      <c r="K93" s="494"/>
      <c r="L93" s="495"/>
      <c r="M93" s="496"/>
      <c r="N93" s="497"/>
      <c r="O93" s="498"/>
      <c r="P93" s="499"/>
      <c r="Q93" s="501">
        <v>45880</v>
      </c>
      <c r="R93" s="148">
        <f t="shared" si="4"/>
        <v>1.0000653922444798</v>
      </c>
      <c r="S93" s="101" t="s">
        <v>720</v>
      </c>
      <c r="T93" s="69"/>
    </row>
    <row r="94" spans="1:20" ht="28.8" x14ac:dyDescent="0.3">
      <c r="A94" s="98">
        <f t="shared" ca="1" si="7"/>
        <v>91</v>
      </c>
      <c r="B94" s="491">
        <v>1550</v>
      </c>
      <c r="C94" s="282">
        <v>45877</v>
      </c>
      <c r="D94" s="543">
        <v>92738915</v>
      </c>
      <c r="E94" s="212" t="s">
        <v>4067</v>
      </c>
      <c r="F94" s="101" t="s">
        <v>1</v>
      </c>
      <c r="G94" s="376" t="s">
        <v>4</v>
      </c>
      <c r="H94" s="493">
        <v>45877</v>
      </c>
      <c r="I94" s="341"/>
      <c r="J94" s="737" t="s">
        <v>4050</v>
      </c>
      <c r="K94" s="494"/>
      <c r="L94" s="495"/>
      <c r="M94" s="496"/>
      <c r="N94" s="497"/>
      <c r="O94" s="498"/>
      <c r="P94" s="499"/>
      <c r="Q94" s="500">
        <v>45890</v>
      </c>
      <c r="R94" s="148">
        <f t="shared" si="4"/>
        <v>1.0002833663927457</v>
      </c>
      <c r="S94" s="101" t="s">
        <v>2979</v>
      </c>
      <c r="T94" s="69"/>
    </row>
    <row r="95" spans="1:20" ht="43.2" x14ac:dyDescent="0.3">
      <c r="A95" s="98">
        <f t="shared" ca="1" si="7"/>
        <v>92</v>
      </c>
      <c r="B95" s="491">
        <v>1550</v>
      </c>
      <c r="C95" s="502">
        <v>45877</v>
      </c>
      <c r="D95" s="543">
        <v>8240272</v>
      </c>
      <c r="E95" s="212" t="s">
        <v>4068</v>
      </c>
      <c r="F95" s="101" t="s">
        <v>49</v>
      </c>
      <c r="G95" s="112" t="s">
        <v>8</v>
      </c>
      <c r="H95" s="493">
        <v>45877</v>
      </c>
      <c r="I95" s="25"/>
      <c r="J95" s="732" t="s">
        <v>253</v>
      </c>
      <c r="K95" s="494"/>
      <c r="L95" s="495"/>
      <c r="M95" s="496"/>
      <c r="N95" s="497"/>
      <c r="O95" s="498"/>
      <c r="P95" s="499"/>
      <c r="Q95" s="500">
        <v>45891</v>
      </c>
      <c r="R95" s="148">
        <f t="shared" si="4"/>
        <v>1.0003051638075724</v>
      </c>
      <c r="S95" s="101" t="s">
        <v>3841</v>
      </c>
      <c r="T95" s="69"/>
    </row>
    <row r="96" spans="1:20" ht="28.8" x14ac:dyDescent="0.3">
      <c r="A96" s="98">
        <f t="shared" ca="1" si="7"/>
        <v>93</v>
      </c>
      <c r="B96" s="506">
        <v>1550</v>
      </c>
      <c r="C96" s="492">
        <v>45877</v>
      </c>
      <c r="D96" s="543">
        <v>46883045</v>
      </c>
      <c r="E96" s="212" t="s">
        <v>4069</v>
      </c>
      <c r="F96" s="101" t="s">
        <v>3</v>
      </c>
      <c r="G96" s="112" t="s">
        <v>4</v>
      </c>
      <c r="H96" s="493">
        <v>45877</v>
      </c>
      <c r="I96" s="25"/>
      <c r="J96" s="732" t="s">
        <v>82</v>
      </c>
      <c r="K96" s="494"/>
      <c r="L96" s="495"/>
      <c r="M96" s="496"/>
      <c r="N96" s="497"/>
      <c r="O96" s="498"/>
      <c r="P96" s="499"/>
      <c r="Q96" s="500">
        <v>45901</v>
      </c>
      <c r="R96" s="148">
        <f t="shared" si="4"/>
        <v>1.0005231379558384</v>
      </c>
      <c r="S96" s="101" t="s">
        <v>720</v>
      </c>
      <c r="T96" s="69"/>
    </row>
    <row r="97" spans="1:20" ht="43.2" x14ac:dyDescent="0.3">
      <c r="A97" s="98">
        <f t="shared" ca="1" si="7"/>
        <v>94</v>
      </c>
      <c r="B97" s="506">
        <v>1550</v>
      </c>
      <c r="C97" s="492">
        <v>45877</v>
      </c>
      <c r="D97" s="369"/>
      <c r="E97" s="212" t="s">
        <v>4070</v>
      </c>
      <c r="F97" s="101" t="s">
        <v>21</v>
      </c>
      <c r="G97" s="221" t="s">
        <v>8</v>
      </c>
      <c r="H97" s="493">
        <v>45877</v>
      </c>
      <c r="I97" s="25"/>
      <c r="J97" s="100" t="s">
        <v>2310</v>
      </c>
      <c r="K97" s="494"/>
      <c r="L97" s="495"/>
      <c r="M97" s="496"/>
      <c r="N97" s="497"/>
      <c r="O97" s="498"/>
      <c r="P97" s="499"/>
      <c r="Q97" s="500">
        <v>45877</v>
      </c>
      <c r="R97" s="148">
        <f t="shared" si="4"/>
        <v>1</v>
      </c>
      <c r="S97" s="101" t="s">
        <v>3952</v>
      </c>
      <c r="T97" s="69"/>
    </row>
    <row r="98" spans="1:20" ht="57.6" x14ac:dyDescent="0.3">
      <c r="A98" s="98">
        <f t="shared" ca="1" si="7"/>
        <v>95</v>
      </c>
      <c r="B98" s="506" t="s">
        <v>301</v>
      </c>
      <c r="C98" s="492">
        <v>45877</v>
      </c>
      <c r="D98" s="369">
        <v>106479474</v>
      </c>
      <c r="E98" s="212" t="s">
        <v>4071</v>
      </c>
      <c r="F98" s="101" t="s">
        <v>33</v>
      </c>
      <c r="G98" s="221" t="s">
        <v>6</v>
      </c>
      <c r="H98" s="493">
        <v>45877</v>
      </c>
      <c r="I98" s="25"/>
      <c r="J98" s="727" t="s">
        <v>99</v>
      </c>
      <c r="K98" s="507"/>
      <c r="L98" s="508"/>
      <c r="M98" s="365"/>
      <c r="N98" s="509"/>
      <c r="O98" s="510"/>
      <c r="P98" s="511"/>
      <c r="Q98" s="500">
        <v>45877</v>
      </c>
      <c r="R98" s="148">
        <f t="shared" si="4"/>
        <v>1</v>
      </c>
      <c r="S98" s="101" t="s">
        <v>1860</v>
      </c>
      <c r="T98" s="167"/>
    </row>
    <row r="99" spans="1:20" ht="57.6" x14ac:dyDescent="0.3">
      <c r="A99" s="98">
        <f t="shared" ca="1" si="7"/>
        <v>96</v>
      </c>
      <c r="B99" s="506">
        <v>1550</v>
      </c>
      <c r="C99" s="556">
        <v>45877</v>
      </c>
      <c r="D99" s="537"/>
      <c r="E99" s="661" t="s">
        <v>4072</v>
      </c>
      <c r="F99" s="420" t="s">
        <v>1314</v>
      </c>
      <c r="G99" s="221" t="s">
        <v>10</v>
      </c>
      <c r="H99" s="493">
        <v>45877</v>
      </c>
      <c r="I99" s="341"/>
      <c r="J99" s="727" t="s">
        <v>99</v>
      </c>
      <c r="K99" s="507"/>
      <c r="L99" s="508"/>
      <c r="M99" s="365"/>
      <c r="N99" s="509"/>
      <c r="O99" s="510"/>
      <c r="P99" s="511"/>
      <c r="Q99" s="500">
        <v>45880</v>
      </c>
      <c r="R99" s="148">
        <f t="shared" si="4"/>
        <v>1.0000653922444798</v>
      </c>
      <c r="S99" s="101" t="s">
        <v>2213</v>
      </c>
      <c r="T99" s="167"/>
    </row>
    <row r="100" spans="1:20" ht="129.6" x14ac:dyDescent="0.3">
      <c r="A100" s="98">
        <f t="shared" ca="1" si="7"/>
        <v>97</v>
      </c>
      <c r="B100" s="660" t="s">
        <v>301</v>
      </c>
      <c r="C100" s="512">
        <v>45877</v>
      </c>
      <c r="D100" s="219">
        <v>100596045</v>
      </c>
      <c r="E100" s="175" t="s">
        <v>4073</v>
      </c>
      <c r="F100" s="111" t="s">
        <v>39</v>
      </c>
      <c r="G100" s="221" t="s">
        <v>10</v>
      </c>
      <c r="H100" s="493">
        <v>45877</v>
      </c>
      <c r="I100" s="341"/>
      <c r="J100" s="100" t="s">
        <v>22</v>
      </c>
      <c r="K100" s="507"/>
      <c r="L100" s="508"/>
      <c r="M100" s="365"/>
      <c r="N100" s="509"/>
      <c r="O100" s="510"/>
      <c r="P100" s="511"/>
      <c r="Q100" s="500">
        <v>45881</v>
      </c>
      <c r="R100" s="148">
        <f t="shared" ref="R100:R131" si="8">Q100/H100</f>
        <v>1.0000871896593064</v>
      </c>
      <c r="S100" s="101" t="s">
        <v>1172</v>
      </c>
      <c r="T100" s="167"/>
    </row>
    <row r="101" spans="1:20" ht="43.2" x14ac:dyDescent="0.3">
      <c r="A101" s="98">
        <f t="shared" ca="1" si="7"/>
        <v>98</v>
      </c>
      <c r="B101" s="660" t="s">
        <v>80</v>
      </c>
      <c r="C101" s="512">
        <v>45880</v>
      </c>
      <c r="D101" s="36">
        <v>22882251</v>
      </c>
      <c r="E101" s="338" t="s">
        <v>4074</v>
      </c>
      <c r="F101" s="111" t="s">
        <v>1</v>
      </c>
      <c r="G101" s="221" t="s">
        <v>4</v>
      </c>
      <c r="H101" s="493">
        <v>45880</v>
      </c>
      <c r="I101" s="25"/>
      <c r="J101" s="741" t="s">
        <v>99</v>
      </c>
      <c r="K101" s="494"/>
      <c r="L101" s="495"/>
      <c r="M101" s="496"/>
      <c r="N101" s="497"/>
      <c r="O101" s="498"/>
      <c r="P101" s="499"/>
      <c r="Q101" s="500">
        <v>45889</v>
      </c>
      <c r="R101" s="148">
        <f t="shared" si="8"/>
        <v>1.0001961639058414</v>
      </c>
      <c r="S101" s="101" t="s">
        <v>720</v>
      </c>
      <c r="T101" s="69"/>
    </row>
    <row r="102" spans="1:20" ht="57.6" x14ac:dyDescent="0.3">
      <c r="A102" s="98">
        <f t="shared" ca="1" si="7"/>
        <v>99</v>
      </c>
      <c r="B102" s="660" t="s">
        <v>301</v>
      </c>
      <c r="C102" s="606">
        <v>45880</v>
      </c>
      <c r="D102" s="617"/>
      <c r="E102" s="294" t="s">
        <v>4075</v>
      </c>
      <c r="F102" s="111" t="s">
        <v>1314</v>
      </c>
      <c r="G102" s="221" t="s">
        <v>6</v>
      </c>
      <c r="H102" s="493">
        <v>45880</v>
      </c>
      <c r="I102" s="25"/>
      <c r="J102" s="727" t="s">
        <v>99</v>
      </c>
      <c r="K102" s="494"/>
      <c r="L102" s="495"/>
      <c r="M102" s="496"/>
      <c r="N102" s="497"/>
      <c r="O102" s="498"/>
      <c r="P102" s="499"/>
      <c r="Q102" s="500">
        <v>45880</v>
      </c>
      <c r="R102" s="148">
        <f t="shared" si="8"/>
        <v>1</v>
      </c>
      <c r="S102" s="101" t="s">
        <v>2808</v>
      </c>
      <c r="T102" s="69"/>
    </row>
    <row r="103" spans="1:20" ht="28.8" x14ac:dyDescent="0.3">
      <c r="A103" s="98">
        <f t="shared" ca="1" si="7"/>
        <v>100</v>
      </c>
      <c r="B103" s="660" t="s">
        <v>80</v>
      </c>
      <c r="C103" s="512">
        <v>45880</v>
      </c>
      <c r="D103" s="111">
        <v>5014484</v>
      </c>
      <c r="E103" s="175" t="s">
        <v>4076</v>
      </c>
      <c r="F103" s="401" t="s">
        <v>17</v>
      </c>
      <c r="G103" s="112" t="s">
        <v>4</v>
      </c>
      <c r="H103" s="493">
        <v>45880</v>
      </c>
      <c r="I103" s="341"/>
      <c r="J103" s="732" t="s">
        <v>82</v>
      </c>
      <c r="K103" s="494"/>
      <c r="L103" s="495"/>
      <c r="M103" s="496"/>
      <c r="N103" s="497"/>
      <c r="O103" s="498"/>
      <c r="P103" s="499"/>
      <c r="Q103" s="501">
        <v>45891</v>
      </c>
      <c r="R103" s="148">
        <f t="shared" si="8"/>
        <v>1.0002397558849172</v>
      </c>
      <c r="S103" s="101" t="s">
        <v>3020</v>
      </c>
      <c r="T103" s="69"/>
    </row>
    <row r="104" spans="1:20" ht="28.8" x14ac:dyDescent="0.3">
      <c r="A104" s="98">
        <f t="shared" ca="1" si="7"/>
        <v>101</v>
      </c>
      <c r="B104" s="506">
        <v>1550</v>
      </c>
      <c r="C104" s="573">
        <v>45880</v>
      </c>
      <c r="D104" s="369">
        <v>120019280</v>
      </c>
      <c r="E104" s="212" t="s">
        <v>4077</v>
      </c>
      <c r="F104" s="386" t="s">
        <v>1</v>
      </c>
      <c r="G104" s="112" t="s">
        <v>4</v>
      </c>
      <c r="H104" s="493">
        <v>45880</v>
      </c>
      <c r="I104" s="341"/>
      <c r="J104" s="737" t="s">
        <v>2513</v>
      </c>
      <c r="K104" s="494"/>
      <c r="L104" s="495"/>
      <c r="M104" s="496"/>
      <c r="N104" s="497"/>
      <c r="O104" s="498"/>
      <c r="P104" s="499"/>
      <c r="Q104" s="501">
        <v>45880</v>
      </c>
      <c r="R104" s="148">
        <f t="shared" si="8"/>
        <v>1</v>
      </c>
      <c r="S104" s="101" t="s">
        <v>3830</v>
      </c>
      <c r="T104" s="69"/>
    </row>
    <row r="105" spans="1:20" ht="28.8" x14ac:dyDescent="0.3">
      <c r="A105" s="98">
        <f t="shared" ca="1" si="7"/>
        <v>102</v>
      </c>
      <c r="B105" s="506" t="s">
        <v>80</v>
      </c>
      <c r="C105" s="492">
        <v>45880</v>
      </c>
      <c r="D105" s="369">
        <v>52049272</v>
      </c>
      <c r="E105" s="212" t="s">
        <v>4078</v>
      </c>
      <c r="F105" s="386" t="s">
        <v>7</v>
      </c>
      <c r="G105" s="112" t="s">
        <v>4</v>
      </c>
      <c r="H105" s="493">
        <v>45880</v>
      </c>
      <c r="I105" s="341"/>
      <c r="J105" s="100" t="s">
        <v>4050</v>
      </c>
      <c r="K105" s="494"/>
      <c r="L105" s="495"/>
      <c r="M105" s="496"/>
      <c r="N105" s="497"/>
      <c r="O105" s="498"/>
      <c r="P105" s="499"/>
      <c r="Q105" s="501">
        <v>45897</v>
      </c>
      <c r="R105" s="148">
        <f t="shared" si="8"/>
        <v>1.0003705318221447</v>
      </c>
      <c r="S105" s="101" t="s">
        <v>3020</v>
      </c>
      <c r="T105" s="167"/>
    </row>
    <row r="106" spans="1:20" ht="43.2" x14ac:dyDescent="0.3">
      <c r="A106" s="98">
        <f t="shared" ca="1" si="7"/>
        <v>103</v>
      </c>
      <c r="B106" s="506">
        <v>1550</v>
      </c>
      <c r="C106" s="492">
        <v>45880</v>
      </c>
      <c r="D106" s="369">
        <v>97275174</v>
      </c>
      <c r="E106" s="212" t="s">
        <v>4079</v>
      </c>
      <c r="F106" s="386" t="s">
        <v>1</v>
      </c>
      <c r="G106" s="112" t="s">
        <v>4</v>
      </c>
      <c r="H106" s="493">
        <v>45880</v>
      </c>
      <c r="I106" s="341"/>
      <c r="J106" s="738" t="s">
        <v>2367</v>
      </c>
      <c r="K106" s="494" t="s">
        <v>393</v>
      </c>
      <c r="L106" s="495"/>
      <c r="M106" s="496"/>
      <c r="N106" s="497"/>
      <c r="O106" s="498"/>
      <c r="P106" s="499"/>
      <c r="Q106" s="501">
        <v>45881</v>
      </c>
      <c r="R106" s="148">
        <f t="shared" si="8"/>
        <v>1.0000217959895379</v>
      </c>
      <c r="S106" s="101" t="s">
        <v>3899</v>
      </c>
      <c r="T106" s="69"/>
    </row>
    <row r="107" spans="1:20" ht="57.6" x14ac:dyDescent="0.3">
      <c r="A107" s="98">
        <f t="shared" ca="1" si="7"/>
        <v>104</v>
      </c>
      <c r="B107" s="506">
        <v>1550</v>
      </c>
      <c r="C107" s="492">
        <v>45880</v>
      </c>
      <c r="D107" s="369">
        <v>12190950</v>
      </c>
      <c r="E107" s="212" t="s">
        <v>4080</v>
      </c>
      <c r="F107" s="386" t="s">
        <v>7</v>
      </c>
      <c r="G107" s="112" t="s">
        <v>6</v>
      </c>
      <c r="H107" s="493">
        <v>45880</v>
      </c>
      <c r="I107" s="341"/>
      <c r="J107" s="100" t="s">
        <v>2432</v>
      </c>
      <c r="K107" s="494"/>
      <c r="L107" s="495"/>
      <c r="M107" s="496"/>
      <c r="N107" s="497"/>
      <c r="O107" s="498"/>
      <c r="P107" s="499"/>
      <c r="Q107" s="501">
        <v>45882</v>
      </c>
      <c r="R107" s="148">
        <f t="shared" si="8"/>
        <v>1.0000435919790758</v>
      </c>
      <c r="S107" s="101" t="s">
        <v>1893</v>
      </c>
      <c r="T107" s="69"/>
    </row>
    <row r="108" spans="1:20" ht="28.8" x14ac:dyDescent="0.3">
      <c r="A108" s="98">
        <f t="shared" ca="1" si="7"/>
        <v>105</v>
      </c>
      <c r="B108" s="506">
        <v>1550</v>
      </c>
      <c r="C108" s="492">
        <v>45880</v>
      </c>
      <c r="D108" s="369">
        <v>69946574</v>
      </c>
      <c r="E108" s="212" t="s">
        <v>4081</v>
      </c>
      <c r="F108" s="101" t="s">
        <v>1</v>
      </c>
      <c r="G108" s="112" t="s">
        <v>4</v>
      </c>
      <c r="H108" s="493">
        <v>45880</v>
      </c>
      <c r="I108" s="25"/>
      <c r="J108" s="737" t="s">
        <v>4050</v>
      </c>
      <c r="K108" s="494"/>
      <c r="L108" s="495"/>
      <c r="M108" s="496"/>
      <c r="N108" s="497"/>
      <c r="O108" s="498"/>
      <c r="P108" s="499"/>
      <c r="Q108" s="500">
        <v>45890</v>
      </c>
      <c r="R108" s="148">
        <f t="shared" si="8"/>
        <v>1.0002179598953793</v>
      </c>
      <c r="S108" s="101" t="s">
        <v>2970</v>
      </c>
      <c r="T108" s="69"/>
    </row>
    <row r="109" spans="1:20" ht="43.2" x14ac:dyDescent="0.3">
      <c r="A109" s="98">
        <f t="shared" ca="1" si="7"/>
        <v>106</v>
      </c>
      <c r="B109" s="506" t="s">
        <v>80</v>
      </c>
      <c r="C109" s="492">
        <v>45880</v>
      </c>
      <c r="D109" s="369">
        <v>2360837</v>
      </c>
      <c r="E109" s="212" t="s">
        <v>4082</v>
      </c>
      <c r="F109" s="386" t="s">
        <v>12</v>
      </c>
      <c r="G109" s="112" t="s">
        <v>4</v>
      </c>
      <c r="H109" s="493">
        <v>45880</v>
      </c>
      <c r="I109" s="341"/>
      <c r="J109" s="732" t="s">
        <v>159</v>
      </c>
      <c r="K109" s="494"/>
      <c r="L109" s="495"/>
      <c r="M109" s="496"/>
      <c r="N109" s="497"/>
      <c r="O109" s="498"/>
      <c r="P109" s="499"/>
      <c r="Q109" s="501">
        <v>45881</v>
      </c>
      <c r="R109" s="148">
        <f t="shared" si="8"/>
        <v>1.0000217959895379</v>
      </c>
      <c r="S109" s="101" t="s">
        <v>3020</v>
      </c>
      <c r="T109" s="69"/>
    </row>
    <row r="110" spans="1:20" ht="57.6" x14ac:dyDescent="0.3">
      <c r="A110" s="98">
        <f t="shared" ca="1" si="7"/>
        <v>107</v>
      </c>
      <c r="B110" s="506">
        <v>1550</v>
      </c>
      <c r="C110" s="492">
        <v>45880</v>
      </c>
      <c r="D110" s="369">
        <v>24209589</v>
      </c>
      <c r="E110" s="212" t="s">
        <v>4083</v>
      </c>
      <c r="F110" s="101" t="s">
        <v>24</v>
      </c>
      <c r="G110" s="112" t="s">
        <v>4</v>
      </c>
      <c r="H110" s="493">
        <v>45880</v>
      </c>
      <c r="I110" s="25"/>
      <c r="J110" s="100" t="s">
        <v>1260</v>
      </c>
      <c r="K110" s="494"/>
      <c r="L110" s="495"/>
      <c r="M110" s="496"/>
      <c r="N110" s="497"/>
      <c r="O110" s="498"/>
      <c r="P110" s="499"/>
      <c r="Q110" s="500">
        <v>45880</v>
      </c>
      <c r="R110" s="148">
        <f t="shared" si="8"/>
        <v>1</v>
      </c>
      <c r="S110" s="101" t="s">
        <v>2979</v>
      </c>
      <c r="T110" s="69"/>
    </row>
    <row r="111" spans="1:20" ht="43.2" x14ac:dyDescent="0.3">
      <c r="A111" s="98">
        <f t="shared" ca="1" si="7"/>
        <v>108</v>
      </c>
      <c r="B111" s="506">
        <v>1550</v>
      </c>
      <c r="C111" s="492">
        <v>45880</v>
      </c>
      <c r="D111" s="369">
        <v>41513843</v>
      </c>
      <c r="E111" s="212" t="s">
        <v>4084</v>
      </c>
      <c r="F111" s="101" t="s">
        <v>33</v>
      </c>
      <c r="G111" s="112" t="s">
        <v>8</v>
      </c>
      <c r="H111" s="493">
        <v>45880</v>
      </c>
      <c r="I111" s="25"/>
      <c r="J111" s="727" t="s">
        <v>99</v>
      </c>
      <c r="K111" s="494"/>
      <c r="L111" s="495"/>
      <c r="M111" s="496"/>
      <c r="N111" s="497"/>
      <c r="O111" s="498"/>
      <c r="P111" s="499"/>
      <c r="Q111" s="500">
        <v>45880</v>
      </c>
      <c r="R111" s="148">
        <f t="shared" si="8"/>
        <v>1</v>
      </c>
      <c r="S111" s="101" t="s">
        <v>4026</v>
      </c>
      <c r="T111" s="69"/>
    </row>
    <row r="112" spans="1:20" ht="43.2" x14ac:dyDescent="0.3">
      <c r="A112" s="98">
        <f t="shared" ca="1" si="7"/>
        <v>109</v>
      </c>
      <c r="B112" s="506" t="s">
        <v>80</v>
      </c>
      <c r="C112" s="492">
        <v>45880</v>
      </c>
      <c r="D112" s="369">
        <v>77775031</v>
      </c>
      <c r="E112" s="212" t="s">
        <v>4085</v>
      </c>
      <c r="F112" s="101" t="s">
        <v>1</v>
      </c>
      <c r="G112" s="112" t="s">
        <v>4</v>
      </c>
      <c r="H112" s="493">
        <v>45880</v>
      </c>
      <c r="I112" s="25"/>
      <c r="J112" s="741" t="s">
        <v>99</v>
      </c>
      <c r="K112" s="494"/>
      <c r="L112" s="495"/>
      <c r="M112" s="496"/>
      <c r="N112" s="497"/>
      <c r="O112" s="498"/>
      <c r="P112" s="499"/>
      <c r="Q112" s="500">
        <v>45901</v>
      </c>
      <c r="R112" s="148">
        <f t="shared" si="8"/>
        <v>1.0004577157802965</v>
      </c>
      <c r="S112" s="101" t="s">
        <v>3020</v>
      </c>
      <c r="T112" s="315" t="s">
        <v>4051</v>
      </c>
    </row>
    <row r="113" spans="1:20" ht="57.6" x14ac:dyDescent="0.3">
      <c r="A113" s="98">
        <f t="shared" ca="1" si="7"/>
        <v>110</v>
      </c>
      <c r="B113" s="506" t="s">
        <v>301</v>
      </c>
      <c r="C113" s="492">
        <v>45880</v>
      </c>
      <c r="D113" s="369">
        <v>84672927</v>
      </c>
      <c r="E113" s="212" t="s">
        <v>4086</v>
      </c>
      <c r="F113" s="101" t="s">
        <v>39</v>
      </c>
      <c r="G113" s="112" t="s">
        <v>6</v>
      </c>
      <c r="H113" s="493">
        <v>45880</v>
      </c>
      <c r="I113" s="25">
        <v>10000310737</v>
      </c>
      <c r="J113" s="100" t="s">
        <v>135</v>
      </c>
      <c r="K113" s="494"/>
      <c r="L113" s="495"/>
      <c r="M113" s="496"/>
      <c r="N113" s="497"/>
      <c r="O113" s="498"/>
      <c r="P113" s="499"/>
      <c r="Q113" s="500">
        <v>45880</v>
      </c>
      <c r="R113" s="148">
        <f t="shared" si="8"/>
        <v>1</v>
      </c>
      <c r="S113" s="101" t="s">
        <v>1860</v>
      </c>
      <c r="T113" s="69"/>
    </row>
    <row r="114" spans="1:20" ht="28.8" x14ac:dyDescent="0.3">
      <c r="A114" s="98">
        <f t="shared" ca="1" si="7"/>
        <v>46</v>
      </c>
      <c r="B114" s="506" t="s">
        <v>301</v>
      </c>
      <c r="C114" s="492">
        <v>45880</v>
      </c>
      <c r="D114" s="369">
        <v>12443239</v>
      </c>
      <c r="E114" s="212" t="s">
        <v>4087</v>
      </c>
      <c r="F114" s="101" t="s">
        <v>17</v>
      </c>
      <c r="G114" s="112" t="s">
        <v>6</v>
      </c>
      <c r="H114" s="493">
        <v>45880</v>
      </c>
      <c r="I114" s="25"/>
      <c r="J114" s="732" t="s">
        <v>82</v>
      </c>
      <c r="K114" s="494"/>
      <c r="L114" s="495"/>
      <c r="M114" s="496"/>
      <c r="N114" s="497"/>
      <c r="O114" s="498"/>
      <c r="P114" s="499"/>
      <c r="Q114" s="500">
        <v>45890</v>
      </c>
      <c r="R114" s="148">
        <f t="shared" si="8"/>
        <v>1.0002179598953793</v>
      </c>
      <c r="S114" s="101" t="s">
        <v>2808</v>
      </c>
      <c r="T114" s="69"/>
    </row>
    <row r="115" spans="1:20" ht="43.2" x14ac:dyDescent="0.3">
      <c r="A115" s="98">
        <f t="shared" ca="1" si="7"/>
        <v>112</v>
      </c>
      <c r="B115" s="506">
        <v>1550</v>
      </c>
      <c r="C115" s="492">
        <v>45880</v>
      </c>
      <c r="D115" s="670">
        <v>7616546</v>
      </c>
      <c r="E115" s="212" t="s">
        <v>4088</v>
      </c>
      <c r="F115" s="101" t="s">
        <v>1</v>
      </c>
      <c r="G115" s="112" t="s">
        <v>4</v>
      </c>
      <c r="H115" s="493">
        <v>45880</v>
      </c>
      <c r="I115" s="25"/>
      <c r="J115" s="741" t="s">
        <v>99</v>
      </c>
      <c r="K115" s="494"/>
      <c r="L115" s="495"/>
      <c r="M115" s="496"/>
      <c r="N115" s="497"/>
      <c r="O115" s="498"/>
      <c r="P115" s="499"/>
      <c r="Q115" s="500">
        <v>45889</v>
      </c>
      <c r="R115" s="148">
        <f t="shared" si="8"/>
        <v>1.0001961639058414</v>
      </c>
      <c r="S115" s="101" t="s">
        <v>720</v>
      </c>
      <c r="T115" s="69"/>
    </row>
    <row r="116" spans="1:20" ht="57.6" x14ac:dyDescent="0.3">
      <c r="A116" s="98">
        <f t="shared" ca="1" si="7"/>
        <v>113</v>
      </c>
      <c r="B116" s="506">
        <v>1550</v>
      </c>
      <c r="C116" s="492">
        <v>45880</v>
      </c>
      <c r="D116" s="369"/>
      <c r="E116" s="212" t="s">
        <v>4089</v>
      </c>
      <c r="F116" s="344" t="s">
        <v>21</v>
      </c>
      <c r="G116" s="112" t="s">
        <v>8</v>
      </c>
      <c r="H116" s="493">
        <v>45880</v>
      </c>
      <c r="I116" s="25"/>
      <c r="J116" s="100" t="s">
        <v>4090</v>
      </c>
      <c r="K116" s="507"/>
      <c r="L116" s="508"/>
      <c r="M116" s="365"/>
      <c r="N116" s="509"/>
      <c r="O116" s="510"/>
      <c r="P116" s="511"/>
      <c r="Q116" s="500">
        <v>45881</v>
      </c>
      <c r="R116" s="148">
        <f t="shared" si="8"/>
        <v>1.0000217959895379</v>
      </c>
      <c r="S116" s="101" t="s">
        <v>3952</v>
      </c>
      <c r="T116" s="167"/>
    </row>
    <row r="117" spans="1:20" ht="43.2" x14ac:dyDescent="0.3">
      <c r="A117" s="98">
        <f t="shared" ca="1" si="7"/>
        <v>114</v>
      </c>
      <c r="B117" s="506" t="s">
        <v>80</v>
      </c>
      <c r="C117" s="492">
        <v>45880</v>
      </c>
      <c r="D117" s="369">
        <v>34784837</v>
      </c>
      <c r="E117" s="212" t="s">
        <v>4085</v>
      </c>
      <c r="F117" s="101" t="s">
        <v>1</v>
      </c>
      <c r="G117" s="112" t="s">
        <v>4</v>
      </c>
      <c r="H117" s="493">
        <v>45880</v>
      </c>
      <c r="I117" s="25"/>
      <c r="J117" s="741" t="s">
        <v>99</v>
      </c>
      <c r="K117" s="494"/>
      <c r="L117" s="495"/>
      <c r="M117" s="496"/>
      <c r="N117" s="497"/>
      <c r="O117" s="498"/>
      <c r="P117" s="499"/>
      <c r="Q117" s="500">
        <v>45901</v>
      </c>
      <c r="R117" s="148">
        <f t="shared" si="8"/>
        <v>1.0004577157802965</v>
      </c>
      <c r="S117" s="101" t="s">
        <v>3020</v>
      </c>
      <c r="T117" s="315" t="s">
        <v>4091</v>
      </c>
    </row>
    <row r="118" spans="1:20" ht="43.2" x14ac:dyDescent="0.3">
      <c r="A118" s="98">
        <f t="shared" ca="1" si="7"/>
        <v>115</v>
      </c>
      <c r="B118" s="506">
        <v>1550</v>
      </c>
      <c r="C118" s="492">
        <v>45880</v>
      </c>
      <c r="D118" s="670">
        <v>53813731</v>
      </c>
      <c r="E118" s="212" t="s">
        <v>4092</v>
      </c>
      <c r="F118" s="101" t="s">
        <v>1</v>
      </c>
      <c r="G118" s="112" t="s">
        <v>4</v>
      </c>
      <c r="H118" s="493">
        <v>45880</v>
      </c>
      <c r="I118" s="25"/>
      <c r="J118" s="741" t="s">
        <v>99</v>
      </c>
      <c r="K118" s="507"/>
      <c r="L118" s="508"/>
      <c r="M118" s="365"/>
      <c r="N118" s="509"/>
      <c r="O118" s="510"/>
      <c r="P118" s="511"/>
      <c r="Q118" s="500">
        <v>45889</v>
      </c>
      <c r="R118" s="148">
        <f t="shared" si="8"/>
        <v>1.0001961639058414</v>
      </c>
      <c r="S118" s="101" t="s">
        <v>176</v>
      </c>
      <c r="T118" s="69"/>
    </row>
    <row r="119" spans="1:20" ht="28.8" x14ac:dyDescent="0.3">
      <c r="A119" s="98">
        <f t="shared" ca="1" si="7"/>
        <v>116</v>
      </c>
      <c r="B119" s="506" t="s">
        <v>80</v>
      </c>
      <c r="C119" s="492">
        <v>45880</v>
      </c>
      <c r="D119" s="369">
        <v>38759942</v>
      </c>
      <c r="E119" s="212" t="s">
        <v>4093</v>
      </c>
      <c r="F119" s="101" t="s">
        <v>3</v>
      </c>
      <c r="G119" s="112" t="s">
        <v>4</v>
      </c>
      <c r="H119" s="493">
        <v>45880</v>
      </c>
      <c r="I119" s="25">
        <v>10000310832</v>
      </c>
      <c r="J119" s="732" t="s">
        <v>82</v>
      </c>
      <c r="K119" s="494"/>
      <c r="L119" s="495"/>
      <c r="M119" s="496"/>
      <c r="N119" s="497"/>
      <c r="O119" s="498"/>
      <c r="P119" s="499"/>
      <c r="Q119" s="500">
        <v>45882</v>
      </c>
      <c r="R119" s="148">
        <f t="shared" si="8"/>
        <v>1.0000435919790758</v>
      </c>
      <c r="S119" s="101" t="s">
        <v>3020</v>
      </c>
      <c r="T119" s="69" t="s">
        <v>2707</v>
      </c>
    </row>
    <row r="120" spans="1:20" ht="28.8" x14ac:dyDescent="0.3">
      <c r="A120" s="98">
        <f t="shared" ca="1" si="7"/>
        <v>117</v>
      </c>
      <c r="B120" s="506" t="s">
        <v>80</v>
      </c>
      <c r="C120" s="492">
        <v>45881</v>
      </c>
      <c r="D120" s="369">
        <v>119992264</v>
      </c>
      <c r="E120" s="212" t="s">
        <v>4094</v>
      </c>
      <c r="F120" s="101" t="s">
        <v>9</v>
      </c>
      <c r="G120" s="112" t="s">
        <v>4</v>
      </c>
      <c r="H120" s="493">
        <v>45881</v>
      </c>
      <c r="I120" s="25"/>
      <c r="J120" s="100" t="s">
        <v>2513</v>
      </c>
      <c r="K120" s="494"/>
      <c r="L120" s="495"/>
      <c r="M120" s="496"/>
      <c r="N120" s="497"/>
      <c r="O120" s="498"/>
      <c r="P120" s="499"/>
      <c r="Q120" s="500">
        <v>45901</v>
      </c>
      <c r="R120" s="148">
        <f t="shared" si="8"/>
        <v>1.0004359102896623</v>
      </c>
      <c r="S120" s="101" t="s">
        <v>3020</v>
      </c>
      <c r="T120" s="69"/>
    </row>
    <row r="121" spans="1:20" ht="72" x14ac:dyDescent="0.3">
      <c r="A121" s="98">
        <f t="shared" ca="1" si="7"/>
        <v>118</v>
      </c>
      <c r="B121" s="506" t="s">
        <v>80</v>
      </c>
      <c r="C121" s="492">
        <v>45881</v>
      </c>
      <c r="D121" s="670">
        <v>1293311</v>
      </c>
      <c r="E121" s="212" t="s">
        <v>4095</v>
      </c>
      <c r="F121" s="101" t="s">
        <v>17</v>
      </c>
      <c r="G121" s="112" t="s">
        <v>4</v>
      </c>
      <c r="H121" s="493">
        <v>45881</v>
      </c>
      <c r="I121" s="25">
        <v>10000313004</v>
      </c>
      <c r="J121" s="732" t="s">
        <v>82</v>
      </c>
      <c r="K121" s="494"/>
      <c r="L121" s="495"/>
      <c r="M121" s="496"/>
      <c r="N121" s="497"/>
      <c r="O121" s="498"/>
      <c r="P121" s="499"/>
      <c r="Q121" s="500">
        <v>45897</v>
      </c>
      <c r="R121" s="148">
        <f t="shared" si="8"/>
        <v>1.0003487282317298</v>
      </c>
      <c r="S121" s="101" t="s">
        <v>3020</v>
      </c>
      <c r="T121" s="359"/>
    </row>
    <row r="122" spans="1:20" ht="28.8" x14ac:dyDescent="0.3">
      <c r="A122" s="98">
        <f t="shared" ca="1" si="7"/>
        <v>119</v>
      </c>
      <c r="B122" s="506" t="s">
        <v>80</v>
      </c>
      <c r="C122" s="492">
        <v>45881</v>
      </c>
      <c r="D122" s="369">
        <v>5303990</v>
      </c>
      <c r="E122" s="212" t="s">
        <v>4096</v>
      </c>
      <c r="F122" s="101" t="s">
        <v>17</v>
      </c>
      <c r="G122" s="112" t="s">
        <v>4</v>
      </c>
      <c r="H122" s="493">
        <v>45881</v>
      </c>
      <c r="I122" s="25">
        <v>10000313452</v>
      </c>
      <c r="J122" s="732" t="s">
        <v>82</v>
      </c>
      <c r="K122" s="494"/>
      <c r="L122" s="495"/>
      <c r="M122" s="496"/>
      <c r="N122" s="497"/>
      <c r="O122" s="498"/>
      <c r="P122" s="499"/>
      <c r="Q122" s="500">
        <v>45909</v>
      </c>
      <c r="R122" s="148">
        <f t="shared" si="8"/>
        <v>1.0006102744055274</v>
      </c>
      <c r="S122" s="101" t="s">
        <v>3020</v>
      </c>
      <c r="T122" s="69"/>
    </row>
    <row r="123" spans="1:20" ht="57.6" x14ac:dyDescent="0.3">
      <c r="A123" s="98">
        <f t="shared" ca="1" si="7"/>
        <v>120</v>
      </c>
      <c r="B123" s="506" t="s">
        <v>80</v>
      </c>
      <c r="C123" s="492">
        <v>12</v>
      </c>
      <c r="D123" s="369"/>
      <c r="E123" t="s">
        <v>4097</v>
      </c>
      <c r="F123" s="101" t="s">
        <v>1314</v>
      </c>
      <c r="G123" s="112" t="s">
        <v>4</v>
      </c>
      <c r="H123" s="493">
        <v>45881</v>
      </c>
      <c r="I123" s="25"/>
      <c r="J123" s="727" t="s">
        <v>99</v>
      </c>
      <c r="K123" s="494"/>
      <c r="L123" s="495"/>
      <c r="M123" s="496"/>
      <c r="N123" s="497"/>
      <c r="O123" s="498"/>
      <c r="P123" s="499"/>
      <c r="Q123" s="500">
        <v>45881</v>
      </c>
      <c r="R123" s="148">
        <f t="shared" si="8"/>
        <v>1</v>
      </c>
      <c r="S123" s="101" t="s">
        <v>2979</v>
      </c>
      <c r="T123" s="69"/>
    </row>
    <row r="124" spans="1:20" ht="28.8" x14ac:dyDescent="0.3">
      <c r="A124" s="98">
        <f t="shared" ca="1" si="7"/>
        <v>121</v>
      </c>
      <c r="B124" s="506" t="s">
        <v>80</v>
      </c>
      <c r="C124" s="492">
        <v>45881</v>
      </c>
      <c r="D124" s="369">
        <v>39113957</v>
      </c>
      <c r="E124" s="212" t="s">
        <v>4098</v>
      </c>
      <c r="F124" s="344" t="s">
        <v>1</v>
      </c>
      <c r="G124" s="112" t="s">
        <v>4</v>
      </c>
      <c r="H124" s="493">
        <v>45881</v>
      </c>
      <c r="I124" s="25"/>
      <c r="J124" s="738" t="s">
        <v>2367</v>
      </c>
      <c r="K124" s="494"/>
      <c r="L124" s="495"/>
      <c r="M124" s="496"/>
      <c r="N124" s="497"/>
      <c r="O124" s="498"/>
      <c r="P124" s="499"/>
      <c r="Q124" s="500">
        <v>45881</v>
      </c>
      <c r="R124" s="148">
        <f t="shared" si="8"/>
        <v>1</v>
      </c>
      <c r="S124" s="101" t="s">
        <v>3020</v>
      </c>
      <c r="T124" s="69"/>
    </row>
    <row r="125" spans="1:20" ht="57.6" x14ac:dyDescent="0.3">
      <c r="A125" s="98">
        <f t="shared" ca="1" si="7"/>
        <v>122</v>
      </c>
      <c r="B125" s="506" t="s">
        <v>80</v>
      </c>
      <c r="C125" s="492">
        <v>45881</v>
      </c>
      <c r="D125" s="369"/>
      <c r="E125" t="s">
        <v>4099</v>
      </c>
      <c r="F125" s="101" t="s">
        <v>1314</v>
      </c>
      <c r="G125" s="112" t="s">
        <v>4</v>
      </c>
      <c r="H125" s="493">
        <v>45881</v>
      </c>
      <c r="I125" s="25"/>
      <c r="J125" s="727" t="s">
        <v>99</v>
      </c>
      <c r="K125" s="494"/>
      <c r="L125" s="495"/>
      <c r="M125" s="496"/>
      <c r="N125" s="497"/>
      <c r="O125" s="498"/>
      <c r="P125" s="499"/>
      <c r="Q125" s="500">
        <v>45881</v>
      </c>
      <c r="R125" s="148">
        <f t="shared" si="8"/>
        <v>1</v>
      </c>
      <c r="S125" s="101" t="s">
        <v>3020</v>
      </c>
      <c r="T125" s="69"/>
    </row>
    <row r="126" spans="1:20" ht="43.2" x14ac:dyDescent="0.3">
      <c r="A126" s="98">
        <f t="shared" ca="1" si="7"/>
        <v>123</v>
      </c>
      <c r="B126" s="506">
        <v>1550</v>
      </c>
      <c r="C126" s="492">
        <v>45881</v>
      </c>
      <c r="D126" s="369">
        <v>80751962</v>
      </c>
      <c r="E126" s="212" t="s">
        <v>4100</v>
      </c>
      <c r="F126" s="101" t="s">
        <v>1</v>
      </c>
      <c r="G126" s="112" t="s">
        <v>4</v>
      </c>
      <c r="H126" s="493">
        <v>45881</v>
      </c>
      <c r="I126" s="25"/>
      <c r="J126" s="738" t="s">
        <v>2367</v>
      </c>
      <c r="K126" s="494" t="s">
        <v>393</v>
      </c>
      <c r="L126" s="495"/>
      <c r="M126" s="496"/>
      <c r="N126" s="497"/>
      <c r="O126" s="498"/>
      <c r="P126" s="499"/>
      <c r="Q126" s="500">
        <v>45881</v>
      </c>
      <c r="R126" s="148">
        <f t="shared" si="8"/>
        <v>1</v>
      </c>
      <c r="S126" s="101" t="s">
        <v>720</v>
      </c>
      <c r="T126" s="69"/>
    </row>
    <row r="127" spans="1:20" ht="57.6" x14ac:dyDescent="0.3">
      <c r="A127" s="98">
        <f t="shared" ca="1" si="7"/>
        <v>124</v>
      </c>
      <c r="B127" s="506" t="s">
        <v>301</v>
      </c>
      <c r="C127" s="492">
        <v>45881</v>
      </c>
      <c r="D127" s="369">
        <v>1979183</v>
      </c>
      <c r="E127" s="212" t="s">
        <v>4101</v>
      </c>
      <c r="F127" s="101" t="s">
        <v>39</v>
      </c>
      <c r="G127" s="112" t="s">
        <v>6</v>
      </c>
      <c r="H127" s="493">
        <v>45881</v>
      </c>
      <c r="I127" s="25"/>
      <c r="J127" s="100" t="s">
        <v>135</v>
      </c>
      <c r="K127" s="494"/>
      <c r="L127" s="495"/>
      <c r="M127" s="496"/>
      <c r="N127" s="497"/>
      <c r="O127" s="498"/>
      <c r="P127" s="499"/>
      <c r="Q127" s="500">
        <v>45881</v>
      </c>
      <c r="R127" s="148">
        <f t="shared" si="8"/>
        <v>1</v>
      </c>
      <c r="S127" s="633" t="s">
        <v>1860</v>
      </c>
      <c r="T127" s="69"/>
    </row>
    <row r="128" spans="1:20" ht="57.6" x14ac:dyDescent="0.3">
      <c r="A128" s="98">
        <f t="shared" ca="1" si="7"/>
        <v>125</v>
      </c>
      <c r="B128" s="506" t="s">
        <v>301</v>
      </c>
      <c r="C128" s="492">
        <v>45881</v>
      </c>
      <c r="D128" s="369">
        <v>30830877</v>
      </c>
      <c r="E128" s="212" t="s">
        <v>4102</v>
      </c>
      <c r="F128" s="101" t="s">
        <v>39</v>
      </c>
      <c r="G128" s="112" t="s">
        <v>6</v>
      </c>
      <c r="H128" s="493">
        <v>45881</v>
      </c>
      <c r="I128" s="25"/>
      <c r="J128" s="100" t="s">
        <v>135</v>
      </c>
      <c r="K128" s="494"/>
      <c r="L128" s="495"/>
      <c r="M128" s="496"/>
      <c r="N128" s="497"/>
      <c r="O128" s="498"/>
      <c r="P128" s="499"/>
      <c r="Q128" s="500">
        <v>45881</v>
      </c>
      <c r="R128" s="148">
        <f t="shared" si="8"/>
        <v>1</v>
      </c>
      <c r="S128" s="633" t="s">
        <v>1860</v>
      </c>
      <c r="T128" s="69"/>
    </row>
    <row r="129" spans="1:20" x14ac:dyDescent="0.3">
      <c r="A129" s="98">
        <f t="shared" ca="1" si="7"/>
        <v>126</v>
      </c>
      <c r="B129" s="506" t="s">
        <v>80</v>
      </c>
      <c r="C129" s="492">
        <v>45881</v>
      </c>
      <c r="D129">
        <v>39113957</v>
      </c>
      <c r="E129" s="212" t="s">
        <v>4103</v>
      </c>
      <c r="F129" s="101" t="s">
        <v>23</v>
      </c>
      <c r="G129" s="112" t="s">
        <v>4</v>
      </c>
      <c r="H129" s="493">
        <v>45881</v>
      </c>
      <c r="I129" s="25"/>
      <c r="J129" s="100" t="s">
        <v>135</v>
      </c>
      <c r="K129" s="494"/>
      <c r="L129" s="495"/>
      <c r="M129" s="496"/>
      <c r="N129" s="497"/>
      <c r="O129" s="498"/>
      <c r="P129" s="499"/>
      <c r="Q129" s="500">
        <v>45881</v>
      </c>
      <c r="R129" s="148">
        <f t="shared" si="8"/>
        <v>1</v>
      </c>
      <c r="S129" s="633" t="s">
        <v>3020</v>
      </c>
      <c r="T129" s="167"/>
    </row>
    <row r="130" spans="1:20" ht="28.8" x14ac:dyDescent="0.3">
      <c r="A130" s="98">
        <f t="shared" ca="1" si="7"/>
        <v>127</v>
      </c>
      <c r="B130" s="506">
        <v>1550</v>
      </c>
      <c r="C130" s="492">
        <v>45881</v>
      </c>
      <c r="D130" s="369">
        <v>120620030</v>
      </c>
      <c r="E130" s="212" t="s">
        <v>4104</v>
      </c>
      <c r="F130" s="101" t="s">
        <v>1</v>
      </c>
      <c r="G130" s="112" t="s">
        <v>4</v>
      </c>
      <c r="H130" s="493">
        <v>45881</v>
      </c>
      <c r="I130" s="25"/>
      <c r="J130" s="737" t="s">
        <v>4105</v>
      </c>
      <c r="K130" s="494" t="s">
        <v>393</v>
      </c>
      <c r="L130" s="495"/>
      <c r="M130" s="496"/>
      <c r="N130" s="497"/>
      <c r="O130" s="498"/>
      <c r="P130" s="499"/>
      <c r="Q130" s="500">
        <v>45881</v>
      </c>
      <c r="R130" s="148">
        <f t="shared" si="8"/>
        <v>1</v>
      </c>
      <c r="S130" s="633" t="s">
        <v>720</v>
      </c>
      <c r="T130" s="69"/>
    </row>
    <row r="131" spans="1:20" ht="28.8" x14ac:dyDescent="0.3">
      <c r="A131" s="98">
        <f t="shared" ca="1" si="7"/>
        <v>16</v>
      </c>
      <c r="B131" s="536">
        <v>1550</v>
      </c>
      <c r="C131" s="546">
        <v>45870</v>
      </c>
      <c r="D131" s="369">
        <v>82459576</v>
      </c>
      <c r="E131" s="762" t="s">
        <v>4106</v>
      </c>
      <c r="F131" s="200" t="s">
        <v>32</v>
      </c>
      <c r="G131" s="221" t="s">
        <v>4</v>
      </c>
      <c r="H131" s="493">
        <v>45870</v>
      </c>
      <c r="I131" s="25"/>
      <c r="J131" s="100" t="s">
        <v>106</v>
      </c>
      <c r="K131" s="494"/>
      <c r="L131" s="495"/>
      <c r="M131" s="496"/>
      <c r="N131" s="497"/>
      <c r="O131" s="498"/>
      <c r="P131" s="499"/>
      <c r="Q131" s="539">
        <v>45888</v>
      </c>
      <c r="R131" s="148">
        <f t="shared" si="8"/>
        <v>1.0003924133420536</v>
      </c>
      <c r="S131" s="761" t="s">
        <v>3830</v>
      </c>
      <c r="T131" s="535"/>
    </row>
    <row r="132" spans="1:20" ht="43.2" x14ac:dyDescent="0.3">
      <c r="A132" s="98">
        <f t="shared" ca="1" si="7"/>
        <v>129</v>
      </c>
      <c r="B132" s="506" t="s">
        <v>80</v>
      </c>
      <c r="C132" s="492">
        <v>45881</v>
      </c>
      <c r="D132" s="369">
        <v>92837115</v>
      </c>
      <c r="E132" s="212" t="s">
        <v>4107</v>
      </c>
      <c r="F132" s="101" t="s">
        <v>48</v>
      </c>
      <c r="G132" s="112" t="s">
        <v>4</v>
      </c>
      <c r="H132" s="493">
        <v>45881</v>
      </c>
      <c r="I132" s="25"/>
      <c r="J132" s="727" t="s">
        <v>99</v>
      </c>
      <c r="K132" s="494"/>
      <c r="L132" s="495"/>
      <c r="M132" s="496"/>
      <c r="N132" s="497"/>
      <c r="O132" s="498"/>
      <c r="P132" s="499"/>
      <c r="Q132" s="500">
        <v>45896</v>
      </c>
      <c r="R132" s="148">
        <f t="shared" ref="R132:R148" si="9">Q132/H132</f>
        <v>1.0003269327172468</v>
      </c>
      <c r="S132" s="633" t="s">
        <v>2974</v>
      </c>
      <c r="T132" s="315" t="s">
        <v>4108</v>
      </c>
    </row>
    <row r="133" spans="1:20" ht="43.2" x14ac:dyDescent="0.3">
      <c r="A133" s="98">
        <f t="shared" ca="1" si="7"/>
        <v>130</v>
      </c>
      <c r="B133" s="506">
        <v>1550</v>
      </c>
      <c r="C133" s="492">
        <v>45881</v>
      </c>
      <c r="D133" s="369">
        <v>120522705</v>
      </c>
      <c r="E133" s="212" t="s">
        <v>4109</v>
      </c>
      <c r="F133" s="344" t="s">
        <v>1</v>
      </c>
      <c r="G133" s="112" t="s">
        <v>4</v>
      </c>
      <c r="H133" s="493">
        <v>45881</v>
      </c>
      <c r="I133" s="25"/>
      <c r="J133" s="738" t="s">
        <v>3724</v>
      </c>
      <c r="K133" s="557" t="s">
        <v>393</v>
      </c>
      <c r="L133" s="495"/>
      <c r="M133" s="496"/>
      <c r="N133" s="497"/>
      <c r="O133" s="498"/>
      <c r="P133" s="499"/>
      <c r="Q133" s="500">
        <v>45882</v>
      </c>
      <c r="R133" s="148">
        <f t="shared" si="9"/>
        <v>1.0000217955144832</v>
      </c>
      <c r="S133" s="633" t="s">
        <v>2970</v>
      </c>
      <c r="T133" s="167"/>
    </row>
    <row r="134" spans="1:20" ht="43.2" x14ac:dyDescent="0.3">
      <c r="A134" s="98">
        <f t="shared" ca="1" si="7"/>
        <v>131</v>
      </c>
      <c r="B134" s="506">
        <v>1550</v>
      </c>
      <c r="C134" s="492">
        <v>45881</v>
      </c>
      <c r="D134" s="369">
        <v>59568100</v>
      </c>
      <c r="E134" s="212" t="s">
        <v>4110</v>
      </c>
      <c r="F134" s="344" t="s">
        <v>1</v>
      </c>
      <c r="G134" s="112" t="s">
        <v>4</v>
      </c>
      <c r="H134" s="493">
        <v>45881</v>
      </c>
      <c r="I134" s="25"/>
      <c r="J134" s="738" t="s">
        <v>2352</v>
      </c>
      <c r="K134" s="557" t="s">
        <v>393</v>
      </c>
      <c r="L134" s="495"/>
      <c r="M134" s="496"/>
      <c r="N134" s="497"/>
      <c r="O134" s="498"/>
      <c r="P134" s="499"/>
      <c r="Q134" s="500">
        <v>45888</v>
      </c>
      <c r="R134" s="148">
        <f t="shared" si="9"/>
        <v>1.0001525686013819</v>
      </c>
      <c r="S134" s="633" t="s">
        <v>2979</v>
      </c>
      <c r="T134" s="69"/>
    </row>
    <row r="135" spans="1:20" ht="28.8" x14ac:dyDescent="0.3">
      <c r="A135" s="98">
        <f t="shared" ca="1" si="7"/>
        <v>132</v>
      </c>
      <c r="B135" s="506">
        <v>1550</v>
      </c>
      <c r="C135" s="492">
        <v>45881</v>
      </c>
      <c r="D135" s="369">
        <v>86300334</v>
      </c>
      <c r="E135" s="212" t="s">
        <v>4111</v>
      </c>
      <c r="F135" s="344" t="s">
        <v>1</v>
      </c>
      <c r="G135" s="112" t="s">
        <v>4</v>
      </c>
      <c r="H135" s="493">
        <v>45881</v>
      </c>
      <c r="I135" s="25"/>
      <c r="J135" s="737" t="s">
        <v>4020</v>
      </c>
      <c r="K135" s="557" t="s">
        <v>393</v>
      </c>
      <c r="L135" s="508"/>
      <c r="M135" s="365"/>
      <c r="N135" s="509"/>
      <c r="O135" s="510"/>
      <c r="P135" s="511"/>
      <c r="Q135" s="500">
        <v>45883</v>
      </c>
      <c r="R135" s="148">
        <f t="shared" si="9"/>
        <v>1.0000435910289662</v>
      </c>
      <c r="S135" s="633" t="s">
        <v>2979</v>
      </c>
      <c r="T135" s="167"/>
    </row>
    <row r="136" spans="1:20" ht="129.6" x14ac:dyDescent="0.3">
      <c r="A136" s="98">
        <f t="shared" ca="1" si="7"/>
        <v>133</v>
      </c>
      <c r="B136" s="506" t="s">
        <v>301</v>
      </c>
      <c r="C136" s="492">
        <v>45881</v>
      </c>
      <c r="D136" s="369">
        <v>58288457</v>
      </c>
      <c r="E136" s="212" t="s">
        <v>4112</v>
      </c>
      <c r="F136" s="344" t="s">
        <v>7</v>
      </c>
      <c r="G136" s="112" t="s">
        <v>6</v>
      </c>
      <c r="H136" s="493">
        <v>45881</v>
      </c>
      <c r="I136" s="25"/>
      <c r="J136" s="737" t="s">
        <v>2513</v>
      </c>
      <c r="K136" s="557"/>
      <c r="L136" s="495"/>
      <c r="M136" s="496"/>
      <c r="N136" s="497"/>
      <c r="O136" s="498"/>
      <c r="P136" s="499"/>
      <c r="Q136" s="500">
        <v>45883</v>
      </c>
      <c r="R136" s="148">
        <f t="shared" si="9"/>
        <v>1.0000435910289662</v>
      </c>
      <c r="S136" s="633" t="s">
        <v>2808</v>
      </c>
      <c r="T136" s="167"/>
    </row>
    <row r="137" spans="1:20" ht="43.2" x14ac:dyDescent="0.3">
      <c r="A137" s="98">
        <f t="shared" ca="1" si="7"/>
        <v>134</v>
      </c>
      <c r="B137" s="506">
        <v>1550</v>
      </c>
      <c r="C137" s="492">
        <v>45881</v>
      </c>
      <c r="D137" s="369">
        <v>99367793</v>
      </c>
      <c r="E137" s="212" t="s">
        <v>4113</v>
      </c>
      <c r="F137" s="344" t="s">
        <v>12</v>
      </c>
      <c r="G137" s="112" t="s">
        <v>8</v>
      </c>
      <c r="H137" s="493">
        <v>45881</v>
      </c>
      <c r="I137" s="25"/>
      <c r="J137" s="732" t="s">
        <v>159</v>
      </c>
      <c r="K137" s="558"/>
      <c r="L137" s="508"/>
      <c r="M137" s="365"/>
      <c r="N137" s="509"/>
      <c r="O137" s="510"/>
      <c r="P137" s="511"/>
      <c r="Q137" s="500">
        <v>45888</v>
      </c>
      <c r="R137" s="148">
        <f t="shared" si="9"/>
        <v>1.0001525686013819</v>
      </c>
      <c r="S137" s="633" t="s">
        <v>4114</v>
      </c>
      <c r="T137" s="344"/>
    </row>
    <row r="138" spans="1:20" ht="100.8" x14ac:dyDescent="0.3">
      <c r="A138" s="98">
        <f t="shared" ca="1" si="7"/>
        <v>135</v>
      </c>
      <c r="B138" s="506">
        <v>1550</v>
      </c>
      <c r="C138" s="492">
        <v>45881</v>
      </c>
      <c r="D138" s="369"/>
      <c r="E138" s="212" t="s">
        <v>4115</v>
      </c>
      <c r="F138" s="344" t="s">
        <v>21</v>
      </c>
      <c r="G138" s="112" t="s">
        <v>6</v>
      </c>
      <c r="H138" s="493">
        <v>45881</v>
      </c>
      <c r="I138" s="25"/>
      <c r="J138" s="107" t="s">
        <v>2310</v>
      </c>
      <c r="K138" s="626"/>
      <c r="L138" s="508"/>
      <c r="M138" s="365"/>
      <c r="N138" s="509"/>
      <c r="O138" s="510"/>
      <c r="P138" s="511"/>
      <c r="Q138" s="500">
        <v>45881</v>
      </c>
      <c r="R138" s="148">
        <f t="shared" si="9"/>
        <v>1</v>
      </c>
      <c r="S138" s="633" t="s">
        <v>1893</v>
      </c>
      <c r="T138" s="69"/>
    </row>
    <row r="139" spans="1:20" ht="43.2" x14ac:dyDescent="0.3">
      <c r="A139" s="98">
        <f t="shared" ca="1" si="7"/>
        <v>136</v>
      </c>
      <c r="B139" s="506">
        <v>1550</v>
      </c>
      <c r="C139" s="492">
        <v>45881</v>
      </c>
      <c r="D139" s="369">
        <v>21094926</v>
      </c>
      <c r="E139" s="212" t="s">
        <v>4116</v>
      </c>
      <c r="F139" s="344" t="s">
        <v>12</v>
      </c>
      <c r="G139" s="112" t="s">
        <v>8</v>
      </c>
      <c r="H139" s="493">
        <v>45881</v>
      </c>
      <c r="I139" s="25"/>
      <c r="J139" s="732" t="s">
        <v>159</v>
      </c>
      <c r="K139" s="558"/>
      <c r="L139" s="508"/>
      <c r="M139" s="365"/>
      <c r="N139" s="509"/>
      <c r="O139" s="510"/>
      <c r="P139" s="511"/>
      <c r="Q139" s="500">
        <v>45882</v>
      </c>
      <c r="R139" s="148">
        <f t="shared" si="9"/>
        <v>1.0000217955144832</v>
      </c>
      <c r="S139" s="633" t="s">
        <v>4114</v>
      </c>
      <c r="T139" s="69"/>
    </row>
    <row r="140" spans="1:20" ht="114" customHeight="1" x14ac:dyDescent="0.3">
      <c r="A140" s="98">
        <f t="shared" ca="1" si="7"/>
        <v>137</v>
      </c>
      <c r="B140" s="506">
        <v>1550</v>
      </c>
      <c r="C140" s="492">
        <v>45881</v>
      </c>
      <c r="D140" s="369">
        <v>91069637</v>
      </c>
      <c r="E140" s="212" t="s">
        <v>4117</v>
      </c>
      <c r="F140" s="344" t="s">
        <v>1</v>
      </c>
      <c r="G140" s="112" t="s">
        <v>10</v>
      </c>
      <c r="H140" s="493">
        <v>45881</v>
      </c>
      <c r="I140" s="25"/>
      <c r="J140" s="737" t="s">
        <v>4020</v>
      </c>
      <c r="K140" s="494"/>
      <c r="L140" s="495"/>
      <c r="M140" s="496"/>
      <c r="N140" s="497"/>
      <c r="O140" s="498"/>
      <c r="P140" s="499"/>
      <c r="Q140" s="500">
        <v>45881</v>
      </c>
      <c r="R140" s="148">
        <f t="shared" si="9"/>
        <v>1</v>
      </c>
      <c r="S140" s="633" t="s">
        <v>214</v>
      </c>
      <c r="T140" s="69"/>
    </row>
    <row r="141" spans="1:20" ht="28.8" x14ac:dyDescent="0.3">
      <c r="A141" s="98">
        <f t="shared" ca="1" si="7"/>
        <v>138</v>
      </c>
      <c r="B141" s="506" t="s">
        <v>301</v>
      </c>
      <c r="C141" s="492">
        <v>45881</v>
      </c>
      <c r="D141" s="369">
        <v>31739679</v>
      </c>
      <c r="E141" s="212" t="s">
        <v>4118</v>
      </c>
      <c r="F141" s="344" t="s">
        <v>23</v>
      </c>
      <c r="G141" s="112" t="s">
        <v>6</v>
      </c>
      <c r="H141" s="493">
        <v>45881</v>
      </c>
      <c r="I141" s="25"/>
      <c r="J141" s="100" t="s">
        <v>135</v>
      </c>
      <c r="K141" s="558"/>
      <c r="L141" s="508"/>
      <c r="M141" s="365"/>
      <c r="N141" s="509"/>
      <c r="O141" s="510"/>
      <c r="P141" s="511"/>
      <c r="Q141" s="500">
        <v>45881</v>
      </c>
      <c r="R141" s="148">
        <f t="shared" si="9"/>
        <v>1</v>
      </c>
      <c r="S141" s="633" t="s">
        <v>3783</v>
      </c>
      <c r="T141" s="69"/>
    </row>
    <row r="142" spans="1:20" ht="43.2" x14ac:dyDescent="0.3">
      <c r="A142" s="98">
        <f t="shared" ca="1" si="7"/>
        <v>52</v>
      </c>
      <c r="B142" s="195">
        <v>1550</v>
      </c>
      <c r="C142" s="603">
        <v>45881</v>
      </c>
      <c r="D142" s="632">
        <v>284061778</v>
      </c>
      <c r="E142" s="270" t="s">
        <v>4119</v>
      </c>
      <c r="F142" s="344" t="s">
        <v>17</v>
      </c>
      <c r="G142" s="112" t="s">
        <v>8</v>
      </c>
      <c r="H142" s="493">
        <v>45881</v>
      </c>
      <c r="I142" s="25"/>
      <c r="J142" s="732" t="s">
        <v>82</v>
      </c>
      <c r="K142" s="558"/>
      <c r="L142" s="508"/>
      <c r="M142" s="365"/>
      <c r="N142" s="509"/>
      <c r="O142" s="510"/>
      <c r="P142" s="511"/>
      <c r="Q142" s="500">
        <v>45890</v>
      </c>
      <c r="R142" s="148">
        <f t="shared" si="9"/>
        <v>1.0001961596303481</v>
      </c>
      <c r="S142" s="633" t="s">
        <v>3743</v>
      </c>
      <c r="T142" s="69"/>
    </row>
    <row r="143" spans="1:20" ht="43.2" x14ac:dyDescent="0.3">
      <c r="A143" s="98">
        <f t="shared" ca="1" si="7"/>
        <v>140</v>
      </c>
      <c r="B143" s="506">
        <v>1550</v>
      </c>
      <c r="C143" s="492">
        <v>45882</v>
      </c>
      <c r="D143" s="369">
        <v>72494441</v>
      </c>
      <c r="E143" s="212" t="s">
        <v>4120</v>
      </c>
      <c r="F143" s="344" t="s">
        <v>1</v>
      </c>
      <c r="G143" s="112" t="s">
        <v>4</v>
      </c>
      <c r="H143" s="493">
        <v>45882</v>
      </c>
      <c r="I143" s="25"/>
      <c r="J143" s="738" t="s">
        <v>2352</v>
      </c>
      <c r="K143" s="558"/>
      <c r="L143" s="508"/>
      <c r="M143" s="365"/>
      <c r="N143" s="509"/>
      <c r="O143" s="510"/>
      <c r="P143" s="511"/>
      <c r="Q143" s="500">
        <v>45882</v>
      </c>
      <c r="R143" s="148">
        <f t="shared" si="9"/>
        <v>1</v>
      </c>
      <c r="S143" s="633" t="s">
        <v>720</v>
      </c>
      <c r="T143" s="69"/>
    </row>
    <row r="144" spans="1:20" ht="43.2" x14ac:dyDescent="0.3">
      <c r="A144" s="98">
        <f t="shared" ca="1" si="7"/>
        <v>141</v>
      </c>
      <c r="B144" s="506">
        <v>1550</v>
      </c>
      <c r="C144" s="492">
        <v>45882</v>
      </c>
      <c r="D144">
        <v>4437683</v>
      </c>
      <c r="E144" s="212" t="s">
        <v>4121</v>
      </c>
      <c r="F144" s="344" t="s">
        <v>52</v>
      </c>
      <c r="G144" s="112" t="s">
        <v>4</v>
      </c>
      <c r="H144" s="493">
        <v>45882</v>
      </c>
      <c r="I144" s="25"/>
      <c r="J144" s="732" t="s">
        <v>253</v>
      </c>
      <c r="K144" s="558"/>
      <c r="L144" s="508"/>
      <c r="M144" s="365"/>
      <c r="N144" s="509"/>
      <c r="O144" s="510"/>
      <c r="P144" s="511"/>
      <c r="Q144" s="500">
        <v>45883</v>
      </c>
      <c r="R144" s="148">
        <f t="shared" si="9"/>
        <v>1.000021795039449</v>
      </c>
      <c r="S144" s="633" t="s">
        <v>720</v>
      </c>
      <c r="T144" s="69"/>
    </row>
    <row r="145" spans="1:20" ht="28.8" x14ac:dyDescent="0.3">
      <c r="A145" s="98">
        <f t="shared" ca="1" si="7"/>
        <v>142</v>
      </c>
      <c r="B145" s="506" t="s">
        <v>80</v>
      </c>
      <c r="C145" s="492">
        <v>45882</v>
      </c>
      <c r="D145" s="369">
        <v>107725479</v>
      </c>
      <c r="E145" s="212" t="s">
        <v>4122</v>
      </c>
      <c r="F145" s="344" t="s">
        <v>1</v>
      </c>
      <c r="G145" s="112" t="s">
        <v>4</v>
      </c>
      <c r="H145" s="493">
        <v>45882</v>
      </c>
      <c r="I145" s="25"/>
      <c r="J145" s="738" t="s">
        <v>2352</v>
      </c>
      <c r="K145" s="558"/>
      <c r="L145" s="508"/>
      <c r="M145" s="365"/>
      <c r="N145" s="509"/>
      <c r="O145" s="510"/>
      <c r="P145" s="511"/>
      <c r="Q145" s="500">
        <v>45883</v>
      </c>
      <c r="R145" s="148">
        <f t="shared" si="9"/>
        <v>1.000021795039449</v>
      </c>
      <c r="S145" s="633" t="s">
        <v>2974</v>
      </c>
      <c r="T145" s="167"/>
    </row>
    <row r="146" spans="1:20" ht="43.2" x14ac:dyDescent="0.3">
      <c r="A146" s="98">
        <f t="shared" ca="1" si="7"/>
        <v>143</v>
      </c>
      <c r="B146" s="506">
        <v>1550</v>
      </c>
      <c r="C146" s="492">
        <v>45882</v>
      </c>
      <c r="D146" s="369">
        <v>107204207</v>
      </c>
      <c r="E146" s="212" t="s">
        <v>4123</v>
      </c>
      <c r="F146" s="344" t="s">
        <v>12</v>
      </c>
      <c r="G146" s="112" t="s">
        <v>8</v>
      </c>
      <c r="H146" s="493">
        <v>45882</v>
      </c>
      <c r="I146" s="25"/>
      <c r="J146" s="732" t="s">
        <v>159</v>
      </c>
      <c r="K146" s="494"/>
      <c r="L146" s="495"/>
      <c r="M146" s="496"/>
      <c r="N146" s="497"/>
      <c r="O146" s="498"/>
      <c r="P146" s="499"/>
      <c r="Q146" s="500">
        <v>45888</v>
      </c>
      <c r="R146" s="148">
        <f t="shared" si="9"/>
        <v>1.0001307702366942</v>
      </c>
      <c r="S146" s="633" t="s">
        <v>3841</v>
      </c>
      <c r="T146" s="69"/>
    </row>
    <row r="147" spans="1:20" ht="43.2" x14ac:dyDescent="0.3">
      <c r="A147" s="98">
        <f t="shared" ca="1" si="7"/>
        <v>144</v>
      </c>
      <c r="B147" s="506">
        <v>1550</v>
      </c>
      <c r="C147" s="492">
        <v>45882</v>
      </c>
      <c r="D147" s="369">
        <v>107219859</v>
      </c>
      <c r="E147" s="212" t="s">
        <v>4124</v>
      </c>
      <c r="F147" s="344" t="s">
        <v>1</v>
      </c>
      <c r="G147" s="112" t="s">
        <v>4</v>
      </c>
      <c r="H147" s="493">
        <v>45882</v>
      </c>
      <c r="I147" s="25"/>
      <c r="J147" s="741" t="s">
        <v>99</v>
      </c>
      <c r="K147" s="507"/>
      <c r="L147" s="508"/>
      <c r="M147" s="365"/>
      <c r="N147" s="509"/>
      <c r="O147" s="510"/>
      <c r="P147" s="511"/>
      <c r="Q147" s="500">
        <v>45902</v>
      </c>
      <c r="R147" s="148">
        <f t="shared" si="9"/>
        <v>1.0004359007889805</v>
      </c>
      <c r="S147" s="633" t="s">
        <v>720</v>
      </c>
      <c r="T147" s="167"/>
    </row>
    <row r="148" spans="1:20" ht="43.2" x14ac:dyDescent="0.3">
      <c r="A148" s="98">
        <f t="shared" ca="1" si="7"/>
        <v>145</v>
      </c>
      <c r="B148" s="506" t="s">
        <v>80</v>
      </c>
      <c r="C148" s="492">
        <v>45882</v>
      </c>
      <c r="D148" s="369">
        <v>7195419</v>
      </c>
      <c r="E148" s="270" t="s">
        <v>4125</v>
      </c>
      <c r="F148" s="344" t="s">
        <v>1</v>
      </c>
      <c r="G148" s="112" t="s">
        <v>4</v>
      </c>
      <c r="H148" s="493">
        <v>45882</v>
      </c>
      <c r="I148" s="25"/>
      <c r="J148" s="741" t="s">
        <v>99</v>
      </c>
      <c r="K148" s="507"/>
      <c r="L148" s="508"/>
      <c r="M148" s="365"/>
      <c r="N148" s="509"/>
      <c r="O148" s="510"/>
      <c r="P148" s="511"/>
      <c r="Q148" s="500">
        <v>45898</v>
      </c>
      <c r="R148" s="148">
        <f t="shared" si="9"/>
        <v>1.0003487206311843</v>
      </c>
      <c r="S148" s="633" t="s">
        <v>3020</v>
      </c>
      <c r="T148" s="167"/>
    </row>
    <row r="149" spans="1:20" ht="57.6" x14ac:dyDescent="0.3">
      <c r="A149" s="98">
        <f t="shared" ca="1" si="7"/>
        <v>146</v>
      </c>
      <c r="B149" s="506">
        <v>1550</v>
      </c>
      <c r="C149" s="492">
        <v>45882</v>
      </c>
      <c r="D149" s="369">
        <v>9783636</v>
      </c>
      <c r="E149" s="270" t="s">
        <v>4126</v>
      </c>
      <c r="F149" s="344" t="s">
        <v>39</v>
      </c>
      <c r="G149" s="112" t="s">
        <v>8</v>
      </c>
      <c r="H149" s="493">
        <v>45882</v>
      </c>
      <c r="I149" s="25"/>
      <c r="J149" s="107" t="s">
        <v>22</v>
      </c>
      <c r="K149" s="494"/>
      <c r="L149" s="495"/>
      <c r="M149" s="496"/>
      <c r="N149" s="497"/>
      <c r="O149" s="498"/>
      <c r="P149" s="499"/>
      <c r="Q149" s="500">
        <v>46041</v>
      </c>
      <c r="R149" s="148">
        <f>Q149-H149</f>
        <v>159</v>
      </c>
      <c r="S149" s="633" t="s">
        <v>4127</v>
      </c>
      <c r="T149" s="69"/>
    </row>
    <row r="150" spans="1:20" ht="28.8" x14ac:dyDescent="0.3">
      <c r="A150" s="98">
        <f t="shared" ca="1" si="7"/>
        <v>147</v>
      </c>
      <c r="B150" s="506" t="s">
        <v>80</v>
      </c>
      <c r="C150" s="492">
        <v>45882</v>
      </c>
      <c r="D150" s="369">
        <v>96180307</v>
      </c>
      <c r="E150" s="270" t="s">
        <v>4128</v>
      </c>
      <c r="F150" s="344" t="s">
        <v>17</v>
      </c>
      <c r="G150" s="112" t="s">
        <v>4</v>
      </c>
      <c r="H150" s="493">
        <v>45882</v>
      </c>
      <c r="I150" s="25">
        <v>10000313506</v>
      </c>
      <c r="J150" s="732" t="s">
        <v>82</v>
      </c>
      <c r="K150" s="507"/>
      <c r="L150" s="508"/>
      <c r="M150" s="365"/>
      <c r="N150" s="509"/>
      <c r="O150" s="510"/>
      <c r="P150" s="511"/>
      <c r="Q150" s="500">
        <v>46008</v>
      </c>
      <c r="R150" s="148">
        <f t="shared" ref="R150:R158" si="10">Q150/H150</f>
        <v>1.0027461749705766</v>
      </c>
      <c r="S150" s="633" t="s">
        <v>3020</v>
      </c>
      <c r="T150" s="69"/>
    </row>
    <row r="151" spans="1:20" ht="28.8" x14ac:dyDescent="0.3">
      <c r="A151" s="98">
        <f t="shared" ca="1" si="7"/>
        <v>148</v>
      </c>
      <c r="B151" s="506" t="s">
        <v>80</v>
      </c>
      <c r="C151" s="492">
        <v>45882</v>
      </c>
      <c r="D151" s="369">
        <v>120342014</v>
      </c>
      <c r="E151" s="270" t="s">
        <v>4129</v>
      </c>
      <c r="F151" s="344" t="s">
        <v>1</v>
      </c>
      <c r="G151" s="112" t="s">
        <v>4</v>
      </c>
      <c r="H151" s="493">
        <v>45882</v>
      </c>
      <c r="I151" s="25"/>
      <c r="J151" s="738" t="s">
        <v>4020</v>
      </c>
      <c r="K151" s="494"/>
      <c r="L151" s="495"/>
      <c r="M151" s="496"/>
      <c r="N151" s="497"/>
      <c r="O151" s="498"/>
      <c r="P151" s="499"/>
      <c r="Q151" s="500">
        <v>45892</v>
      </c>
      <c r="R151" s="148">
        <f t="shared" si="10"/>
        <v>1.0002179503944901</v>
      </c>
      <c r="S151" s="633" t="s">
        <v>3020</v>
      </c>
      <c r="T151" s="69"/>
    </row>
    <row r="152" spans="1:20" ht="43.2" x14ac:dyDescent="0.3">
      <c r="A152" s="98">
        <f t="shared" ca="1" si="7"/>
        <v>149</v>
      </c>
      <c r="B152" s="506">
        <v>1550</v>
      </c>
      <c r="C152" s="492">
        <v>45882</v>
      </c>
      <c r="D152" s="369">
        <v>86798375</v>
      </c>
      <c r="E152" s="270" t="s">
        <v>4130</v>
      </c>
      <c r="F152" s="344" t="s">
        <v>7</v>
      </c>
      <c r="G152" s="112" t="s">
        <v>8</v>
      </c>
      <c r="H152" s="493">
        <v>45882</v>
      </c>
      <c r="I152" s="25"/>
      <c r="J152" s="107" t="s">
        <v>2547</v>
      </c>
      <c r="K152" s="494"/>
      <c r="L152" s="495"/>
      <c r="M152" s="496"/>
      <c r="N152" s="497"/>
      <c r="O152" s="498"/>
      <c r="P152" s="499"/>
      <c r="Q152" s="500">
        <v>45887</v>
      </c>
      <c r="R152" s="148">
        <f t="shared" si="10"/>
        <v>1.0001089751972452</v>
      </c>
      <c r="S152" s="633" t="s">
        <v>3418</v>
      </c>
      <c r="T152" s="69"/>
    </row>
    <row r="153" spans="1:20" ht="43.2" x14ac:dyDescent="0.3">
      <c r="A153" s="98">
        <f t="shared" ca="1" si="7"/>
        <v>150</v>
      </c>
      <c r="B153" s="506" t="s">
        <v>80</v>
      </c>
      <c r="C153" s="492">
        <v>45882</v>
      </c>
      <c r="D153" s="537">
        <v>108444309</v>
      </c>
      <c r="E153" s="270" t="s">
        <v>4131</v>
      </c>
      <c r="F153" s="344" t="s">
        <v>48</v>
      </c>
      <c r="G153" s="112" t="s">
        <v>4</v>
      </c>
      <c r="H153" s="493">
        <v>45882</v>
      </c>
      <c r="I153" s="25"/>
      <c r="J153" s="727" t="s">
        <v>99</v>
      </c>
      <c r="K153" s="494"/>
      <c r="L153" s="495"/>
      <c r="M153" s="496"/>
      <c r="N153" s="497"/>
      <c r="O153" s="498"/>
      <c r="P153" s="499"/>
      <c r="Q153" s="500">
        <v>45902</v>
      </c>
      <c r="R153" s="148">
        <f t="shared" si="10"/>
        <v>1.0004359007889805</v>
      </c>
      <c r="S153" s="633" t="s">
        <v>3020</v>
      </c>
      <c r="T153" s="315" t="s">
        <v>4132</v>
      </c>
    </row>
    <row r="154" spans="1:20" ht="87" customHeight="1" x14ac:dyDescent="0.3">
      <c r="A154" s="98">
        <f t="shared" ref="A154:A217" ca="1" si="11">A153+1</f>
        <v>151</v>
      </c>
      <c r="B154" s="506">
        <v>1550</v>
      </c>
      <c r="C154" s="492">
        <v>45882</v>
      </c>
      <c r="D154" s="219">
        <v>16865391</v>
      </c>
      <c r="E154" s="635" t="s">
        <v>4133</v>
      </c>
      <c r="F154" s="344" t="s">
        <v>9</v>
      </c>
      <c r="G154" s="112" t="s">
        <v>10</v>
      </c>
      <c r="H154" s="493">
        <v>45882</v>
      </c>
      <c r="I154" s="25"/>
      <c r="J154" s="732" t="s">
        <v>2765</v>
      </c>
      <c r="K154" s="494"/>
      <c r="L154" s="495"/>
      <c r="M154" s="496"/>
      <c r="N154" s="497"/>
      <c r="O154" s="498"/>
      <c r="P154" s="499"/>
      <c r="Q154" s="500">
        <v>45883</v>
      </c>
      <c r="R154" s="148">
        <f t="shared" si="10"/>
        <v>1.000021795039449</v>
      </c>
      <c r="S154" s="633" t="s">
        <v>1806</v>
      </c>
      <c r="T154" s="69"/>
    </row>
    <row r="155" spans="1:20" ht="43.2" x14ac:dyDescent="0.3">
      <c r="A155" s="98">
        <f t="shared" ca="1" si="11"/>
        <v>152</v>
      </c>
      <c r="B155" s="506">
        <v>1550</v>
      </c>
      <c r="C155" s="492">
        <v>45883</v>
      </c>
      <c r="D155" s="664">
        <v>5872340</v>
      </c>
      <c r="E155" s="635" t="s">
        <v>4134</v>
      </c>
      <c r="F155" s="344" t="s">
        <v>52</v>
      </c>
      <c r="G155" s="112" t="s">
        <v>8</v>
      </c>
      <c r="H155" s="493">
        <v>45883</v>
      </c>
      <c r="I155" s="25"/>
      <c r="J155" s="732" t="s">
        <v>253</v>
      </c>
      <c r="K155" s="494"/>
      <c r="L155" s="495"/>
      <c r="M155" s="496"/>
      <c r="N155" s="497"/>
      <c r="O155" s="498"/>
      <c r="P155" s="499"/>
      <c r="Q155" s="500">
        <v>45883</v>
      </c>
      <c r="R155" s="148">
        <f t="shared" si="10"/>
        <v>1</v>
      </c>
      <c r="S155" s="633" t="s">
        <v>3841</v>
      </c>
      <c r="T155" s="69"/>
    </row>
    <row r="156" spans="1:20" ht="43.2" x14ac:dyDescent="0.3">
      <c r="A156" s="98">
        <f t="shared" ca="1" si="11"/>
        <v>153</v>
      </c>
      <c r="B156" s="506">
        <v>1550</v>
      </c>
      <c r="C156" s="492">
        <v>45883</v>
      </c>
      <c r="D156" s="369">
        <v>93340737</v>
      </c>
      <c r="E156" s="270" t="s">
        <v>4131</v>
      </c>
      <c r="F156" s="344" t="s">
        <v>48</v>
      </c>
      <c r="G156" s="112" t="s">
        <v>4</v>
      </c>
      <c r="H156" s="493">
        <v>45883</v>
      </c>
      <c r="I156" s="25"/>
      <c r="J156" s="727" t="s">
        <v>99</v>
      </c>
      <c r="K156" s="494"/>
      <c r="L156" s="495"/>
      <c r="M156" s="496"/>
      <c r="N156" s="497"/>
      <c r="O156" s="498"/>
      <c r="P156" s="499"/>
      <c r="Q156" s="500">
        <v>45902</v>
      </c>
      <c r="R156" s="148">
        <f t="shared" si="10"/>
        <v>1.0004140967242769</v>
      </c>
      <c r="S156" s="633" t="s">
        <v>3020</v>
      </c>
      <c r="T156" s="315" t="s">
        <v>4135</v>
      </c>
    </row>
    <row r="157" spans="1:20" ht="43.2" x14ac:dyDescent="0.3">
      <c r="A157" s="98">
        <f t="shared" ca="1" si="11"/>
        <v>154</v>
      </c>
      <c r="B157" s="506">
        <v>1550</v>
      </c>
      <c r="C157" s="492">
        <v>45883</v>
      </c>
      <c r="D157" s="369">
        <v>92562140</v>
      </c>
      <c r="E157" s="270" t="s">
        <v>3865</v>
      </c>
      <c r="F157" s="344" t="s">
        <v>49</v>
      </c>
      <c r="G157" s="112" t="s">
        <v>4</v>
      </c>
      <c r="H157" s="493">
        <v>45883</v>
      </c>
      <c r="I157" s="25"/>
      <c r="J157" s="107" t="s">
        <v>266</v>
      </c>
      <c r="K157" s="494"/>
      <c r="L157" s="495"/>
      <c r="M157" s="496"/>
      <c r="N157" s="497"/>
      <c r="O157" s="498"/>
      <c r="P157" s="499"/>
      <c r="Q157" s="500">
        <v>45883</v>
      </c>
      <c r="R157" s="148">
        <f t="shared" si="10"/>
        <v>1</v>
      </c>
      <c r="S157" s="633" t="s">
        <v>3830</v>
      </c>
      <c r="T157" s="167"/>
    </row>
    <row r="158" spans="1:20" ht="28.8" x14ac:dyDescent="0.3">
      <c r="A158" s="98">
        <f t="shared" ca="1" si="11"/>
        <v>155</v>
      </c>
      <c r="B158" s="506">
        <v>1550</v>
      </c>
      <c r="C158" s="492">
        <v>45883</v>
      </c>
      <c r="D158" s="369">
        <v>310892856</v>
      </c>
      <c r="E158" s="270" t="s">
        <v>4136</v>
      </c>
      <c r="F158" s="344" t="s">
        <v>3</v>
      </c>
      <c r="G158" s="112" t="s">
        <v>4</v>
      </c>
      <c r="H158" s="493">
        <v>45883</v>
      </c>
      <c r="I158" s="25"/>
      <c r="J158" s="107" t="s">
        <v>2504</v>
      </c>
      <c r="K158" s="494"/>
      <c r="L158" s="495"/>
      <c r="M158" s="496"/>
      <c r="N158" s="497"/>
      <c r="O158" s="498"/>
      <c r="P158" s="499"/>
      <c r="Q158" s="500">
        <v>45883</v>
      </c>
      <c r="R158" s="148">
        <f t="shared" si="10"/>
        <v>1</v>
      </c>
      <c r="S158" s="633" t="s">
        <v>2974</v>
      </c>
      <c r="T158" s="167"/>
    </row>
    <row r="159" spans="1:20" ht="57.6" x14ac:dyDescent="0.3">
      <c r="A159" s="98">
        <f t="shared" ca="1" si="11"/>
        <v>156</v>
      </c>
      <c r="B159" s="506">
        <v>1550</v>
      </c>
      <c r="C159" s="492">
        <v>45883</v>
      </c>
      <c r="D159" s="369">
        <v>70996229</v>
      </c>
      <c r="E159" s="270" t="s">
        <v>4137</v>
      </c>
      <c r="F159" s="344" t="s">
        <v>39</v>
      </c>
      <c r="G159" s="112" t="s">
        <v>8</v>
      </c>
      <c r="H159" s="493">
        <v>45883</v>
      </c>
      <c r="I159" s="25"/>
      <c r="J159" s="107" t="s">
        <v>22</v>
      </c>
      <c r="K159" s="494"/>
      <c r="L159" s="495"/>
      <c r="M159" s="496"/>
      <c r="N159" s="497"/>
      <c r="O159" s="498"/>
      <c r="P159" s="499"/>
      <c r="Q159" s="500">
        <v>46041</v>
      </c>
      <c r="R159" s="148">
        <f>Q159-H159</f>
        <v>158</v>
      </c>
      <c r="S159" s="633" t="s">
        <v>3931</v>
      </c>
      <c r="T159" s="167"/>
    </row>
    <row r="160" spans="1:20" ht="43.2" x14ac:dyDescent="0.3">
      <c r="A160" s="98">
        <f t="shared" ca="1" si="11"/>
        <v>157</v>
      </c>
      <c r="B160" s="506">
        <v>1550</v>
      </c>
      <c r="C160" s="492">
        <v>45883</v>
      </c>
      <c r="D160" s="369">
        <v>12906603</v>
      </c>
      <c r="E160" s="270" t="s">
        <v>4138</v>
      </c>
      <c r="F160" s="344" t="s">
        <v>19</v>
      </c>
      <c r="G160" s="112" t="s">
        <v>4</v>
      </c>
      <c r="H160" s="493">
        <v>45883</v>
      </c>
      <c r="I160" s="25"/>
      <c r="J160" s="732" t="s">
        <v>159</v>
      </c>
      <c r="K160" s="494"/>
      <c r="L160" s="495"/>
      <c r="M160" s="496"/>
      <c r="N160" s="497"/>
      <c r="O160" s="498"/>
      <c r="P160" s="499"/>
      <c r="Q160" s="500">
        <v>45889</v>
      </c>
      <c r="R160" s="148">
        <f t="shared" ref="R160:R191" si="12">Q160/H160</f>
        <v>1.0001307673866138</v>
      </c>
      <c r="S160" s="633" t="s">
        <v>2970</v>
      </c>
      <c r="T160" s="167"/>
    </row>
    <row r="161" spans="1:20" ht="115.2" x14ac:dyDescent="0.3">
      <c r="A161" s="98">
        <f t="shared" ca="1" si="11"/>
        <v>158</v>
      </c>
      <c r="B161" s="506" t="s">
        <v>301</v>
      </c>
      <c r="C161" s="492">
        <v>45883</v>
      </c>
      <c r="D161" s="369">
        <v>110599543</v>
      </c>
      <c r="E161" s="270" t="s">
        <v>4139</v>
      </c>
      <c r="F161" s="344" t="s">
        <v>1</v>
      </c>
      <c r="G161" s="112" t="s">
        <v>6</v>
      </c>
      <c r="H161" s="493">
        <v>45883</v>
      </c>
      <c r="I161" s="25"/>
      <c r="J161" s="738" t="s">
        <v>2367</v>
      </c>
      <c r="K161" s="494"/>
      <c r="L161" s="495"/>
      <c r="M161" s="496"/>
      <c r="N161" s="497"/>
      <c r="O161" s="498"/>
      <c r="P161" s="499"/>
      <c r="Q161" s="500">
        <v>45887</v>
      </c>
      <c r="R161" s="148">
        <f t="shared" si="12"/>
        <v>1.0000871782577425</v>
      </c>
      <c r="S161" s="633" t="s">
        <v>2808</v>
      </c>
      <c r="T161" s="69"/>
    </row>
    <row r="162" spans="1:20" ht="73.5" customHeight="1" x14ac:dyDescent="0.3">
      <c r="A162" s="98">
        <f t="shared" ca="1" si="11"/>
        <v>159</v>
      </c>
      <c r="B162" s="506">
        <v>1550</v>
      </c>
      <c r="C162" s="492">
        <v>45883</v>
      </c>
      <c r="D162" s="369">
        <v>112862284</v>
      </c>
      <c r="E162" s="264" t="s">
        <v>4140</v>
      </c>
      <c r="F162" s="344" t="s">
        <v>1</v>
      </c>
      <c r="G162" s="112" t="s">
        <v>10</v>
      </c>
      <c r="H162" s="493">
        <v>45883</v>
      </c>
      <c r="I162" s="25"/>
      <c r="J162" s="100" t="s">
        <v>3479</v>
      </c>
      <c r="K162" s="494"/>
      <c r="L162" s="495"/>
      <c r="M162" s="496"/>
      <c r="N162" s="497"/>
      <c r="O162" s="498"/>
      <c r="P162" s="499"/>
      <c r="Q162" s="500">
        <v>45883</v>
      </c>
      <c r="R162" s="148">
        <f t="shared" si="12"/>
        <v>1</v>
      </c>
      <c r="S162" s="633" t="s">
        <v>2213</v>
      </c>
      <c r="T162" s="69"/>
    </row>
    <row r="163" spans="1:20" ht="102.75" customHeight="1" x14ac:dyDescent="0.3">
      <c r="A163" s="98">
        <f t="shared" ca="1" si="11"/>
        <v>160</v>
      </c>
      <c r="B163" s="553">
        <v>1550</v>
      </c>
      <c r="C163" s="556">
        <v>45883</v>
      </c>
      <c r="D163" s="537">
        <v>7967446</v>
      </c>
      <c r="E163" s="290" t="s">
        <v>4141</v>
      </c>
      <c r="F163" s="416" t="s">
        <v>1</v>
      </c>
      <c r="G163" s="417" t="s">
        <v>10</v>
      </c>
      <c r="H163" s="560">
        <v>45883</v>
      </c>
      <c r="I163" s="561"/>
      <c r="J163" s="739" t="s">
        <v>4020</v>
      </c>
      <c r="K163" s="562"/>
      <c r="L163" s="563"/>
      <c r="M163" s="496"/>
      <c r="N163" s="497"/>
      <c r="O163" s="498"/>
      <c r="P163" s="499"/>
      <c r="Q163" s="500">
        <v>45883</v>
      </c>
      <c r="R163" s="148">
        <f t="shared" si="12"/>
        <v>1</v>
      </c>
      <c r="S163" s="633" t="s">
        <v>214</v>
      </c>
      <c r="T163" s="69"/>
    </row>
    <row r="164" spans="1:20" ht="57.6" x14ac:dyDescent="0.3">
      <c r="A164" s="98">
        <f t="shared" ca="1" si="11"/>
        <v>161</v>
      </c>
      <c r="B164" s="111" t="s">
        <v>80</v>
      </c>
      <c r="C164" s="512">
        <v>45887</v>
      </c>
      <c r="D164" s="219">
        <v>107783576</v>
      </c>
      <c r="E164" s="254" t="s">
        <v>4142</v>
      </c>
      <c r="F164" s="111" t="s">
        <v>39</v>
      </c>
      <c r="G164" s="125" t="s">
        <v>4</v>
      </c>
      <c r="H164" s="568">
        <v>45887</v>
      </c>
      <c r="I164" s="341">
        <v>10000311763</v>
      </c>
      <c r="J164" s="125" t="s">
        <v>135</v>
      </c>
      <c r="K164" s="569"/>
      <c r="L164" s="570"/>
      <c r="M164" s="665"/>
      <c r="N164" s="497"/>
      <c r="O164" s="498"/>
      <c r="P164" s="499"/>
      <c r="Q164" s="500">
        <v>45922</v>
      </c>
      <c r="R164" s="148">
        <f t="shared" si="12"/>
        <v>1.0007627432606185</v>
      </c>
      <c r="S164" s="633" t="s">
        <v>4143</v>
      </c>
      <c r="T164" s="69" t="s">
        <v>4144</v>
      </c>
    </row>
    <row r="165" spans="1:20" ht="28.8" x14ac:dyDescent="0.3">
      <c r="A165" s="98">
        <f t="shared" ca="1" si="11"/>
        <v>162</v>
      </c>
      <c r="B165" s="111" t="s">
        <v>80</v>
      </c>
      <c r="C165" s="512">
        <v>45887</v>
      </c>
      <c r="D165" s="219">
        <v>55415415</v>
      </c>
      <c r="E165" s="254" t="s">
        <v>4145</v>
      </c>
      <c r="F165" s="111" t="s">
        <v>17</v>
      </c>
      <c r="G165" s="125" t="s">
        <v>4</v>
      </c>
      <c r="H165" s="568">
        <v>45887</v>
      </c>
      <c r="I165" s="341">
        <v>10000313906</v>
      </c>
      <c r="J165" s="732" t="s">
        <v>82</v>
      </c>
      <c r="K165" s="569"/>
      <c r="L165" s="570"/>
      <c r="M165" s="666"/>
      <c r="N165" s="565"/>
      <c r="O165" s="566"/>
      <c r="P165" s="567"/>
      <c r="Q165" s="500">
        <v>46010</v>
      </c>
      <c r="R165" s="148">
        <f t="shared" si="12"/>
        <v>1.0026804977444592</v>
      </c>
      <c r="S165" s="633" t="s">
        <v>3468</v>
      </c>
      <c r="T165" s="69"/>
    </row>
    <row r="166" spans="1:20" ht="28.8" x14ac:dyDescent="0.3">
      <c r="A166" s="98">
        <f t="shared" ca="1" si="11"/>
        <v>163</v>
      </c>
      <c r="B166" s="111" t="s">
        <v>80</v>
      </c>
      <c r="C166" s="512">
        <v>45887</v>
      </c>
      <c r="D166" s="219">
        <v>103297146</v>
      </c>
      <c r="E166" s="109" t="s">
        <v>4146</v>
      </c>
      <c r="F166" s="111" t="s">
        <v>17</v>
      </c>
      <c r="G166" s="125" t="s">
        <v>4</v>
      </c>
      <c r="H166" s="568">
        <v>45887</v>
      </c>
      <c r="I166" s="341"/>
      <c r="J166" s="732" t="s">
        <v>82</v>
      </c>
      <c r="K166" s="569"/>
      <c r="L166" s="570"/>
      <c r="M166" s="667"/>
      <c r="N166" s="571"/>
      <c r="O166" s="572"/>
      <c r="P166" s="572"/>
      <c r="Q166" s="500">
        <v>45894</v>
      </c>
      <c r="R166" s="148">
        <f t="shared" si="12"/>
        <v>1.0001525486521237</v>
      </c>
      <c r="S166" s="633" t="s">
        <v>3468</v>
      </c>
      <c r="T166" s="57"/>
    </row>
    <row r="167" spans="1:20" ht="43.2" x14ac:dyDescent="0.3">
      <c r="A167" s="98">
        <f t="shared" ca="1" si="11"/>
        <v>164</v>
      </c>
      <c r="B167" s="111" t="s">
        <v>80</v>
      </c>
      <c r="C167" s="512">
        <v>45887</v>
      </c>
      <c r="D167" s="219">
        <v>74317636</v>
      </c>
      <c r="E167" s="109" t="s">
        <v>4147</v>
      </c>
      <c r="F167" s="111" t="s">
        <v>1</v>
      </c>
      <c r="G167" s="125" t="s">
        <v>4</v>
      </c>
      <c r="H167" s="568">
        <v>45887</v>
      </c>
      <c r="I167" s="341"/>
      <c r="J167" s="741" t="s">
        <v>99</v>
      </c>
      <c r="K167" s="569" t="s">
        <v>262</v>
      </c>
      <c r="L167" s="570"/>
      <c r="M167" s="515"/>
      <c r="N167" s="577"/>
      <c r="O167" s="578"/>
      <c r="P167" s="579"/>
      <c r="Q167" s="500">
        <v>45902</v>
      </c>
      <c r="R167" s="148">
        <f t="shared" si="12"/>
        <v>1.0003268899688365</v>
      </c>
      <c r="S167" s="633" t="s">
        <v>3468</v>
      </c>
      <c r="T167" s="69"/>
    </row>
    <row r="168" spans="1:20" ht="43.2" x14ac:dyDescent="0.3">
      <c r="A168" s="98">
        <f t="shared" ca="1" si="11"/>
        <v>165</v>
      </c>
      <c r="B168" s="111">
        <v>1550</v>
      </c>
      <c r="C168" s="512">
        <v>45887</v>
      </c>
      <c r="D168" s="219">
        <v>120635720</v>
      </c>
      <c r="E168" s="109" t="s">
        <v>4148</v>
      </c>
      <c r="F168" s="111" t="s">
        <v>23</v>
      </c>
      <c r="G168" s="125" t="s">
        <v>6</v>
      </c>
      <c r="H168" s="568">
        <v>45887</v>
      </c>
      <c r="I168" s="341"/>
      <c r="J168" s="125" t="s">
        <v>135</v>
      </c>
      <c r="K168" s="569"/>
      <c r="L168" s="570"/>
      <c r="M168" s="665"/>
      <c r="N168" s="497"/>
      <c r="O168" s="498"/>
      <c r="P168" s="499"/>
      <c r="Q168" s="500">
        <v>45887</v>
      </c>
      <c r="R168" s="148">
        <f t="shared" si="12"/>
        <v>1</v>
      </c>
      <c r="S168" s="633" t="s">
        <v>1893</v>
      </c>
      <c r="T168" s="69"/>
    </row>
    <row r="169" spans="1:20" ht="57.6" x14ac:dyDescent="0.3">
      <c r="A169" s="98">
        <f t="shared" ca="1" si="11"/>
        <v>166</v>
      </c>
      <c r="B169" s="554">
        <v>1550</v>
      </c>
      <c r="C169" s="573">
        <v>45887</v>
      </c>
      <c r="D169" s="369">
        <v>303390921</v>
      </c>
      <c r="E169" s="277" t="s">
        <v>2797</v>
      </c>
      <c r="F169" s="101" t="s">
        <v>23</v>
      </c>
      <c r="G169" s="81" t="s">
        <v>8</v>
      </c>
      <c r="H169" s="493">
        <v>45887</v>
      </c>
      <c r="I169" s="555"/>
      <c r="J169" s="107" t="s">
        <v>135</v>
      </c>
      <c r="K169" s="574"/>
      <c r="L169" s="575"/>
      <c r="M169" s="496"/>
      <c r="N169" s="497"/>
      <c r="O169" s="498"/>
      <c r="P169" s="499"/>
      <c r="Q169" s="500">
        <v>45887</v>
      </c>
      <c r="R169" s="148">
        <f t="shared" si="12"/>
        <v>1</v>
      </c>
      <c r="S169" s="633" t="s">
        <v>3418</v>
      </c>
      <c r="T169" s="69"/>
    </row>
    <row r="170" spans="1:20" ht="43.2" x14ac:dyDescent="0.3">
      <c r="A170" s="98">
        <f t="shared" ca="1" si="11"/>
        <v>167</v>
      </c>
      <c r="B170" s="506" t="s">
        <v>301</v>
      </c>
      <c r="C170" s="492">
        <v>45887</v>
      </c>
      <c r="D170" s="369">
        <v>318371979</v>
      </c>
      <c r="E170" s="270" t="s">
        <v>4149</v>
      </c>
      <c r="F170" s="111" t="s">
        <v>23</v>
      </c>
      <c r="G170" s="125" t="s">
        <v>6</v>
      </c>
      <c r="H170" s="568">
        <v>45887</v>
      </c>
      <c r="I170" s="341"/>
      <c r="J170" s="125" t="s">
        <v>135</v>
      </c>
      <c r="K170" s="569"/>
      <c r="L170" s="570"/>
      <c r="M170" s="665"/>
      <c r="N170" s="497"/>
      <c r="O170" s="498"/>
      <c r="P170" s="499"/>
      <c r="Q170" s="500">
        <v>45887</v>
      </c>
      <c r="R170" s="148">
        <f t="shared" si="12"/>
        <v>1</v>
      </c>
      <c r="S170" s="633" t="s">
        <v>1312</v>
      </c>
      <c r="T170" s="69"/>
    </row>
    <row r="171" spans="1:20" ht="57.6" x14ac:dyDescent="0.3">
      <c r="A171" s="98">
        <f t="shared" ca="1" si="11"/>
        <v>168</v>
      </c>
      <c r="B171" s="506">
        <v>1550</v>
      </c>
      <c r="C171" s="492">
        <v>45887</v>
      </c>
      <c r="D171" s="369">
        <v>102130876</v>
      </c>
      <c r="E171" s="270" t="s">
        <v>2856</v>
      </c>
      <c r="F171" s="344" t="s">
        <v>23</v>
      </c>
      <c r="G171" s="112" t="s">
        <v>8</v>
      </c>
      <c r="H171" s="493">
        <v>45887</v>
      </c>
      <c r="I171" s="25"/>
      <c r="J171" s="107" t="s">
        <v>135</v>
      </c>
      <c r="K171" s="494"/>
      <c r="L171" s="636"/>
      <c r="M171" s="496"/>
      <c r="N171" s="497"/>
      <c r="O171" s="498"/>
      <c r="P171" s="499"/>
      <c r="Q171" s="500">
        <v>45887</v>
      </c>
      <c r="R171" s="148">
        <f t="shared" si="12"/>
        <v>1</v>
      </c>
      <c r="S171" s="633" t="s">
        <v>4026</v>
      </c>
      <c r="T171" s="69"/>
    </row>
    <row r="172" spans="1:20" ht="57.6" x14ac:dyDescent="0.3">
      <c r="A172" s="98">
        <f t="shared" ca="1" si="11"/>
        <v>169</v>
      </c>
      <c r="B172" s="506">
        <v>1550</v>
      </c>
      <c r="C172" s="492">
        <v>45887</v>
      </c>
      <c r="D172" s="537">
        <v>240310896</v>
      </c>
      <c r="E172" s="275" t="s">
        <v>2797</v>
      </c>
      <c r="F172" s="416" t="s">
        <v>23</v>
      </c>
      <c r="G172" s="417" t="s">
        <v>8</v>
      </c>
      <c r="H172" s="560">
        <v>45887</v>
      </c>
      <c r="I172" s="561"/>
      <c r="J172" s="489" t="s">
        <v>135</v>
      </c>
      <c r="K172" s="562"/>
      <c r="L172" s="563"/>
      <c r="M172" s="564"/>
      <c r="N172" s="565"/>
      <c r="O172" s="566"/>
      <c r="P172" s="567"/>
      <c r="Q172" s="500">
        <v>45887</v>
      </c>
      <c r="R172" s="148">
        <f t="shared" si="12"/>
        <v>1</v>
      </c>
      <c r="S172" s="633" t="s">
        <v>3146</v>
      </c>
      <c r="T172" s="69"/>
    </row>
    <row r="173" spans="1:20" ht="57.6" x14ac:dyDescent="0.3">
      <c r="A173" s="98">
        <f t="shared" ca="1" si="11"/>
        <v>170</v>
      </c>
      <c r="B173" s="553">
        <v>1550</v>
      </c>
      <c r="C173" s="556">
        <v>45887</v>
      </c>
      <c r="D173" s="219">
        <v>103198946</v>
      </c>
      <c r="E173" s="275" t="s">
        <v>2856</v>
      </c>
      <c r="F173" s="111" t="s">
        <v>23</v>
      </c>
      <c r="G173" s="125" t="s">
        <v>8</v>
      </c>
      <c r="H173" s="568">
        <v>45887</v>
      </c>
      <c r="I173" s="341"/>
      <c r="J173" s="125" t="s">
        <v>135</v>
      </c>
      <c r="K173" s="569"/>
      <c r="L173" s="570"/>
      <c r="M173" s="570"/>
      <c r="N173" s="571"/>
      <c r="O173" s="572"/>
      <c r="P173" s="572"/>
      <c r="Q173" s="500">
        <v>45887</v>
      </c>
      <c r="R173" s="148">
        <f t="shared" si="12"/>
        <v>1</v>
      </c>
      <c r="S173" s="633" t="s">
        <v>4026</v>
      </c>
      <c r="T173" s="167"/>
    </row>
    <row r="174" spans="1:20" ht="57.6" x14ac:dyDescent="0.3">
      <c r="A174" s="98">
        <f t="shared" ca="1" si="11"/>
        <v>171</v>
      </c>
      <c r="B174" s="111">
        <v>1550</v>
      </c>
      <c r="C174" s="502">
        <v>45887</v>
      </c>
      <c r="D174" s="219">
        <v>120635798</v>
      </c>
      <c r="E174" s="109" t="s">
        <v>2797</v>
      </c>
      <c r="F174" s="111" t="s">
        <v>23</v>
      </c>
      <c r="G174" s="125" t="s">
        <v>8</v>
      </c>
      <c r="H174" s="568">
        <v>45887</v>
      </c>
      <c r="I174" s="341"/>
      <c r="J174" s="125" t="s">
        <v>135</v>
      </c>
      <c r="K174" s="569"/>
      <c r="L174" s="570"/>
      <c r="M174" s="570"/>
      <c r="N174" s="571"/>
      <c r="O174" s="572"/>
      <c r="P174" s="572"/>
      <c r="Q174" s="500">
        <v>45887</v>
      </c>
      <c r="R174" s="148">
        <f t="shared" si="12"/>
        <v>1</v>
      </c>
      <c r="S174" s="633" t="s">
        <v>3861</v>
      </c>
      <c r="T174" s="167"/>
    </row>
    <row r="175" spans="1:20" ht="28.8" x14ac:dyDescent="0.3">
      <c r="A175" s="98">
        <f t="shared" ca="1" si="11"/>
        <v>172</v>
      </c>
      <c r="B175" s="554" t="s">
        <v>301</v>
      </c>
      <c r="C175" s="573">
        <v>45887</v>
      </c>
      <c r="D175" s="369">
        <v>25955683</v>
      </c>
      <c r="E175" s="262" t="s">
        <v>4150</v>
      </c>
      <c r="F175" s="101" t="s">
        <v>23</v>
      </c>
      <c r="G175" s="81" t="s">
        <v>6</v>
      </c>
      <c r="H175" s="493">
        <v>45887</v>
      </c>
      <c r="I175" s="555"/>
      <c r="J175" s="107" t="s">
        <v>135</v>
      </c>
      <c r="K175" s="574"/>
      <c r="L175" s="575"/>
      <c r="M175" s="576"/>
      <c r="N175" s="577"/>
      <c r="O175" s="578"/>
      <c r="P175" s="579"/>
      <c r="Q175" s="500">
        <v>45887</v>
      </c>
      <c r="R175" s="148">
        <f t="shared" si="12"/>
        <v>1</v>
      </c>
      <c r="S175" s="633" t="s">
        <v>3783</v>
      </c>
      <c r="T175" s="69"/>
    </row>
    <row r="176" spans="1:20" ht="43.2" x14ac:dyDescent="0.3">
      <c r="A176" s="98">
        <f t="shared" ca="1" si="11"/>
        <v>173</v>
      </c>
      <c r="B176" s="506">
        <v>1550</v>
      </c>
      <c r="C176" s="492">
        <v>45887</v>
      </c>
      <c r="D176" s="369">
        <v>302815279</v>
      </c>
      <c r="E176" s="262" t="s">
        <v>4151</v>
      </c>
      <c r="F176" s="101" t="s">
        <v>23</v>
      </c>
      <c r="G176" s="81" t="s">
        <v>6</v>
      </c>
      <c r="H176" s="493">
        <v>45887</v>
      </c>
      <c r="I176" s="555"/>
      <c r="J176" s="107" t="s">
        <v>135</v>
      </c>
      <c r="K176" s="574"/>
      <c r="L176" s="575"/>
      <c r="M176" s="576"/>
      <c r="N176" s="577"/>
      <c r="O176" s="578"/>
      <c r="P176" s="579"/>
      <c r="Q176" s="500">
        <v>45887</v>
      </c>
      <c r="R176" s="148">
        <f t="shared" si="12"/>
        <v>1</v>
      </c>
      <c r="S176" s="633" t="s">
        <v>1893</v>
      </c>
      <c r="T176" s="69"/>
    </row>
    <row r="177" spans="1:20" ht="57.6" x14ac:dyDescent="0.3">
      <c r="A177" s="98">
        <f t="shared" ca="1" si="11"/>
        <v>174</v>
      </c>
      <c r="B177" s="553">
        <v>1550</v>
      </c>
      <c r="C177" s="556">
        <v>45887</v>
      </c>
      <c r="D177" s="537">
        <v>331949393</v>
      </c>
      <c r="E177" s="284" t="s">
        <v>2797</v>
      </c>
      <c r="F177" s="416" t="s">
        <v>23</v>
      </c>
      <c r="G177" s="417" t="s">
        <v>8</v>
      </c>
      <c r="H177" s="493">
        <v>45887</v>
      </c>
      <c r="I177" s="25"/>
      <c r="J177" s="107" t="s">
        <v>135</v>
      </c>
      <c r="K177" s="494"/>
      <c r="L177" s="637"/>
      <c r="M177" s="496"/>
      <c r="N177" s="497"/>
      <c r="O177" s="498"/>
      <c r="P177" s="499"/>
      <c r="Q177" s="500">
        <v>45887</v>
      </c>
      <c r="R177" s="148">
        <f t="shared" si="12"/>
        <v>1</v>
      </c>
      <c r="S177" s="633" t="s">
        <v>4026</v>
      </c>
      <c r="T177" s="167"/>
    </row>
    <row r="178" spans="1:20" ht="57.6" x14ac:dyDescent="0.3">
      <c r="A178" s="98">
        <f t="shared" ca="1" si="11"/>
        <v>175</v>
      </c>
      <c r="B178" s="111">
        <v>1550</v>
      </c>
      <c r="C178" s="512">
        <v>45887</v>
      </c>
      <c r="D178" s="219">
        <v>311462014</v>
      </c>
      <c r="E178" s="60" t="s">
        <v>2797</v>
      </c>
      <c r="F178" s="111" t="s">
        <v>23</v>
      </c>
      <c r="G178" s="125" t="s">
        <v>8</v>
      </c>
      <c r="H178" s="599">
        <v>45887</v>
      </c>
      <c r="I178" s="25"/>
      <c r="J178" s="107" t="s">
        <v>135</v>
      </c>
      <c r="K178" s="494"/>
      <c r="L178" s="495"/>
      <c r="M178" s="496"/>
      <c r="N178" s="497"/>
      <c r="O178" s="498"/>
      <c r="P178" s="499"/>
      <c r="Q178" s="500">
        <v>45887</v>
      </c>
      <c r="R178" s="148">
        <f t="shared" si="12"/>
        <v>1</v>
      </c>
      <c r="S178" s="633" t="s">
        <v>4127</v>
      </c>
      <c r="T178" s="167"/>
    </row>
    <row r="179" spans="1:20" ht="28.8" x14ac:dyDescent="0.3">
      <c r="A179" s="98">
        <f t="shared" ca="1" si="11"/>
        <v>176</v>
      </c>
      <c r="B179" s="111" t="s">
        <v>301</v>
      </c>
      <c r="C179" s="512">
        <v>45887</v>
      </c>
      <c r="D179" s="219">
        <v>120632152</v>
      </c>
      <c r="E179" s="254" t="s">
        <v>4152</v>
      </c>
      <c r="F179" s="101" t="s">
        <v>23</v>
      </c>
      <c r="G179" s="81" t="s">
        <v>6</v>
      </c>
      <c r="H179" s="493">
        <v>45887</v>
      </c>
      <c r="I179" s="555"/>
      <c r="J179" s="107" t="s">
        <v>135</v>
      </c>
      <c r="K179" s="574"/>
      <c r="L179" s="575"/>
      <c r="M179" s="576"/>
      <c r="N179" s="577"/>
      <c r="O179" s="578"/>
      <c r="P179" s="579"/>
      <c r="Q179" s="500">
        <v>45887</v>
      </c>
      <c r="R179" s="148">
        <f t="shared" si="12"/>
        <v>1</v>
      </c>
      <c r="S179" s="633" t="s">
        <v>1312</v>
      </c>
      <c r="T179" s="167"/>
    </row>
    <row r="180" spans="1:20" ht="43.2" x14ac:dyDescent="0.3">
      <c r="A180" s="98">
        <f t="shared" ca="1" si="11"/>
        <v>177</v>
      </c>
      <c r="B180" s="111">
        <v>1550</v>
      </c>
      <c r="C180" s="512">
        <v>45887</v>
      </c>
      <c r="D180" s="219">
        <v>305192825</v>
      </c>
      <c r="E180" s="254" t="s">
        <v>4153</v>
      </c>
      <c r="F180" s="101" t="s">
        <v>23</v>
      </c>
      <c r="G180" s="81" t="s">
        <v>6</v>
      </c>
      <c r="H180" s="493">
        <v>45887</v>
      </c>
      <c r="I180" s="555"/>
      <c r="J180" s="107" t="s">
        <v>135</v>
      </c>
      <c r="K180" s="574"/>
      <c r="L180" s="575"/>
      <c r="M180" s="576"/>
      <c r="N180" s="577"/>
      <c r="O180" s="578"/>
      <c r="P180" s="579"/>
      <c r="Q180" s="500">
        <v>45887</v>
      </c>
      <c r="R180" s="148">
        <f t="shared" si="12"/>
        <v>1</v>
      </c>
      <c r="S180" s="633" t="s">
        <v>2747</v>
      </c>
      <c r="T180" s="167"/>
    </row>
    <row r="181" spans="1:20" ht="57.6" x14ac:dyDescent="0.3">
      <c r="A181" s="98">
        <f t="shared" ca="1" si="11"/>
        <v>178</v>
      </c>
      <c r="B181" s="111" t="s">
        <v>80</v>
      </c>
      <c r="C181" s="512">
        <v>45887</v>
      </c>
      <c r="D181" s="219">
        <v>95499717</v>
      </c>
      <c r="E181" s="60" t="s">
        <v>4154</v>
      </c>
      <c r="F181" s="111" t="s">
        <v>23</v>
      </c>
      <c r="G181" s="125" t="s">
        <v>8</v>
      </c>
      <c r="H181" s="599">
        <v>45887</v>
      </c>
      <c r="I181" s="25"/>
      <c r="J181" s="107" t="s">
        <v>135</v>
      </c>
      <c r="K181" s="494"/>
      <c r="L181" s="495"/>
      <c r="M181" s="496"/>
      <c r="N181" s="497"/>
      <c r="O181" s="498"/>
      <c r="P181" s="499"/>
      <c r="Q181" s="500">
        <v>45887</v>
      </c>
      <c r="R181" s="148">
        <f t="shared" si="12"/>
        <v>1</v>
      </c>
      <c r="S181" s="633" t="s">
        <v>4127</v>
      </c>
      <c r="T181" s="167"/>
    </row>
    <row r="182" spans="1:20" ht="57.6" x14ac:dyDescent="0.3">
      <c r="A182" s="98">
        <f t="shared" ca="1" si="11"/>
        <v>179</v>
      </c>
      <c r="B182" s="111">
        <v>1550</v>
      </c>
      <c r="C182" s="512">
        <v>45887</v>
      </c>
      <c r="D182" s="219">
        <v>49612468</v>
      </c>
      <c r="E182" s="60" t="s">
        <v>2856</v>
      </c>
      <c r="F182" s="111" t="s">
        <v>23</v>
      </c>
      <c r="G182" s="125" t="s">
        <v>8</v>
      </c>
      <c r="H182" s="599">
        <v>45887</v>
      </c>
      <c r="I182" s="25"/>
      <c r="J182" s="107" t="s">
        <v>135</v>
      </c>
      <c r="K182" s="494"/>
      <c r="L182" s="495"/>
      <c r="M182" s="496"/>
      <c r="N182" s="497"/>
      <c r="O182" s="498"/>
      <c r="P182" s="499"/>
      <c r="Q182" s="500">
        <v>45887</v>
      </c>
      <c r="R182" s="148">
        <f t="shared" si="12"/>
        <v>1</v>
      </c>
      <c r="S182" s="633" t="s">
        <v>4127</v>
      </c>
      <c r="T182" s="167"/>
    </row>
    <row r="183" spans="1:20" ht="57.6" x14ac:dyDescent="0.3">
      <c r="A183" s="98">
        <f t="shared" ca="1" si="11"/>
        <v>180</v>
      </c>
      <c r="B183" s="554">
        <v>1550</v>
      </c>
      <c r="C183" s="573">
        <v>45887</v>
      </c>
      <c r="D183" s="219">
        <v>106909800</v>
      </c>
      <c r="E183" s="262" t="s">
        <v>2856</v>
      </c>
      <c r="F183" s="101" t="s">
        <v>23</v>
      </c>
      <c r="G183" s="81" t="s">
        <v>8</v>
      </c>
      <c r="H183" s="493">
        <v>45887</v>
      </c>
      <c r="I183" s="25"/>
      <c r="J183" s="107" t="s">
        <v>135</v>
      </c>
      <c r="K183" s="494"/>
      <c r="L183" s="495"/>
      <c r="M183" s="496"/>
      <c r="N183" s="497"/>
      <c r="O183" s="498"/>
      <c r="P183" s="499"/>
      <c r="Q183" s="500">
        <v>45887</v>
      </c>
      <c r="R183" s="148">
        <f t="shared" si="12"/>
        <v>1</v>
      </c>
      <c r="S183" s="633" t="s">
        <v>3931</v>
      </c>
      <c r="T183" s="69"/>
    </row>
    <row r="184" spans="1:20" ht="86.4" x14ac:dyDescent="0.3">
      <c r="A184" s="98">
        <f t="shared" ca="1" si="11"/>
        <v>181</v>
      </c>
      <c r="B184" s="506" t="s">
        <v>301</v>
      </c>
      <c r="C184" s="492">
        <v>45887</v>
      </c>
      <c r="D184" s="219">
        <v>1974904</v>
      </c>
      <c r="E184" s="262" t="s">
        <v>4155</v>
      </c>
      <c r="F184" s="344" t="s">
        <v>1</v>
      </c>
      <c r="G184" s="112" t="s">
        <v>6</v>
      </c>
      <c r="H184" s="493">
        <v>45887</v>
      </c>
      <c r="I184" s="25"/>
      <c r="J184" s="738" t="s">
        <v>2544</v>
      </c>
      <c r="K184" s="494"/>
      <c r="L184" s="495"/>
      <c r="M184" s="496"/>
      <c r="N184" s="497"/>
      <c r="O184" s="498"/>
      <c r="P184" s="499"/>
      <c r="Q184" s="500">
        <v>45889</v>
      </c>
      <c r="R184" s="148">
        <f t="shared" si="12"/>
        <v>1.0000435853291783</v>
      </c>
      <c r="S184" s="633" t="s">
        <v>1312</v>
      </c>
      <c r="T184" s="167"/>
    </row>
    <row r="185" spans="1:20" ht="43.2" x14ac:dyDescent="0.3">
      <c r="A185" s="98">
        <f t="shared" ca="1" si="11"/>
        <v>182</v>
      </c>
      <c r="B185" s="506">
        <v>1550</v>
      </c>
      <c r="C185" s="492">
        <v>45887</v>
      </c>
      <c r="D185" s="219">
        <v>39288307</v>
      </c>
      <c r="E185" s="262" t="s">
        <v>4156</v>
      </c>
      <c r="F185" s="344" t="s">
        <v>24</v>
      </c>
      <c r="G185" s="112" t="s">
        <v>8</v>
      </c>
      <c r="H185" s="493">
        <v>45887</v>
      </c>
      <c r="I185" s="25"/>
      <c r="J185" s="100" t="s">
        <v>3479</v>
      </c>
      <c r="K185" s="494"/>
      <c r="L185" s="495"/>
      <c r="M185" s="496"/>
      <c r="N185" s="497"/>
      <c r="O185" s="498"/>
      <c r="P185" s="499"/>
      <c r="Q185" s="500">
        <v>45887</v>
      </c>
      <c r="R185" s="148">
        <f t="shared" si="12"/>
        <v>1</v>
      </c>
      <c r="S185" s="633" t="s">
        <v>3146</v>
      </c>
      <c r="T185" s="69"/>
    </row>
    <row r="186" spans="1:20" ht="28.8" x14ac:dyDescent="0.3">
      <c r="A186" s="98">
        <f t="shared" ca="1" si="11"/>
        <v>183</v>
      </c>
      <c r="B186" s="506">
        <v>1550</v>
      </c>
      <c r="C186" s="492">
        <v>45887</v>
      </c>
      <c r="D186" s="219">
        <v>120574802</v>
      </c>
      <c r="E186" s="262" t="s">
        <v>4157</v>
      </c>
      <c r="F186" s="344" t="s">
        <v>1</v>
      </c>
      <c r="G186" s="112" t="s">
        <v>4</v>
      </c>
      <c r="H186" s="493">
        <v>45887</v>
      </c>
      <c r="I186" s="25"/>
      <c r="J186" s="738" t="s">
        <v>4158</v>
      </c>
      <c r="K186" s="494"/>
      <c r="L186" s="495"/>
      <c r="M186" s="496"/>
      <c r="N186" s="497"/>
      <c r="O186" s="498"/>
      <c r="P186" s="499"/>
      <c r="Q186" s="500">
        <v>45888</v>
      </c>
      <c r="R186" s="148">
        <f t="shared" si="12"/>
        <v>1.0000217926645891</v>
      </c>
      <c r="S186" s="633" t="s">
        <v>4</v>
      </c>
      <c r="T186" s="69"/>
    </row>
    <row r="187" spans="1:20" ht="43.2" x14ac:dyDescent="0.3">
      <c r="A187" s="98">
        <f t="shared" ca="1" si="11"/>
        <v>184</v>
      </c>
      <c r="B187" s="506">
        <v>1550</v>
      </c>
      <c r="C187" s="492">
        <v>45887</v>
      </c>
      <c r="D187" s="219">
        <v>117052817</v>
      </c>
      <c r="E187" s="668" t="s">
        <v>4159</v>
      </c>
      <c r="F187" s="344" t="s">
        <v>1</v>
      </c>
      <c r="G187" s="112" t="s">
        <v>4</v>
      </c>
      <c r="H187" s="493">
        <v>45887</v>
      </c>
      <c r="I187" s="25"/>
      <c r="J187" s="741" t="s">
        <v>99</v>
      </c>
      <c r="K187" s="494"/>
      <c r="L187" s="495"/>
      <c r="M187" s="496"/>
      <c r="N187" s="497"/>
      <c r="O187" s="498"/>
      <c r="P187" s="499"/>
      <c r="Q187" s="500">
        <v>45902</v>
      </c>
      <c r="R187" s="148">
        <f t="shared" si="12"/>
        <v>1.0003268899688365</v>
      </c>
      <c r="S187" s="633" t="s">
        <v>3020</v>
      </c>
      <c r="T187" s="69"/>
    </row>
    <row r="188" spans="1:20" ht="43.2" x14ac:dyDescent="0.3">
      <c r="A188" s="98">
        <f t="shared" ca="1" si="11"/>
        <v>185</v>
      </c>
      <c r="B188" s="506">
        <v>1550</v>
      </c>
      <c r="C188" s="492">
        <v>45887</v>
      </c>
      <c r="D188" s="219">
        <v>104673974</v>
      </c>
      <c r="E188" s="668" t="s">
        <v>4160</v>
      </c>
      <c r="F188" s="344" t="s">
        <v>12</v>
      </c>
      <c r="G188" s="112" t="s">
        <v>4</v>
      </c>
      <c r="H188" s="493">
        <v>45887</v>
      </c>
      <c r="I188" s="25"/>
      <c r="J188" s="732" t="s">
        <v>159</v>
      </c>
      <c r="K188" s="494"/>
      <c r="L188" s="495"/>
      <c r="M188" s="496"/>
      <c r="N188" s="497"/>
      <c r="O188" s="498"/>
      <c r="P188" s="499"/>
      <c r="Q188" s="500">
        <v>45898</v>
      </c>
      <c r="R188" s="148">
        <f t="shared" si="12"/>
        <v>1.0002397193104802</v>
      </c>
      <c r="S188" s="633" t="s">
        <v>3899</v>
      </c>
      <c r="T188" s="69"/>
    </row>
    <row r="189" spans="1:20" ht="28.8" x14ac:dyDescent="0.3">
      <c r="A189" s="98">
        <f t="shared" ca="1" si="11"/>
        <v>186</v>
      </c>
      <c r="B189" s="506">
        <v>1550</v>
      </c>
      <c r="C189" s="492">
        <v>45887</v>
      </c>
      <c r="D189" s="219">
        <v>80671888</v>
      </c>
      <c r="E189" t="s">
        <v>4161</v>
      </c>
      <c r="F189" s="344" t="s">
        <v>7</v>
      </c>
      <c r="G189" s="112" t="s">
        <v>4</v>
      </c>
      <c r="H189" s="493">
        <v>45887</v>
      </c>
      <c r="I189" s="25"/>
      <c r="J189" s="107" t="s">
        <v>2271</v>
      </c>
      <c r="K189" s="494"/>
      <c r="L189" s="495"/>
      <c r="M189" s="496"/>
      <c r="N189" s="497"/>
      <c r="O189" s="498"/>
      <c r="P189" s="499"/>
      <c r="Q189" s="500">
        <v>45890</v>
      </c>
      <c r="R189" s="148">
        <f t="shared" si="12"/>
        <v>1.0000653779937674</v>
      </c>
      <c r="S189" s="633" t="s">
        <v>4</v>
      </c>
      <c r="T189" s="69"/>
    </row>
    <row r="190" spans="1:20" ht="57.6" x14ac:dyDescent="0.3">
      <c r="A190" s="98">
        <f t="shared" ca="1" si="11"/>
        <v>187</v>
      </c>
      <c r="B190" s="506">
        <v>1550</v>
      </c>
      <c r="C190" s="492">
        <v>45887</v>
      </c>
      <c r="D190" s="219">
        <v>26386127</v>
      </c>
      <c r="E190" s="262" t="s">
        <v>4162</v>
      </c>
      <c r="F190" s="344" t="s">
        <v>12</v>
      </c>
      <c r="G190" s="112" t="s">
        <v>8</v>
      </c>
      <c r="H190" s="493">
        <v>45887</v>
      </c>
      <c r="I190" s="25"/>
      <c r="J190" s="732" t="s">
        <v>159</v>
      </c>
      <c r="K190" s="494"/>
      <c r="L190" s="495"/>
      <c r="M190" s="496"/>
      <c r="N190" s="497"/>
      <c r="O190" s="498"/>
      <c r="P190" s="499"/>
      <c r="Q190" s="500">
        <v>45888</v>
      </c>
      <c r="R190" s="148">
        <f t="shared" si="12"/>
        <v>1.0000217926645891</v>
      </c>
      <c r="S190" s="633" t="s">
        <v>4127</v>
      </c>
      <c r="T190" s="69"/>
    </row>
    <row r="191" spans="1:20" ht="43.2" x14ac:dyDescent="0.3">
      <c r="A191" s="98">
        <f t="shared" ca="1" si="11"/>
        <v>188</v>
      </c>
      <c r="B191" s="506" t="s">
        <v>80</v>
      </c>
      <c r="C191" s="492">
        <v>45887</v>
      </c>
      <c r="D191" s="219">
        <v>5541956</v>
      </c>
      <c r="E191" s="262" t="s">
        <v>4163</v>
      </c>
      <c r="F191" s="344" t="s">
        <v>21</v>
      </c>
      <c r="G191" s="112" t="s">
        <v>4</v>
      </c>
      <c r="H191" s="493">
        <v>45887</v>
      </c>
      <c r="I191" s="25"/>
      <c r="J191" s="727" t="s">
        <v>99</v>
      </c>
      <c r="K191" s="494"/>
      <c r="L191" s="495"/>
      <c r="M191" s="496"/>
      <c r="N191" s="497"/>
      <c r="O191" s="498"/>
      <c r="P191" s="499"/>
      <c r="Q191" s="500">
        <v>45887</v>
      </c>
      <c r="R191" s="148">
        <f t="shared" si="12"/>
        <v>1</v>
      </c>
      <c r="S191" s="633" t="s">
        <v>3020</v>
      </c>
      <c r="T191" s="69"/>
    </row>
    <row r="192" spans="1:20" ht="86.4" x14ac:dyDescent="0.3">
      <c r="A192" s="98">
        <f t="shared" ca="1" si="11"/>
        <v>189</v>
      </c>
      <c r="B192" s="506">
        <v>1550</v>
      </c>
      <c r="C192" s="492">
        <v>45887</v>
      </c>
      <c r="D192" s="219">
        <v>113451520</v>
      </c>
      <c r="E192" s="270" t="s">
        <v>4164</v>
      </c>
      <c r="F192" s="344" t="s">
        <v>12</v>
      </c>
      <c r="G192" s="112" t="s">
        <v>6</v>
      </c>
      <c r="H192" s="493">
        <v>45887</v>
      </c>
      <c r="I192" s="25"/>
      <c r="J192" s="732" t="s">
        <v>159</v>
      </c>
      <c r="K192" s="507"/>
      <c r="L192" s="508"/>
      <c r="M192" s="365"/>
      <c r="N192" s="509"/>
      <c r="O192" s="510"/>
      <c r="P192" s="511"/>
      <c r="Q192" s="500">
        <v>45902</v>
      </c>
      <c r="R192" s="148">
        <f t="shared" ref="R192:R223" si="13">Q192/H192</f>
        <v>1.0003268899688365</v>
      </c>
      <c r="S192" s="633" t="s">
        <v>1893</v>
      </c>
      <c r="T192" s="167"/>
    </row>
    <row r="193" spans="1:20" ht="57.6" x14ac:dyDescent="0.3">
      <c r="A193" s="98">
        <f t="shared" ca="1" si="11"/>
        <v>190</v>
      </c>
      <c r="B193" s="506">
        <v>1550</v>
      </c>
      <c r="C193" s="492">
        <v>45887</v>
      </c>
      <c r="D193" s="219">
        <v>108440664</v>
      </c>
      <c r="E193" s="270" t="s">
        <v>4165</v>
      </c>
      <c r="F193" s="344" t="s">
        <v>12</v>
      </c>
      <c r="G193" s="112" t="s">
        <v>6</v>
      </c>
      <c r="H193" s="493">
        <v>45887</v>
      </c>
      <c r="I193" s="25"/>
      <c r="J193" s="732" t="s">
        <v>159</v>
      </c>
      <c r="K193" s="507"/>
      <c r="L193" s="508"/>
      <c r="M193" s="365"/>
      <c r="N193" s="509"/>
      <c r="O193" s="510"/>
      <c r="P193" s="511"/>
      <c r="Q193" s="500">
        <v>45889</v>
      </c>
      <c r="R193" s="148">
        <f t="shared" si="13"/>
        <v>1.0000435853291783</v>
      </c>
      <c r="S193" s="633" t="s">
        <v>2597</v>
      </c>
      <c r="T193" s="167"/>
    </row>
    <row r="194" spans="1:20" ht="43.2" x14ac:dyDescent="0.3">
      <c r="A194" s="98">
        <f t="shared" ca="1" si="11"/>
        <v>191</v>
      </c>
      <c r="B194" s="506">
        <v>1550</v>
      </c>
      <c r="C194" s="492">
        <v>45887</v>
      </c>
      <c r="D194" s="219"/>
      <c r="E194" s="270" t="s">
        <v>4166</v>
      </c>
      <c r="F194" s="344" t="s">
        <v>9</v>
      </c>
      <c r="G194" s="112" t="s">
        <v>6</v>
      </c>
      <c r="H194" s="493">
        <v>45887</v>
      </c>
      <c r="I194" s="25"/>
      <c r="J194" s="732" t="s">
        <v>2765</v>
      </c>
      <c r="K194" s="494"/>
      <c r="L194" s="495"/>
      <c r="M194" s="496"/>
      <c r="N194" s="497"/>
      <c r="O194" s="498"/>
      <c r="P194" s="499"/>
      <c r="Q194" s="500">
        <v>45888</v>
      </c>
      <c r="R194" s="148">
        <f t="shared" si="13"/>
        <v>1.0000217926645891</v>
      </c>
      <c r="S194" s="633" t="s">
        <v>2597</v>
      </c>
      <c r="T194" s="167"/>
    </row>
    <row r="195" spans="1:20" ht="144" x14ac:dyDescent="0.3">
      <c r="A195" s="98">
        <f t="shared" ca="1" si="11"/>
        <v>192</v>
      </c>
      <c r="B195" s="506">
        <v>1550</v>
      </c>
      <c r="C195" s="492">
        <v>45887</v>
      </c>
      <c r="D195" s="219">
        <v>120566095</v>
      </c>
      <c r="E195" s="270" t="s">
        <v>4167</v>
      </c>
      <c r="F195" s="344" t="s">
        <v>21</v>
      </c>
      <c r="G195" s="112" t="s">
        <v>6</v>
      </c>
      <c r="H195" s="493">
        <v>45887</v>
      </c>
      <c r="I195" s="25"/>
      <c r="J195" s="107" t="s">
        <v>2544</v>
      </c>
      <c r="K195" s="494"/>
      <c r="L195" s="495"/>
      <c r="M195" s="496"/>
      <c r="N195" s="497"/>
      <c r="O195" s="498"/>
      <c r="P195" s="499"/>
      <c r="Q195" s="500">
        <v>45889</v>
      </c>
      <c r="R195" s="148">
        <f t="shared" si="13"/>
        <v>1.0000435853291783</v>
      </c>
      <c r="S195" s="633" t="s">
        <v>1936</v>
      </c>
      <c r="T195" s="167"/>
    </row>
    <row r="196" spans="1:20" ht="43.2" x14ac:dyDescent="0.3">
      <c r="A196" s="98">
        <f t="shared" ca="1" si="11"/>
        <v>193</v>
      </c>
      <c r="B196" s="506">
        <v>1550</v>
      </c>
      <c r="C196" s="492">
        <v>45887</v>
      </c>
      <c r="D196" s="219">
        <v>385510195</v>
      </c>
      <c r="E196" s="270" t="s">
        <v>4168</v>
      </c>
      <c r="F196" s="344" t="s">
        <v>23</v>
      </c>
      <c r="G196" s="112" t="s">
        <v>10</v>
      </c>
      <c r="H196" s="493">
        <v>45887</v>
      </c>
      <c r="I196" s="25"/>
      <c r="J196" s="107" t="s">
        <v>135</v>
      </c>
      <c r="K196" s="507"/>
      <c r="L196" s="508"/>
      <c r="M196" s="365"/>
      <c r="N196" s="509"/>
      <c r="O196" s="510"/>
      <c r="P196" s="511"/>
      <c r="Q196" s="500">
        <v>45887</v>
      </c>
      <c r="R196" s="148">
        <f t="shared" si="13"/>
        <v>1</v>
      </c>
      <c r="S196" s="633" t="s">
        <v>2213</v>
      </c>
      <c r="T196" s="167"/>
    </row>
    <row r="197" spans="1:20" ht="43.2" x14ac:dyDescent="0.3">
      <c r="A197" s="98">
        <f t="shared" ca="1" si="11"/>
        <v>194</v>
      </c>
      <c r="B197" s="506" t="s">
        <v>301</v>
      </c>
      <c r="C197" s="492">
        <v>45887</v>
      </c>
      <c r="D197" s="219">
        <v>265954126</v>
      </c>
      <c r="E197" s="270" t="s">
        <v>4169</v>
      </c>
      <c r="F197" s="344" t="s">
        <v>23</v>
      </c>
      <c r="G197" s="112" t="s">
        <v>10</v>
      </c>
      <c r="H197" s="493">
        <v>45887</v>
      </c>
      <c r="I197" s="25"/>
      <c r="J197" s="107" t="s">
        <v>135</v>
      </c>
      <c r="K197" s="507"/>
      <c r="L197" s="508"/>
      <c r="M197" s="365"/>
      <c r="N197" s="509"/>
      <c r="O197" s="510"/>
      <c r="P197" s="511"/>
      <c r="Q197" s="500">
        <v>45887</v>
      </c>
      <c r="R197" s="148">
        <f t="shared" si="13"/>
        <v>1</v>
      </c>
      <c r="S197" s="633" t="s">
        <v>85</v>
      </c>
      <c r="T197" s="167"/>
    </row>
    <row r="198" spans="1:20" ht="43.2" x14ac:dyDescent="0.3">
      <c r="A198" s="98">
        <f t="shared" ca="1" si="11"/>
        <v>195</v>
      </c>
      <c r="B198" s="506">
        <v>1550</v>
      </c>
      <c r="C198" s="492">
        <v>45887</v>
      </c>
      <c r="D198" s="219">
        <v>210502428</v>
      </c>
      <c r="E198" s="270" t="s">
        <v>4170</v>
      </c>
      <c r="F198" s="344" t="s">
        <v>23</v>
      </c>
      <c r="G198" s="112" t="s">
        <v>10</v>
      </c>
      <c r="H198" s="493">
        <v>45887</v>
      </c>
      <c r="I198" s="25"/>
      <c r="J198" s="107" t="s">
        <v>135</v>
      </c>
      <c r="K198" s="507"/>
      <c r="L198" s="508"/>
      <c r="M198" s="365"/>
      <c r="N198" s="509"/>
      <c r="O198" s="510"/>
      <c r="P198" s="511"/>
      <c r="Q198" s="500">
        <v>45887</v>
      </c>
      <c r="R198" s="148">
        <f t="shared" si="13"/>
        <v>1</v>
      </c>
      <c r="S198" s="633" t="s">
        <v>2213</v>
      </c>
      <c r="T198" s="69"/>
    </row>
    <row r="199" spans="1:20" ht="57.6" x14ac:dyDescent="0.3">
      <c r="A199" s="98">
        <f t="shared" ca="1" si="11"/>
        <v>196</v>
      </c>
      <c r="B199" s="506">
        <v>1550</v>
      </c>
      <c r="C199" s="492">
        <v>45887</v>
      </c>
      <c r="D199" s="219">
        <v>25955683</v>
      </c>
      <c r="E199" s="270" t="s">
        <v>4171</v>
      </c>
      <c r="F199" s="344" t="s">
        <v>23</v>
      </c>
      <c r="G199" s="112" t="s">
        <v>10</v>
      </c>
      <c r="H199" s="493">
        <v>45887</v>
      </c>
      <c r="I199" s="25"/>
      <c r="J199" s="107" t="s">
        <v>135</v>
      </c>
      <c r="K199" s="226"/>
      <c r="L199" s="580"/>
      <c r="M199" s="228"/>
      <c r="N199" s="509"/>
      <c r="O199" s="510"/>
      <c r="P199" s="511"/>
      <c r="Q199" s="500">
        <v>45887</v>
      </c>
      <c r="R199" s="148">
        <f t="shared" si="13"/>
        <v>1</v>
      </c>
      <c r="S199" s="633" t="s">
        <v>1806</v>
      </c>
      <c r="T199" s="69"/>
    </row>
    <row r="200" spans="1:20" ht="57.6" x14ac:dyDescent="0.3">
      <c r="A200" s="98">
        <f t="shared" ca="1" si="11"/>
        <v>197</v>
      </c>
      <c r="B200" s="506">
        <v>1550</v>
      </c>
      <c r="C200" s="492">
        <v>45887</v>
      </c>
      <c r="D200" s="219">
        <v>98263765</v>
      </c>
      <c r="E200" s="270" t="s">
        <v>4172</v>
      </c>
      <c r="F200" s="344" t="s">
        <v>23</v>
      </c>
      <c r="G200" s="112" t="s">
        <v>10</v>
      </c>
      <c r="H200" s="493">
        <v>45887</v>
      </c>
      <c r="I200" s="25"/>
      <c r="J200" s="107" t="s">
        <v>135</v>
      </c>
      <c r="K200" s="226"/>
      <c r="L200" s="580"/>
      <c r="M200" s="228"/>
      <c r="N200" s="509"/>
      <c r="O200" s="510"/>
      <c r="P200" s="511"/>
      <c r="Q200" s="500">
        <v>45887</v>
      </c>
      <c r="R200" s="148">
        <f t="shared" si="13"/>
        <v>1</v>
      </c>
      <c r="S200" s="633" t="s">
        <v>214</v>
      </c>
      <c r="T200" s="69"/>
    </row>
    <row r="201" spans="1:20" ht="136.5" customHeight="1" x14ac:dyDescent="0.3">
      <c r="A201" s="98">
        <f t="shared" ca="1" si="11"/>
        <v>198</v>
      </c>
      <c r="B201" s="506">
        <v>1550</v>
      </c>
      <c r="C201" s="492">
        <v>45887</v>
      </c>
      <c r="D201" s="219">
        <v>107963167</v>
      </c>
      <c r="E201" s="270" t="s">
        <v>4173</v>
      </c>
      <c r="F201" s="344" t="s">
        <v>1</v>
      </c>
      <c r="G201" s="112" t="s">
        <v>10</v>
      </c>
      <c r="H201" s="493">
        <v>45887</v>
      </c>
      <c r="I201" s="25"/>
      <c r="J201" s="738" t="s">
        <v>4158</v>
      </c>
      <c r="K201" s="226"/>
      <c r="L201" s="580"/>
      <c r="M201" s="228"/>
      <c r="N201" s="509"/>
      <c r="O201" s="510"/>
      <c r="P201" s="511"/>
      <c r="Q201" s="500">
        <v>45887</v>
      </c>
      <c r="R201" s="148">
        <f t="shared" si="13"/>
        <v>1</v>
      </c>
      <c r="S201" s="633" t="s">
        <v>2209</v>
      </c>
      <c r="T201" s="69"/>
    </row>
    <row r="202" spans="1:20" ht="43.2" x14ac:dyDescent="0.3">
      <c r="A202" s="98">
        <f t="shared" ca="1" si="11"/>
        <v>199</v>
      </c>
      <c r="B202" s="506">
        <v>1550</v>
      </c>
      <c r="C202" s="492">
        <v>45888</v>
      </c>
      <c r="D202" s="219"/>
      <c r="E202" s="270" t="s">
        <v>4174</v>
      </c>
      <c r="F202" s="344" t="s">
        <v>21</v>
      </c>
      <c r="G202" s="112" t="s">
        <v>8</v>
      </c>
      <c r="H202" s="493">
        <v>45888</v>
      </c>
      <c r="I202" s="25"/>
      <c r="J202" s="107" t="s">
        <v>2506</v>
      </c>
      <c r="K202" s="507"/>
      <c r="L202" s="508"/>
      <c r="M202" s="365"/>
      <c r="N202" s="509"/>
      <c r="O202" s="510"/>
      <c r="P202" s="511"/>
      <c r="Q202" s="500">
        <v>45888</v>
      </c>
      <c r="R202" s="148">
        <f t="shared" si="13"/>
        <v>1</v>
      </c>
      <c r="S202" s="633" t="s">
        <v>3931</v>
      </c>
      <c r="T202" s="167"/>
    </row>
    <row r="203" spans="1:20" ht="57.6" x14ac:dyDescent="0.3">
      <c r="A203" s="98">
        <f t="shared" ca="1" si="11"/>
        <v>200</v>
      </c>
      <c r="B203" s="506">
        <v>1550</v>
      </c>
      <c r="C203" s="492">
        <v>45888</v>
      </c>
      <c r="D203" s="219"/>
      <c r="E203" s="270" t="s">
        <v>4175</v>
      </c>
      <c r="F203" s="344" t="s">
        <v>9</v>
      </c>
      <c r="G203" s="112" t="s">
        <v>8</v>
      </c>
      <c r="H203" s="493">
        <v>45888</v>
      </c>
      <c r="I203" s="25"/>
      <c r="J203" s="107" t="s">
        <v>4176</v>
      </c>
      <c r="K203" s="494" t="s">
        <v>262</v>
      </c>
      <c r="L203" s="669">
        <v>45888</v>
      </c>
      <c r="M203" s="552" t="s">
        <v>129</v>
      </c>
      <c r="N203" s="497"/>
      <c r="O203" s="498"/>
      <c r="P203" s="499"/>
      <c r="Q203" s="500">
        <v>45888</v>
      </c>
      <c r="R203" s="148">
        <f t="shared" si="13"/>
        <v>1</v>
      </c>
      <c r="S203" s="633" t="s">
        <v>4127</v>
      </c>
      <c r="T203" s="69"/>
    </row>
    <row r="204" spans="1:20" ht="28.8" x14ac:dyDescent="0.3">
      <c r="A204" s="98">
        <f t="shared" ca="1" si="11"/>
        <v>201</v>
      </c>
      <c r="B204" s="506">
        <v>1550</v>
      </c>
      <c r="C204" s="492">
        <v>45888</v>
      </c>
      <c r="D204" s="219">
        <v>77154169</v>
      </c>
      <c r="E204" s="270" t="s">
        <v>4177</v>
      </c>
      <c r="F204" s="344" t="s">
        <v>3</v>
      </c>
      <c r="G204" s="112" t="s">
        <v>8</v>
      </c>
      <c r="H204" s="493">
        <v>45888</v>
      </c>
      <c r="I204" s="25"/>
      <c r="J204" s="107" t="s">
        <v>2271</v>
      </c>
      <c r="K204" s="494"/>
      <c r="L204" s="636"/>
      <c r="M204" s="496"/>
      <c r="N204" s="497"/>
      <c r="O204" s="498"/>
      <c r="P204" s="499"/>
      <c r="Q204" s="500">
        <v>45889</v>
      </c>
      <c r="R204" s="148">
        <f t="shared" si="13"/>
        <v>1.0000217921896792</v>
      </c>
      <c r="S204" s="633" t="s">
        <v>4127</v>
      </c>
      <c r="T204" s="69"/>
    </row>
    <row r="205" spans="1:20" ht="43.2" x14ac:dyDescent="0.3">
      <c r="A205" s="98">
        <f t="shared" ca="1" si="11"/>
        <v>202</v>
      </c>
      <c r="B205" s="506">
        <v>1550</v>
      </c>
      <c r="C205" s="492">
        <v>45888</v>
      </c>
      <c r="D205" s="219">
        <v>108848442</v>
      </c>
      <c r="E205" s="270" t="s">
        <v>4178</v>
      </c>
      <c r="F205" s="344" t="s">
        <v>49</v>
      </c>
      <c r="G205" s="112" t="s">
        <v>6</v>
      </c>
      <c r="H205" s="493">
        <v>45888</v>
      </c>
      <c r="I205" s="25"/>
      <c r="J205" s="107" t="s">
        <v>266</v>
      </c>
      <c r="K205" s="494"/>
      <c r="L205" s="495"/>
      <c r="M205" s="496"/>
      <c r="N205" s="497"/>
      <c r="O205" s="498"/>
      <c r="P205" s="499"/>
      <c r="Q205" s="500">
        <v>45888</v>
      </c>
      <c r="R205" s="148">
        <f t="shared" si="13"/>
        <v>1</v>
      </c>
      <c r="S205" s="633" t="s">
        <v>1936</v>
      </c>
      <c r="T205" s="69"/>
    </row>
    <row r="206" spans="1:20" ht="28.8" x14ac:dyDescent="0.3">
      <c r="A206" s="98">
        <f t="shared" ca="1" si="11"/>
        <v>203</v>
      </c>
      <c r="B206" s="506">
        <v>1550</v>
      </c>
      <c r="C206" s="492">
        <v>45888</v>
      </c>
      <c r="D206" s="219">
        <v>105808156</v>
      </c>
      <c r="E206" s="270" t="s">
        <v>4179</v>
      </c>
      <c r="F206" s="344" t="s">
        <v>7</v>
      </c>
      <c r="G206" s="112" t="s">
        <v>8</v>
      </c>
      <c r="H206" s="493">
        <v>45888</v>
      </c>
      <c r="I206" s="25"/>
      <c r="J206" s="107" t="s">
        <v>2432</v>
      </c>
      <c r="K206" s="494"/>
      <c r="L206" s="495"/>
      <c r="M206" s="496"/>
      <c r="N206" s="497"/>
      <c r="O206" s="498"/>
      <c r="P206" s="499"/>
      <c r="Q206" s="500">
        <v>45897</v>
      </c>
      <c r="R206" s="148">
        <f t="shared" si="13"/>
        <v>1.0001961297071129</v>
      </c>
      <c r="S206" s="633" t="s">
        <v>3952</v>
      </c>
      <c r="T206" s="69"/>
    </row>
    <row r="207" spans="1:20" ht="28.8" x14ac:dyDescent="0.3">
      <c r="A207" s="98">
        <f t="shared" ca="1" si="11"/>
        <v>204</v>
      </c>
      <c r="B207" s="506" t="s">
        <v>1044</v>
      </c>
      <c r="C207" s="492">
        <v>45888</v>
      </c>
      <c r="D207" s="219">
        <v>2857642</v>
      </c>
      <c r="E207" s="261" t="s">
        <v>4180</v>
      </c>
      <c r="F207" s="344" t="s">
        <v>17</v>
      </c>
      <c r="G207" s="112" t="s">
        <v>4</v>
      </c>
      <c r="H207" s="493">
        <v>45888</v>
      </c>
      <c r="I207" s="25">
        <v>10000313483</v>
      </c>
      <c r="J207" s="732" t="s">
        <v>82</v>
      </c>
      <c r="K207" s="494"/>
      <c r="L207" s="495"/>
      <c r="M207" s="496"/>
      <c r="N207" s="497"/>
      <c r="O207" s="498"/>
      <c r="P207" s="499"/>
      <c r="Q207" s="500">
        <v>45909</v>
      </c>
      <c r="R207" s="148">
        <f t="shared" si="13"/>
        <v>1.0004576359832635</v>
      </c>
      <c r="S207" s="633" t="s">
        <v>3020</v>
      </c>
      <c r="T207" s="69"/>
    </row>
    <row r="208" spans="1:20" ht="28.8" x14ac:dyDescent="0.3">
      <c r="A208" s="98">
        <f t="shared" ca="1" si="11"/>
        <v>205</v>
      </c>
      <c r="B208" s="506">
        <v>1550</v>
      </c>
      <c r="C208" s="492">
        <v>45888</v>
      </c>
      <c r="D208" s="219">
        <v>109347676</v>
      </c>
      <c r="E208" s="262" t="s">
        <v>4177</v>
      </c>
      <c r="F208" s="344" t="s">
        <v>3</v>
      </c>
      <c r="G208" s="112" t="s">
        <v>8</v>
      </c>
      <c r="H208" s="493">
        <v>45888</v>
      </c>
      <c r="I208" s="25"/>
      <c r="J208" s="107" t="s">
        <v>2432</v>
      </c>
      <c r="K208" s="494"/>
      <c r="L208" s="495"/>
      <c r="M208" s="496"/>
      <c r="N208" s="497"/>
      <c r="O208" s="498"/>
      <c r="P208" s="499"/>
      <c r="Q208" s="500">
        <v>45888</v>
      </c>
      <c r="R208" s="148">
        <f t="shared" si="13"/>
        <v>1</v>
      </c>
      <c r="S208" s="633" t="s">
        <v>3952</v>
      </c>
      <c r="T208" s="57"/>
    </row>
    <row r="209" spans="1:20" ht="57.6" x14ac:dyDescent="0.3">
      <c r="A209" s="98">
        <f t="shared" ca="1" si="11"/>
        <v>206</v>
      </c>
      <c r="B209" s="506">
        <v>1550</v>
      </c>
      <c r="C209" s="492">
        <v>45888</v>
      </c>
      <c r="D209" s="219">
        <v>321052</v>
      </c>
      <c r="E209" s="262" t="s">
        <v>4181</v>
      </c>
      <c r="F209" s="344" t="s">
        <v>12</v>
      </c>
      <c r="G209" s="112" t="s">
        <v>6</v>
      </c>
      <c r="H209" s="493">
        <v>45888</v>
      </c>
      <c r="I209" s="25"/>
      <c r="J209" s="732" t="s">
        <v>159</v>
      </c>
      <c r="K209" s="494"/>
      <c r="L209" s="495"/>
      <c r="M209" s="496"/>
      <c r="N209" s="497"/>
      <c r="O209" s="498"/>
      <c r="P209" s="499"/>
      <c r="Q209" s="500">
        <v>45889</v>
      </c>
      <c r="R209" s="148">
        <f t="shared" si="13"/>
        <v>1.0000217921896792</v>
      </c>
      <c r="S209" s="633" t="s">
        <v>2808</v>
      </c>
      <c r="T209" s="57"/>
    </row>
    <row r="210" spans="1:20" x14ac:dyDescent="0.3">
      <c r="A210" s="98">
        <f t="shared" ca="1" si="11"/>
        <v>207</v>
      </c>
      <c r="B210" s="506">
        <v>1550</v>
      </c>
      <c r="C210" s="492">
        <v>45888</v>
      </c>
      <c r="D210" t="s">
        <v>4182</v>
      </c>
      <c r="E210" s="270" t="s">
        <v>4183</v>
      </c>
      <c r="F210" s="344" t="s">
        <v>23</v>
      </c>
      <c r="G210" s="112" t="s">
        <v>4</v>
      </c>
      <c r="H210" s="493">
        <v>45888</v>
      </c>
      <c r="I210" s="25"/>
      <c r="J210" s="107" t="s">
        <v>135</v>
      </c>
      <c r="K210" s="494"/>
      <c r="L210" s="495"/>
      <c r="M210" s="496"/>
      <c r="N210" s="497"/>
      <c r="O210" s="498"/>
      <c r="P210" s="499"/>
      <c r="Q210" s="500">
        <v>45888</v>
      </c>
      <c r="R210" s="148">
        <f t="shared" si="13"/>
        <v>1</v>
      </c>
      <c r="S210" s="633" t="s">
        <v>2974</v>
      </c>
      <c r="T210" s="201"/>
    </row>
    <row r="211" spans="1:20" ht="43.2" x14ac:dyDescent="0.3">
      <c r="A211" s="98">
        <f t="shared" ca="1" si="11"/>
        <v>208</v>
      </c>
      <c r="B211" s="506">
        <v>1550</v>
      </c>
      <c r="C211" s="492">
        <v>45888</v>
      </c>
      <c r="D211" s="219">
        <v>102810486</v>
      </c>
      <c r="E211" s="270" t="s">
        <v>4184</v>
      </c>
      <c r="F211" s="344" t="s">
        <v>12</v>
      </c>
      <c r="G211" s="112" t="s">
        <v>8</v>
      </c>
      <c r="H211" s="493">
        <v>45888</v>
      </c>
      <c r="I211" s="25"/>
      <c r="J211" s="732" t="s">
        <v>159</v>
      </c>
      <c r="K211" s="513"/>
      <c r="L211" s="514"/>
      <c r="M211" s="515"/>
      <c r="N211" s="31"/>
      <c r="O211" s="53"/>
      <c r="P211" s="55"/>
      <c r="Q211" s="500">
        <v>45889</v>
      </c>
      <c r="R211" s="148">
        <f t="shared" si="13"/>
        <v>1.0000217921896792</v>
      </c>
      <c r="S211" s="633" t="s">
        <v>4127</v>
      </c>
      <c r="T211" s="257"/>
    </row>
    <row r="212" spans="1:20" ht="28.8" x14ac:dyDescent="0.3">
      <c r="A212" s="98">
        <f t="shared" ca="1" si="11"/>
        <v>209</v>
      </c>
      <c r="B212" s="506">
        <v>1550</v>
      </c>
      <c r="C212" s="492">
        <v>45888</v>
      </c>
      <c r="D212" s="219">
        <v>108746232</v>
      </c>
      <c r="E212" s="261" t="s">
        <v>4185</v>
      </c>
      <c r="F212" s="344" t="s">
        <v>1</v>
      </c>
      <c r="G212" s="112" t="s">
        <v>4</v>
      </c>
      <c r="H212" s="493">
        <v>45888</v>
      </c>
      <c r="I212" s="25"/>
      <c r="J212" s="738" t="s">
        <v>2367</v>
      </c>
      <c r="K212" s="494"/>
      <c r="L212" s="495"/>
      <c r="M212" s="496"/>
      <c r="N212" s="497"/>
      <c r="O212" s="498"/>
      <c r="P212" s="499"/>
      <c r="Q212" s="500">
        <v>45888</v>
      </c>
      <c r="R212" s="148">
        <f t="shared" si="13"/>
        <v>1</v>
      </c>
      <c r="S212" s="633" t="s">
        <v>3020</v>
      </c>
      <c r="T212" s="57"/>
    </row>
    <row r="213" spans="1:20" ht="43.2" x14ac:dyDescent="0.3">
      <c r="A213" s="98">
        <f t="shared" ca="1" si="11"/>
        <v>210</v>
      </c>
      <c r="B213" s="506">
        <v>1550</v>
      </c>
      <c r="C213" s="492">
        <v>45888</v>
      </c>
      <c r="D213" s="219">
        <v>116572981</v>
      </c>
      <c r="E213" s="261" t="s">
        <v>4186</v>
      </c>
      <c r="F213" s="344" t="s">
        <v>12</v>
      </c>
      <c r="G213" s="112" t="s">
        <v>4</v>
      </c>
      <c r="H213" s="493">
        <v>45888</v>
      </c>
      <c r="I213" s="25"/>
      <c r="J213" s="732" t="s">
        <v>159</v>
      </c>
      <c r="K213" s="494"/>
      <c r="L213" s="495"/>
      <c r="M213" s="496"/>
      <c r="N213" s="497"/>
      <c r="O213" s="498"/>
      <c r="P213" s="499"/>
      <c r="Q213" s="500">
        <v>45889</v>
      </c>
      <c r="R213" s="148">
        <f t="shared" si="13"/>
        <v>1.0000217921896792</v>
      </c>
      <c r="S213" s="633" t="s">
        <v>2974</v>
      </c>
      <c r="T213" s="57"/>
    </row>
    <row r="214" spans="1:20" ht="28.8" x14ac:dyDescent="0.3">
      <c r="A214" s="98">
        <f t="shared" ca="1" si="11"/>
        <v>211</v>
      </c>
      <c r="B214" s="506">
        <v>1550</v>
      </c>
      <c r="C214" s="492">
        <v>45888</v>
      </c>
      <c r="D214" s="219">
        <v>90650832</v>
      </c>
      <c r="E214" s="262" t="s">
        <v>4187</v>
      </c>
      <c r="F214" s="344" t="s">
        <v>60</v>
      </c>
      <c r="G214" s="112" t="s">
        <v>4</v>
      </c>
      <c r="H214" s="493">
        <v>45888</v>
      </c>
      <c r="I214" s="25"/>
      <c r="J214" s="107" t="s">
        <v>4188</v>
      </c>
      <c r="K214" s="494"/>
      <c r="L214" s="495"/>
      <c r="M214" s="496"/>
      <c r="N214" s="497"/>
      <c r="O214" s="498"/>
      <c r="P214" s="499"/>
      <c r="Q214" s="500">
        <v>45902</v>
      </c>
      <c r="R214" s="148">
        <f t="shared" si="13"/>
        <v>1.0003050906555091</v>
      </c>
      <c r="S214" s="633" t="s">
        <v>2808</v>
      </c>
      <c r="T214" s="201"/>
    </row>
    <row r="215" spans="1:20" ht="115.2" x14ac:dyDescent="0.3">
      <c r="A215" s="98">
        <f t="shared" ca="1" si="11"/>
        <v>212</v>
      </c>
      <c r="B215" s="506">
        <v>1550</v>
      </c>
      <c r="C215" s="492">
        <v>45888</v>
      </c>
      <c r="D215" s="219" t="s">
        <v>4189</v>
      </c>
      <c r="E215" s="270" t="s">
        <v>4190</v>
      </c>
      <c r="F215" s="344" t="s">
        <v>7</v>
      </c>
      <c r="G215" s="112" t="s">
        <v>6</v>
      </c>
      <c r="H215" s="493">
        <v>45888</v>
      </c>
      <c r="I215" s="25"/>
      <c r="J215" s="107" t="s">
        <v>2547</v>
      </c>
      <c r="K215" s="518"/>
      <c r="L215" s="518"/>
      <c r="M215" s="519"/>
      <c r="N215" s="520"/>
      <c r="O215" s="520"/>
      <c r="P215" s="521"/>
      <c r="Q215" s="500">
        <v>45889</v>
      </c>
      <c r="R215" s="148">
        <f t="shared" si="13"/>
        <v>1.0000217921896792</v>
      </c>
      <c r="S215" s="633" t="s">
        <v>1936</v>
      </c>
      <c r="T215" s="201"/>
    </row>
    <row r="216" spans="1:20" ht="43.2" x14ac:dyDescent="0.3">
      <c r="A216" s="98">
        <f t="shared" ca="1" si="11"/>
        <v>213</v>
      </c>
      <c r="B216" s="506">
        <v>1550</v>
      </c>
      <c r="C216" s="492">
        <v>45888</v>
      </c>
      <c r="D216" s="219">
        <v>87748517</v>
      </c>
      <c r="E216" s="270" t="s">
        <v>4191</v>
      </c>
      <c r="F216" s="344" t="s">
        <v>12</v>
      </c>
      <c r="G216" s="112" t="s">
        <v>4</v>
      </c>
      <c r="H216" s="493">
        <v>45888</v>
      </c>
      <c r="I216" s="25">
        <v>10000312321</v>
      </c>
      <c r="J216" s="732" t="s">
        <v>159</v>
      </c>
      <c r="K216" s="518"/>
      <c r="L216" s="518"/>
      <c r="M216" s="519"/>
      <c r="N216" s="520"/>
      <c r="O216" s="520"/>
      <c r="P216" s="521"/>
      <c r="Q216" s="500">
        <v>45891</v>
      </c>
      <c r="R216" s="148">
        <f t="shared" si="13"/>
        <v>1.0000653765690377</v>
      </c>
      <c r="S216" s="633" t="s">
        <v>3047</v>
      </c>
      <c r="T216" s="201"/>
    </row>
    <row r="217" spans="1:20" ht="43.2" x14ac:dyDescent="0.3">
      <c r="A217" s="98">
        <f t="shared" ca="1" si="11"/>
        <v>214</v>
      </c>
      <c r="B217" s="506">
        <v>1550</v>
      </c>
      <c r="C217" s="492">
        <v>45888</v>
      </c>
      <c r="D217" s="219"/>
      <c r="E217" s="270" t="s">
        <v>4192</v>
      </c>
      <c r="F217" s="344" t="s">
        <v>21</v>
      </c>
      <c r="G217" s="112" t="s">
        <v>8</v>
      </c>
      <c r="H217" s="493">
        <v>45888</v>
      </c>
      <c r="I217" s="25"/>
      <c r="J217" s="727" t="s">
        <v>99</v>
      </c>
      <c r="K217" s="518"/>
      <c r="L217" s="518"/>
      <c r="M217" s="519"/>
      <c r="N217" s="520"/>
      <c r="O217" s="520"/>
      <c r="P217" s="521"/>
      <c r="Q217" s="500">
        <v>45896</v>
      </c>
      <c r="R217" s="148">
        <f t="shared" si="13"/>
        <v>1.0001743375174337</v>
      </c>
      <c r="S217" s="633" t="s">
        <v>3952</v>
      </c>
      <c r="T217" s="201"/>
    </row>
    <row r="218" spans="1:20" ht="43.2" x14ac:dyDescent="0.3">
      <c r="A218" s="98">
        <f t="shared" ref="A218:A281" ca="1" si="14">A217+1</f>
        <v>215</v>
      </c>
      <c r="B218" s="506">
        <v>1550</v>
      </c>
      <c r="C218" s="492">
        <v>45888</v>
      </c>
      <c r="D218" s="219">
        <v>90638352</v>
      </c>
      <c r="E218" s="270" t="s">
        <v>4193</v>
      </c>
      <c r="F218" s="344" t="s">
        <v>36</v>
      </c>
      <c r="G218" s="112" t="s">
        <v>4</v>
      </c>
      <c r="H218" s="493">
        <v>45888</v>
      </c>
      <c r="I218" s="25"/>
      <c r="J218" s="727" t="s">
        <v>99</v>
      </c>
      <c r="K218" s="518"/>
      <c r="L218" s="518"/>
      <c r="M218" s="519"/>
      <c r="N218" s="520"/>
      <c r="O218" s="520"/>
      <c r="P218" s="521"/>
      <c r="Q218" s="500">
        <v>45888</v>
      </c>
      <c r="R218" s="148">
        <f t="shared" si="13"/>
        <v>1</v>
      </c>
      <c r="S218" s="633" t="s">
        <v>2974</v>
      </c>
      <c r="T218" s="201"/>
    </row>
    <row r="219" spans="1:20" ht="43.2" x14ac:dyDescent="0.3">
      <c r="A219" s="98">
        <f t="shared" ca="1" si="14"/>
        <v>216</v>
      </c>
      <c r="B219" s="506">
        <v>1550</v>
      </c>
      <c r="C219" s="492">
        <v>45888</v>
      </c>
      <c r="D219" s="219">
        <v>88118762</v>
      </c>
      <c r="E219" s="270" t="s">
        <v>4194</v>
      </c>
      <c r="F219" s="344" t="s">
        <v>23</v>
      </c>
      <c r="G219" s="112" t="s">
        <v>8</v>
      </c>
      <c r="H219" s="493">
        <v>45888</v>
      </c>
      <c r="I219" s="655">
        <v>10000312289</v>
      </c>
      <c r="J219" s="107" t="s">
        <v>135</v>
      </c>
      <c r="K219" s="518"/>
      <c r="L219" s="518"/>
      <c r="M219" s="519"/>
      <c r="N219" s="520"/>
      <c r="O219" s="520"/>
      <c r="P219" s="521"/>
      <c r="Q219" s="500">
        <v>45894</v>
      </c>
      <c r="R219" s="148">
        <f t="shared" si="13"/>
        <v>1.0001307531380754</v>
      </c>
      <c r="S219" s="633" t="s">
        <v>3418</v>
      </c>
      <c r="T219" s="201"/>
    </row>
    <row r="220" spans="1:20" ht="43.2" x14ac:dyDescent="0.3">
      <c r="A220" s="98">
        <f t="shared" ca="1" si="14"/>
        <v>217</v>
      </c>
      <c r="B220" s="506">
        <v>1550</v>
      </c>
      <c r="C220" s="492">
        <v>45888</v>
      </c>
      <c r="D220" s="219">
        <v>84218266</v>
      </c>
      <c r="E220" s="270" t="s">
        <v>4195</v>
      </c>
      <c r="F220" s="344" t="s">
        <v>26</v>
      </c>
      <c r="G220" s="112" t="s">
        <v>8</v>
      </c>
      <c r="H220" s="493">
        <v>45888</v>
      </c>
      <c r="I220" s="25"/>
      <c r="J220" s="107" t="s">
        <v>22</v>
      </c>
      <c r="K220" s="518"/>
      <c r="L220" s="518"/>
      <c r="M220" s="519"/>
      <c r="N220" s="520"/>
      <c r="O220" s="520"/>
      <c r="P220" s="521"/>
      <c r="Q220" s="500">
        <v>45888</v>
      </c>
      <c r="R220" s="148">
        <f t="shared" si="13"/>
        <v>1</v>
      </c>
      <c r="S220" s="633" t="s">
        <v>4127</v>
      </c>
      <c r="T220" s="201"/>
    </row>
    <row r="221" spans="1:20" ht="86.4" x14ac:dyDescent="0.3">
      <c r="A221" s="98">
        <f t="shared" ca="1" si="14"/>
        <v>218</v>
      </c>
      <c r="B221" s="506">
        <v>1550</v>
      </c>
      <c r="C221" s="492">
        <v>45888</v>
      </c>
      <c r="D221" s="219">
        <v>118491725</v>
      </c>
      <c r="E221" s="270" t="s">
        <v>4196</v>
      </c>
      <c r="F221" s="344" t="s">
        <v>3</v>
      </c>
      <c r="G221" s="112" t="s">
        <v>6</v>
      </c>
      <c r="H221" s="493">
        <v>45888</v>
      </c>
      <c r="I221" s="25"/>
      <c r="J221" s="107" t="s">
        <v>3380</v>
      </c>
      <c r="K221" s="518"/>
      <c r="L221" s="518"/>
      <c r="M221" s="519"/>
      <c r="N221" s="520"/>
      <c r="O221" s="520"/>
      <c r="P221" s="521"/>
      <c r="Q221" s="500">
        <v>45888</v>
      </c>
      <c r="R221" s="148">
        <f t="shared" si="13"/>
        <v>1</v>
      </c>
      <c r="S221" s="633" t="s">
        <v>2747</v>
      </c>
      <c r="T221" s="201"/>
    </row>
    <row r="222" spans="1:20" ht="43.2" x14ac:dyDescent="0.3">
      <c r="A222" s="98">
        <f t="shared" ca="1" si="14"/>
        <v>219</v>
      </c>
      <c r="B222" s="506" t="s">
        <v>301</v>
      </c>
      <c r="C222" s="492">
        <v>45888</v>
      </c>
      <c r="D222" s="219">
        <v>94188874</v>
      </c>
      <c r="E222" s="270" t="s">
        <v>4197</v>
      </c>
      <c r="F222" s="344" t="s">
        <v>3</v>
      </c>
      <c r="G222" s="112" t="s">
        <v>6</v>
      </c>
      <c r="H222" s="493">
        <v>45888</v>
      </c>
      <c r="I222" s="25">
        <v>10000312375</v>
      </c>
      <c r="J222" s="732" t="s">
        <v>82</v>
      </c>
      <c r="K222" s="518"/>
      <c r="L222" s="518"/>
      <c r="M222" s="519"/>
      <c r="N222" s="520"/>
      <c r="O222" s="520"/>
      <c r="P222" s="521"/>
      <c r="Q222" s="500">
        <v>45895</v>
      </c>
      <c r="R222" s="148">
        <f t="shared" si="13"/>
        <v>1.0001525453277544</v>
      </c>
      <c r="S222" s="633" t="s">
        <v>3783</v>
      </c>
      <c r="T222" s="201"/>
    </row>
    <row r="223" spans="1:20" ht="44.25" customHeight="1" x14ac:dyDescent="0.3">
      <c r="A223" s="98">
        <f t="shared" ca="1" si="14"/>
        <v>220</v>
      </c>
      <c r="B223" s="506">
        <v>1550</v>
      </c>
      <c r="C223" s="492">
        <v>45888</v>
      </c>
      <c r="D223" s="219" t="s">
        <v>4198</v>
      </c>
      <c r="E223" s="270" t="s">
        <v>4199</v>
      </c>
      <c r="F223" s="344" t="s">
        <v>1</v>
      </c>
      <c r="G223" s="112" t="s">
        <v>10</v>
      </c>
      <c r="H223" s="493">
        <v>45888</v>
      </c>
      <c r="I223" s="25"/>
      <c r="J223" s="738" t="s">
        <v>2271</v>
      </c>
      <c r="K223" s="518"/>
      <c r="L223" s="518"/>
      <c r="M223" s="519"/>
      <c r="N223" s="520"/>
      <c r="O223" s="520"/>
      <c r="P223" s="521"/>
      <c r="Q223" s="500">
        <v>45888</v>
      </c>
      <c r="R223" s="148">
        <f t="shared" si="13"/>
        <v>1</v>
      </c>
      <c r="S223" s="633" t="s">
        <v>2213</v>
      </c>
      <c r="T223" s="201"/>
    </row>
    <row r="224" spans="1:20" ht="58.5" customHeight="1" x14ac:dyDescent="0.3">
      <c r="A224" s="98">
        <f t="shared" ca="1" si="14"/>
        <v>221</v>
      </c>
      <c r="B224" s="506" t="s">
        <v>301</v>
      </c>
      <c r="C224" s="492">
        <v>45888</v>
      </c>
      <c r="D224" s="219">
        <v>6420478</v>
      </c>
      <c r="E224" s="270" t="s">
        <v>4200</v>
      </c>
      <c r="F224" s="344" t="s">
        <v>54</v>
      </c>
      <c r="G224" s="112" t="s">
        <v>10</v>
      </c>
      <c r="H224" s="493">
        <v>45888</v>
      </c>
      <c r="I224" s="25"/>
      <c r="J224" s="732" t="s">
        <v>253</v>
      </c>
      <c r="K224" s="518"/>
      <c r="L224" s="518"/>
      <c r="M224" s="519"/>
      <c r="N224" s="520"/>
      <c r="O224" s="520"/>
      <c r="P224" s="521"/>
      <c r="Q224" s="500">
        <v>45888</v>
      </c>
      <c r="R224" s="148">
        <f t="shared" ref="R224:R255" si="15">Q224/H224</f>
        <v>1</v>
      </c>
      <c r="S224" s="633" t="s">
        <v>1172</v>
      </c>
      <c r="T224" s="201"/>
    </row>
    <row r="225" spans="1:20" ht="57.6" x14ac:dyDescent="0.3">
      <c r="A225" s="98">
        <f t="shared" ca="1" si="14"/>
        <v>222</v>
      </c>
      <c r="B225" s="506">
        <v>1550</v>
      </c>
      <c r="C225" s="492">
        <v>45889</v>
      </c>
      <c r="D225" s="219">
        <v>3377784</v>
      </c>
      <c r="E225" s="270" t="s">
        <v>4201</v>
      </c>
      <c r="F225" s="344" t="s">
        <v>39</v>
      </c>
      <c r="G225" s="112" t="s">
        <v>8</v>
      </c>
      <c r="H225" s="493">
        <v>45889</v>
      </c>
      <c r="I225" s="25"/>
      <c r="J225" s="107" t="s">
        <v>22</v>
      </c>
      <c r="K225" s="518"/>
      <c r="L225" s="518"/>
      <c r="M225" s="519"/>
      <c r="N225" s="520"/>
      <c r="O225" s="520"/>
      <c r="P225" s="521"/>
      <c r="Q225" s="500">
        <v>45908</v>
      </c>
      <c r="R225" s="148">
        <f t="shared" si="15"/>
        <v>1.0004140425810106</v>
      </c>
      <c r="S225" s="633" t="s">
        <v>3861</v>
      </c>
      <c r="T225" s="201"/>
    </row>
    <row r="226" spans="1:20" ht="28.8" x14ac:dyDescent="0.3">
      <c r="A226" s="98">
        <f t="shared" ca="1" si="14"/>
        <v>223</v>
      </c>
      <c r="B226" s="506">
        <v>1550</v>
      </c>
      <c r="C226" s="492">
        <v>45889</v>
      </c>
      <c r="D226" s="219">
        <v>51373203</v>
      </c>
      <c r="E226" s="270" t="s">
        <v>4202</v>
      </c>
      <c r="F226" s="344" t="s">
        <v>7</v>
      </c>
      <c r="G226" s="172" t="s">
        <v>4</v>
      </c>
      <c r="H226" s="493">
        <v>45889</v>
      </c>
      <c r="I226" s="25"/>
      <c r="J226" s="107" t="s">
        <v>3385</v>
      </c>
      <c r="K226" s="518"/>
      <c r="L226" s="518"/>
      <c r="M226" s="519"/>
      <c r="N226" s="520"/>
      <c r="O226" s="520"/>
      <c r="P226" s="521"/>
      <c r="Q226" s="516">
        <v>45897</v>
      </c>
      <c r="R226" s="148">
        <f t="shared" si="15"/>
        <v>1.0001743337183202</v>
      </c>
      <c r="S226" s="633" t="s">
        <v>3899</v>
      </c>
      <c r="T226" s="57"/>
    </row>
    <row r="227" spans="1:20" ht="43.2" x14ac:dyDescent="0.3">
      <c r="A227" s="98">
        <f t="shared" ca="1" si="14"/>
        <v>224</v>
      </c>
      <c r="B227" s="506">
        <v>1550</v>
      </c>
      <c r="C227" s="492">
        <v>45889</v>
      </c>
      <c r="D227" s="219">
        <v>63495244</v>
      </c>
      <c r="E227" s="270" t="s">
        <v>4203</v>
      </c>
      <c r="F227" s="344" t="s">
        <v>49</v>
      </c>
      <c r="G227" s="112" t="s">
        <v>8</v>
      </c>
      <c r="H227" s="493">
        <v>45889</v>
      </c>
      <c r="I227" s="25"/>
      <c r="J227" s="107" t="s">
        <v>266</v>
      </c>
      <c r="K227" s="494"/>
      <c r="L227" s="495"/>
      <c r="M227" s="496"/>
      <c r="N227" s="497"/>
      <c r="O227" s="498"/>
      <c r="P227" s="499"/>
      <c r="Q227" s="516">
        <v>45889</v>
      </c>
      <c r="R227" s="148">
        <f t="shared" si="15"/>
        <v>1</v>
      </c>
      <c r="S227" s="633" t="s">
        <v>3841</v>
      </c>
      <c r="T227" s="57"/>
    </row>
    <row r="228" spans="1:20" ht="28.8" x14ac:dyDescent="0.3">
      <c r="A228" s="98">
        <f t="shared" ca="1" si="14"/>
        <v>225</v>
      </c>
      <c r="B228" s="506">
        <v>1550</v>
      </c>
      <c r="C228" s="492">
        <v>45889</v>
      </c>
      <c r="D228" s="219">
        <v>71544216</v>
      </c>
      <c r="E228" s="270" t="s">
        <v>4204</v>
      </c>
      <c r="F228" s="344" t="s">
        <v>1</v>
      </c>
      <c r="G228" s="172" t="s">
        <v>4</v>
      </c>
      <c r="H228" s="493">
        <v>45889</v>
      </c>
      <c r="I228" s="25"/>
      <c r="J228" s="738" t="s">
        <v>4090</v>
      </c>
      <c r="K228" s="518"/>
      <c r="L228" s="518"/>
      <c r="M228" s="519"/>
      <c r="N228" s="520"/>
      <c r="O228" s="520"/>
      <c r="P228" s="521"/>
      <c r="Q228" s="516">
        <v>45889</v>
      </c>
      <c r="R228" s="148">
        <f t="shared" si="15"/>
        <v>1</v>
      </c>
      <c r="S228" s="633" t="s">
        <v>2970</v>
      </c>
      <c r="T228" s="201"/>
    </row>
    <row r="229" spans="1:20" ht="43.2" x14ac:dyDescent="0.3">
      <c r="A229" s="98">
        <f t="shared" ca="1" si="14"/>
        <v>226</v>
      </c>
      <c r="B229" s="506">
        <v>1550</v>
      </c>
      <c r="C229" s="492">
        <v>45889</v>
      </c>
      <c r="D229" s="219">
        <v>54713536</v>
      </c>
      <c r="E229" s="639" t="s">
        <v>4205</v>
      </c>
      <c r="F229" s="344" t="s">
        <v>12</v>
      </c>
      <c r="G229" s="172" t="s">
        <v>4</v>
      </c>
      <c r="H229" s="493">
        <v>45889</v>
      </c>
      <c r="I229" s="25"/>
      <c r="J229" s="732" t="s">
        <v>159</v>
      </c>
      <c r="K229" s="513"/>
      <c r="L229" s="514"/>
      <c r="M229" s="515"/>
      <c r="N229" s="31"/>
      <c r="O229" s="53"/>
      <c r="P229" s="55"/>
      <c r="Q229" s="516">
        <v>45905</v>
      </c>
      <c r="R229" s="148">
        <f t="shared" si="15"/>
        <v>1.0003486674366406</v>
      </c>
      <c r="S229" s="633" t="s">
        <v>1811</v>
      </c>
      <c r="T229" s="57"/>
    </row>
    <row r="230" spans="1:20" ht="28.8" x14ac:dyDescent="0.3">
      <c r="A230" s="98">
        <f t="shared" ca="1" si="14"/>
        <v>227</v>
      </c>
      <c r="B230" s="506">
        <v>1550</v>
      </c>
      <c r="C230" s="492">
        <v>45889</v>
      </c>
      <c r="D230" s="219">
        <v>101941617</v>
      </c>
      <c r="E230" s="270" t="s">
        <v>4206</v>
      </c>
      <c r="F230" s="344" t="s">
        <v>1</v>
      </c>
      <c r="G230" s="112" t="s">
        <v>4</v>
      </c>
      <c r="H230" s="493">
        <v>45889</v>
      </c>
      <c r="I230" s="25"/>
      <c r="J230" s="738" t="s">
        <v>2367</v>
      </c>
      <c r="K230" s="494"/>
      <c r="L230" s="495"/>
      <c r="M230" s="496"/>
      <c r="N230" s="497"/>
      <c r="O230" s="498"/>
      <c r="P230" s="499"/>
      <c r="Q230" s="516">
        <v>45889</v>
      </c>
      <c r="R230" s="148">
        <f t="shared" si="15"/>
        <v>1</v>
      </c>
      <c r="S230" s="633" t="s">
        <v>1811</v>
      </c>
      <c r="T230" s="57"/>
    </row>
    <row r="231" spans="1:20" ht="72" x14ac:dyDescent="0.3">
      <c r="A231" s="98">
        <f t="shared" ca="1" si="14"/>
        <v>228</v>
      </c>
      <c r="B231" s="506" t="s">
        <v>1044</v>
      </c>
      <c r="C231" s="492">
        <v>45889</v>
      </c>
      <c r="D231" s="219">
        <v>73791660</v>
      </c>
      <c r="E231" s="270" t="s">
        <v>4207</v>
      </c>
      <c r="F231" s="344" t="s">
        <v>4208</v>
      </c>
      <c r="G231" s="172" t="s">
        <v>8</v>
      </c>
      <c r="H231" s="493">
        <v>45889</v>
      </c>
      <c r="I231" s="25"/>
      <c r="J231" s="732" t="s">
        <v>253</v>
      </c>
      <c r="K231" s="513"/>
      <c r="L231" s="514"/>
      <c r="M231" s="515"/>
      <c r="N231" s="31"/>
      <c r="O231" s="53"/>
      <c r="P231" s="55"/>
      <c r="Q231" s="516">
        <v>45889</v>
      </c>
      <c r="R231" s="148">
        <f t="shared" si="15"/>
        <v>1</v>
      </c>
      <c r="S231" s="633" t="s">
        <v>8</v>
      </c>
      <c r="T231" s="201"/>
    </row>
    <row r="232" spans="1:20" ht="57.6" x14ac:dyDescent="0.3">
      <c r="A232" s="98">
        <f t="shared" ca="1" si="14"/>
        <v>229</v>
      </c>
      <c r="B232" s="554" t="s">
        <v>1044</v>
      </c>
      <c r="C232" s="516">
        <v>45889</v>
      </c>
      <c r="D232" s="219">
        <v>93767854</v>
      </c>
      <c r="E232" s="270" t="s">
        <v>4209</v>
      </c>
      <c r="F232" s="378" t="s">
        <v>39</v>
      </c>
      <c r="G232" s="221" t="s">
        <v>4</v>
      </c>
      <c r="H232" s="493">
        <v>45889</v>
      </c>
      <c r="I232" s="503">
        <v>10000312561</v>
      </c>
      <c r="J232" s="107" t="s">
        <v>135</v>
      </c>
      <c r="K232" s="518"/>
      <c r="L232" s="518"/>
      <c r="M232" s="519"/>
      <c r="N232" s="520"/>
      <c r="O232" s="520"/>
      <c r="P232" s="521"/>
      <c r="Q232" s="346">
        <v>45897</v>
      </c>
      <c r="R232" s="148">
        <f t="shared" si="15"/>
        <v>1.0001743337183202</v>
      </c>
      <c r="S232" s="633" t="s">
        <v>3047</v>
      </c>
      <c r="T232" s="57"/>
    </row>
    <row r="233" spans="1:20" ht="88.5" customHeight="1" x14ac:dyDescent="0.3">
      <c r="A233" s="98">
        <f t="shared" ca="1" si="14"/>
        <v>230</v>
      </c>
      <c r="B233" s="554" t="s">
        <v>1826</v>
      </c>
      <c r="C233" s="516">
        <v>45889</v>
      </c>
      <c r="D233" s="219">
        <v>120519712</v>
      </c>
      <c r="E233" s="270" t="s">
        <v>4210</v>
      </c>
      <c r="F233" s="378" t="s">
        <v>1</v>
      </c>
      <c r="G233" s="221" t="s">
        <v>10</v>
      </c>
      <c r="H233" s="493">
        <v>45889</v>
      </c>
      <c r="I233" s="503"/>
      <c r="J233" s="741" t="s">
        <v>99</v>
      </c>
      <c r="K233" s="518"/>
      <c r="L233" s="518"/>
      <c r="M233" s="519"/>
      <c r="N233" s="520"/>
      <c r="O233" s="520"/>
      <c r="P233" s="521"/>
      <c r="Q233" s="346">
        <v>45931</v>
      </c>
      <c r="R233" s="148">
        <f t="shared" si="15"/>
        <v>1.0009152520211815</v>
      </c>
      <c r="S233" s="633" t="s">
        <v>1172</v>
      </c>
      <c r="T233" s="57"/>
    </row>
    <row r="234" spans="1:20" ht="72" x14ac:dyDescent="0.3">
      <c r="A234" s="98">
        <f t="shared" ca="1" si="14"/>
        <v>231</v>
      </c>
      <c r="B234" s="554">
        <v>1550</v>
      </c>
      <c r="C234" s="516">
        <v>45889</v>
      </c>
      <c r="D234" s="219">
        <v>29197112</v>
      </c>
      <c r="E234" s="271" t="s">
        <v>4211</v>
      </c>
      <c r="F234" s="378" t="s">
        <v>1</v>
      </c>
      <c r="G234" s="221" t="s">
        <v>10</v>
      </c>
      <c r="H234" s="493">
        <v>45889</v>
      </c>
      <c r="I234" s="25"/>
      <c r="J234" s="738" t="s">
        <v>2310</v>
      </c>
      <c r="K234" s="518"/>
      <c r="L234" s="518"/>
      <c r="M234" s="519"/>
      <c r="N234" s="520"/>
      <c r="O234" s="520"/>
      <c r="P234" s="521"/>
      <c r="Q234" s="346">
        <v>45890</v>
      </c>
      <c r="R234" s="148">
        <f t="shared" si="15"/>
        <v>1.00002179171479</v>
      </c>
      <c r="S234" s="633" t="s">
        <v>1806</v>
      </c>
      <c r="T234" s="201"/>
    </row>
    <row r="235" spans="1:20" ht="28.8" x14ac:dyDescent="0.3">
      <c r="A235" s="98">
        <f t="shared" ca="1" si="14"/>
        <v>232</v>
      </c>
      <c r="B235" s="554">
        <v>1550</v>
      </c>
      <c r="C235" s="581">
        <v>45890</v>
      </c>
      <c r="D235" s="219">
        <v>4633717</v>
      </c>
      <c r="E235" t="s">
        <v>4212</v>
      </c>
      <c r="F235" s="378" t="s">
        <v>20</v>
      </c>
      <c r="G235" s="221" t="s">
        <v>4</v>
      </c>
      <c r="H235" s="493">
        <v>45890</v>
      </c>
      <c r="I235" s="503"/>
      <c r="J235" s="732" t="s">
        <v>82</v>
      </c>
      <c r="K235" s="513"/>
      <c r="L235" s="582"/>
      <c r="M235" s="515"/>
      <c r="N235" s="31"/>
      <c r="O235" s="53"/>
      <c r="P235" s="55"/>
      <c r="Q235" s="346">
        <v>45890</v>
      </c>
      <c r="R235" s="148">
        <f t="shared" si="15"/>
        <v>1</v>
      </c>
      <c r="S235" s="633" t="s">
        <v>3899</v>
      </c>
      <c r="T235" s="57"/>
    </row>
    <row r="236" spans="1:20" ht="100.8" x14ac:dyDescent="0.3">
      <c r="A236" s="98">
        <f t="shared" ca="1" si="14"/>
        <v>233</v>
      </c>
      <c r="B236" s="554" t="s">
        <v>301</v>
      </c>
      <c r="C236" s="516">
        <v>45890</v>
      </c>
      <c r="D236" s="219">
        <v>40312917</v>
      </c>
      <c r="E236" s="270" t="s">
        <v>4213</v>
      </c>
      <c r="F236" s="378" t="s">
        <v>1</v>
      </c>
      <c r="G236" s="221" t="s">
        <v>6</v>
      </c>
      <c r="H236" s="493">
        <v>45890</v>
      </c>
      <c r="I236" s="503"/>
      <c r="J236" s="738" t="s">
        <v>2506</v>
      </c>
      <c r="K236" s="518"/>
      <c r="L236" s="518"/>
      <c r="M236" s="519"/>
      <c r="N236" s="520"/>
      <c r="O236" s="520"/>
      <c r="P236" s="521"/>
      <c r="Q236" s="346">
        <v>45890</v>
      </c>
      <c r="R236" s="148">
        <f t="shared" si="15"/>
        <v>1</v>
      </c>
      <c r="S236" s="633" t="s">
        <v>1860</v>
      </c>
      <c r="T236" s="57"/>
    </row>
    <row r="237" spans="1:20" ht="43.2" x14ac:dyDescent="0.3">
      <c r="A237" s="98">
        <f t="shared" ca="1" si="14"/>
        <v>234</v>
      </c>
      <c r="B237" s="554">
        <v>1550</v>
      </c>
      <c r="C237" s="516">
        <v>45890</v>
      </c>
      <c r="D237" s="219">
        <v>68403410</v>
      </c>
      <c r="E237" s="270" t="s">
        <v>4214</v>
      </c>
      <c r="F237" s="378" t="s">
        <v>1</v>
      </c>
      <c r="G237" s="221" t="s">
        <v>8</v>
      </c>
      <c r="H237" s="493">
        <v>45890</v>
      </c>
      <c r="I237" s="503"/>
      <c r="J237" s="737" t="s">
        <v>2367</v>
      </c>
      <c r="K237" s="518"/>
      <c r="L237" s="518"/>
      <c r="M237" s="519"/>
      <c r="N237" s="520"/>
      <c r="O237" s="520"/>
      <c r="P237" s="521"/>
      <c r="Q237" s="346">
        <v>45897</v>
      </c>
      <c r="R237" s="148">
        <f t="shared" si="15"/>
        <v>1.0001525386794508</v>
      </c>
      <c r="S237" s="633" t="s">
        <v>3841</v>
      </c>
      <c r="T237" s="57"/>
    </row>
    <row r="238" spans="1:20" ht="43.2" x14ac:dyDescent="0.3">
      <c r="A238" s="98">
        <f t="shared" ca="1" si="14"/>
        <v>235</v>
      </c>
      <c r="B238" s="554">
        <v>1550</v>
      </c>
      <c r="C238" s="581">
        <v>45890</v>
      </c>
      <c r="D238" s="219">
        <v>89399528</v>
      </c>
      <c r="E238" s="270" t="s">
        <v>4215</v>
      </c>
      <c r="F238" s="378" t="s">
        <v>12</v>
      </c>
      <c r="G238" s="221" t="s">
        <v>4</v>
      </c>
      <c r="H238" s="493">
        <v>45890</v>
      </c>
      <c r="I238" s="503"/>
      <c r="J238" s="732" t="s">
        <v>159</v>
      </c>
      <c r="K238" s="513"/>
      <c r="L238" s="582"/>
      <c r="M238" s="515"/>
      <c r="N238" s="31"/>
      <c r="O238" s="53"/>
      <c r="P238" s="55"/>
      <c r="Q238" s="346">
        <v>45890</v>
      </c>
      <c r="R238" s="148">
        <f t="shared" si="15"/>
        <v>1</v>
      </c>
      <c r="S238" s="633" t="s">
        <v>3047</v>
      </c>
      <c r="T238" s="57"/>
    </row>
    <row r="239" spans="1:20" ht="28.8" x14ac:dyDescent="0.3">
      <c r="A239" s="98">
        <f t="shared" ca="1" si="14"/>
        <v>236</v>
      </c>
      <c r="B239" s="554" t="s">
        <v>1044</v>
      </c>
      <c r="C239" s="516">
        <v>45890</v>
      </c>
      <c r="D239" s="219">
        <v>91874378</v>
      </c>
      <c r="E239" s="640" t="s">
        <v>4216</v>
      </c>
      <c r="F239" s="378" t="s">
        <v>1</v>
      </c>
      <c r="G239" s="221" t="s">
        <v>4</v>
      </c>
      <c r="H239" s="493">
        <v>45890</v>
      </c>
      <c r="I239" s="503"/>
      <c r="J239" s="738" t="s">
        <v>4158</v>
      </c>
      <c r="K239" s="513"/>
      <c r="L239" s="582"/>
      <c r="M239" s="515"/>
      <c r="N239" s="31"/>
      <c r="O239" s="53"/>
      <c r="P239" s="55"/>
      <c r="Q239" s="346">
        <v>45890</v>
      </c>
      <c r="R239" s="148">
        <f t="shared" si="15"/>
        <v>1</v>
      </c>
      <c r="S239" s="633" t="s">
        <v>3020</v>
      </c>
      <c r="T239" s="57"/>
    </row>
    <row r="240" spans="1:20" ht="57.6" x14ac:dyDescent="0.3">
      <c r="A240" s="98">
        <f t="shared" ca="1" si="14"/>
        <v>287</v>
      </c>
      <c r="B240" s="583" t="s">
        <v>301</v>
      </c>
      <c r="C240" s="584">
        <v>45895</v>
      </c>
      <c r="D240" s="219">
        <v>7875355</v>
      </c>
      <c r="E240" s="270" t="s">
        <v>4217</v>
      </c>
      <c r="F240" s="378" t="s">
        <v>32</v>
      </c>
      <c r="G240" s="221" t="s">
        <v>6</v>
      </c>
      <c r="H240" s="493">
        <v>45895</v>
      </c>
      <c r="I240" s="503"/>
      <c r="J240" s="107" t="s">
        <v>106</v>
      </c>
      <c r="K240" s="513"/>
      <c r="L240" s="514"/>
      <c r="M240" s="515"/>
      <c r="N240" s="31"/>
      <c r="O240" s="53"/>
      <c r="P240" s="55"/>
      <c r="Q240" s="346">
        <v>45895</v>
      </c>
      <c r="R240" s="148">
        <f t="shared" si="15"/>
        <v>1</v>
      </c>
      <c r="S240" s="633" t="s">
        <v>1860</v>
      </c>
      <c r="T240" s="57"/>
    </row>
    <row r="241" spans="1:20" ht="28.8" x14ac:dyDescent="0.3">
      <c r="A241" s="98">
        <f t="shared" ca="1" si="14"/>
        <v>238</v>
      </c>
      <c r="B241" s="554">
        <v>1550</v>
      </c>
      <c r="C241" s="581">
        <v>45890</v>
      </c>
      <c r="D241" s="219">
        <v>120579642</v>
      </c>
      <c r="E241" s="261" t="s">
        <v>4218</v>
      </c>
      <c r="F241" s="101" t="s">
        <v>1</v>
      </c>
      <c r="G241" s="221" t="s">
        <v>4</v>
      </c>
      <c r="H241" s="493">
        <v>45890</v>
      </c>
      <c r="I241" s="503"/>
      <c r="J241" s="738" t="s">
        <v>2432</v>
      </c>
      <c r="K241" s="518"/>
      <c r="L241" s="518"/>
      <c r="M241" s="519"/>
      <c r="N241" s="520"/>
      <c r="O241" s="520"/>
      <c r="P241" s="521"/>
      <c r="Q241" s="346">
        <v>45890</v>
      </c>
      <c r="R241" s="148">
        <f t="shared" si="15"/>
        <v>1</v>
      </c>
      <c r="S241" s="633" t="s">
        <v>2970</v>
      </c>
      <c r="T241" s="57"/>
    </row>
    <row r="242" spans="1:20" ht="43.2" x14ac:dyDescent="0.3">
      <c r="A242" s="98">
        <f t="shared" ca="1" si="14"/>
        <v>239</v>
      </c>
      <c r="B242" s="554">
        <v>1550</v>
      </c>
      <c r="C242" s="581">
        <v>45890</v>
      </c>
      <c r="D242" s="219">
        <v>13387472</v>
      </c>
      <c r="E242" s="261" t="s">
        <v>4219</v>
      </c>
      <c r="F242" s="378" t="s">
        <v>12</v>
      </c>
      <c r="G242" s="221" t="s">
        <v>8</v>
      </c>
      <c r="H242" s="493">
        <v>45890</v>
      </c>
      <c r="I242" s="503"/>
      <c r="J242" s="732" t="s">
        <v>159</v>
      </c>
      <c r="K242" s="518"/>
      <c r="L242" s="518"/>
      <c r="M242" s="519"/>
      <c r="N242" s="520"/>
      <c r="O242" s="520"/>
      <c r="P242" s="521"/>
      <c r="Q242" s="346">
        <v>45897</v>
      </c>
      <c r="R242" s="148">
        <f t="shared" si="15"/>
        <v>1.0001525386794508</v>
      </c>
      <c r="S242" s="633" t="s">
        <v>3861</v>
      </c>
      <c r="T242" s="57"/>
    </row>
    <row r="243" spans="1:20" ht="43.2" x14ac:dyDescent="0.3">
      <c r="A243" s="98">
        <f t="shared" ca="1" si="14"/>
        <v>240</v>
      </c>
      <c r="B243" s="583">
        <v>1550</v>
      </c>
      <c r="C243" s="581">
        <v>45890</v>
      </c>
      <c r="D243" s="219">
        <v>120521490</v>
      </c>
      <c r="E243" s="261" t="s">
        <v>4220</v>
      </c>
      <c r="F243" s="378" t="s">
        <v>1</v>
      </c>
      <c r="G243" s="221" t="s">
        <v>8</v>
      </c>
      <c r="H243" s="493">
        <v>45890</v>
      </c>
      <c r="I243" s="503"/>
      <c r="J243" s="737" t="s">
        <v>2367</v>
      </c>
      <c r="K243" s="518"/>
      <c r="L243" s="518"/>
      <c r="M243" s="519"/>
      <c r="N243" s="520"/>
      <c r="O243" s="520"/>
      <c r="P243" s="521"/>
      <c r="Q243" s="346">
        <v>45890</v>
      </c>
      <c r="R243" s="148">
        <f t="shared" si="15"/>
        <v>1</v>
      </c>
      <c r="S243" s="633" t="s">
        <v>4127</v>
      </c>
      <c r="T243" s="57"/>
    </row>
    <row r="244" spans="1:20" ht="28.8" x14ac:dyDescent="0.3">
      <c r="A244" s="98">
        <f t="shared" ca="1" si="14"/>
        <v>241</v>
      </c>
      <c r="B244" s="583">
        <v>1550</v>
      </c>
      <c r="C244" s="584">
        <v>45890</v>
      </c>
      <c r="D244" s="219" t="s">
        <v>4221</v>
      </c>
      <c r="E244" s="271" t="s">
        <v>4222</v>
      </c>
      <c r="F244" s="101" t="s">
        <v>1</v>
      </c>
      <c r="G244" s="81" t="s">
        <v>4</v>
      </c>
      <c r="H244" s="493">
        <v>45890</v>
      </c>
      <c r="I244" s="585"/>
      <c r="J244" s="738" t="s">
        <v>2411</v>
      </c>
      <c r="K244" s="513"/>
      <c r="L244" s="514"/>
      <c r="M244" s="515"/>
      <c r="N244" s="31"/>
      <c r="O244" s="53"/>
      <c r="P244" s="55"/>
      <c r="Q244" s="346">
        <v>45922</v>
      </c>
      <c r="R244" s="148">
        <f t="shared" si="15"/>
        <v>1.0006973196774895</v>
      </c>
      <c r="S244" s="633" t="s">
        <v>3899</v>
      </c>
      <c r="T244" s="57"/>
    </row>
    <row r="245" spans="1:20" ht="28.8" x14ac:dyDescent="0.3">
      <c r="A245" s="98">
        <f t="shared" ca="1" si="14"/>
        <v>242</v>
      </c>
      <c r="B245" s="583">
        <v>1550</v>
      </c>
      <c r="C245" s="584">
        <v>45890</v>
      </c>
      <c r="D245" s="219">
        <v>104563710</v>
      </c>
      <c r="E245" s="271" t="s">
        <v>4223</v>
      </c>
      <c r="F245" s="101" t="s">
        <v>1</v>
      </c>
      <c r="G245" s="81" t="s">
        <v>4</v>
      </c>
      <c r="H245" s="493">
        <v>45890</v>
      </c>
      <c r="I245" s="503"/>
      <c r="J245" s="738" t="s">
        <v>2547</v>
      </c>
      <c r="K245" s="513"/>
      <c r="L245" s="514"/>
      <c r="M245" s="515"/>
      <c r="N245" s="31"/>
      <c r="O245" s="53"/>
      <c r="P245" s="55"/>
      <c r="Q245" s="346">
        <v>45891</v>
      </c>
      <c r="R245" s="148">
        <f t="shared" si="15"/>
        <v>1.0000217912399216</v>
      </c>
      <c r="S245" s="633" t="s">
        <v>2979</v>
      </c>
      <c r="T245" s="57"/>
    </row>
    <row r="246" spans="1:20" ht="79.5" customHeight="1" x14ac:dyDescent="0.3">
      <c r="A246" s="98">
        <f t="shared" ca="1" si="14"/>
        <v>243</v>
      </c>
      <c r="B246" s="618">
        <v>1550</v>
      </c>
      <c r="C246" s="584">
        <v>45890</v>
      </c>
      <c r="D246" s="219" t="s">
        <v>4224</v>
      </c>
      <c r="E246" s="271" t="s">
        <v>4225</v>
      </c>
      <c r="F246" s="101" t="s">
        <v>7</v>
      </c>
      <c r="G246" s="81" t="s">
        <v>10</v>
      </c>
      <c r="H246" s="493">
        <v>45890</v>
      </c>
      <c r="I246" s="503"/>
      <c r="J246" s="107" t="s">
        <v>2317</v>
      </c>
      <c r="K246" s="513"/>
      <c r="L246" s="514"/>
      <c r="M246" s="515"/>
      <c r="N246" s="31"/>
      <c r="O246" s="53"/>
      <c r="P246" s="55"/>
      <c r="Q246" s="346">
        <v>45890</v>
      </c>
      <c r="R246" s="148">
        <f t="shared" si="15"/>
        <v>1</v>
      </c>
      <c r="S246" s="633" t="s">
        <v>1806</v>
      </c>
      <c r="T246" s="57"/>
    </row>
    <row r="247" spans="1:20" ht="28.8" x14ac:dyDescent="0.3">
      <c r="A247" s="98">
        <f t="shared" ca="1" si="14"/>
        <v>244</v>
      </c>
      <c r="B247" s="126" t="s">
        <v>301</v>
      </c>
      <c r="C247" s="584">
        <v>45890</v>
      </c>
      <c r="D247" s="219">
        <v>54485614</v>
      </c>
      <c r="E247" s="641" t="s">
        <v>4226</v>
      </c>
      <c r="F247" s="387" t="s">
        <v>23</v>
      </c>
      <c r="G247" s="81" t="s">
        <v>10</v>
      </c>
      <c r="H247" s="493">
        <v>45890</v>
      </c>
      <c r="I247" s="586"/>
      <c r="J247" s="107" t="s">
        <v>135</v>
      </c>
      <c r="K247" s="513"/>
      <c r="L247" s="514"/>
      <c r="M247" s="515"/>
      <c r="N247" s="31"/>
      <c r="O247" s="53"/>
      <c r="P247" s="55"/>
      <c r="Q247" s="346">
        <v>45890</v>
      </c>
      <c r="R247" s="148">
        <f t="shared" si="15"/>
        <v>1</v>
      </c>
      <c r="S247" s="633" t="s">
        <v>85</v>
      </c>
      <c r="T247" s="57"/>
    </row>
    <row r="248" spans="1:20" ht="43.2" x14ac:dyDescent="0.3">
      <c r="A248" s="98">
        <f t="shared" ca="1" si="14"/>
        <v>245</v>
      </c>
      <c r="B248" s="126" t="s">
        <v>1044</v>
      </c>
      <c r="C248" s="206">
        <v>45891</v>
      </c>
      <c r="D248" s="219">
        <v>4605381</v>
      </c>
      <c r="E248" s="641" t="s">
        <v>4227</v>
      </c>
      <c r="F248" s="101" t="s">
        <v>7</v>
      </c>
      <c r="G248" s="81" t="s">
        <v>4</v>
      </c>
      <c r="H248" s="493">
        <v>45891</v>
      </c>
      <c r="I248" s="503"/>
      <c r="J248" s="727" t="s">
        <v>99</v>
      </c>
      <c r="K248" s="513"/>
      <c r="L248" s="514"/>
      <c r="M248" s="515"/>
      <c r="N248" s="31"/>
      <c r="O248" s="53"/>
      <c r="P248" s="55"/>
      <c r="Q248" s="346">
        <v>45895</v>
      </c>
      <c r="R248" s="148">
        <f t="shared" si="15"/>
        <v>1.000087163060295</v>
      </c>
      <c r="S248" s="633" t="s">
        <v>3020</v>
      </c>
      <c r="T248" s="57"/>
    </row>
    <row r="249" spans="1:20" ht="43.2" x14ac:dyDescent="0.3">
      <c r="A249" s="98">
        <f t="shared" ca="1" si="14"/>
        <v>246</v>
      </c>
      <c r="B249" s="583" t="s">
        <v>1044</v>
      </c>
      <c r="C249" s="584">
        <v>45891</v>
      </c>
      <c r="D249" s="219">
        <v>81371543</v>
      </c>
      <c r="E249" s="271" t="s">
        <v>4228</v>
      </c>
      <c r="F249" s="387" t="s">
        <v>25</v>
      </c>
      <c r="G249" s="81" t="s">
        <v>4</v>
      </c>
      <c r="H249" s="493">
        <v>45891</v>
      </c>
      <c r="I249" s="587"/>
      <c r="J249" s="107" t="s">
        <v>22</v>
      </c>
      <c r="K249" s="513"/>
      <c r="L249" s="514"/>
      <c r="M249" s="515"/>
      <c r="N249" s="31"/>
      <c r="O249" s="53"/>
      <c r="P249" s="55"/>
      <c r="Q249" s="346">
        <v>45891</v>
      </c>
      <c r="R249" s="148">
        <f t="shared" si="15"/>
        <v>1</v>
      </c>
      <c r="S249" s="633" t="s">
        <v>3020</v>
      </c>
      <c r="T249" s="57"/>
    </row>
    <row r="250" spans="1:20" ht="28.8" x14ac:dyDescent="0.3">
      <c r="A250" s="98">
        <f t="shared" ca="1" si="14"/>
        <v>247</v>
      </c>
      <c r="B250" s="583" t="s">
        <v>1826</v>
      </c>
      <c r="C250" s="584">
        <v>45891</v>
      </c>
      <c r="D250" s="219">
        <v>120629895</v>
      </c>
      <c r="E250" s="271" t="s">
        <v>4229</v>
      </c>
      <c r="F250" s="101" t="s">
        <v>1</v>
      </c>
      <c r="G250" s="81" t="s">
        <v>4</v>
      </c>
      <c r="H250" s="493">
        <v>45891</v>
      </c>
      <c r="I250" s="503"/>
      <c r="J250" s="738" t="s">
        <v>2310</v>
      </c>
      <c r="K250" s="355"/>
      <c r="L250" s="518"/>
      <c r="M250" s="519"/>
      <c r="N250" s="520"/>
      <c r="O250" s="520"/>
      <c r="P250" s="521"/>
      <c r="Q250" s="346">
        <v>45891</v>
      </c>
      <c r="R250" s="148">
        <f t="shared" si="15"/>
        <v>1</v>
      </c>
      <c r="S250" s="633" t="s">
        <v>3783</v>
      </c>
      <c r="T250" s="201"/>
    </row>
    <row r="251" spans="1:20" ht="43.2" x14ac:dyDescent="0.3">
      <c r="A251" s="98">
        <f t="shared" ca="1" si="14"/>
        <v>248</v>
      </c>
      <c r="B251" s="583" t="s">
        <v>1044</v>
      </c>
      <c r="C251" s="584">
        <v>45891</v>
      </c>
      <c r="D251" s="219">
        <v>4401727</v>
      </c>
      <c r="E251" s="271" t="s">
        <v>4230</v>
      </c>
      <c r="F251" s="101" t="s">
        <v>1</v>
      </c>
      <c r="G251" s="81" t="s">
        <v>4</v>
      </c>
      <c r="H251" s="493">
        <v>45891</v>
      </c>
      <c r="I251" s="503"/>
      <c r="J251" s="741" t="s">
        <v>99</v>
      </c>
      <c r="K251" s="513"/>
      <c r="L251" s="514"/>
      <c r="M251" s="515"/>
      <c r="N251" s="31"/>
      <c r="O251" s="53"/>
      <c r="P251" s="55"/>
      <c r="Q251" s="346">
        <v>45902</v>
      </c>
      <c r="R251" s="148">
        <f t="shared" si="15"/>
        <v>1.0002396984158113</v>
      </c>
      <c r="S251" s="633" t="s">
        <v>3020</v>
      </c>
      <c r="T251" s="201" t="s">
        <v>4231</v>
      </c>
    </row>
    <row r="252" spans="1:20" ht="43.2" x14ac:dyDescent="0.3">
      <c r="A252" s="98">
        <f t="shared" ca="1" si="14"/>
        <v>249</v>
      </c>
      <c r="B252" s="583">
        <v>1550</v>
      </c>
      <c r="C252" s="584">
        <v>45891</v>
      </c>
      <c r="D252" s="219">
        <v>92738532</v>
      </c>
      <c r="E252" s="271" t="s">
        <v>4232</v>
      </c>
      <c r="F252" s="101"/>
      <c r="G252" s="81"/>
      <c r="H252" s="493"/>
      <c r="I252" s="503"/>
      <c r="J252" s="107"/>
      <c r="K252" s="518"/>
      <c r="L252" s="518"/>
      <c r="M252" s="519"/>
      <c r="N252" s="520"/>
      <c r="O252" s="520"/>
      <c r="P252" s="521"/>
      <c r="Q252" s="346">
        <v>45891</v>
      </c>
      <c r="R252" s="148" t="e">
        <f t="shared" si="15"/>
        <v>#DIV/0!</v>
      </c>
      <c r="S252" s="633"/>
      <c r="T252" s="201"/>
    </row>
    <row r="253" spans="1:20" ht="28.8" x14ac:dyDescent="0.3">
      <c r="A253" s="98">
        <f t="shared" ca="1" si="14"/>
        <v>250</v>
      </c>
      <c r="B253" s="583">
        <v>1550</v>
      </c>
      <c r="C253" s="584">
        <v>45891</v>
      </c>
      <c r="D253" s="219">
        <v>5778573</v>
      </c>
      <c r="E253" s="271" t="s">
        <v>4233</v>
      </c>
      <c r="F253" s="101" t="s">
        <v>1</v>
      </c>
      <c r="G253" s="81" t="s">
        <v>4</v>
      </c>
      <c r="H253" s="493">
        <v>45891</v>
      </c>
      <c r="I253" s="503"/>
      <c r="J253" s="738" t="s">
        <v>3709</v>
      </c>
      <c r="K253" s="513"/>
      <c r="L253" s="514"/>
      <c r="M253" s="515"/>
      <c r="N253" s="31"/>
      <c r="O253" s="53"/>
      <c r="P253" s="55"/>
      <c r="Q253" s="346">
        <v>45891</v>
      </c>
      <c r="R253" s="148">
        <f t="shared" si="15"/>
        <v>1</v>
      </c>
      <c r="S253" s="633" t="s">
        <v>2979</v>
      </c>
      <c r="T253" s="201"/>
    </row>
    <row r="254" spans="1:20" ht="28.8" x14ac:dyDescent="0.3">
      <c r="A254" s="98">
        <f t="shared" ca="1" si="14"/>
        <v>251</v>
      </c>
      <c r="B254" s="583">
        <v>1550</v>
      </c>
      <c r="C254" s="584">
        <v>45891</v>
      </c>
      <c r="D254" s="219">
        <v>120627493</v>
      </c>
      <c r="E254" s="270" t="s">
        <v>4234</v>
      </c>
      <c r="F254" s="101" t="s">
        <v>1</v>
      </c>
      <c r="G254" s="81" t="s">
        <v>4</v>
      </c>
      <c r="H254" s="493">
        <v>45891</v>
      </c>
      <c r="I254" s="503"/>
      <c r="J254" s="738" t="s">
        <v>2367</v>
      </c>
      <c r="K254" s="513"/>
      <c r="L254" s="514"/>
      <c r="M254" s="515"/>
      <c r="N254" s="31"/>
      <c r="O254" s="53"/>
      <c r="P254" s="55"/>
      <c r="Q254" s="346">
        <v>45895</v>
      </c>
      <c r="R254" s="148">
        <f t="shared" si="15"/>
        <v>1.000087163060295</v>
      </c>
      <c r="S254" s="633" t="s">
        <v>2970</v>
      </c>
      <c r="T254" s="201"/>
    </row>
    <row r="255" spans="1:20" ht="43.2" x14ac:dyDescent="0.3">
      <c r="A255" s="98">
        <f t="shared" ca="1" si="14"/>
        <v>252</v>
      </c>
      <c r="B255" s="583">
        <v>1550</v>
      </c>
      <c r="C255" s="584">
        <v>45891</v>
      </c>
      <c r="D255" s="219">
        <v>61769746</v>
      </c>
      <c r="E255" s="270" t="s">
        <v>4235</v>
      </c>
      <c r="F255" s="344" t="s">
        <v>14</v>
      </c>
      <c r="G255" s="112" t="s">
        <v>8</v>
      </c>
      <c r="H255" s="493">
        <v>45891</v>
      </c>
      <c r="I255" s="25"/>
      <c r="J255" s="732" t="s">
        <v>253</v>
      </c>
      <c r="K255" s="518"/>
      <c r="L255" s="518"/>
      <c r="M255" s="519"/>
      <c r="N255" s="520"/>
      <c r="O255" s="520"/>
      <c r="P255" s="521"/>
      <c r="Q255" s="516">
        <v>45901</v>
      </c>
      <c r="R255" s="148">
        <f t="shared" si="15"/>
        <v>1.0002179076507376</v>
      </c>
      <c r="S255" s="633" t="s">
        <v>4127</v>
      </c>
      <c r="T255" s="201"/>
    </row>
    <row r="256" spans="1:20" ht="28.8" x14ac:dyDescent="0.3">
      <c r="A256" s="98">
        <f t="shared" ca="1" si="14"/>
        <v>253</v>
      </c>
      <c r="B256" s="583">
        <v>1550</v>
      </c>
      <c r="C256" s="584">
        <v>45891</v>
      </c>
      <c r="D256" s="219">
        <v>54582202</v>
      </c>
      <c r="E256" s="270" t="s">
        <v>4236</v>
      </c>
      <c r="F256" s="101" t="s">
        <v>1</v>
      </c>
      <c r="G256" s="112" t="s">
        <v>4</v>
      </c>
      <c r="H256" s="493">
        <v>45891</v>
      </c>
      <c r="I256" s="585"/>
      <c r="J256" s="738" t="s">
        <v>2411</v>
      </c>
      <c r="K256" s="518"/>
      <c r="L256" s="518"/>
      <c r="M256" s="519"/>
      <c r="N256" s="520"/>
      <c r="O256" s="520"/>
      <c r="P256" s="521"/>
      <c r="Q256" s="516">
        <v>45894</v>
      </c>
      <c r="R256" s="148">
        <f t="shared" ref="R256:R280" si="16">Q256/H256</f>
        <v>1.0000653722952213</v>
      </c>
      <c r="S256" s="633" t="s">
        <v>2979</v>
      </c>
      <c r="T256" s="201"/>
    </row>
    <row r="257" spans="1:20" ht="28.8" x14ac:dyDescent="0.3">
      <c r="A257" s="98">
        <f t="shared" ca="1" si="14"/>
        <v>254</v>
      </c>
      <c r="B257" s="583">
        <v>1550</v>
      </c>
      <c r="C257" s="584">
        <v>45891</v>
      </c>
      <c r="D257" s="219">
        <v>8126542</v>
      </c>
      <c r="E257" s="271" t="s">
        <v>4237</v>
      </c>
      <c r="F257" s="378" t="s">
        <v>3</v>
      </c>
      <c r="G257" s="221" t="s">
        <v>8</v>
      </c>
      <c r="H257" s="493">
        <v>45891</v>
      </c>
      <c r="I257" s="503"/>
      <c r="J257" s="107" t="s">
        <v>2432</v>
      </c>
      <c r="K257" s="518"/>
      <c r="L257" s="518"/>
      <c r="M257" s="519"/>
      <c r="N257" s="520"/>
      <c r="O257" s="520"/>
      <c r="P257" s="521"/>
      <c r="Q257" s="516">
        <v>45891</v>
      </c>
      <c r="R257" s="148">
        <f t="shared" si="16"/>
        <v>1</v>
      </c>
      <c r="S257" s="633" t="s">
        <v>3931</v>
      </c>
      <c r="T257" s="201"/>
    </row>
    <row r="258" spans="1:20" ht="28.8" x14ac:dyDescent="0.3">
      <c r="A258" s="98">
        <f t="shared" ca="1" si="14"/>
        <v>255</v>
      </c>
      <c r="B258" s="583">
        <v>1550</v>
      </c>
      <c r="C258" s="584">
        <v>45891</v>
      </c>
      <c r="D258" s="219">
        <v>40521451</v>
      </c>
      <c r="E258" s="270" t="s">
        <v>4238</v>
      </c>
      <c r="F258" s="378" t="s">
        <v>1</v>
      </c>
      <c r="G258" s="221" t="s">
        <v>4</v>
      </c>
      <c r="H258" s="493">
        <v>45891</v>
      </c>
      <c r="I258" s="503"/>
      <c r="J258" s="738" t="s">
        <v>2506</v>
      </c>
      <c r="K258" s="518"/>
      <c r="L258" s="518"/>
      <c r="M258" s="519"/>
      <c r="N258" s="520"/>
      <c r="O258" s="520"/>
      <c r="P258" s="521"/>
      <c r="Q258" s="516">
        <v>45894</v>
      </c>
      <c r="R258" s="148">
        <f t="shared" si="16"/>
        <v>1.0000653722952213</v>
      </c>
      <c r="S258" s="633" t="s">
        <v>2979</v>
      </c>
      <c r="T258" s="201"/>
    </row>
    <row r="259" spans="1:20" ht="43.2" x14ac:dyDescent="0.3">
      <c r="A259" s="98">
        <f t="shared" ca="1" si="14"/>
        <v>256</v>
      </c>
      <c r="B259" s="583">
        <v>1550</v>
      </c>
      <c r="C259" s="584">
        <v>45891</v>
      </c>
      <c r="D259">
        <v>105619183</v>
      </c>
      <c r="E259" s="261" t="s">
        <v>4239</v>
      </c>
      <c r="F259" s="378" t="s">
        <v>35</v>
      </c>
      <c r="G259" s="221" t="s">
        <v>4</v>
      </c>
      <c r="H259" s="493">
        <v>45891</v>
      </c>
      <c r="I259" s="503"/>
      <c r="J259" s="732" t="s">
        <v>253</v>
      </c>
      <c r="K259" s="518"/>
      <c r="L259" s="518"/>
      <c r="M259" s="519"/>
      <c r="N259" s="520"/>
      <c r="O259" s="520"/>
      <c r="P259" s="521"/>
      <c r="Q259" s="516">
        <v>45923</v>
      </c>
      <c r="R259" s="148">
        <f t="shared" si="16"/>
        <v>1.0006973044823604</v>
      </c>
      <c r="S259" s="633" t="s">
        <v>3899</v>
      </c>
      <c r="T259" s="57"/>
    </row>
    <row r="260" spans="1:20" ht="72" x14ac:dyDescent="0.3">
      <c r="A260" s="98">
        <f t="shared" ca="1" si="14"/>
        <v>257</v>
      </c>
      <c r="B260" s="583" t="s">
        <v>1044</v>
      </c>
      <c r="C260" s="584">
        <v>45891</v>
      </c>
      <c r="D260" s="219">
        <v>79816401</v>
      </c>
      <c r="E260" s="262" t="s">
        <v>4240</v>
      </c>
      <c r="F260" s="378" t="s">
        <v>12</v>
      </c>
      <c r="G260" s="221" t="s">
        <v>8</v>
      </c>
      <c r="H260" s="493">
        <v>45891</v>
      </c>
      <c r="I260" s="503"/>
      <c r="J260" s="732" t="s">
        <v>159</v>
      </c>
      <c r="K260" s="518"/>
      <c r="L260" s="518"/>
      <c r="M260" s="519"/>
      <c r="N260" s="520"/>
      <c r="O260" s="520"/>
      <c r="P260" s="521"/>
      <c r="Q260" s="516">
        <v>45891</v>
      </c>
      <c r="R260" s="148">
        <f t="shared" si="16"/>
        <v>1</v>
      </c>
      <c r="S260" s="633" t="s">
        <v>8</v>
      </c>
      <c r="T260" s="201"/>
    </row>
    <row r="261" spans="1:20" ht="28.8" x14ac:dyDescent="0.3">
      <c r="A261" s="98">
        <f t="shared" ca="1" si="14"/>
        <v>258</v>
      </c>
      <c r="B261" s="583">
        <v>1550</v>
      </c>
      <c r="C261" s="584">
        <v>45891</v>
      </c>
      <c r="D261" s="219">
        <v>120600129</v>
      </c>
      <c r="E261" s="262" t="s">
        <v>4241</v>
      </c>
      <c r="F261" s="378" t="s">
        <v>1</v>
      </c>
      <c r="G261" s="221" t="s">
        <v>4</v>
      </c>
      <c r="H261" s="493">
        <v>45891</v>
      </c>
      <c r="I261" s="503"/>
      <c r="J261" s="738" t="s">
        <v>4105</v>
      </c>
      <c r="K261" s="518"/>
      <c r="L261" s="518"/>
      <c r="M261" s="519"/>
      <c r="N261" s="520"/>
      <c r="O261" s="520"/>
      <c r="P261" s="521"/>
      <c r="Q261" s="516">
        <v>45894</v>
      </c>
      <c r="R261" s="148">
        <f t="shared" si="16"/>
        <v>1.0000653722952213</v>
      </c>
      <c r="S261" s="633" t="s">
        <v>2970</v>
      </c>
      <c r="T261" s="57"/>
    </row>
    <row r="262" spans="1:20" ht="100.8" x14ac:dyDescent="0.3">
      <c r="A262" s="98">
        <f t="shared" ca="1" si="14"/>
        <v>259</v>
      </c>
      <c r="B262" s="583">
        <v>1550</v>
      </c>
      <c r="C262" s="584">
        <v>45891</v>
      </c>
      <c r="D262" s="219">
        <v>19315503</v>
      </c>
      <c r="E262" s="271" t="s">
        <v>4242</v>
      </c>
      <c r="F262" s="378" t="s">
        <v>3</v>
      </c>
      <c r="G262" s="221" t="s">
        <v>6</v>
      </c>
      <c r="H262" s="493">
        <v>45891</v>
      </c>
      <c r="I262" s="503"/>
      <c r="J262" s="732" t="s">
        <v>82</v>
      </c>
      <c r="K262" s="513"/>
      <c r="L262" s="514"/>
      <c r="M262" s="515"/>
      <c r="N262" s="31"/>
      <c r="O262" s="53"/>
      <c r="P262" s="55"/>
      <c r="Q262" s="516">
        <v>45896</v>
      </c>
      <c r="R262" s="148">
        <f t="shared" si="16"/>
        <v>1.0001089538253689</v>
      </c>
      <c r="S262" s="633" t="s">
        <v>1893</v>
      </c>
      <c r="T262" s="57"/>
    </row>
    <row r="263" spans="1:20" ht="28.8" x14ac:dyDescent="0.3">
      <c r="A263" s="98">
        <f t="shared" ca="1" si="14"/>
        <v>260</v>
      </c>
      <c r="B263" s="583">
        <v>1550</v>
      </c>
      <c r="C263" s="584">
        <v>45891</v>
      </c>
      <c r="D263" s="219" t="s">
        <v>4243</v>
      </c>
      <c r="E263" s="270" t="s">
        <v>4244</v>
      </c>
      <c r="F263" s="378" t="s">
        <v>1</v>
      </c>
      <c r="G263" s="221" t="s">
        <v>4</v>
      </c>
      <c r="H263" s="493">
        <v>45891</v>
      </c>
      <c r="I263" s="503"/>
      <c r="J263" s="737" t="s">
        <v>4050</v>
      </c>
      <c r="K263" s="513"/>
      <c r="L263" s="582"/>
      <c r="M263" s="515"/>
      <c r="N263" s="31"/>
      <c r="O263" s="53"/>
      <c r="P263" s="55"/>
      <c r="Q263" s="516">
        <v>45891</v>
      </c>
      <c r="R263" s="148">
        <f t="shared" si="16"/>
        <v>1</v>
      </c>
      <c r="S263" s="633" t="s">
        <v>2974</v>
      </c>
      <c r="T263" s="57"/>
    </row>
    <row r="264" spans="1:20" ht="57.6" x14ac:dyDescent="0.3">
      <c r="A264" s="98">
        <f t="shared" ca="1" si="14"/>
        <v>261</v>
      </c>
      <c r="B264" s="583">
        <v>1550</v>
      </c>
      <c r="C264" s="346">
        <v>45891</v>
      </c>
      <c r="D264" s="219">
        <v>120629283</v>
      </c>
      <c r="E264" s="270" t="s">
        <v>4245</v>
      </c>
      <c r="F264" s="387" t="s">
        <v>1</v>
      </c>
      <c r="G264" s="81" t="s">
        <v>8</v>
      </c>
      <c r="H264" s="493">
        <v>45891</v>
      </c>
      <c r="I264" s="587"/>
      <c r="J264" s="107" t="s">
        <v>2432</v>
      </c>
      <c r="K264" s="518"/>
      <c r="L264" s="518"/>
      <c r="M264" s="519"/>
      <c r="N264" s="520"/>
      <c r="O264" s="520"/>
      <c r="P264" s="521"/>
      <c r="Q264" s="516">
        <v>45898</v>
      </c>
      <c r="R264" s="148">
        <f t="shared" si="16"/>
        <v>1.0001525353555163</v>
      </c>
      <c r="S264" s="633" t="s">
        <v>3861</v>
      </c>
      <c r="T264" s="201"/>
    </row>
    <row r="265" spans="1:20" ht="57.6" x14ac:dyDescent="0.3">
      <c r="A265" s="98">
        <f t="shared" ca="1" si="14"/>
        <v>262</v>
      </c>
      <c r="B265" s="583">
        <v>1550</v>
      </c>
      <c r="C265" s="584">
        <v>45891</v>
      </c>
      <c r="D265" s="219">
        <v>120623951</v>
      </c>
      <c r="E265" s="270" t="s">
        <v>4246</v>
      </c>
      <c r="F265" s="387" t="s">
        <v>1</v>
      </c>
      <c r="G265" s="172" t="s">
        <v>8</v>
      </c>
      <c r="H265" s="493">
        <v>45891</v>
      </c>
      <c r="I265" s="587"/>
      <c r="J265" s="737" t="s">
        <v>2411</v>
      </c>
      <c r="K265" s="518"/>
      <c r="L265" s="518"/>
      <c r="M265" s="519"/>
      <c r="N265" s="520"/>
      <c r="O265" s="520"/>
      <c r="P265" s="521"/>
      <c r="Q265" s="346">
        <v>45897</v>
      </c>
      <c r="R265" s="148">
        <f t="shared" si="16"/>
        <v>1.0001307445904426</v>
      </c>
      <c r="S265" s="633" t="s">
        <v>3861</v>
      </c>
      <c r="T265" s="201"/>
    </row>
    <row r="266" spans="1:20" ht="28.8" x14ac:dyDescent="0.3">
      <c r="A266" s="98">
        <f t="shared" ca="1" si="14"/>
        <v>263</v>
      </c>
      <c r="B266" s="583">
        <v>1550</v>
      </c>
      <c r="C266" s="584">
        <v>45891</v>
      </c>
      <c r="D266" s="219">
        <v>112151906</v>
      </c>
      <c r="E266" s="270" t="s">
        <v>3007</v>
      </c>
      <c r="F266" s="387" t="s">
        <v>7</v>
      </c>
      <c r="G266" s="172" t="s">
        <v>8</v>
      </c>
      <c r="H266" s="493">
        <v>45891</v>
      </c>
      <c r="I266" s="587"/>
      <c r="J266" s="107" t="s">
        <v>2306</v>
      </c>
      <c r="K266" s="518"/>
      <c r="L266" s="518"/>
      <c r="M266" s="519"/>
      <c r="N266" s="520"/>
      <c r="O266" s="520"/>
      <c r="P266" s="521"/>
      <c r="Q266" s="346">
        <v>45894</v>
      </c>
      <c r="R266" s="148">
        <f t="shared" si="16"/>
        <v>1.0000653722952213</v>
      </c>
      <c r="S266" s="633" t="s">
        <v>3861</v>
      </c>
      <c r="T266" s="201"/>
    </row>
    <row r="267" spans="1:20" ht="43.2" x14ac:dyDescent="0.3">
      <c r="A267" s="98">
        <f t="shared" ca="1" si="14"/>
        <v>264</v>
      </c>
      <c r="B267" s="583" t="s">
        <v>1044</v>
      </c>
      <c r="C267" s="584">
        <v>45891</v>
      </c>
      <c r="D267" s="219">
        <v>5740401</v>
      </c>
      <c r="E267" s="270" t="s">
        <v>4247</v>
      </c>
      <c r="F267" s="378" t="s">
        <v>12</v>
      </c>
      <c r="G267" s="81" t="s">
        <v>4</v>
      </c>
      <c r="H267" s="493">
        <v>45891</v>
      </c>
      <c r="I267" s="587"/>
      <c r="J267" s="732" t="s">
        <v>159</v>
      </c>
      <c r="K267" s="518"/>
      <c r="L267" s="518"/>
      <c r="M267" s="519"/>
      <c r="N267" s="520"/>
      <c r="O267" s="520"/>
      <c r="P267" s="521"/>
      <c r="Q267" s="346">
        <v>45898</v>
      </c>
      <c r="R267" s="148">
        <f t="shared" si="16"/>
        <v>1.0001525353555163</v>
      </c>
      <c r="S267" s="633" t="s">
        <v>3020</v>
      </c>
      <c r="T267" s="201"/>
    </row>
    <row r="268" spans="1:20" ht="28.8" x14ac:dyDescent="0.3">
      <c r="A268" s="98">
        <f t="shared" ca="1" si="14"/>
        <v>265</v>
      </c>
      <c r="B268" s="583" t="s">
        <v>1044</v>
      </c>
      <c r="C268" s="584">
        <v>45891</v>
      </c>
      <c r="D268" s="219">
        <v>80230539</v>
      </c>
      <c r="E268" s="270" t="s">
        <v>4248</v>
      </c>
      <c r="F268" s="378" t="s">
        <v>17</v>
      </c>
      <c r="G268" s="81" t="s">
        <v>4</v>
      </c>
      <c r="H268" s="493">
        <v>45891</v>
      </c>
      <c r="I268" s="587"/>
      <c r="J268" s="732" t="s">
        <v>82</v>
      </c>
      <c r="K268" s="518"/>
      <c r="L268" s="518"/>
      <c r="M268" s="519"/>
      <c r="N268" s="520"/>
      <c r="O268" s="520"/>
      <c r="P268" s="521"/>
      <c r="Q268" s="346">
        <v>45894</v>
      </c>
      <c r="R268" s="148">
        <f t="shared" si="16"/>
        <v>1.0000653722952213</v>
      </c>
      <c r="S268" s="633" t="s">
        <v>3020</v>
      </c>
      <c r="T268" s="201"/>
    </row>
    <row r="269" spans="1:20" ht="43.2" x14ac:dyDescent="0.3">
      <c r="A269" s="98">
        <f t="shared" ca="1" si="14"/>
        <v>266</v>
      </c>
      <c r="B269" s="583" t="s">
        <v>1044</v>
      </c>
      <c r="C269" s="584">
        <v>45891</v>
      </c>
      <c r="D269" s="219">
        <v>5391539</v>
      </c>
      <c r="E269" s="270" t="s">
        <v>4249</v>
      </c>
      <c r="F269" s="378" t="s">
        <v>26</v>
      </c>
      <c r="G269" s="81" t="s">
        <v>4</v>
      </c>
      <c r="H269" s="493">
        <v>45891</v>
      </c>
      <c r="I269" s="587"/>
      <c r="J269" s="107" t="s">
        <v>3768</v>
      </c>
      <c r="K269" s="518"/>
      <c r="L269" s="518"/>
      <c r="M269" s="519"/>
      <c r="N269" s="520"/>
      <c r="O269" s="520"/>
      <c r="P269" s="521"/>
      <c r="Q269" s="346">
        <v>45902</v>
      </c>
      <c r="R269" s="148">
        <f t="shared" si="16"/>
        <v>1.0002396984158113</v>
      </c>
      <c r="S269" s="633" t="s">
        <v>2979</v>
      </c>
      <c r="T269" s="201"/>
    </row>
    <row r="270" spans="1:20" ht="43.2" x14ac:dyDescent="0.3">
      <c r="A270" s="98">
        <f t="shared" ca="1" si="14"/>
        <v>267</v>
      </c>
      <c r="B270" s="583" t="s">
        <v>1044</v>
      </c>
      <c r="C270" s="346">
        <v>45894</v>
      </c>
      <c r="D270">
        <v>73523755</v>
      </c>
      <c r="E270" s="270" t="s">
        <v>4250</v>
      </c>
      <c r="F270" s="378" t="s">
        <v>23</v>
      </c>
      <c r="G270" s="81" t="s">
        <v>4</v>
      </c>
      <c r="H270" s="493">
        <v>45894</v>
      </c>
      <c r="I270" s="587"/>
      <c r="J270" s="107" t="s">
        <v>135</v>
      </c>
      <c r="K270" s="518"/>
      <c r="L270" s="518"/>
      <c r="M270" s="519"/>
      <c r="N270" s="520"/>
      <c r="O270" s="520"/>
      <c r="P270" s="521"/>
      <c r="Q270" s="346">
        <v>45894</v>
      </c>
      <c r="R270" s="148">
        <f t="shared" si="16"/>
        <v>1</v>
      </c>
      <c r="S270" s="633" t="s">
        <v>1569</v>
      </c>
      <c r="T270" s="201"/>
    </row>
    <row r="271" spans="1:20" ht="57.6" x14ac:dyDescent="0.3">
      <c r="A271" s="98">
        <f t="shared" ca="1" si="14"/>
        <v>268</v>
      </c>
      <c r="B271" s="583">
        <v>1550</v>
      </c>
      <c r="C271" s="346">
        <v>45894</v>
      </c>
      <c r="D271" s="219">
        <v>25230565</v>
      </c>
      <c r="E271" s="270" t="s">
        <v>4251</v>
      </c>
      <c r="F271" s="378" t="s">
        <v>39</v>
      </c>
      <c r="G271" s="172" t="s">
        <v>4</v>
      </c>
      <c r="H271" s="493">
        <v>45894</v>
      </c>
      <c r="I271" s="503"/>
      <c r="J271" s="107" t="s">
        <v>22</v>
      </c>
      <c r="K271" s="518"/>
      <c r="L271" s="518"/>
      <c r="M271" s="519"/>
      <c r="N271" s="520"/>
      <c r="O271" s="520"/>
      <c r="P271" s="521"/>
      <c r="Q271" s="346">
        <v>45902</v>
      </c>
      <c r="R271" s="148">
        <f t="shared" si="16"/>
        <v>1.0001743147252364</v>
      </c>
      <c r="S271" s="633" t="s">
        <v>2970</v>
      </c>
      <c r="T271" s="201"/>
    </row>
    <row r="272" spans="1:20" ht="43.2" x14ac:dyDescent="0.3">
      <c r="A272" s="98">
        <f t="shared" ca="1" si="14"/>
        <v>269</v>
      </c>
      <c r="B272" s="583" t="s">
        <v>1044</v>
      </c>
      <c r="C272" s="346">
        <v>45894</v>
      </c>
      <c r="D272" s="219">
        <v>117647829</v>
      </c>
      <c r="E272" s="261" t="s">
        <v>4252</v>
      </c>
      <c r="F272" s="378" t="s">
        <v>33</v>
      </c>
      <c r="G272" s="172" t="s">
        <v>8</v>
      </c>
      <c r="H272" s="493">
        <v>45894</v>
      </c>
      <c r="I272" s="503"/>
      <c r="J272" s="727" t="s">
        <v>99</v>
      </c>
      <c r="K272" s="355" t="s">
        <v>262</v>
      </c>
      <c r="L272" s="613">
        <v>45894</v>
      </c>
      <c r="M272" s="358" t="s">
        <v>1357</v>
      </c>
      <c r="N272" s="520"/>
      <c r="O272" s="520"/>
      <c r="P272" s="521"/>
      <c r="Q272" s="346">
        <v>45897</v>
      </c>
      <c r="R272" s="148">
        <f t="shared" si="16"/>
        <v>1.0000653680219636</v>
      </c>
      <c r="S272" s="633" t="s">
        <v>4127</v>
      </c>
      <c r="T272" s="57"/>
    </row>
    <row r="273" spans="1:20" ht="28.8" x14ac:dyDescent="0.3">
      <c r="A273" s="98">
        <f t="shared" ca="1" si="14"/>
        <v>270</v>
      </c>
      <c r="B273" s="583" t="s">
        <v>1044</v>
      </c>
      <c r="C273" s="346">
        <v>45894</v>
      </c>
      <c r="D273" s="219">
        <v>84627565</v>
      </c>
      <c r="E273" s="262" t="s">
        <v>4248</v>
      </c>
      <c r="F273" s="378" t="s">
        <v>17</v>
      </c>
      <c r="G273" s="172" t="s">
        <v>4</v>
      </c>
      <c r="H273" s="493">
        <v>45894</v>
      </c>
      <c r="I273" s="503"/>
      <c r="J273" s="732" t="s">
        <v>82</v>
      </c>
      <c r="K273" s="518"/>
      <c r="L273" s="518"/>
      <c r="M273" s="519"/>
      <c r="N273" s="520"/>
      <c r="O273" s="520"/>
      <c r="P273" s="521"/>
      <c r="Q273" s="346">
        <v>45894</v>
      </c>
      <c r="R273" s="148">
        <f t="shared" si="16"/>
        <v>1</v>
      </c>
      <c r="S273" s="633" t="s">
        <v>3020</v>
      </c>
      <c r="T273" s="57"/>
    </row>
    <row r="274" spans="1:20" ht="28.8" x14ac:dyDescent="0.3">
      <c r="A274" s="98">
        <f t="shared" ca="1" si="14"/>
        <v>271</v>
      </c>
      <c r="B274" s="583">
        <v>1550</v>
      </c>
      <c r="C274" s="346">
        <v>45894</v>
      </c>
      <c r="D274" s="219">
        <v>103740023</v>
      </c>
      <c r="E274" s="262" t="s">
        <v>4253</v>
      </c>
      <c r="F274" s="378" t="s">
        <v>1</v>
      </c>
      <c r="G274" s="172" t="s">
        <v>4</v>
      </c>
      <c r="H274" s="493">
        <v>45894</v>
      </c>
      <c r="I274" s="503"/>
      <c r="J274" s="738" t="s">
        <v>2271</v>
      </c>
      <c r="K274" s="518"/>
      <c r="L274" s="518"/>
      <c r="M274" s="519"/>
      <c r="N274" s="520"/>
      <c r="O274" s="520"/>
      <c r="P274" s="521"/>
      <c r="Q274" s="346">
        <v>45894</v>
      </c>
      <c r="R274" s="148">
        <f t="shared" si="16"/>
        <v>1</v>
      </c>
      <c r="S274" s="633" t="s">
        <v>2979</v>
      </c>
      <c r="T274" s="57"/>
    </row>
    <row r="275" spans="1:20" ht="43.2" x14ac:dyDescent="0.3">
      <c r="A275" s="98">
        <f t="shared" ca="1" si="14"/>
        <v>272</v>
      </c>
      <c r="B275" s="591">
        <v>1550</v>
      </c>
      <c r="C275" s="592">
        <v>45894</v>
      </c>
      <c r="D275" s="219">
        <v>87197219</v>
      </c>
      <c r="E275" s="284" t="s">
        <v>4254</v>
      </c>
      <c r="F275" s="643" t="s">
        <v>3</v>
      </c>
      <c r="G275" s="172" t="s">
        <v>8</v>
      </c>
      <c r="H275" s="493">
        <v>45894</v>
      </c>
      <c r="I275" s="503"/>
      <c r="J275" s="107" t="s">
        <v>3411</v>
      </c>
      <c r="K275" s="513"/>
      <c r="L275" s="514"/>
      <c r="M275" s="515"/>
      <c r="N275" s="31"/>
      <c r="O275" s="53"/>
      <c r="P275" s="55"/>
      <c r="Q275" s="346">
        <v>45895</v>
      </c>
      <c r="R275" s="148">
        <f t="shared" si="16"/>
        <v>1.0000217893406544</v>
      </c>
      <c r="S275" s="633" t="s">
        <v>4026</v>
      </c>
      <c r="T275" s="57"/>
    </row>
    <row r="276" spans="1:20" ht="28.8" x14ac:dyDescent="0.3">
      <c r="A276" s="98">
        <f t="shared" ca="1" si="14"/>
        <v>273</v>
      </c>
      <c r="B276" s="111">
        <v>1550</v>
      </c>
      <c r="C276" s="206">
        <v>45894</v>
      </c>
      <c r="D276" s="219">
        <v>98325574</v>
      </c>
      <c r="E276" s="109" t="s">
        <v>4255</v>
      </c>
      <c r="F276" s="111" t="s">
        <v>60</v>
      </c>
      <c r="G276" s="421" t="s">
        <v>8</v>
      </c>
      <c r="H276" s="560">
        <v>45894</v>
      </c>
      <c r="I276" s="593"/>
      <c r="J276" s="107" t="s">
        <v>106</v>
      </c>
      <c r="K276" s="513"/>
      <c r="L276" s="514"/>
      <c r="M276" s="515"/>
      <c r="N276" s="31"/>
      <c r="O276" s="53"/>
      <c r="P276" s="55"/>
      <c r="Q276" s="346">
        <v>45897</v>
      </c>
      <c r="R276" s="148">
        <f t="shared" si="16"/>
        <v>1.0000653680219636</v>
      </c>
      <c r="S276" s="633" t="s">
        <v>8</v>
      </c>
      <c r="T276" s="57"/>
    </row>
    <row r="277" spans="1:20" ht="28.8" x14ac:dyDescent="0.3">
      <c r="A277" s="98">
        <f t="shared" ca="1" si="14"/>
        <v>274</v>
      </c>
      <c r="B277" s="111">
        <v>1550</v>
      </c>
      <c r="C277" s="206">
        <v>45894</v>
      </c>
      <c r="D277" s="219">
        <v>120312670</v>
      </c>
      <c r="E277" s="109" t="s">
        <v>4256</v>
      </c>
      <c r="F277" s="126" t="s">
        <v>1</v>
      </c>
      <c r="G277" s="377" t="s">
        <v>4</v>
      </c>
      <c r="H277" s="568">
        <v>45894</v>
      </c>
      <c r="I277" s="594"/>
      <c r="J277" s="738" t="s">
        <v>4257</v>
      </c>
      <c r="K277" s="518"/>
      <c r="L277" s="518"/>
      <c r="M277" s="519"/>
      <c r="N277" s="520"/>
      <c r="O277" s="520"/>
      <c r="P277" s="521"/>
      <c r="Q277" s="346">
        <v>45895</v>
      </c>
      <c r="R277" s="148">
        <f t="shared" si="16"/>
        <v>1.0000217893406544</v>
      </c>
      <c r="S277" s="633" t="s">
        <v>2970</v>
      </c>
      <c r="T277" s="201"/>
    </row>
    <row r="278" spans="1:20" ht="86.4" x14ac:dyDescent="0.3">
      <c r="A278" s="98">
        <f t="shared" ca="1" si="14"/>
        <v>289</v>
      </c>
      <c r="B278" s="758" t="s">
        <v>301</v>
      </c>
      <c r="C278" s="759">
        <v>45895</v>
      </c>
      <c r="D278" s="219">
        <v>81109512</v>
      </c>
      <c r="E278" s="277" t="s">
        <v>4258</v>
      </c>
      <c r="F278" s="400" t="s">
        <v>32</v>
      </c>
      <c r="G278" s="172" t="s">
        <v>6</v>
      </c>
      <c r="H278" s="493">
        <v>45895</v>
      </c>
      <c r="I278" s="764"/>
      <c r="J278" s="107" t="s">
        <v>106</v>
      </c>
      <c r="K278" s="513"/>
      <c r="L278" s="514"/>
      <c r="M278" s="515"/>
      <c r="N278" s="31"/>
      <c r="O278" s="53"/>
      <c r="P278" s="55"/>
      <c r="Q278" s="346">
        <v>45895</v>
      </c>
      <c r="R278" s="148">
        <f t="shared" si="16"/>
        <v>1</v>
      </c>
      <c r="S278" s="633" t="s">
        <v>1312</v>
      </c>
      <c r="T278" s="57"/>
    </row>
    <row r="279" spans="1:20" ht="57.6" x14ac:dyDescent="0.3">
      <c r="A279" s="98">
        <f t="shared" ca="1" si="14"/>
        <v>276</v>
      </c>
      <c r="B279" s="598">
        <v>1550</v>
      </c>
      <c r="C279" s="348">
        <v>45894</v>
      </c>
      <c r="D279" s="219">
        <v>50976907</v>
      </c>
      <c r="E279" s="270" t="s">
        <v>4259</v>
      </c>
      <c r="F279" s="387" t="s">
        <v>23</v>
      </c>
      <c r="G279" s="221" t="s">
        <v>6</v>
      </c>
      <c r="H279" s="493">
        <v>45894</v>
      </c>
      <c r="I279" s="587"/>
      <c r="J279" s="107" t="s">
        <v>135</v>
      </c>
      <c r="K279" s="518"/>
      <c r="L279" s="518"/>
      <c r="M279" s="519"/>
      <c r="N279" s="520"/>
      <c r="O279" s="520"/>
      <c r="P279" s="521"/>
      <c r="Q279" s="346">
        <v>45897</v>
      </c>
      <c r="R279" s="148">
        <f t="shared" si="16"/>
        <v>1.0000653680219636</v>
      </c>
      <c r="S279" s="633" t="s">
        <v>2597</v>
      </c>
      <c r="T279" s="201"/>
    </row>
    <row r="280" spans="1:20" ht="43.2" x14ac:dyDescent="0.3">
      <c r="A280" s="98">
        <f t="shared" ca="1" si="14"/>
        <v>277</v>
      </c>
      <c r="B280" s="598">
        <v>1550</v>
      </c>
      <c r="C280" s="348">
        <v>45894</v>
      </c>
      <c r="D280" s="111">
        <v>120634694</v>
      </c>
      <c r="E280" s="270" t="s">
        <v>4260</v>
      </c>
      <c r="F280" s="388" t="s">
        <v>4261</v>
      </c>
      <c r="G280" s="221" t="s">
        <v>4</v>
      </c>
      <c r="H280" s="493">
        <v>45894</v>
      </c>
      <c r="I280" s="587"/>
      <c r="J280" s="107" t="s">
        <v>3768</v>
      </c>
      <c r="K280" s="518"/>
      <c r="L280" s="518"/>
      <c r="M280" s="519"/>
      <c r="N280" s="520"/>
      <c r="O280" s="520"/>
      <c r="P280" s="521"/>
      <c r="Q280" s="346">
        <v>45895</v>
      </c>
      <c r="R280" s="148">
        <f t="shared" si="16"/>
        <v>1.0000217893406544</v>
      </c>
      <c r="S280" s="633" t="s">
        <v>3899</v>
      </c>
      <c r="T280" s="201"/>
    </row>
    <row r="281" spans="1:20" ht="43.2" x14ac:dyDescent="0.3">
      <c r="A281" s="98">
        <f t="shared" ca="1" si="14"/>
        <v>278</v>
      </c>
      <c r="B281" s="598" t="s">
        <v>1044</v>
      </c>
      <c r="C281" s="348">
        <v>45877</v>
      </c>
      <c r="D281" s="219">
        <v>2342855</v>
      </c>
      <c r="E281" s="263" t="s">
        <v>4262</v>
      </c>
      <c r="F281" s="378" t="s">
        <v>38</v>
      </c>
      <c r="G281" s="172" t="s">
        <v>6</v>
      </c>
      <c r="H281" s="493">
        <v>45877</v>
      </c>
      <c r="I281" s="503"/>
      <c r="J281" s="732" t="s">
        <v>253</v>
      </c>
      <c r="K281" s="513"/>
      <c r="L281" s="514"/>
      <c r="M281" s="515"/>
      <c r="N281" s="31"/>
      <c r="O281" s="53"/>
      <c r="P281" s="55"/>
      <c r="Q281" s="346">
        <v>45877</v>
      </c>
      <c r="R281" s="148"/>
      <c r="S281" s="633" t="s">
        <v>3959</v>
      </c>
      <c r="T281" s="201"/>
    </row>
    <row r="282" spans="1:20" ht="57.6" x14ac:dyDescent="0.3">
      <c r="A282" s="98">
        <f t="shared" ref="A282:A345" ca="1" si="17">A281+1</f>
        <v>279</v>
      </c>
      <c r="B282" s="598" t="s">
        <v>1044</v>
      </c>
      <c r="C282" s="348">
        <v>45881</v>
      </c>
      <c r="D282" s="219">
        <v>120157403</v>
      </c>
      <c r="E282" s="264" t="s">
        <v>4263</v>
      </c>
      <c r="F282" s="378" t="s">
        <v>38</v>
      </c>
      <c r="G282" s="172" t="s">
        <v>6</v>
      </c>
      <c r="H282" s="493">
        <v>45881</v>
      </c>
      <c r="I282" s="503"/>
      <c r="J282" s="732" t="s">
        <v>253</v>
      </c>
      <c r="K282" s="513"/>
      <c r="L282" s="514"/>
      <c r="M282" s="515"/>
      <c r="N282" s="31"/>
      <c r="O282" s="53"/>
      <c r="P282" s="55"/>
      <c r="Q282" s="346">
        <v>45882</v>
      </c>
      <c r="R282" s="148"/>
      <c r="S282" s="633" t="s">
        <v>3959</v>
      </c>
      <c r="T282" s="57"/>
    </row>
    <row r="283" spans="1:20" ht="115.2" x14ac:dyDescent="0.3">
      <c r="A283" s="98">
        <f t="shared" ca="1" si="17"/>
        <v>280</v>
      </c>
      <c r="B283" s="598" t="s">
        <v>4264</v>
      </c>
      <c r="C283" s="348">
        <v>45889</v>
      </c>
      <c r="D283" s="219">
        <v>45252297</v>
      </c>
      <c r="E283" s="263" t="s">
        <v>4265</v>
      </c>
      <c r="F283" s="378" t="s">
        <v>38</v>
      </c>
      <c r="G283" s="172" t="s">
        <v>6</v>
      </c>
      <c r="H283" s="493">
        <v>45889</v>
      </c>
      <c r="I283" s="503"/>
      <c r="J283" s="732" t="s">
        <v>253</v>
      </c>
      <c r="K283" s="513"/>
      <c r="L283" s="514"/>
      <c r="M283" s="515"/>
      <c r="N283" s="31"/>
      <c r="O283" s="53"/>
      <c r="P283" s="55"/>
      <c r="Q283" s="346">
        <v>45895</v>
      </c>
      <c r="R283" s="148">
        <f t="shared" ref="R283:R314" si="18">Q283/H283</f>
        <v>1.0001307502887402</v>
      </c>
      <c r="S283" s="633" t="s">
        <v>2597</v>
      </c>
      <c r="T283" s="201" t="s">
        <v>4266</v>
      </c>
    </row>
    <row r="284" spans="1:20" ht="65.25" customHeight="1" x14ac:dyDescent="0.3">
      <c r="A284" s="98">
        <f t="shared" ca="1" si="17"/>
        <v>281</v>
      </c>
      <c r="B284" s="598" t="s">
        <v>301</v>
      </c>
      <c r="C284" s="348">
        <v>45894</v>
      </c>
      <c r="D284" s="219">
        <v>8165165</v>
      </c>
      <c r="E284" s="263" t="s">
        <v>4267</v>
      </c>
      <c r="F284" s="378" t="s">
        <v>39</v>
      </c>
      <c r="G284" s="172" t="s">
        <v>10</v>
      </c>
      <c r="H284" s="493">
        <v>45894</v>
      </c>
      <c r="I284" s="503">
        <v>10000314205</v>
      </c>
      <c r="J284" s="107" t="s">
        <v>22</v>
      </c>
      <c r="K284" s="513"/>
      <c r="L284" s="514"/>
      <c r="M284" s="515"/>
      <c r="N284" s="31"/>
      <c r="O284" s="53"/>
      <c r="P284" s="55"/>
      <c r="Q284" s="346">
        <v>45919</v>
      </c>
      <c r="R284" s="148">
        <f t="shared" si="18"/>
        <v>1.0005447335163637</v>
      </c>
      <c r="S284" s="633" t="s">
        <v>1172</v>
      </c>
      <c r="T284" s="57"/>
    </row>
    <row r="285" spans="1:20" ht="77.25" customHeight="1" x14ac:dyDescent="0.3">
      <c r="A285" s="98">
        <f t="shared" ca="1" si="17"/>
        <v>282</v>
      </c>
      <c r="B285" s="598">
        <v>1550</v>
      </c>
      <c r="C285" s="348">
        <v>45894</v>
      </c>
      <c r="D285" s="219">
        <v>64633071</v>
      </c>
      <c r="E285" s="263" t="s">
        <v>4268</v>
      </c>
      <c r="F285" s="378" t="s">
        <v>1</v>
      </c>
      <c r="G285" s="172" t="s">
        <v>10</v>
      </c>
      <c r="H285" s="493">
        <v>45894</v>
      </c>
      <c r="I285" s="503"/>
      <c r="J285" s="738" t="s">
        <v>3768</v>
      </c>
      <c r="K285" s="513"/>
      <c r="L285" s="514"/>
      <c r="M285" s="515"/>
      <c r="N285" s="31"/>
      <c r="O285" s="53"/>
      <c r="P285" s="55"/>
      <c r="Q285" s="346">
        <v>45897</v>
      </c>
      <c r="R285" s="148">
        <f t="shared" si="18"/>
        <v>1.0000653680219636</v>
      </c>
      <c r="S285" s="633" t="s">
        <v>1806</v>
      </c>
      <c r="T285" s="57"/>
    </row>
    <row r="286" spans="1:20" ht="57.6" x14ac:dyDescent="0.3">
      <c r="A286" s="98">
        <f t="shared" ca="1" si="17"/>
        <v>283</v>
      </c>
      <c r="B286" s="598" t="s">
        <v>1044</v>
      </c>
      <c r="C286" s="348">
        <v>45895</v>
      </c>
      <c r="D286" s="111" t="s">
        <v>4269</v>
      </c>
      <c r="E286" s="270" t="s">
        <v>4270</v>
      </c>
      <c r="F286" s="388" t="s">
        <v>39</v>
      </c>
      <c r="G286" s="221" t="s">
        <v>4</v>
      </c>
      <c r="H286" s="493">
        <v>45895</v>
      </c>
      <c r="I286" s="587">
        <v>10000313639</v>
      </c>
      <c r="J286" s="107" t="s">
        <v>135</v>
      </c>
      <c r="K286" s="513"/>
      <c r="L286" s="514"/>
      <c r="M286" s="515"/>
      <c r="N286" s="31"/>
      <c r="O286" s="53"/>
      <c r="P286" s="55"/>
      <c r="Q286" s="346">
        <v>45898</v>
      </c>
      <c r="R286" s="148">
        <f t="shared" si="18"/>
        <v>1.0000653665976686</v>
      </c>
      <c r="S286" s="633" t="s">
        <v>3020</v>
      </c>
      <c r="T286" s="57"/>
    </row>
    <row r="287" spans="1:20" ht="43.2" x14ac:dyDescent="0.3">
      <c r="A287" s="98">
        <f t="shared" ca="1" si="17"/>
        <v>275</v>
      </c>
      <c r="B287" s="150">
        <v>1550</v>
      </c>
      <c r="C287" s="606">
        <v>45802</v>
      </c>
      <c r="D287" s="219">
        <v>76360733</v>
      </c>
      <c r="E287" s="763" t="s">
        <v>4271</v>
      </c>
      <c r="F287" s="388" t="s">
        <v>32</v>
      </c>
      <c r="G287" s="221" t="s">
        <v>8</v>
      </c>
      <c r="H287" s="493">
        <v>45894</v>
      </c>
      <c r="I287" s="585"/>
      <c r="J287" s="107" t="s">
        <v>106</v>
      </c>
      <c r="K287" s="513"/>
      <c r="L287" s="514"/>
      <c r="M287" s="515"/>
      <c r="N287" s="31"/>
      <c r="O287" s="53"/>
      <c r="P287" s="55"/>
      <c r="Q287" s="516">
        <v>45897</v>
      </c>
      <c r="R287" s="148">
        <f t="shared" si="18"/>
        <v>1.0000653680219636</v>
      </c>
      <c r="S287" s="633" t="s">
        <v>3952</v>
      </c>
      <c r="T287" s="57"/>
    </row>
    <row r="288" spans="1:20" ht="43.2" x14ac:dyDescent="0.3">
      <c r="A288" s="98">
        <f t="shared" ca="1" si="17"/>
        <v>298</v>
      </c>
      <c r="B288" s="150">
        <v>1550</v>
      </c>
      <c r="C288" s="606">
        <v>45895</v>
      </c>
      <c r="D288" s="219">
        <v>94222827</v>
      </c>
      <c r="E288" s="393" t="s">
        <v>4272</v>
      </c>
      <c r="F288" s="386" t="s">
        <v>32</v>
      </c>
      <c r="G288" s="221" t="s">
        <v>8</v>
      </c>
      <c r="H288" s="493">
        <v>45895</v>
      </c>
      <c r="I288" s="585"/>
      <c r="J288" s="107" t="s">
        <v>106</v>
      </c>
      <c r="K288" s="513"/>
      <c r="L288" s="514"/>
      <c r="M288" s="515"/>
      <c r="N288" s="31"/>
      <c r="O288" s="53"/>
      <c r="P288" s="55"/>
      <c r="Q288" s="346">
        <v>45902</v>
      </c>
      <c r="R288" s="148">
        <f t="shared" si="18"/>
        <v>1.0001525220612266</v>
      </c>
      <c r="S288" s="633" t="s">
        <v>4127</v>
      </c>
      <c r="T288" s="57"/>
    </row>
    <row r="289" spans="1:20" ht="86.4" x14ac:dyDescent="0.3">
      <c r="A289" s="98">
        <f t="shared" ca="1" si="17"/>
        <v>286</v>
      </c>
      <c r="B289" s="598" t="s">
        <v>301</v>
      </c>
      <c r="C289" s="348">
        <v>45895</v>
      </c>
      <c r="D289" s="219">
        <v>7046928</v>
      </c>
      <c r="E289" s="270" t="s">
        <v>4273</v>
      </c>
      <c r="F289" s="388" t="s">
        <v>39</v>
      </c>
      <c r="G289" s="221" t="s">
        <v>6</v>
      </c>
      <c r="H289" s="493">
        <v>45895</v>
      </c>
      <c r="I289" s="587">
        <v>10000313640</v>
      </c>
      <c r="J289" s="107" t="s">
        <v>22</v>
      </c>
      <c r="K289" s="513"/>
      <c r="L289" s="514"/>
      <c r="M289" s="515"/>
      <c r="N289" s="31"/>
      <c r="O289" s="53"/>
      <c r="P289" s="55"/>
      <c r="Q289" s="346">
        <v>45896</v>
      </c>
      <c r="R289" s="148">
        <f t="shared" si="18"/>
        <v>1.0000217888658895</v>
      </c>
      <c r="S289" s="633" t="s">
        <v>1312</v>
      </c>
      <c r="T289" s="57"/>
    </row>
    <row r="290" spans="1:20" ht="28.8" x14ac:dyDescent="0.3">
      <c r="A290" s="98">
        <f t="shared" ca="1" si="17"/>
        <v>285</v>
      </c>
      <c r="B290" s="598">
        <v>1550</v>
      </c>
      <c r="C290" s="348">
        <v>45895</v>
      </c>
      <c r="D290" s="219" t="s">
        <v>4274</v>
      </c>
      <c r="E290" s="270" t="s">
        <v>4275</v>
      </c>
      <c r="F290" s="388" t="s">
        <v>32</v>
      </c>
      <c r="G290" s="221" t="s">
        <v>4</v>
      </c>
      <c r="H290" s="493">
        <v>45895</v>
      </c>
      <c r="I290" s="587">
        <v>10000313661</v>
      </c>
      <c r="J290" s="107" t="s">
        <v>106</v>
      </c>
      <c r="K290" s="513"/>
      <c r="L290" s="514"/>
      <c r="M290" s="515"/>
      <c r="N290" s="31"/>
      <c r="O290" s="53"/>
      <c r="P290" s="55"/>
      <c r="Q290" s="346">
        <v>45903</v>
      </c>
      <c r="R290" s="148">
        <f t="shared" si="18"/>
        <v>1.0001743109271162</v>
      </c>
      <c r="S290" s="633" t="s">
        <v>3899</v>
      </c>
      <c r="T290" s="57"/>
    </row>
    <row r="291" spans="1:20" ht="43.2" x14ac:dyDescent="0.3">
      <c r="A291" s="98">
        <f t="shared" ca="1" si="17"/>
        <v>288</v>
      </c>
      <c r="B291" s="598" t="s">
        <v>80</v>
      </c>
      <c r="C291" s="348">
        <v>45895</v>
      </c>
      <c r="D291" s="219">
        <v>7940513</v>
      </c>
      <c r="E291" s="270" t="s">
        <v>4276</v>
      </c>
      <c r="F291" s="388" t="s">
        <v>1</v>
      </c>
      <c r="G291" s="221" t="s">
        <v>8</v>
      </c>
      <c r="H291" s="493">
        <v>45895</v>
      </c>
      <c r="I291" s="587"/>
      <c r="J291" s="737" t="s">
        <v>2367</v>
      </c>
      <c r="K291" s="513"/>
      <c r="L291" s="514"/>
      <c r="M291" s="515"/>
      <c r="N291" s="31"/>
      <c r="O291" s="53"/>
      <c r="P291" s="55"/>
      <c r="Q291" s="346">
        <v>45896</v>
      </c>
      <c r="R291" s="148">
        <f t="shared" si="18"/>
        <v>1.0000217888658895</v>
      </c>
      <c r="S291" s="633" t="s">
        <v>3861</v>
      </c>
      <c r="T291" s="57"/>
    </row>
    <row r="292" spans="1:20" ht="43.2" x14ac:dyDescent="0.3">
      <c r="A292" s="98">
        <f t="shared" ca="1" si="17"/>
        <v>284</v>
      </c>
      <c r="B292" s="598" t="s">
        <v>1044</v>
      </c>
      <c r="C292" s="348">
        <v>45895</v>
      </c>
      <c r="D292" s="219">
        <v>35422955</v>
      </c>
      <c r="E292" s="270" t="s">
        <v>4277</v>
      </c>
      <c r="F292" s="388" t="s">
        <v>32</v>
      </c>
      <c r="G292" s="221" t="s">
        <v>4</v>
      </c>
      <c r="H292" s="493">
        <v>45895</v>
      </c>
      <c r="I292" s="587"/>
      <c r="J292" s="107" t="s">
        <v>106</v>
      </c>
      <c r="K292" s="513"/>
      <c r="L292" s="514"/>
      <c r="M292" s="515"/>
      <c r="N292" s="31"/>
      <c r="O292" s="53"/>
      <c r="P292" s="55"/>
      <c r="Q292" s="346">
        <v>45909</v>
      </c>
      <c r="R292" s="148">
        <f t="shared" si="18"/>
        <v>1.0003050441224535</v>
      </c>
      <c r="S292" s="633" t="s">
        <v>3020</v>
      </c>
      <c r="T292" s="57"/>
    </row>
    <row r="293" spans="1:20" ht="43.2" x14ac:dyDescent="0.3">
      <c r="A293" s="98">
        <f t="shared" ca="1" si="17"/>
        <v>290</v>
      </c>
      <c r="B293" s="598">
        <v>1550</v>
      </c>
      <c r="C293" s="348">
        <v>45895</v>
      </c>
      <c r="D293" s="219">
        <v>95576185</v>
      </c>
      <c r="E293" s="270" t="s">
        <v>4278</v>
      </c>
      <c r="F293" s="388" t="s">
        <v>3</v>
      </c>
      <c r="G293" s="221" t="s">
        <v>8</v>
      </c>
      <c r="H293" s="493">
        <v>45895</v>
      </c>
      <c r="I293" s="587"/>
      <c r="J293" s="107" t="s">
        <v>2432</v>
      </c>
      <c r="K293" s="513"/>
      <c r="L293" s="514"/>
      <c r="M293" s="515"/>
      <c r="N293" s="31"/>
      <c r="O293" s="53"/>
      <c r="P293" s="55"/>
      <c r="Q293" s="346">
        <v>45896</v>
      </c>
      <c r="R293" s="148">
        <f t="shared" si="18"/>
        <v>1.0000217888658895</v>
      </c>
      <c r="S293" s="633" t="s">
        <v>3952</v>
      </c>
      <c r="T293" s="57"/>
    </row>
    <row r="294" spans="1:20" ht="28.8" x14ac:dyDescent="0.3">
      <c r="A294" s="98">
        <f t="shared" ca="1" si="17"/>
        <v>291</v>
      </c>
      <c r="B294" s="598" t="s">
        <v>1044</v>
      </c>
      <c r="C294" s="348">
        <v>45895</v>
      </c>
      <c r="D294" s="219"/>
      <c r="E294" s="270" t="s">
        <v>4279</v>
      </c>
      <c r="F294" s="388" t="s">
        <v>21</v>
      </c>
      <c r="G294" s="221" t="s">
        <v>4</v>
      </c>
      <c r="H294" s="493">
        <v>45895</v>
      </c>
      <c r="I294" s="587"/>
      <c r="J294" s="107" t="s">
        <v>4020</v>
      </c>
      <c r="K294" s="513"/>
      <c r="L294" s="514"/>
      <c r="M294" s="515"/>
      <c r="N294" s="31"/>
      <c r="O294" s="53"/>
      <c r="P294" s="55"/>
      <c r="Q294" s="346">
        <v>45895</v>
      </c>
      <c r="R294" s="148">
        <f t="shared" si="18"/>
        <v>1</v>
      </c>
      <c r="S294" s="633" t="s">
        <v>3020</v>
      </c>
      <c r="T294" s="57"/>
    </row>
    <row r="295" spans="1:20" ht="43.2" x14ac:dyDescent="0.3">
      <c r="A295" s="98">
        <f t="shared" ca="1" si="17"/>
        <v>292</v>
      </c>
      <c r="B295" s="598">
        <v>1550</v>
      </c>
      <c r="C295" s="348">
        <v>45895</v>
      </c>
      <c r="D295" s="219">
        <v>120574217</v>
      </c>
      <c r="E295" s="270" t="s">
        <v>4280</v>
      </c>
      <c r="F295" s="344" t="s">
        <v>4261</v>
      </c>
      <c r="G295" s="221" t="s">
        <v>4</v>
      </c>
      <c r="H295" s="493">
        <v>45895</v>
      </c>
      <c r="I295" s="25"/>
      <c r="J295" s="100" t="s">
        <v>3709</v>
      </c>
      <c r="K295" s="513"/>
      <c r="L295" s="514"/>
      <c r="M295" s="515"/>
      <c r="N295" s="31"/>
      <c r="O295" s="53"/>
      <c r="P295" s="55"/>
      <c r="Q295" s="346">
        <v>45908</v>
      </c>
      <c r="R295" s="148">
        <f t="shared" si="18"/>
        <v>1.0002832552565639</v>
      </c>
      <c r="S295" s="633" t="s">
        <v>2970</v>
      </c>
      <c r="T295" s="57"/>
    </row>
    <row r="296" spans="1:20" ht="28.8" x14ac:dyDescent="0.3">
      <c r="A296" s="98">
        <f t="shared" ca="1" si="17"/>
        <v>293</v>
      </c>
      <c r="B296" s="598">
        <v>1550</v>
      </c>
      <c r="C296" s="348">
        <v>45895</v>
      </c>
      <c r="D296" s="219">
        <v>95216065</v>
      </c>
      <c r="E296" s="270" t="s">
        <v>4281</v>
      </c>
      <c r="F296" s="344" t="s">
        <v>3</v>
      </c>
      <c r="G296" s="221" t="s">
        <v>4</v>
      </c>
      <c r="H296" s="493">
        <v>45895</v>
      </c>
      <c r="I296" s="587">
        <v>10000313714</v>
      </c>
      <c r="J296" s="732" t="s">
        <v>82</v>
      </c>
      <c r="K296" s="518"/>
      <c r="L296" s="518"/>
      <c r="M296" s="519"/>
      <c r="N296" s="520"/>
      <c r="O296" s="520"/>
      <c r="P296" s="521"/>
      <c r="Q296" s="346">
        <v>45930</v>
      </c>
      <c r="R296" s="148">
        <f t="shared" si="18"/>
        <v>1.0007626103061336</v>
      </c>
      <c r="S296" s="633" t="s">
        <v>3899</v>
      </c>
      <c r="T296" s="201"/>
    </row>
    <row r="297" spans="1:20" ht="43.2" x14ac:dyDescent="0.3">
      <c r="A297" s="98">
        <f t="shared" ca="1" si="17"/>
        <v>294</v>
      </c>
      <c r="B297" s="598">
        <v>1550</v>
      </c>
      <c r="C297" s="348">
        <v>45895</v>
      </c>
      <c r="D297" s="219">
        <v>108287874</v>
      </c>
      <c r="E297" s="270" t="s">
        <v>4282</v>
      </c>
      <c r="F297" s="426" t="s">
        <v>1</v>
      </c>
      <c r="G297" s="421" t="s">
        <v>4</v>
      </c>
      <c r="H297" s="493">
        <v>45895</v>
      </c>
      <c r="I297" s="587"/>
      <c r="J297" s="741" t="s">
        <v>99</v>
      </c>
      <c r="K297" s="513"/>
      <c r="L297" s="514"/>
      <c r="M297" s="515"/>
      <c r="N297" s="31"/>
      <c r="O297" s="53"/>
      <c r="P297" s="55"/>
      <c r="Q297" s="346">
        <v>45898</v>
      </c>
      <c r="R297" s="148">
        <f t="shared" si="18"/>
        <v>1.0000653665976686</v>
      </c>
      <c r="S297" s="633" t="s">
        <v>3899</v>
      </c>
      <c r="T297" s="57"/>
    </row>
    <row r="298" spans="1:20" ht="28.8" x14ac:dyDescent="0.3">
      <c r="A298" s="98">
        <f t="shared" ca="1" si="17"/>
        <v>295</v>
      </c>
      <c r="B298" s="111">
        <v>1550</v>
      </c>
      <c r="C298" s="512">
        <v>45895</v>
      </c>
      <c r="D298" s="219">
        <v>26269104</v>
      </c>
      <c r="E298" s="270" t="s">
        <v>4283</v>
      </c>
      <c r="F298" s="111"/>
      <c r="G298" s="127"/>
      <c r="H298" s="599"/>
      <c r="I298" s="25"/>
      <c r="J298" s="100"/>
      <c r="K298" s="513"/>
      <c r="L298" s="514"/>
      <c r="M298" s="515"/>
      <c r="N298" s="31"/>
      <c r="O298" s="53"/>
      <c r="P298" s="55"/>
      <c r="Q298" s="346">
        <v>45895</v>
      </c>
      <c r="R298" s="148" t="e">
        <f t="shared" si="18"/>
        <v>#DIV/0!</v>
      </c>
      <c r="S298" s="633"/>
      <c r="T298" s="57"/>
    </row>
    <row r="299" spans="1:20" ht="100.8" x14ac:dyDescent="0.3">
      <c r="A299" s="98">
        <f t="shared" ca="1" si="17"/>
        <v>296</v>
      </c>
      <c r="B299" s="554">
        <v>1550</v>
      </c>
      <c r="C299" s="581">
        <v>45895</v>
      </c>
      <c r="D299" s="219">
        <v>81093187</v>
      </c>
      <c r="E299" s="270" t="s">
        <v>4284</v>
      </c>
      <c r="F299" s="401" t="s">
        <v>7</v>
      </c>
      <c r="G299" s="172" t="s">
        <v>6</v>
      </c>
      <c r="H299" s="493">
        <v>45895</v>
      </c>
      <c r="I299" s="25"/>
      <c r="J299" s="727" t="s">
        <v>99</v>
      </c>
      <c r="K299" s="518"/>
      <c r="L299" s="518"/>
      <c r="M299" s="519"/>
      <c r="N299" s="520"/>
      <c r="O299" s="520"/>
      <c r="P299" s="521"/>
      <c r="Q299" s="346">
        <v>45895</v>
      </c>
      <c r="R299" s="148">
        <f t="shared" si="18"/>
        <v>1</v>
      </c>
      <c r="S299" s="633" t="s">
        <v>2808</v>
      </c>
      <c r="T299" s="57"/>
    </row>
    <row r="300" spans="1:20" ht="86.4" x14ac:dyDescent="0.3">
      <c r="A300" s="98">
        <f t="shared" ca="1" si="17"/>
        <v>297</v>
      </c>
      <c r="B300" s="554" t="s">
        <v>301</v>
      </c>
      <c r="C300" s="581">
        <v>45895</v>
      </c>
      <c r="D300" s="219">
        <v>33935289</v>
      </c>
      <c r="E300" s="270" t="s">
        <v>4285</v>
      </c>
      <c r="F300" s="386" t="s">
        <v>3</v>
      </c>
      <c r="G300" s="221" t="s">
        <v>6</v>
      </c>
      <c r="H300" s="493">
        <v>45895</v>
      </c>
      <c r="I300" s="25">
        <v>10000314044</v>
      </c>
      <c r="J300" s="732" t="s">
        <v>82</v>
      </c>
      <c r="K300" s="518"/>
      <c r="L300" s="518"/>
      <c r="M300" s="519"/>
      <c r="N300" s="520"/>
      <c r="O300" s="520"/>
      <c r="P300" s="521"/>
      <c r="Q300" s="346">
        <v>45929</v>
      </c>
      <c r="R300" s="148">
        <f t="shared" si="18"/>
        <v>1.000740821440244</v>
      </c>
      <c r="S300" s="633" t="s">
        <v>1860</v>
      </c>
      <c r="T300" s="57"/>
    </row>
    <row r="301" spans="1:20" ht="28.8" x14ac:dyDescent="0.3">
      <c r="A301" s="98">
        <f t="shared" ca="1" si="17"/>
        <v>237</v>
      </c>
      <c r="B301" s="554">
        <v>1550</v>
      </c>
      <c r="C301" s="581">
        <v>45890</v>
      </c>
      <c r="D301" s="219">
        <v>51351366</v>
      </c>
      <c r="E301" s="213" t="s">
        <v>4286</v>
      </c>
      <c r="F301" s="126" t="s">
        <v>32</v>
      </c>
      <c r="G301" s="127" t="s">
        <v>4</v>
      </c>
      <c r="H301" s="599">
        <v>45890</v>
      </c>
      <c r="I301" s="503">
        <v>10000312947</v>
      </c>
      <c r="J301" s="100" t="s">
        <v>106</v>
      </c>
      <c r="K301" s="513"/>
      <c r="L301" s="582"/>
      <c r="M301" s="515"/>
      <c r="N301" s="31"/>
      <c r="O301" s="53"/>
      <c r="P301" s="55"/>
      <c r="Q301" s="346">
        <v>45951</v>
      </c>
      <c r="R301" s="148">
        <f t="shared" si="18"/>
        <v>1.0013292656352146</v>
      </c>
      <c r="S301" s="633" t="s">
        <v>4</v>
      </c>
      <c r="T301" s="201"/>
    </row>
    <row r="302" spans="1:20" ht="43.2" x14ac:dyDescent="0.3">
      <c r="A302" s="98">
        <f t="shared" ca="1" si="17"/>
        <v>299</v>
      </c>
      <c r="B302" s="126">
        <v>1550</v>
      </c>
      <c r="C302" s="206">
        <v>45895</v>
      </c>
      <c r="D302" s="219">
        <v>120641224</v>
      </c>
      <c r="E302" s="264" t="s">
        <v>4287</v>
      </c>
      <c r="F302" s="111" t="s">
        <v>4261</v>
      </c>
      <c r="G302" s="127" t="s">
        <v>4</v>
      </c>
      <c r="H302" s="599">
        <v>45895</v>
      </c>
      <c r="I302" s="25"/>
      <c r="J302" s="738" t="s">
        <v>2367</v>
      </c>
      <c r="K302" s="513"/>
      <c r="L302" s="514"/>
      <c r="M302" s="515"/>
      <c r="N302" s="31"/>
      <c r="O302" s="53"/>
      <c r="P302" s="55"/>
      <c r="Q302" s="346">
        <v>45896</v>
      </c>
      <c r="R302" s="148">
        <f t="shared" si="18"/>
        <v>1.0000217888658895</v>
      </c>
      <c r="S302" s="633" t="s">
        <v>2979</v>
      </c>
      <c r="T302" s="201"/>
    </row>
    <row r="303" spans="1:20" ht="28.8" x14ac:dyDescent="0.3">
      <c r="A303" s="98">
        <f t="shared" ca="1" si="17"/>
        <v>300</v>
      </c>
      <c r="B303" s="126">
        <v>1550</v>
      </c>
      <c r="C303" s="206">
        <v>45895</v>
      </c>
      <c r="D303" s="219">
        <v>88255530</v>
      </c>
      <c r="E303" s="270" t="s">
        <v>4288</v>
      </c>
      <c r="F303" s="386" t="s">
        <v>1</v>
      </c>
      <c r="G303" s="221" t="s">
        <v>8</v>
      </c>
      <c r="H303" s="493">
        <v>45895</v>
      </c>
      <c r="I303" s="341"/>
      <c r="J303" s="100" t="s">
        <v>4090</v>
      </c>
      <c r="K303" s="513"/>
      <c r="L303" s="514"/>
      <c r="M303" s="515"/>
      <c r="N303" s="31"/>
      <c r="O303" s="53"/>
      <c r="P303" s="55"/>
      <c r="Q303" s="346">
        <v>45895</v>
      </c>
      <c r="R303" s="148">
        <f t="shared" si="18"/>
        <v>1</v>
      </c>
      <c r="S303" s="633" t="s">
        <v>4127</v>
      </c>
      <c r="T303" s="57"/>
    </row>
    <row r="304" spans="1:20" ht="57.6" x14ac:dyDescent="0.3">
      <c r="A304" s="98">
        <f t="shared" ca="1" si="17"/>
        <v>301</v>
      </c>
      <c r="B304" s="126" t="s">
        <v>301</v>
      </c>
      <c r="C304" s="206">
        <v>45895</v>
      </c>
      <c r="D304" s="219">
        <v>90802675</v>
      </c>
      <c r="E304" s="270" t="s">
        <v>4289</v>
      </c>
      <c r="F304" s="111" t="s">
        <v>7</v>
      </c>
      <c r="G304" s="127" t="s">
        <v>6</v>
      </c>
      <c r="H304" s="599">
        <v>45895</v>
      </c>
      <c r="I304" s="25"/>
      <c r="J304" s="738" t="s">
        <v>2367</v>
      </c>
      <c r="K304" s="513"/>
      <c r="L304" s="514"/>
      <c r="M304" s="515"/>
      <c r="N304" s="31"/>
      <c r="O304" s="53"/>
      <c r="P304" s="55"/>
      <c r="Q304" s="346">
        <v>45898</v>
      </c>
      <c r="R304" s="148">
        <f t="shared" si="18"/>
        <v>1.0000653665976686</v>
      </c>
      <c r="S304" s="633" t="s">
        <v>3783</v>
      </c>
      <c r="T304" s="57"/>
    </row>
    <row r="305" spans="1:20" ht="43.2" x14ac:dyDescent="0.3">
      <c r="A305" s="98">
        <f t="shared" ca="1" si="17"/>
        <v>302</v>
      </c>
      <c r="B305" s="598">
        <v>1550</v>
      </c>
      <c r="C305" s="348">
        <v>45895</v>
      </c>
      <c r="D305" s="219">
        <v>120637219</v>
      </c>
      <c r="E305" s="275" t="s">
        <v>4290</v>
      </c>
      <c r="F305" s="150" t="s">
        <v>1</v>
      </c>
      <c r="G305" s="340" t="s">
        <v>8</v>
      </c>
      <c r="H305" s="646">
        <v>45895</v>
      </c>
      <c r="I305" s="561"/>
      <c r="J305" s="740" t="s">
        <v>3180</v>
      </c>
      <c r="K305" s="513"/>
      <c r="L305" s="514"/>
      <c r="M305" s="515"/>
      <c r="N305" s="31"/>
      <c r="O305" s="53"/>
      <c r="P305" s="55"/>
      <c r="Q305" s="346">
        <v>45898</v>
      </c>
      <c r="R305" s="148">
        <f t="shared" si="18"/>
        <v>1.0000653665976686</v>
      </c>
      <c r="S305" s="633" t="s">
        <v>3146</v>
      </c>
      <c r="T305" s="201"/>
    </row>
    <row r="306" spans="1:20" ht="129.6" x14ac:dyDescent="0.3">
      <c r="A306" s="98">
        <f t="shared" ca="1" si="17"/>
        <v>303</v>
      </c>
      <c r="B306" s="126">
        <v>1550</v>
      </c>
      <c r="C306" s="206">
        <v>45895</v>
      </c>
      <c r="D306" s="219">
        <v>107376202</v>
      </c>
      <c r="E306" s="109" t="s">
        <v>4291</v>
      </c>
      <c r="F306" s="111" t="s">
        <v>21</v>
      </c>
      <c r="G306" s="125" t="s">
        <v>6</v>
      </c>
      <c r="H306" s="568">
        <v>45896</v>
      </c>
      <c r="I306" s="341"/>
      <c r="J306" s="125" t="s">
        <v>4292</v>
      </c>
      <c r="K306" s="518"/>
      <c r="L306" s="518"/>
      <c r="M306" s="519"/>
      <c r="N306" s="520"/>
      <c r="O306" s="520"/>
      <c r="P306" s="521"/>
      <c r="Q306" s="346">
        <v>45901</v>
      </c>
      <c r="R306" s="148">
        <f t="shared" si="18"/>
        <v>1.0001089419557261</v>
      </c>
      <c r="S306" s="633" t="s">
        <v>1936</v>
      </c>
      <c r="T306" s="201"/>
    </row>
    <row r="307" spans="1:20" ht="57.6" x14ac:dyDescent="0.3">
      <c r="A307" s="98">
        <f t="shared" ca="1" si="17"/>
        <v>304</v>
      </c>
      <c r="B307" s="126" t="s">
        <v>1044</v>
      </c>
      <c r="C307" s="206">
        <v>45896</v>
      </c>
      <c r="D307" s="219">
        <v>8017980</v>
      </c>
      <c r="E307" s="109" t="s">
        <v>4293</v>
      </c>
      <c r="F307" s="111" t="s">
        <v>17</v>
      </c>
      <c r="G307" s="127" t="s">
        <v>4</v>
      </c>
      <c r="H307" s="568">
        <v>45896</v>
      </c>
      <c r="I307" s="341"/>
      <c r="J307" s="732" t="s">
        <v>82</v>
      </c>
      <c r="K307" s="513"/>
      <c r="L307" s="514"/>
      <c r="M307" s="515"/>
      <c r="N307" s="31"/>
      <c r="O307" s="53"/>
      <c r="P307" s="55"/>
      <c r="Q307" s="346">
        <v>45896</v>
      </c>
      <c r="R307" s="148">
        <f t="shared" si="18"/>
        <v>1</v>
      </c>
      <c r="S307" s="633" t="s">
        <v>3020</v>
      </c>
      <c r="T307" s="201"/>
    </row>
    <row r="308" spans="1:20" ht="43.2" x14ac:dyDescent="0.3">
      <c r="A308" s="98">
        <f t="shared" ca="1" si="17"/>
        <v>305</v>
      </c>
      <c r="B308" s="126">
        <v>1550</v>
      </c>
      <c r="C308" s="206">
        <v>45896</v>
      </c>
      <c r="D308" s="219">
        <v>68045239</v>
      </c>
      <c r="E308" s="122" t="s">
        <v>3978</v>
      </c>
      <c r="F308" s="111" t="s">
        <v>49</v>
      </c>
      <c r="G308" s="125" t="s">
        <v>8</v>
      </c>
      <c r="H308" s="568">
        <v>45896</v>
      </c>
      <c r="I308" s="341"/>
      <c r="J308" s="125" t="s">
        <v>266</v>
      </c>
      <c r="K308" s="518"/>
      <c r="L308" s="518"/>
      <c r="M308" s="519"/>
      <c r="N308" s="520"/>
      <c r="O308" s="520"/>
      <c r="P308" s="521"/>
      <c r="Q308" s="346">
        <v>45896</v>
      </c>
      <c r="R308" s="148">
        <f t="shared" si="18"/>
        <v>1</v>
      </c>
      <c r="S308" s="633" t="s">
        <v>3841</v>
      </c>
      <c r="T308" s="387"/>
    </row>
    <row r="309" spans="1:20" ht="28.8" x14ac:dyDescent="0.3">
      <c r="A309" s="98">
        <f t="shared" ca="1" si="17"/>
        <v>306</v>
      </c>
      <c r="B309" s="126">
        <v>1550</v>
      </c>
      <c r="C309" s="206">
        <v>45896</v>
      </c>
      <c r="D309" s="219">
        <v>1000058484</v>
      </c>
      <c r="E309" s="60" t="s">
        <v>3007</v>
      </c>
      <c r="F309" s="111" t="s">
        <v>7</v>
      </c>
      <c r="G309" s="127" t="s">
        <v>8</v>
      </c>
      <c r="H309" s="568">
        <v>45896</v>
      </c>
      <c r="I309" s="341"/>
      <c r="J309" s="125" t="s">
        <v>2536</v>
      </c>
      <c r="K309" s="513"/>
      <c r="L309" s="514"/>
      <c r="M309" s="515"/>
      <c r="N309" s="31"/>
      <c r="O309" s="53"/>
      <c r="P309" s="55"/>
      <c r="Q309" s="346">
        <v>45896</v>
      </c>
      <c r="R309" s="148">
        <f t="shared" si="18"/>
        <v>1</v>
      </c>
      <c r="S309" s="633" t="s">
        <v>3952</v>
      </c>
      <c r="T309" s="201"/>
    </row>
    <row r="310" spans="1:20" ht="28.8" x14ac:dyDescent="0.3">
      <c r="A310" s="98">
        <f t="shared" ca="1" si="17"/>
        <v>307</v>
      </c>
      <c r="B310" s="126" t="s">
        <v>1044</v>
      </c>
      <c r="C310" s="206">
        <v>45896</v>
      </c>
      <c r="D310" s="219">
        <v>9598677</v>
      </c>
      <c r="E310" s="60" t="s">
        <v>4294</v>
      </c>
      <c r="F310" s="111" t="s">
        <v>17</v>
      </c>
      <c r="G310" s="127" t="s">
        <v>4</v>
      </c>
      <c r="H310" s="568">
        <v>45896</v>
      </c>
      <c r="I310" s="341"/>
      <c r="J310" s="732" t="s">
        <v>82</v>
      </c>
      <c r="K310" s="518"/>
      <c r="L310" s="518"/>
      <c r="M310" s="519"/>
      <c r="N310" s="520"/>
      <c r="O310" s="520"/>
      <c r="P310" s="521"/>
      <c r="Q310" s="346">
        <v>45896</v>
      </c>
      <c r="R310" s="148">
        <f t="shared" si="18"/>
        <v>1</v>
      </c>
      <c r="S310" s="633" t="s">
        <v>3020</v>
      </c>
      <c r="T310" s="201"/>
    </row>
    <row r="311" spans="1:20" ht="43.2" x14ac:dyDescent="0.3">
      <c r="A311" s="98">
        <f t="shared" ca="1" si="17"/>
        <v>308</v>
      </c>
      <c r="B311" s="647">
        <v>1550</v>
      </c>
      <c r="C311" s="648">
        <v>45896</v>
      </c>
      <c r="D311" s="219">
        <v>56901887</v>
      </c>
      <c r="E311" s="277" t="s">
        <v>4295</v>
      </c>
      <c r="F311" s="401" t="s">
        <v>7</v>
      </c>
      <c r="G311" s="172" t="s">
        <v>8</v>
      </c>
      <c r="H311" s="493">
        <v>45896</v>
      </c>
      <c r="I311" s="555"/>
      <c r="J311" s="125" t="s">
        <v>2536</v>
      </c>
      <c r="K311" s="518"/>
      <c r="L311" s="518"/>
      <c r="M311" s="519"/>
      <c r="N311" s="520"/>
      <c r="O311" s="520"/>
      <c r="P311" s="521"/>
      <c r="Q311" s="346">
        <v>45896</v>
      </c>
      <c r="R311" s="148">
        <f t="shared" si="18"/>
        <v>1</v>
      </c>
      <c r="S311" s="633" t="s">
        <v>4026</v>
      </c>
      <c r="T311" s="201"/>
    </row>
    <row r="312" spans="1:20" ht="43.2" x14ac:dyDescent="0.3">
      <c r="A312" s="98">
        <f t="shared" ca="1" si="17"/>
        <v>309</v>
      </c>
      <c r="B312" s="601">
        <v>1550</v>
      </c>
      <c r="C312" s="602">
        <v>45896</v>
      </c>
      <c r="D312" s="219">
        <v>76972275</v>
      </c>
      <c r="E312" s="270" t="s">
        <v>4296</v>
      </c>
      <c r="F312" s="420" t="s">
        <v>4261</v>
      </c>
      <c r="G312" s="421" t="s">
        <v>4</v>
      </c>
      <c r="H312" s="493">
        <v>45896</v>
      </c>
      <c r="I312" s="341"/>
      <c r="J312" s="100" t="s">
        <v>2310</v>
      </c>
      <c r="K312" s="513"/>
      <c r="L312" s="514"/>
      <c r="M312" s="515"/>
      <c r="N312" s="31"/>
      <c r="O312" s="53"/>
      <c r="P312" s="55"/>
      <c r="Q312" s="346">
        <v>45896</v>
      </c>
      <c r="R312" s="148">
        <f t="shared" si="18"/>
        <v>1</v>
      </c>
      <c r="S312" s="633" t="s">
        <v>3047</v>
      </c>
      <c r="T312" s="201"/>
    </row>
    <row r="313" spans="1:20" ht="43.2" x14ac:dyDescent="0.3">
      <c r="A313" s="98">
        <f t="shared" ca="1" si="17"/>
        <v>310</v>
      </c>
      <c r="B313" s="126">
        <v>1550</v>
      </c>
      <c r="C313" s="206">
        <v>45896</v>
      </c>
      <c r="D313" s="219">
        <v>102425582</v>
      </c>
      <c r="E313" s="270" t="s">
        <v>4297</v>
      </c>
      <c r="F313" s="420" t="s">
        <v>4261</v>
      </c>
      <c r="G313" s="421" t="s">
        <v>4</v>
      </c>
      <c r="H313" s="493">
        <v>45896</v>
      </c>
      <c r="I313" s="341"/>
      <c r="J313" s="100" t="s">
        <v>3180</v>
      </c>
      <c r="K313" s="513"/>
      <c r="L313" s="514"/>
      <c r="M313" s="515"/>
      <c r="N313" s="31"/>
      <c r="O313" s="53"/>
      <c r="P313" s="55"/>
      <c r="Q313" s="346">
        <v>45901</v>
      </c>
      <c r="R313" s="148">
        <f t="shared" si="18"/>
        <v>1.0001089419557261</v>
      </c>
      <c r="S313" s="633" t="s">
        <v>3899</v>
      </c>
      <c r="T313" s="201"/>
    </row>
    <row r="314" spans="1:20" x14ac:dyDescent="0.3">
      <c r="A314" s="98">
        <f t="shared" ca="1" si="17"/>
        <v>311</v>
      </c>
      <c r="B314" s="195">
        <v>1550</v>
      </c>
      <c r="C314" s="603">
        <v>45896</v>
      </c>
      <c r="D314" s="219">
        <v>304177911</v>
      </c>
      <c r="E314" s="270" t="s">
        <v>4298</v>
      </c>
      <c r="F314" s="387" t="s">
        <v>3</v>
      </c>
      <c r="G314" s="172" t="s">
        <v>4</v>
      </c>
      <c r="H314" s="493">
        <v>45896</v>
      </c>
      <c r="I314" s="503"/>
      <c r="J314" s="737" t="s">
        <v>2579</v>
      </c>
      <c r="K314" s="513"/>
      <c r="L314" s="514"/>
      <c r="M314" s="515"/>
      <c r="N314" s="31"/>
      <c r="O314" s="53"/>
      <c r="P314" s="55"/>
      <c r="Q314" s="346">
        <v>45901</v>
      </c>
      <c r="R314" s="148">
        <f t="shared" si="18"/>
        <v>1.0001089419557261</v>
      </c>
      <c r="S314" s="633" t="s">
        <v>2979</v>
      </c>
      <c r="T314" s="57"/>
    </row>
    <row r="315" spans="1:20" ht="43.2" x14ac:dyDescent="0.3">
      <c r="A315" s="98">
        <f t="shared" ca="1" si="17"/>
        <v>312</v>
      </c>
      <c r="B315" s="126">
        <v>1550</v>
      </c>
      <c r="C315" s="206">
        <v>45896</v>
      </c>
      <c r="D315" s="219">
        <v>7571097</v>
      </c>
      <c r="E315" s="270" t="s">
        <v>4299</v>
      </c>
      <c r="F315" s="378" t="s">
        <v>4261</v>
      </c>
      <c r="G315" s="221" t="s">
        <v>4</v>
      </c>
      <c r="H315" s="493">
        <v>45896</v>
      </c>
      <c r="I315" s="503"/>
      <c r="J315" s="100" t="s">
        <v>2432</v>
      </c>
      <c r="K315" s="513"/>
      <c r="L315" s="514"/>
      <c r="M315" s="515"/>
      <c r="N315" s="31"/>
      <c r="O315" s="53"/>
      <c r="P315" s="55"/>
      <c r="Q315" s="346">
        <v>45896</v>
      </c>
      <c r="R315" s="148">
        <f t="shared" ref="R315:R346" si="19">Q315/H315</f>
        <v>1</v>
      </c>
      <c r="S315" s="633" t="s">
        <v>2979</v>
      </c>
      <c r="T315" s="57"/>
    </row>
    <row r="316" spans="1:20" ht="28.8" x14ac:dyDescent="0.3">
      <c r="A316" s="98">
        <f t="shared" ca="1" si="17"/>
        <v>313</v>
      </c>
      <c r="B316" s="126">
        <v>1550</v>
      </c>
      <c r="C316" s="206">
        <v>45896</v>
      </c>
      <c r="D316" s="219"/>
      <c r="E316" s="270" t="s">
        <v>4300</v>
      </c>
      <c r="F316" s="378" t="s">
        <v>21</v>
      </c>
      <c r="G316" s="221" t="s">
        <v>4</v>
      </c>
      <c r="H316" s="493">
        <v>45896</v>
      </c>
      <c r="I316" s="503"/>
      <c r="J316" s="100" t="s">
        <v>2417</v>
      </c>
      <c r="K316" s="513"/>
      <c r="L316" s="514"/>
      <c r="M316" s="515"/>
      <c r="N316" s="31"/>
      <c r="O316" s="53"/>
      <c r="P316" s="55"/>
      <c r="Q316" s="346">
        <v>45896</v>
      </c>
      <c r="R316" s="148">
        <f t="shared" si="19"/>
        <v>1</v>
      </c>
      <c r="S316" s="633" t="s">
        <v>2974</v>
      </c>
      <c r="T316" s="57"/>
    </row>
    <row r="317" spans="1:20" ht="28.8" x14ac:dyDescent="0.3">
      <c r="A317" s="98">
        <f t="shared" ca="1" si="17"/>
        <v>314</v>
      </c>
      <c r="B317" s="126">
        <v>1550</v>
      </c>
      <c r="C317" s="206">
        <v>45896</v>
      </c>
      <c r="D317" s="219">
        <v>120640724</v>
      </c>
      <c r="E317" s="270" t="s">
        <v>4301</v>
      </c>
      <c r="F317" s="378" t="s">
        <v>1</v>
      </c>
      <c r="G317" s="221" t="s">
        <v>4</v>
      </c>
      <c r="H317" s="493">
        <v>45896</v>
      </c>
      <c r="I317" s="503"/>
      <c r="J317" s="738" t="s">
        <v>2367</v>
      </c>
      <c r="K317" s="513"/>
      <c r="L317" s="514"/>
      <c r="M317" s="515"/>
      <c r="N317" s="31"/>
      <c r="O317" s="53"/>
      <c r="P317" s="55"/>
      <c r="Q317" s="346">
        <v>45898</v>
      </c>
      <c r="R317" s="148">
        <f t="shared" si="19"/>
        <v>1.0000435767822904</v>
      </c>
      <c r="S317" s="633" t="s">
        <v>3020</v>
      </c>
      <c r="T317" s="257"/>
    </row>
    <row r="318" spans="1:20" ht="43.2" x14ac:dyDescent="0.3">
      <c r="A318" s="98">
        <f t="shared" ca="1" si="17"/>
        <v>315</v>
      </c>
      <c r="B318" s="126">
        <v>1550</v>
      </c>
      <c r="C318" s="206">
        <v>45896</v>
      </c>
      <c r="D318" s="219">
        <v>120633620</v>
      </c>
      <c r="E318" s="270" t="s">
        <v>4302</v>
      </c>
      <c r="F318" s="378" t="s">
        <v>1</v>
      </c>
      <c r="G318" s="221" t="s">
        <v>8</v>
      </c>
      <c r="H318" s="493">
        <v>45896</v>
      </c>
      <c r="I318" s="587"/>
      <c r="J318" s="737" t="s">
        <v>2352</v>
      </c>
      <c r="K318" s="513"/>
      <c r="L318" s="514"/>
      <c r="M318" s="515"/>
      <c r="N318" s="31"/>
      <c r="O318" s="53"/>
      <c r="P318" s="55"/>
      <c r="Q318" s="346">
        <v>45903</v>
      </c>
      <c r="R318" s="148">
        <f t="shared" si="19"/>
        <v>1.0001525187380165</v>
      </c>
      <c r="S318" s="633" t="s">
        <v>3861</v>
      </c>
      <c r="T318" s="57"/>
    </row>
    <row r="319" spans="1:20" ht="45.75" customHeight="1" x14ac:dyDescent="0.3">
      <c r="A319" s="98">
        <f t="shared" ca="1" si="17"/>
        <v>316</v>
      </c>
      <c r="B319" s="126">
        <v>1550</v>
      </c>
      <c r="C319" s="206">
        <v>45896</v>
      </c>
      <c r="D319" s="219">
        <v>120596326</v>
      </c>
      <c r="E319" s="270" t="s">
        <v>4303</v>
      </c>
      <c r="F319" s="378" t="s">
        <v>1</v>
      </c>
      <c r="G319" s="221" t="s">
        <v>10</v>
      </c>
      <c r="H319" s="493">
        <v>45896</v>
      </c>
      <c r="I319" s="587"/>
      <c r="J319" s="737" t="s">
        <v>4020</v>
      </c>
      <c r="K319" s="513"/>
      <c r="L319" s="514"/>
      <c r="M319" s="515"/>
      <c r="N319" s="31"/>
      <c r="O319" s="53"/>
      <c r="P319" s="55"/>
      <c r="Q319" s="346">
        <v>45903</v>
      </c>
      <c r="R319" s="148">
        <f t="shared" si="19"/>
        <v>1.0001525187380165</v>
      </c>
      <c r="S319" s="633" t="s">
        <v>1806</v>
      </c>
      <c r="T319" s="57"/>
    </row>
    <row r="320" spans="1:20" ht="54" customHeight="1" x14ac:dyDescent="0.3">
      <c r="A320" s="98">
        <f t="shared" ca="1" si="17"/>
        <v>317</v>
      </c>
      <c r="B320" s="126">
        <v>1550</v>
      </c>
      <c r="C320" s="206">
        <v>45896</v>
      </c>
      <c r="D320" s="219">
        <v>120637642</v>
      </c>
      <c r="E320" s="270" t="s">
        <v>4304</v>
      </c>
      <c r="F320" s="388" t="s">
        <v>1</v>
      </c>
      <c r="G320" s="221" t="s">
        <v>10</v>
      </c>
      <c r="H320" s="493">
        <v>45896</v>
      </c>
      <c r="I320" s="587"/>
      <c r="J320" s="737" t="s">
        <v>2411</v>
      </c>
      <c r="K320" s="513"/>
      <c r="L320" s="514"/>
      <c r="M320" s="515"/>
      <c r="N320" s="31"/>
      <c r="O320" s="53"/>
      <c r="P320" s="55"/>
      <c r="Q320" s="346">
        <v>45903</v>
      </c>
      <c r="R320" s="148">
        <f t="shared" si="19"/>
        <v>1.0001525187380165</v>
      </c>
      <c r="S320" s="633" t="s">
        <v>2209</v>
      </c>
      <c r="T320" s="57"/>
    </row>
    <row r="321" spans="1:20" ht="57.6" x14ac:dyDescent="0.3">
      <c r="A321" s="98">
        <f t="shared" ca="1" si="17"/>
        <v>318</v>
      </c>
      <c r="B321" s="126">
        <v>1550</v>
      </c>
      <c r="C321" s="206">
        <v>45896</v>
      </c>
      <c r="D321" s="369">
        <v>111161681</v>
      </c>
      <c r="E321" s="270" t="s">
        <v>4305</v>
      </c>
      <c r="F321" s="378" t="s">
        <v>3</v>
      </c>
      <c r="G321" s="221" t="s">
        <v>6</v>
      </c>
      <c r="H321" s="493">
        <v>45897</v>
      </c>
      <c r="I321" s="503"/>
      <c r="J321" s="732" t="s">
        <v>82</v>
      </c>
      <c r="K321" s="513"/>
      <c r="L321" s="514"/>
      <c r="M321" s="515"/>
      <c r="N321" s="31"/>
      <c r="O321" s="53"/>
      <c r="P321" s="55"/>
      <c r="Q321" s="346">
        <v>45898</v>
      </c>
      <c r="R321" s="148">
        <f t="shared" si="19"/>
        <v>1.0000217879164215</v>
      </c>
      <c r="S321" s="633" t="s">
        <v>2597</v>
      </c>
      <c r="T321" s="57"/>
    </row>
    <row r="322" spans="1:20" ht="43.2" x14ac:dyDescent="0.3">
      <c r="A322" s="98">
        <f t="shared" ca="1" si="17"/>
        <v>319</v>
      </c>
      <c r="B322" s="126">
        <v>1550</v>
      </c>
      <c r="C322" s="206">
        <v>45897</v>
      </c>
      <c r="D322" s="369">
        <v>14138794</v>
      </c>
      <c r="E322" s="270" t="s">
        <v>4306</v>
      </c>
      <c r="F322" s="378" t="s">
        <v>48</v>
      </c>
      <c r="G322" s="221" t="s">
        <v>8</v>
      </c>
      <c r="H322" s="493">
        <v>45897</v>
      </c>
      <c r="I322" s="587"/>
      <c r="J322" s="100" t="s">
        <v>1882</v>
      </c>
      <c r="K322" s="513" t="s">
        <v>393</v>
      </c>
      <c r="L322" s="616">
        <v>45897</v>
      </c>
      <c r="M322" s="515" t="s">
        <v>1882</v>
      </c>
      <c r="N322" s="31"/>
      <c r="O322" s="53"/>
      <c r="P322" s="55"/>
      <c r="Q322" s="346">
        <v>45916</v>
      </c>
      <c r="R322" s="148">
        <f t="shared" si="19"/>
        <v>1.0004139704120094</v>
      </c>
      <c r="S322" s="633" t="s">
        <v>3861</v>
      </c>
      <c r="T322" s="57" t="s">
        <v>4307</v>
      </c>
    </row>
    <row r="323" spans="1:20" ht="43.2" x14ac:dyDescent="0.3">
      <c r="A323" s="98">
        <f t="shared" ca="1" si="17"/>
        <v>320</v>
      </c>
      <c r="B323" s="598">
        <v>1550</v>
      </c>
      <c r="C323" s="348">
        <v>45897</v>
      </c>
      <c r="D323" s="537">
        <v>96180307</v>
      </c>
      <c r="E323" s="270" t="s">
        <v>4308</v>
      </c>
      <c r="F323" s="378" t="s">
        <v>17</v>
      </c>
      <c r="G323" s="221" t="s">
        <v>8</v>
      </c>
      <c r="H323" s="493">
        <v>45897</v>
      </c>
      <c r="I323" s="587"/>
      <c r="J323" s="732" t="s">
        <v>82</v>
      </c>
      <c r="K323" s="513"/>
      <c r="L323" s="514"/>
      <c r="M323" s="515"/>
      <c r="N323" s="31"/>
      <c r="O323" s="53"/>
      <c r="P323" s="55"/>
      <c r="Q323" s="346">
        <v>45897</v>
      </c>
      <c r="R323" s="148">
        <f t="shared" si="19"/>
        <v>1</v>
      </c>
      <c r="S323" s="633" t="s">
        <v>3146</v>
      </c>
      <c r="T323" s="672" t="s">
        <v>4309</v>
      </c>
    </row>
    <row r="324" spans="1:20" ht="43.2" x14ac:dyDescent="0.3">
      <c r="A324" s="98">
        <f t="shared" ca="1" si="17"/>
        <v>321</v>
      </c>
      <c r="B324" s="598" t="s">
        <v>1044</v>
      </c>
      <c r="C324" s="348">
        <v>45897</v>
      </c>
      <c r="D324" s="219">
        <v>2342855</v>
      </c>
      <c r="E324" s="270" t="s">
        <v>4310</v>
      </c>
      <c r="F324" s="378" t="s">
        <v>38</v>
      </c>
      <c r="G324" s="221" t="s">
        <v>6</v>
      </c>
      <c r="H324" s="493">
        <v>45897</v>
      </c>
      <c r="I324" s="587"/>
      <c r="J324" s="732" t="s">
        <v>253</v>
      </c>
      <c r="K324" s="513"/>
      <c r="L324" s="514"/>
      <c r="M324" s="515"/>
      <c r="N324" s="31"/>
      <c r="O324" s="53"/>
      <c r="P324" s="55"/>
      <c r="Q324" s="346">
        <v>45897</v>
      </c>
      <c r="R324" s="148">
        <f t="shared" si="19"/>
        <v>1</v>
      </c>
      <c r="S324" s="633" t="s">
        <v>2597</v>
      </c>
      <c r="T324" s="57" t="s">
        <v>4311</v>
      </c>
    </row>
    <row r="325" spans="1:20" ht="43.2" x14ac:dyDescent="0.3">
      <c r="A325" s="98">
        <f t="shared" ca="1" si="17"/>
        <v>322</v>
      </c>
      <c r="B325" s="195">
        <v>1550</v>
      </c>
      <c r="C325" s="603">
        <v>45897</v>
      </c>
      <c r="D325" s="369">
        <v>120541793</v>
      </c>
      <c r="E325" s="270" t="s">
        <v>4312</v>
      </c>
      <c r="F325" s="400" t="s">
        <v>3</v>
      </c>
      <c r="G325" s="172" t="s">
        <v>4</v>
      </c>
      <c r="H325" s="493">
        <v>45897</v>
      </c>
      <c r="I325" s="587"/>
      <c r="J325" s="727" t="s">
        <v>99</v>
      </c>
      <c r="K325" s="513"/>
      <c r="L325" s="514"/>
      <c r="M325" s="515"/>
      <c r="N325" s="31"/>
      <c r="O325" s="53"/>
      <c r="P325" s="604"/>
      <c r="Q325" s="346">
        <v>45912</v>
      </c>
      <c r="R325" s="148">
        <f t="shared" si="19"/>
        <v>1.0003268187463232</v>
      </c>
      <c r="S325" s="633" t="s">
        <v>3020</v>
      </c>
      <c r="T325" s="57"/>
    </row>
    <row r="326" spans="1:20" ht="72" x14ac:dyDescent="0.3">
      <c r="A326" s="98">
        <f t="shared" ca="1" si="17"/>
        <v>323</v>
      </c>
      <c r="B326" s="126">
        <v>1550</v>
      </c>
      <c r="C326" s="603">
        <v>45897</v>
      </c>
      <c r="D326" s="369">
        <v>120488337</v>
      </c>
      <c r="E326" s="270" t="s">
        <v>4313</v>
      </c>
      <c r="F326" s="388" t="s">
        <v>3</v>
      </c>
      <c r="G326" s="221" t="s">
        <v>6</v>
      </c>
      <c r="H326" s="493">
        <v>45897</v>
      </c>
      <c r="I326" s="673" t="s">
        <v>4314</v>
      </c>
      <c r="J326" s="107" t="s">
        <v>82</v>
      </c>
      <c r="K326" s="513"/>
      <c r="L326" s="514"/>
      <c r="M326" s="515"/>
      <c r="N326" s="31"/>
      <c r="O326" s="53"/>
      <c r="P326" s="55"/>
      <c r="Q326" s="346">
        <v>45902</v>
      </c>
      <c r="R326" s="148">
        <f t="shared" si="19"/>
        <v>1.0001089395821077</v>
      </c>
      <c r="S326" s="633" t="s">
        <v>2597</v>
      </c>
      <c r="T326" s="57"/>
    </row>
    <row r="327" spans="1:20" ht="28.8" x14ac:dyDescent="0.3">
      <c r="A327" s="98">
        <f t="shared" ca="1" si="17"/>
        <v>324</v>
      </c>
      <c r="B327" s="126">
        <v>1550</v>
      </c>
      <c r="C327" s="603">
        <v>45897</v>
      </c>
      <c r="D327" s="369" t="s">
        <v>4315</v>
      </c>
      <c r="E327" s="270" t="s">
        <v>4316</v>
      </c>
      <c r="F327" s="388" t="s">
        <v>7</v>
      </c>
      <c r="G327" s="221" t="s">
        <v>8</v>
      </c>
      <c r="H327" s="493">
        <v>45897</v>
      </c>
      <c r="I327" s="587"/>
      <c r="J327" s="125" t="s">
        <v>2536</v>
      </c>
      <c r="K327" s="513"/>
      <c r="L327" s="514"/>
      <c r="M327" s="515"/>
      <c r="N327" s="31"/>
      <c r="O327" s="53"/>
      <c r="P327" s="55"/>
      <c r="Q327" s="346">
        <v>45897</v>
      </c>
      <c r="R327" s="148">
        <f t="shared" si="19"/>
        <v>1</v>
      </c>
      <c r="S327" s="633" t="s">
        <v>270</v>
      </c>
      <c r="T327" s="57"/>
    </row>
    <row r="328" spans="1:20" ht="43.2" x14ac:dyDescent="0.3">
      <c r="A328" s="98">
        <f t="shared" ca="1" si="17"/>
        <v>325</v>
      </c>
      <c r="B328" s="126">
        <v>1550</v>
      </c>
      <c r="C328" s="206">
        <v>45897</v>
      </c>
      <c r="D328" s="816">
        <v>379309149</v>
      </c>
      <c r="E328" s="270" t="s">
        <v>4317</v>
      </c>
      <c r="F328" s="388" t="s">
        <v>36</v>
      </c>
      <c r="G328" s="221" t="s">
        <v>4</v>
      </c>
      <c r="H328" s="493">
        <v>45897</v>
      </c>
      <c r="I328" s="587"/>
      <c r="J328" s="727" t="s">
        <v>99</v>
      </c>
      <c r="K328" s="513"/>
      <c r="L328" s="514"/>
      <c r="M328" s="515"/>
      <c r="N328" s="31"/>
      <c r="O328" s="53"/>
      <c r="P328" s="55"/>
      <c r="Q328" s="346">
        <v>45904</v>
      </c>
      <c r="R328" s="148">
        <f t="shared" si="19"/>
        <v>1.0001525154149509</v>
      </c>
      <c r="S328" s="633" t="s">
        <v>2970</v>
      </c>
      <c r="T328" s="57"/>
    </row>
    <row r="329" spans="1:20" ht="43.2" x14ac:dyDescent="0.3">
      <c r="A329" s="98">
        <f t="shared" ca="1" si="17"/>
        <v>326</v>
      </c>
      <c r="B329" s="126">
        <v>1550</v>
      </c>
      <c r="C329" s="206">
        <v>45897</v>
      </c>
      <c r="D329" s="369">
        <v>25993488</v>
      </c>
      <c r="E329" s="270" t="s">
        <v>4318</v>
      </c>
      <c r="F329" s="344" t="s">
        <v>3</v>
      </c>
      <c r="G329" s="221" t="s">
        <v>8</v>
      </c>
      <c r="H329" s="493">
        <v>45897</v>
      </c>
      <c r="I329" s="673" t="s">
        <v>4319</v>
      </c>
      <c r="J329" s="100" t="s">
        <v>82</v>
      </c>
      <c r="K329" s="513"/>
      <c r="L329" s="514"/>
      <c r="M329" s="515"/>
      <c r="N329" s="31"/>
      <c r="O329" s="53"/>
      <c r="P329" s="55"/>
      <c r="Q329" s="346">
        <v>45902</v>
      </c>
      <c r="R329" s="148">
        <f t="shared" si="19"/>
        <v>1.0001089395821077</v>
      </c>
      <c r="S329" s="633" t="s">
        <v>4127</v>
      </c>
      <c r="T329" s="257" t="s">
        <v>4320</v>
      </c>
    </row>
    <row r="330" spans="1:20" ht="43.2" x14ac:dyDescent="0.3">
      <c r="A330" s="98">
        <f t="shared" ca="1" si="17"/>
        <v>327</v>
      </c>
      <c r="B330" s="111">
        <v>1550</v>
      </c>
      <c r="C330" s="502">
        <v>45897</v>
      </c>
      <c r="D330" s="369">
        <v>108978745</v>
      </c>
      <c r="E330" s="270" t="s">
        <v>4321</v>
      </c>
      <c r="F330" s="344" t="s">
        <v>56</v>
      </c>
      <c r="G330" s="112" t="s">
        <v>8</v>
      </c>
      <c r="H330" s="493">
        <v>45897</v>
      </c>
      <c r="I330" s="25"/>
      <c r="J330" s="727" t="s">
        <v>99</v>
      </c>
      <c r="K330" s="513"/>
      <c r="L330" s="514"/>
      <c r="M330" s="515"/>
      <c r="N330" s="31"/>
      <c r="O330" s="53"/>
      <c r="P330" s="55"/>
      <c r="Q330" s="346">
        <v>45901</v>
      </c>
      <c r="R330" s="148">
        <f t="shared" si="19"/>
        <v>1.0000871516656862</v>
      </c>
      <c r="S330" s="633" t="s">
        <v>3841</v>
      </c>
      <c r="T330" s="57"/>
    </row>
    <row r="331" spans="1:20" ht="43.2" x14ac:dyDescent="0.3">
      <c r="A331" s="98">
        <f t="shared" ca="1" si="17"/>
        <v>328</v>
      </c>
      <c r="B331" s="111">
        <v>1550</v>
      </c>
      <c r="C331" s="502">
        <v>45897</v>
      </c>
      <c r="D331" s="369"/>
      <c r="E331" s="270" t="s">
        <v>4322</v>
      </c>
      <c r="F331" s="344" t="s">
        <v>25</v>
      </c>
      <c r="G331" s="112" t="s">
        <v>4</v>
      </c>
      <c r="H331" s="493">
        <v>45897</v>
      </c>
      <c r="I331" s="25"/>
      <c r="J331" s="100" t="s">
        <v>22</v>
      </c>
      <c r="K331" s="513"/>
      <c r="L331" s="514"/>
      <c r="M331" s="515"/>
      <c r="N331" s="31"/>
      <c r="O331" s="53"/>
      <c r="P331" s="55"/>
      <c r="Q331" s="346">
        <v>45897</v>
      </c>
      <c r="R331" s="148">
        <f t="shared" si="19"/>
        <v>1</v>
      </c>
      <c r="S331" s="633" t="s">
        <v>3899</v>
      </c>
      <c r="T331" s="57"/>
    </row>
    <row r="332" spans="1:20" ht="28.8" x14ac:dyDescent="0.3">
      <c r="A332" s="98">
        <f t="shared" ca="1" si="17"/>
        <v>329</v>
      </c>
      <c r="B332" s="111">
        <v>1550</v>
      </c>
      <c r="C332" s="502">
        <v>45897</v>
      </c>
      <c r="D332" s="369">
        <v>93842309</v>
      </c>
      <c r="E332" s="270" t="s">
        <v>4323</v>
      </c>
      <c r="F332" s="386" t="s">
        <v>1</v>
      </c>
      <c r="G332" s="221" t="s">
        <v>4</v>
      </c>
      <c r="H332" s="493">
        <v>45897</v>
      </c>
      <c r="I332" s="341"/>
      <c r="J332" s="737" t="s">
        <v>2579</v>
      </c>
      <c r="K332" s="513"/>
      <c r="L332" s="514"/>
      <c r="M332" s="515"/>
      <c r="N332" s="31"/>
      <c r="O332" s="53"/>
      <c r="P332" s="55"/>
      <c r="Q332" s="516">
        <v>45898</v>
      </c>
      <c r="R332" s="148">
        <f t="shared" si="19"/>
        <v>1.0000217879164215</v>
      </c>
      <c r="S332" s="633" t="s">
        <v>2979</v>
      </c>
      <c r="T332" s="57"/>
    </row>
    <row r="333" spans="1:20" ht="28.8" x14ac:dyDescent="0.3">
      <c r="A333" s="98">
        <f t="shared" ca="1" si="17"/>
        <v>330</v>
      </c>
      <c r="B333" s="111">
        <v>1550</v>
      </c>
      <c r="C333" s="502">
        <v>45897</v>
      </c>
      <c r="D333" s="369">
        <v>112486479</v>
      </c>
      <c r="E333" s="270" t="s">
        <v>4324</v>
      </c>
      <c r="F333" s="344" t="s">
        <v>3</v>
      </c>
      <c r="G333" s="112" t="s">
        <v>4</v>
      </c>
      <c r="H333" s="493">
        <v>45897</v>
      </c>
      <c r="I333" s="25"/>
      <c r="J333" s="100" t="s">
        <v>2432</v>
      </c>
      <c r="K333" s="513"/>
      <c r="L333" s="514"/>
      <c r="M333" s="515"/>
      <c r="N333" s="31"/>
      <c r="O333" s="53"/>
      <c r="P333" s="55"/>
      <c r="Q333" s="346">
        <v>45897</v>
      </c>
      <c r="R333" s="148">
        <f t="shared" si="19"/>
        <v>1</v>
      </c>
      <c r="S333" s="633" t="s">
        <v>2974</v>
      </c>
      <c r="T333" s="57"/>
    </row>
    <row r="334" spans="1:20" ht="28.8" x14ac:dyDescent="0.3">
      <c r="A334" s="98">
        <f t="shared" ca="1" si="17"/>
        <v>331</v>
      </c>
      <c r="B334" s="111" t="s">
        <v>1044</v>
      </c>
      <c r="C334" s="502">
        <v>45897</v>
      </c>
      <c r="D334" s="24">
        <v>82337160</v>
      </c>
      <c r="E334" s="270" t="s">
        <v>4325</v>
      </c>
      <c r="F334" s="344" t="s">
        <v>17</v>
      </c>
      <c r="G334" s="112" t="s">
        <v>4</v>
      </c>
      <c r="H334" s="493">
        <v>45897</v>
      </c>
      <c r="I334" s="25"/>
      <c r="J334" s="732" t="s">
        <v>82</v>
      </c>
      <c r="K334" s="513"/>
      <c r="L334" s="514"/>
      <c r="M334" s="515"/>
      <c r="N334" s="31"/>
      <c r="O334" s="53"/>
      <c r="P334" s="55"/>
      <c r="Q334" s="346">
        <v>45908</v>
      </c>
      <c r="R334" s="148">
        <f t="shared" si="19"/>
        <v>1.0002396670806371</v>
      </c>
      <c r="S334" s="633" t="s">
        <v>3020</v>
      </c>
      <c r="T334" s="57"/>
    </row>
    <row r="335" spans="1:20" ht="43.2" x14ac:dyDescent="0.3">
      <c r="A335" s="98">
        <f t="shared" ca="1" si="17"/>
        <v>332</v>
      </c>
      <c r="B335" s="111">
        <v>1550</v>
      </c>
      <c r="C335" s="502">
        <v>45897</v>
      </c>
      <c r="D335" s="369">
        <v>55415415</v>
      </c>
      <c r="E335" s="270" t="s">
        <v>4326</v>
      </c>
      <c r="F335" s="378" t="s">
        <v>17</v>
      </c>
      <c r="G335" s="221" t="s">
        <v>6</v>
      </c>
      <c r="H335" s="493">
        <v>45897</v>
      </c>
      <c r="I335" s="503"/>
      <c r="J335" s="100" t="s">
        <v>82</v>
      </c>
      <c r="K335" s="513"/>
      <c r="L335" s="514"/>
      <c r="M335" s="515"/>
      <c r="N335" s="31"/>
      <c r="O335" s="53"/>
      <c r="P335" s="55"/>
      <c r="Q335" s="516">
        <v>45908</v>
      </c>
      <c r="R335" s="148">
        <f t="shared" si="19"/>
        <v>1.0002396670806371</v>
      </c>
      <c r="S335" s="101" t="s">
        <v>2597</v>
      </c>
      <c r="T335" s="57"/>
    </row>
    <row r="336" spans="1:20" ht="28.8" x14ac:dyDescent="0.3">
      <c r="A336" s="98">
        <f t="shared" ca="1" si="17"/>
        <v>333</v>
      </c>
      <c r="B336" s="111" t="s">
        <v>1044</v>
      </c>
      <c r="C336" s="502">
        <v>45897</v>
      </c>
      <c r="D336" s="369">
        <v>6436811</v>
      </c>
      <c r="E336" s="270" t="s">
        <v>4327</v>
      </c>
      <c r="F336" s="344" t="s">
        <v>17</v>
      </c>
      <c r="G336" s="112" t="s">
        <v>4</v>
      </c>
      <c r="H336" s="493">
        <v>45897</v>
      </c>
      <c r="I336" s="25"/>
      <c r="J336" s="732" t="s">
        <v>82</v>
      </c>
      <c r="K336" s="513"/>
      <c r="L336" s="514"/>
      <c r="M336" s="515"/>
      <c r="N336" s="31"/>
      <c r="O336" s="53"/>
      <c r="P336" s="55"/>
      <c r="Q336" s="346">
        <v>45908</v>
      </c>
      <c r="R336" s="148">
        <f t="shared" si="19"/>
        <v>1.0002396670806371</v>
      </c>
      <c r="S336" s="101" t="s">
        <v>3020</v>
      </c>
      <c r="T336" s="57"/>
    </row>
    <row r="337" spans="1:20" ht="57.75" customHeight="1" x14ac:dyDescent="0.3">
      <c r="A337" s="98">
        <f t="shared" ca="1" si="17"/>
        <v>334</v>
      </c>
      <c r="B337" s="111">
        <v>1550</v>
      </c>
      <c r="C337" s="502">
        <v>45897</v>
      </c>
      <c r="D337" s="369">
        <v>120646587</v>
      </c>
      <c r="E337" s="270" t="s">
        <v>4328</v>
      </c>
      <c r="F337" s="344" t="s">
        <v>1</v>
      </c>
      <c r="G337" s="112" t="s">
        <v>10</v>
      </c>
      <c r="H337" s="493">
        <v>45897</v>
      </c>
      <c r="I337" s="25"/>
      <c r="J337" s="738" t="s">
        <v>2367</v>
      </c>
      <c r="K337" s="513"/>
      <c r="L337" s="514"/>
      <c r="M337" s="515"/>
      <c r="N337" s="31"/>
      <c r="O337" s="53"/>
      <c r="P337" s="55"/>
      <c r="Q337" s="346">
        <v>45898</v>
      </c>
      <c r="R337" s="148">
        <f t="shared" si="19"/>
        <v>1.0000217879164215</v>
      </c>
      <c r="S337" s="101" t="s">
        <v>2209</v>
      </c>
      <c r="T337" s="57"/>
    </row>
    <row r="338" spans="1:20" ht="46.5" customHeight="1" x14ac:dyDescent="0.3">
      <c r="A338" s="98">
        <f t="shared" ca="1" si="17"/>
        <v>335</v>
      </c>
      <c r="B338" s="111">
        <v>1550</v>
      </c>
      <c r="C338" s="502">
        <v>45897</v>
      </c>
      <c r="D338" s="369">
        <v>47825197</v>
      </c>
      <c r="E338" s="270" t="s">
        <v>4329</v>
      </c>
      <c r="F338" s="344" t="s">
        <v>15</v>
      </c>
      <c r="G338" s="112" t="s">
        <v>10</v>
      </c>
      <c r="H338" s="493">
        <v>45897</v>
      </c>
      <c r="I338" s="25"/>
      <c r="J338" s="727" t="s">
        <v>99</v>
      </c>
      <c r="K338" s="513" t="s">
        <v>393</v>
      </c>
      <c r="L338" s="616">
        <v>45897</v>
      </c>
      <c r="M338" s="515" t="s">
        <v>1882</v>
      </c>
      <c r="N338" s="31"/>
      <c r="O338" s="53"/>
      <c r="P338" s="55"/>
      <c r="Q338" s="346">
        <v>45925</v>
      </c>
      <c r="R338" s="148">
        <f t="shared" si="19"/>
        <v>1.0006100616598035</v>
      </c>
      <c r="S338" s="101" t="s">
        <v>214</v>
      </c>
      <c r="T338" s="57"/>
    </row>
    <row r="339" spans="1:20" ht="43.2" x14ac:dyDescent="0.3">
      <c r="A339" s="98">
        <f t="shared" ca="1" si="17"/>
        <v>336</v>
      </c>
      <c r="B339" s="111" t="s">
        <v>301</v>
      </c>
      <c r="C339" s="502">
        <v>45897</v>
      </c>
      <c r="D339" s="369">
        <v>56028180</v>
      </c>
      <c r="E339" s="270" t="s">
        <v>4330</v>
      </c>
      <c r="F339" s="344" t="s">
        <v>23</v>
      </c>
      <c r="G339" s="112" t="s">
        <v>10</v>
      </c>
      <c r="H339" s="493">
        <v>45897</v>
      </c>
      <c r="I339" s="25"/>
      <c r="J339" s="100" t="s">
        <v>135</v>
      </c>
      <c r="K339" s="513"/>
      <c r="L339" s="514"/>
      <c r="M339" s="515"/>
      <c r="N339" s="31"/>
      <c r="O339" s="53"/>
      <c r="P339" s="55"/>
      <c r="Q339" s="346">
        <v>45897</v>
      </c>
      <c r="R339" s="148">
        <f t="shared" si="19"/>
        <v>1</v>
      </c>
      <c r="S339" s="101" t="s">
        <v>1172</v>
      </c>
      <c r="T339" s="57"/>
    </row>
    <row r="340" spans="1:20" ht="86.4" x14ac:dyDescent="0.3">
      <c r="A340" s="98">
        <f t="shared" ca="1" si="17"/>
        <v>337</v>
      </c>
      <c r="B340" s="111">
        <v>1550</v>
      </c>
      <c r="C340" s="502">
        <v>45898</v>
      </c>
      <c r="D340" s="369">
        <v>120645696</v>
      </c>
      <c r="E340" s="270" t="s">
        <v>4331</v>
      </c>
      <c r="F340" s="344" t="s">
        <v>21</v>
      </c>
      <c r="G340" s="112" t="s">
        <v>6</v>
      </c>
      <c r="H340" s="493">
        <v>45898</v>
      </c>
      <c r="I340" s="25"/>
      <c r="J340" s="100" t="s">
        <v>2432</v>
      </c>
      <c r="K340" s="513"/>
      <c r="L340" s="514"/>
      <c r="M340" s="515"/>
      <c r="N340" s="31"/>
      <c r="O340" s="53"/>
      <c r="P340" s="55"/>
      <c r="Q340" s="346">
        <v>45901</v>
      </c>
      <c r="R340" s="148">
        <f t="shared" si="19"/>
        <v>1.0000653623251559</v>
      </c>
      <c r="S340" s="101" t="s">
        <v>2597</v>
      </c>
      <c r="T340" s="57"/>
    </row>
    <row r="341" spans="1:20" ht="28.8" x14ac:dyDescent="0.3">
      <c r="A341" s="98">
        <f t="shared" ca="1" si="17"/>
        <v>338</v>
      </c>
      <c r="B341" s="111">
        <v>1550</v>
      </c>
      <c r="C341" s="512">
        <v>45898</v>
      </c>
      <c r="D341" s="369">
        <v>39144011</v>
      </c>
      <c r="E341" s="270" t="s">
        <v>4332</v>
      </c>
      <c r="F341" s="386" t="s">
        <v>3</v>
      </c>
      <c r="G341" s="376" t="s">
        <v>4</v>
      </c>
      <c r="H341" s="493">
        <v>45898</v>
      </c>
      <c r="I341" s="341"/>
      <c r="J341" s="100" t="s">
        <v>2432</v>
      </c>
      <c r="K341" s="513"/>
      <c r="L341" s="514"/>
      <c r="M341" s="515"/>
      <c r="N341" s="31"/>
      <c r="O341" s="53"/>
      <c r="P341" s="55"/>
      <c r="Q341" s="516">
        <v>45898</v>
      </c>
      <c r="R341" s="148">
        <f t="shared" si="19"/>
        <v>1</v>
      </c>
      <c r="S341" s="101" t="s">
        <v>2974</v>
      </c>
      <c r="T341" s="57"/>
    </row>
    <row r="342" spans="1:20" ht="28.8" x14ac:dyDescent="0.3">
      <c r="A342" s="98">
        <f t="shared" ca="1" si="17"/>
        <v>339</v>
      </c>
      <c r="B342" s="111">
        <v>1550</v>
      </c>
      <c r="C342" s="512">
        <v>45898</v>
      </c>
      <c r="D342" s="369">
        <v>62144103</v>
      </c>
      <c r="E342" s="270" t="s">
        <v>4333</v>
      </c>
      <c r="F342" s="386" t="s">
        <v>1</v>
      </c>
      <c r="G342" s="376" t="s">
        <v>4</v>
      </c>
      <c r="H342" s="493">
        <v>45898</v>
      </c>
      <c r="I342" s="25"/>
      <c r="J342" s="738" t="s">
        <v>2367</v>
      </c>
      <c r="K342" s="518"/>
      <c r="L342" s="518"/>
      <c r="M342" s="519"/>
      <c r="N342" s="520"/>
      <c r="O342" s="520"/>
      <c r="P342" s="521"/>
      <c r="Q342" s="346">
        <v>45898</v>
      </c>
      <c r="R342" s="148">
        <f t="shared" si="19"/>
        <v>1</v>
      </c>
      <c r="S342" s="101" t="s">
        <v>3086</v>
      </c>
      <c r="T342" s="201"/>
    </row>
    <row r="343" spans="1:20" ht="43.2" x14ac:dyDescent="0.3">
      <c r="A343" s="98">
        <f t="shared" ca="1" si="17"/>
        <v>340</v>
      </c>
      <c r="B343" s="111">
        <v>1550</v>
      </c>
      <c r="C343" s="512">
        <v>45898</v>
      </c>
      <c r="D343" s="369" t="s">
        <v>4334</v>
      </c>
      <c r="E343" s="270" t="s">
        <v>4335</v>
      </c>
      <c r="F343" s="386" t="s">
        <v>49</v>
      </c>
      <c r="G343" s="376" t="s">
        <v>6</v>
      </c>
      <c r="H343" s="493">
        <v>45898</v>
      </c>
      <c r="I343" s="25"/>
      <c r="J343" s="100" t="s">
        <v>266</v>
      </c>
      <c r="K343" s="518"/>
      <c r="L343" s="518"/>
      <c r="M343" s="519"/>
      <c r="N343" s="520"/>
      <c r="O343" s="520"/>
      <c r="P343" s="521"/>
      <c r="Q343" s="346">
        <v>45898</v>
      </c>
      <c r="R343" s="148">
        <f t="shared" si="19"/>
        <v>1</v>
      </c>
      <c r="S343" s="101" t="s">
        <v>1893</v>
      </c>
      <c r="T343" s="57"/>
    </row>
    <row r="344" spans="1:20" ht="77.25" customHeight="1" x14ac:dyDescent="0.3">
      <c r="A344" s="98">
        <f t="shared" ca="1" si="17"/>
        <v>341</v>
      </c>
      <c r="B344" s="111" t="s">
        <v>301</v>
      </c>
      <c r="C344" s="512">
        <v>45898</v>
      </c>
      <c r="D344" s="369">
        <v>33935289</v>
      </c>
      <c r="E344" s="270" t="s">
        <v>4336</v>
      </c>
      <c r="F344" s="386" t="s">
        <v>3</v>
      </c>
      <c r="G344" s="376" t="s">
        <v>6</v>
      </c>
      <c r="H344" s="493">
        <v>45898</v>
      </c>
      <c r="I344" s="25"/>
      <c r="J344" s="100" t="s">
        <v>82</v>
      </c>
      <c r="K344" s="518"/>
      <c r="L344" s="518"/>
      <c r="M344" s="519"/>
      <c r="N344" s="520"/>
      <c r="O344" s="520"/>
      <c r="P344" s="521"/>
      <c r="Q344" s="346">
        <v>45898</v>
      </c>
      <c r="R344" s="148">
        <f t="shared" si="19"/>
        <v>1</v>
      </c>
      <c r="S344" s="101" t="s">
        <v>1312</v>
      </c>
      <c r="T344" s="57" t="s">
        <v>4337</v>
      </c>
    </row>
    <row r="345" spans="1:20" ht="87" customHeight="1" x14ac:dyDescent="0.3">
      <c r="A345" s="98">
        <f t="shared" ca="1" si="17"/>
        <v>342</v>
      </c>
      <c r="B345" s="111" t="s">
        <v>301</v>
      </c>
      <c r="C345" s="512">
        <v>45898</v>
      </c>
      <c r="D345" s="369">
        <v>106546104</v>
      </c>
      <c r="E345" s="270" t="s">
        <v>4338</v>
      </c>
      <c r="F345" s="344" t="s">
        <v>1</v>
      </c>
      <c r="G345" s="112" t="s">
        <v>10</v>
      </c>
      <c r="H345" s="493">
        <v>45898</v>
      </c>
      <c r="I345" s="25"/>
      <c r="J345" s="738" t="s">
        <v>4158</v>
      </c>
      <c r="K345" s="513"/>
      <c r="L345" s="514"/>
      <c r="M345" s="515"/>
      <c r="N345" s="31"/>
      <c r="O345" s="53"/>
      <c r="P345" s="55"/>
      <c r="Q345" s="346">
        <v>45902</v>
      </c>
      <c r="R345" s="148">
        <f t="shared" si="19"/>
        <v>1.0000871497668744</v>
      </c>
      <c r="S345" s="101" t="s">
        <v>85</v>
      </c>
      <c r="T345" s="57"/>
    </row>
    <row r="346" spans="1:20" ht="95.25" customHeight="1" x14ac:dyDescent="0.3">
      <c r="A346" s="98">
        <f t="shared" ref="A346:A349" ca="1" si="20">A345+1</f>
        <v>343</v>
      </c>
      <c r="B346" s="111">
        <v>1550</v>
      </c>
      <c r="C346" s="512">
        <v>45898</v>
      </c>
      <c r="D346" s="369">
        <v>109757653</v>
      </c>
      <c r="E346" s="270" t="s">
        <v>4339</v>
      </c>
      <c r="F346" s="378" t="s">
        <v>7</v>
      </c>
      <c r="G346" s="221" t="s">
        <v>10</v>
      </c>
      <c r="H346" s="493">
        <v>45898</v>
      </c>
      <c r="I346" s="503"/>
      <c r="J346" s="107" t="s">
        <v>3709</v>
      </c>
      <c r="K346" s="513"/>
      <c r="L346" s="514"/>
      <c r="M346" s="515"/>
      <c r="N346" s="31"/>
      <c r="O346" s="53"/>
      <c r="P346" s="55"/>
      <c r="Q346" s="346">
        <v>45898</v>
      </c>
      <c r="R346" s="148">
        <f t="shared" si="19"/>
        <v>1</v>
      </c>
      <c r="S346" s="101" t="s">
        <v>2213</v>
      </c>
      <c r="T346" s="57"/>
    </row>
    <row r="347" spans="1:20" ht="28.8" x14ac:dyDescent="0.3">
      <c r="A347" s="98">
        <f t="shared" ca="1" si="20"/>
        <v>344</v>
      </c>
      <c r="B347" s="111" t="s">
        <v>1044</v>
      </c>
      <c r="C347" s="512">
        <v>45899</v>
      </c>
      <c r="D347" s="369">
        <v>87607522</v>
      </c>
      <c r="E347" s="270" t="s">
        <v>4340</v>
      </c>
      <c r="F347" s="386" t="s">
        <v>7</v>
      </c>
      <c r="G347" s="376" t="s">
        <v>4</v>
      </c>
      <c r="H347" s="493">
        <v>45899</v>
      </c>
      <c r="I347" s="25"/>
      <c r="J347" s="107" t="s">
        <v>2513</v>
      </c>
      <c r="K347" s="518"/>
      <c r="L347" s="518"/>
      <c r="M347" s="519"/>
      <c r="N347" s="520"/>
      <c r="O347" s="520"/>
      <c r="P347" s="521"/>
      <c r="Q347" s="346">
        <v>45901</v>
      </c>
      <c r="R347" s="148">
        <f t="shared" ref="R347:R349" si="21">Q347/H347</f>
        <v>1.0000435739340727</v>
      </c>
      <c r="S347" s="101" t="s">
        <v>3020</v>
      </c>
      <c r="T347" s="57"/>
    </row>
    <row r="348" spans="1:20" ht="28.8" x14ac:dyDescent="0.3">
      <c r="A348" s="98">
        <f t="shared" ca="1" si="20"/>
        <v>345</v>
      </c>
      <c r="B348" s="111" t="s">
        <v>1044</v>
      </c>
      <c r="C348" s="512">
        <v>45899</v>
      </c>
      <c r="D348" s="369">
        <v>52490939</v>
      </c>
      <c r="E348" s="270" t="s">
        <v>4341</v>
      </c>
      <c r="F348" s="388" t="s">
        <v>7</v>
      </c>
      <c r="G348" s="376" t="s">
        <v>4</v>
      </c>
      <c r="H348" s="493">
        <v>45899</v>
      </c>
      <c r="I348" s="587"/>
      <c r="J348" s="100" t="s">
        <v>2432</v>
      </c>
      <c r="K348" s="513"/>
      <c r="L348" s="514"/>
      <c r="M348" s="515"/>
      <c r="N348" s="31"/>
      <c r="O348" s="53"/>
      <c r="P348" s="55"/>
      <c r="Q348" s="346">
        <v>45901</v>
      </c>
      <c r="R348" s="148">
        <f t="shared" si="21"/>
        <v>1.0000435739340727</v>
      </c>
      <c r="S348" s="101" t="s">
        <v>3468</v>
      </c>
      <c r="T348" s="57"/>
    </row>
    <row r="349" spans="1:20" ht="43.2" x14ac:dyDescent="0.3">
      <c r="A349" s="98">
        <f t="shared" ca="1" si="20"/>
        <v>346</v>
      </c>
      <c r="B349" s="111" t="s">
        <v>1044</v>
      </c>
      <c r="C349" s="512">
        <v>45899</v>
      </c>
      <c r="D349" s="369">
        <v>44855710</v>
      </c>
      <c r="E349" s="270" t="s">
        <v>4342</v>
      </c>
      <c r="F349" s="388" t="s">
        <v>25</v>
      </c>
      <c r="G349" s="376" t="s">
        <v>4</v>
      </c>
      <c r="H349" s="493">
        <v>45899</v>
      </c>
      <c r="I349" s="587"/>
      <c r="J349" s="100" t="s">
        <v>22</v>
      </c>
      <c r="K349" s="513"/>
      <c r="L349" s="514"/>
      <c r="M349" s="515"/>
      <c r="N349" s="31"/>
      <c r="O349" s="53"/>
      <c r="P349" s="55"/>
      <c r="Q349" s="346">
        <v>45901</v>
      </c>
      <c r="R349" s="148">
        <f t="shared" si="21"/>
        <v>1.0000435739340727</v>
      </c>
      <c r="S349" s="101" t="s">
        <v>3468</v>
      </c>
      <c r="T349" s="57"/>
    </row>
  </sheetData>
  <autoFilter ref="A3:T349" xr:uid="{76DD89FD-9B4C-47D2-8C20-81388C03EB23}">
    <sortState xmlns:xlrd2="http://schemas.microsoft.com/office/spreadsheetml/2017/richdata2" ref="A4:T349">
      <sortCondition ref="Q3:Q349"/>
    </sortState>
  </autoFilter>
  <mergeCells count="1">
    <mergeCell ref="B1:T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AC061BC4-2260-4F55-8C11-16CA11076417}">
          <x14:formula1>
            <xm:f>'Conceptos de Tipificación'!$E$4:$E$7</xm:f>
          </x14:formula1>
          <xm:sqref>G4:G280 G283:G349</xm:sqref>
        </x14:dataValidation>
        <x14:dataValidation type="list" allowBlank="1" showInputMessage="1" showErrorMessage="1" xr:uid="{18F5F3EA-7BB9-47AD-9AF1-7D6CFFC5B308}">
          <x14:formula1>
            <xm:f>'Conceptos de Tipificación'!$A$3:$A$57</xm:f>
          </x14:formula1>
          <xm:sqref>F4:F280 F283:F1048576</xm:sqref>
        </x14:dataValidation>
        <x14:dataValidation type="list" allowBlank="1" showInputMessage="1" showErrorMessage="1" xr:uid="{3D426ACB-79C6-4F5C-86F9-5F8B435B3CB0}">
          <x14:formula1>
            <xm:f>'Conceptos de Tipificación'!$A$3:$A$56</xm:f>
          </x14:formula1>
          <xm:sqref>F281:F282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3932C-4DFA-4F6E-A9CA-08E99D044DAC}">
  <sheetPr>
    <tabColor rgb="FF92D050"/>
  </sheetPr>
  <dimension ref="A1:T235"/>
  <sheetViews>
    <sheetView topLeftCell="C1" workbookViewId="0">
      <selection activeCell="Q3" sqref="Q3"/>
    </sheetView>
  </sheetViews>
  <sheetFormatPr baseColWidth="10" defaultColWidth="9.109375" defaultRowHeight="14.4" x14ac:dyDescent="0.3"/>
  <cols>
    <col min="1" max="1" width="4.44140625" bestFit="1" customWidth="1"/>
    <col min="2" max="2" width="11.6640625" customWidth="1"/>
    <col min="3" max="4" width="11.44140625" customWidth="1"/>
    <col min="5" max="5" width="38.109375" customWidth="1"/>
    <col min="6" max="6" width="16.5546875" customWidth="1"/>
    <col min="7" max="8" width="11.6640625" customWidth="1"/>
    <col min="9" max="9" width="15.33203125" customWidth="1"/>
    <col min="10" max="10" width="19.6640625" customWidth="1"/>
    <col min="13" max="13" width="11.44140625" bestFit="1" customWidth="1"/>
    <col min="17" max="17" width="13.33203125" customWidth="1"/>
    <col min="18" max="18" width="11.33203125" customWidth="1"/>
    <col min="19" max="19" width="12.5546875" customWidth="1"/>
    <col min="20" max="20" width="20.6640625" customWidth="1"/>
  </cols>
  <sheetData>
    <row r="1" spans="1:20" x14ac:dyDescent="0.3">
      <c r="A1" s="24"/>
      <c r="B1" s="857" t="s">
        <v>2268</v>
      </c>
      <c r="C1" s="857"/>
      <c r="D1" s="857"/>
      <c r="E1" s="857"/>
      <c r="F1" s="857"/>
      <c r="G1" s="857"/>
      <c r="H1" s="857"/>
      <c r="I1" s="857"/>
      <c r="J1" s="857"/>
      <c r="K1" s="857"/>
      <c r="L1" s="857"/>
      <c r="M1" s="857"/>
      <c r="N1" s="857"/>
      <c r="O1" s="857"/>
      <c r="P1" s="857"/>
      <c r="Q1" s="857"/>
      <c r="R1" s="857"/>
      <c r="S1" s="857"/>
      <c r="T1" s="857"/>
    </row>
    <row r="2" spans="1:20" ht="15" thickBot="1" x14ac:dyDescent="0.35">
      <c r="A2" s="24"/>
      <c r="B2" s="319"/>
      <c r="C2" s="319"/>
      <c r="D2" s="319"/>
      <c r="E2" s="319"/>
      <c r="F2" s="319"/>
      <c r="G2" s="319"/>
      <c r="H2" s="319"/>
      <c r="I2" s="319"/>
      <c r="J2" s="319"/>
      <c r="K2" s="319"/>
      <c r="L2" s="319"/>
      <c r="M2" s="319"/>
      <c r="N2" s="319"/>
      <c r="O2" s="319"/>
      <c r="P2" s="319"/>
      <c r="Q2" s="319"/>
      <c r="R2" s="319"/>
      <c r="S2" s="319"/>
      <c r="T2" s="319"/>
    </row>
    <row r="3" spans="1:20" ht="58.2" thickBot="1" x14ac:dyDescent="0.35">
      <c r="A3" s="24"/>
      <c r="B3" s="320" t="s">
        <v>66</v>
      </c>
      <c r="C3" s="321" t="s">
        <v>67</v>
      </c>
      <c r="D3" s="322" t="s">
        <v>2269</v>
      </c>
      <c r="E3" s="389" t="s">
        <v>68</v>
      </c>
      <c r="F3" s="370" t="s">
        <v>69</v>
      </c>
      <c r="G3" s="324" t="s">
        <v>70</v>
      </c>
      <c r="H3" s="325" t="s">
        <v>71</v>
      </c>
      <c r="I3" s="326" t="s">
        <v>72</v>
      </c>
      <c r="J3" s="327" t="s">
        <v>73</v>
      </c>
      <c r="K3" s="328" t="s">
        <v>74</v>
      </c>
      <c r="L3" s="325" t="s">
        <v>71</v>
      </c>
      <c r="M3" s="327" t="s">
        <v>73</v>
      </c>
      <c r="N3" s="328" t="s">
        <v>75</v>
      </c>
      <c r="O3" s="325" t="s">
        <v>71</v>
      </c>
      <c r="P3" s="327" t="s">
        <v>73</v>
      </c>
      <c r="Q3" s="329" t="s">
        <v>76</v>
      </c>
      <c r="R3" s="323" t="s">
        <v>77</v>
      </c>
      <c r="S3" s="323" t="s">
        <v>78</v>
      </c>
      <c r="T3" s="321" t="s">
        <v>79</v>
      </c>
    </row>
    <row r="4" spans="1:20" ht="72" x14ac:dyDescent="0.3">
      <c r="A4" s="98">
        <v>1</v>
      </c>
      <c r="B4" s="522">
        <v>1550</v>
      </c>
      <c r="C4" s="523">
        <v>45901</v>
      </c>
      <c r="D4" s="369">
        <v>25365223</v>
      </c>
      <c r="E4" s="390" t="s">
        <v>4343</v>
      </c>
      <c r="F4" s="383" t="s">
        <v>1</v>
      </c>
      <c r="G4" s="221" t="s">
        <v>6</v>
      </c>
      <c r="H4" s="493">
        <v>45901</v>
      </c>
      <c r="I4" s="25"/>
      <c r="J4" s="100" t="s">
        <v>2367</v>
      </c>
      <c r="K4" s="494"/>
      <c r="L4" s="495"/>
      <c r="M4" s="496"/>
      <c r="N4" s="497"/>
      <c r="O4" s="498"/>
      <c r="P4" s="499"/>
      <c r="Q4" s="529">
        <v>45901</v>
      </c>
      <c r="R4" s="148">
        <f t="shared" ref="R4:R67" si="0">Q4/H4</f>
        <v>1</v>
      </c>
      <c r="S4" s="200" t="s">
        <v>1312</v>
      </c>
      <c r="T4" s="530"/>
    </row>
    <row r="5" spans="1:20" ht="28.8" x14ac:dyDescent="0.3">
      <c r="A5" s="98">
        <f t="shared" ref="A5:A36" si="1">A4+1</f>
        <v>2</v>
      </c>
      <c r="B5" s="522">
        <v>1550</v>
      </c>
      <c r="C5" s="523">
        <v>45901</v>
      </c>
      <c r="D5" s="369">
        <v>23997427</v>
      </c>
      <c r="E5" s="270" t="s">
        <v>4344</v>
      </c>
      <c r="F5" s="200" t="s">
        <v>17</v>
      </c>
      <c r="G5" s="221" t="s">
        <v>4</v>
      </c>
      <c r="H5" s="493">
        <v>45901</v>
      </c>
      <c r="I5" s="25"/>
      <c r="J5" s="100" t="s">
        <v>82</v>
      </c>
      <c r="K5" s="494"/>
      <c r="L5" s="495"/>
      <c r="M5" s="496"/>
      <c r="N5" s="497"/>
      <c r="O5" s="498"/>
      <c r="P5" s="499"/>
      <c r="Q5" s="529">
        <v>45908</v>
      </c>
      <c r="R5" s="148">
        <f t="shared" si="0"/>
        <v>1.0001525021241366</v>
      </c>
      <c r="S5" s="200" t="s">
        <v>2970</v>
      </c>
      <c r="T5" s="629"/>
    </row>
    <row r="6" spans="1:20" ht="28.8" x14ac:dyDescent="0.3">
      <c r="A6" s="98">
        <f t="shared" si="1"/>
        <v>3</v>
      </c>
      <c r="B6" s="522" t="s">
        <v>80</v>
      </c>
      <c r="C6" s="523">
        <v>45901</v>
      </c>
      <c r="D6" s="369">
        <v>71916849</v>
      </c>
      <c r="E6" s="270" t="s">
        <v>4345</v>
      </c>
      <c r="F6" s="200" t="s">
        <v>3</v>
      </c>
      <c r="G6" s="221" t="s">
        <v>8</v>
      </c>
      <c r="H6" s="493">
        <v>45901</v>
      </c>
      <c r="I6" s="25"/>
      <c r="J6" s="100" t="s">
        <v>82</v>
      </c>
      <c r="K6" s="494"/>
      <c r="L6" s="495"/>
      <c r="M6" s="496"/>
      <c r="N6" s="497"/>
      <c r="O6" s="498"/>
      <c r="P6" s="499"/>
      <c r="Q6" s="529">
        <v>45902</v>
      </c>
      <c r="R6" s="148">
        <f t="shared" si="0"/>
        <v>1.0000217860177338</v>
      </c>
      <c r="S6" s="200" t="s">
        <v>8</v>
      </c>
      <c r="T6" s="535"/>
    </row>
    <row r="7" spans="1:20" ht="57.6" x14ac:dyDescent="0.3">
      <c r="A7" s="98">
        <f t="shared" si="1"/>
        <v>4</v>
      </c>
      <c r="B7" s="536">
        <v>1550</v>
      </c>
      <c r="C7" s="523">
        <v>45901</v>
      </c>
      <c r="D7" s="630">
        <v>120632128</v>
      </c>
      <c r="E7" s="308" t="s">
        <v>4346</v>
      </c>
      <c r="F7" s="200" t="s">
        <v>1</v>
      </c>
      <c r="G7" s="221" t="s">
        <v>6</v>
      </c>
      <c r="H7" s="493">
        <v>45901</v>
      </c>
      <c r="I7" s="25"/>
      <c r="J7" s="100" t="s">
        <v>2367</v>
      </c>
      <c r="K7" s="494"/>
      <c r="L7" s="495"/>
      <c r="M7" s="496"/>
      <c r="N7" s="497"/>
      <c r="O7" s="498"/>
      <c r="P7" s="499"/>
      <c r="Q7" s="539">
        <v>45903</v>
      </c>
      <c r="R7" s="148">
        <f t="shared" si="0"/>
        <v>1.0000435720354677</v>
      </c>
      <c r="S7" s="200" t="s">
        <v>2597</v>
      </c>
      <c r="T7" s="535"/>
    </row>
    <row r="8" spans="1:20" ht="28.8" x14ac:dyDescent="0.3">
      <c r="A8" s="98">
        <f t="shared" si="1"/>
        <v>5</v>
      </c>
      <c r="B8" s="536">
        <v>1550</v>
      </c>
      <c r="C8" s="652">
        <v>45901</v>
      </c>
      <c r="D8" s="537">
        <v>115643478</v>
      </c>
      <c r="E8" s="275" t="s">
        <v>4347</v>
      </c>
      <c r="F8" s="653" t="s">
        <v>4261</v>
      </c>
      <c r="G8" s="221" t="s">
        <v>4</v>
      </c>
      <c r="H8" s="493">
        <v>45901</v>
      </c>
      <c r="I8" s="25"/>
      <c r="J8" s="100" t="s">
        <v>2271</v>
      </c>
      <c r="K8" s="494"/>
      <c r="L8" s="495"/>
      <c r="M8" s="496"/>
      <c r="N8" s="497"/>
      <c r="O8" s="498"/>
      <c r="P8" s="499"/>
      <c r="Q8" s="529">
        <v>45902</v>
      </c>
      <c r="R8" s="148">
        <f t="shared" si="0"/>
        <v>1.0000217860177338</v>
      </c>
      <c r="S8" s="200" t="s">
        <v>2979</v>
      </c>
      <c r="T8" s="540"/>
    </row>
    <row r="9" spans="1:20" ht="28.8" x14ac:dyDescent="0.3">
      <c r="A9" s="98">
        <f t="shared" si="1"/>
        <v>6</v>
      </c>
      <c r="B9" s="651">
        <v>1550</v>
      </c>
      <c r="C9" s="650">
        <v>45901</v>
      </c>
      <c r="D9" s="219">
        <v>120633620</v>
      </c>
      <c r="E9" s="109" t="s">
        <v>4348</v>
      </c>
      <c r="F9" s="219" t="s">
        <v>1</v>
      </c>
      <c r="G9" s="221" t="s">
        <v>4</v>
      </c>
      <c r="H9" s="493">
        <v>45901</v>
      </c>
      <c r="I9" s="25"/>
      <c r="J9" s="100" t="s">
        <v>2306</v>
      </c>
      <c r="K9" s="494"/>
      <c r="L9" s="495"/>
      <c r="M9" s="496"/>
      <c r="N9" s="497"/>
      <c r="O9" s="498"/>
      <c r="P9" s="499"/>
      <c r="Q9" s="529">
        <v>45901</v>
      </c>
      <c r="R9" s="148">
        <f t="shared" si="0"/>
        <v>1</v>
      </c>
      <c r="S9" s="200" t="s">
        <v>3899</v>
      </c>
      <c r="T9" s="535"/>
    </row>
    <row r="10" spans="1:20" ht="72" x14ac:dyDescent="0.3">
      <c r="A10" s="98">
        <f t="shared" si="1"/>
        <v>7</v>
      </c>
      <c r="B10" s="651">
        <v>1550</v>
      </c>
      <c r="C10" s="650">
        <v>45901</v>
      </c>
      <c r="D10" s="63">
        <v>120646196</v>
      </c>
      <c r="E10" s="254" t="s">
        <v>4349</v>
      </c>
      <c r="F10" s="219" t="s">
        <v>1</v>
      </c>
      <c r="G10" s="221" t="s">
        <v>6</v>
      </c>
      <c r="H10" s="493">
        <v>45901</v>
      </c>
      <c r="I10" s="25"/>
      <c r="J10" s="100" t="s">
        <v>3709</v>
      </c>
      <c r="K10" s="494"/>
      <c r="L10" s="495"/>
      <c r="M10" s="496"/>
      <c r="N10" s="497"/>
      <c r="O10" s="498"/>
      <c r="P10" s="499"/>
      <c r="Q10" s="539">
        <v>45905</v>
      </c>
      <c r="R10" s="148">
        <f t="shared" si="0"/>
        <v>1.0000871440709354</v>
      </c>
      <c r="S10" s="200" t="s">
        <v>2597</v>
      </c>
      <c r="T10" s="315"/>
    </row>
    <row r="11" spans="1:20" ht="28.8" x14ac:dyDescent="0.3">
      <c r="A11" s="98">
        <f t="shared" si="1"/>
        <v>8</v>
      </c>
      <c r="B11" s="651" t="s">
        <v>301</v>
      </c>
      <c r="C11" s="650">
        <v>45901</v>
      </c>
      <c r="D11" s="63">
        <v>91252806</v>
      </c>
      <c r="E11" s="254" t="s">
        <v>4350</v>
      </c>
      <c r="F11" s="219" t="s">
        <v>17</v>
      </c>
      <c r="G11" s="221" t="s">
        <v>6</v>
      </c>
      <c r="H11" s="493">
        <v>45901</v>
      </c>
      <c r="I11" s="25"/>
      <c r="J11" s="100" t="s">
        <v>82</v>
      </c>
      <c r="K11" s="494"/>
      <c r="L11" s="495"/>
      <c r="M11" s="496"/>
      <c r="N11" s="497"/>
      <c r="O11" s="498"/>
      <c r="P11" s="499"/>
      <c r="Q11" s="539">
        <v>45908</v>
      </c>
      <c r="R11" s="148">
        <f t="shared" si="0"/>
        <v>1.0001525021241366</v>
      </c>
      <c r="S11" s="200" t="s">
        <v>1811</v>
      </c>
      <c r="T11" s="315"/>
    </row>
    <row r="12" spans="1:20" ht="57.6" x14ac:dyDescent="0.3">
      <c r="A12" s="98">
        <f t="shared" si="1"/>
        <v>9</v>
      </c>
      <c r="B12" s="651">
        <v>1550</v>
      </c>
      <c r="C12" s="650">
        <v>45902</v>
      </c>
      <c r="D12" s="63">
        <v>75024438</v>
      </c>
      <c r="E12" s="668" t="s">
        <v>4351</v>
      </c>
      <c r="F12" s="219" t="s">
        <v>39</v>
      </c>
      <c r="G12" s="221" t="s">
        <v>4</v>
      </c>
      <c r="H12" s="493">
        <v>45902</v>
      </c>
      <c r="I12" s="25"/>
      <c r="J12" s="100" t="s">
        <v>22</v>
      </c>
      <c r="K12" s="494"/>
      <c r="L12" s="495"/>
      <c r="M12" s="496"/>
      <c r="N12" s="497"/>
      <c r="O12" s="498"/>
      <c r="P12" s="499"/>
      <c r="Q12" s="539">
        <v>45904</v>
      </c>
      <c r="R12" s="148">
        <f t="shared" si="0"/>
        <v>1.0000435710862272</v>
      </c>
      <c r="S12" s="200" t="s">
        <v>2993</v>
      </c>
      <c r="T12" s="535"/>
    </row>
    <row r="13" spans="1:20" ht="28.8" x14ac:dyDescent="0.3">
      <c r="A13" s="98">
        <f t="shared" si="1"/>
        <v>10</v>
      </c>
      <c r="B13" s="536">
        <v>1550</v>
      </c>
      <c r="C13" s="523">
        <v>45902</v>
      </c>
      <c r="D13" s="654">
        <v>120129477</v>
      </c>
      <c r="E13" s="676" t="s">
        <v>3611</v>
      </c>
      <c r="F13" s="200" t="s">
        <v>1</v>
      </c>
      <c r="G13" s="221" t="s">
        <v>8</v>
      </c>
      <c r="H13" s="493">
        <v>45902</v>
      </c>
      <c r="I13" s="25"/>
      <c r="J13" s="100" t="s">
        <v>2310</v>
      </c>
      <c r="K13" s="494"/>
      <c r="L13" s="495"/>
      <c r="M13" s="496"/>
      <c r="N13" s="497"/>
      <c r="O13" s="498"/>
      <c r="P13" s="499"/>
      <c r="Q13" s="539">
        <v>45902</v>
      </c>
      <c r="R13" s="148">
        <f t="shared" si="0"/>
        <v>1</v>
      </c>
      <c r="S13" s="200" t="s">
        <v>3952</v>
      </c>
      <c r="T13" s="535"/>
    </row>
    <row r="14" spans="1:20" ht="28.8" x14ac:dyDescent="0.3">
      <c r="A14" s="98">
        <f t="shared" si="1"/>
        <v>11</v>
      </c>
      <c r="B14" s="536">
        <v>1550</v>
      </c>
      <c r="C14" s="523">
        <v>45902</v>
      </c>
      <c r="D14" s="541">
        <v>120655160</v>
      </c>
      <c r="E14" s="270" t="s">
        <v>4352</v>
      </c>
      <c r="F14" s="219" t="s">
        <v>4261</v>
      </c>
      <c r="G14" s="221" t="s">
        <v>4</v>
      </c>
      <c r="H14" s="493">
        <v>45902</v>
      </c>
      <c r="I14" s="25"/>
      <c r="J14" s="100" t="s">
        <v>2536</v>
      </c>
      <c r="K14" s="494"/>
      <c r="L14" s="495"/>
      <c r="M14" s="496"/>
      <c r="N14" s="497"/>
      <c r="O14" s="498"/>
      <c r="P14" s="499"/>
      <c r="Q14" s="529">
        <v>45902</v>
      </c>
      <c r="R14" s="148">
        <f t="shared" si="0"/>
        <v>1</v>
      </c>
      <c r="S14" s="200" t="s">
        <v>2974</v>
      </c>
      <c r="T14" s="315"/>
    </row>
    <row r="15" spans="1:20" ht="144" x14ac:dyDescent="0.3">
      <c r="A15" s="98">
        <f t="shared" si="1"/>
        <v>12</v>
      </c>
      <c r="B15" s="536">
        <v>1550</v>
      </c>
      <c r="C15" s="523">
        <v>45902</v>
      </c>
      <c r="D15" s="541">
        <v>6764312</v>
      </c>
      <c r="E15" s="270" t="s">
        <v>4353</v>
      </c>
      <c r="F15" s="219" t="s">
        <v>1</v>
      </c>
      <c r="G15" s="221" t="s">
        <v>6</v>
      </c>
      <c r="H15" s="493">
        <v>45902</v>
      </c>
      <c r="I15" s="25"/>
      <c r="J15" s="100" t="s">
        <v>2367</v>
      </c>
      <c r="K15" s="494"/>
      <c r="L15" s="495"/>
      <c r="M15" s="496"/>
      <c r="N15" s="497"/>
      <c r="O15" s="498"/>
      <c r="P15" s="499"/>
      <c r="Q15" s="529">
        <v>45903</v>
      </c>
      <c r="R15" s="148">
        <f t="shared" si="0"/>
        <v>1.0000217855431135</v>
      </c>
      <c r="S15" s="200" t="s">
        <v>1312</v>
      </c>
      <c r="T15" s="315"/>
    </row>
    <row r="16" spans="1:20" ht="28.8" x14ac:dyDescent="0.3">
      <c r="A16" s="98">
        <f t="shared" si="1"/>
        <v>13</v>
      </c>
      <c r="B16" s="536" t="s">
        <v>80</v>
      </c>
      <c r="C16" s="523">
        <v>45902</v>
      </c>
      <c r="D16" s="541">
        <v>120243512</v>
      </c>
      <c r="E16" s="308" t="s">
        <v>4354</v>
      </c>
      <c r="F16" s="200" t="s">
        <v>30</v>
      </c>
      <c r="G16" s="221" t="s">
        <v>8</v>
      </c>
      <c r="H16" s="493">
        <v>45902</v>
      </c>
      <c r="I16" s="25"/>
      <c r="J16" s="100" t="s">
        <v>30</v>
      </c>
      <c r="K16" s="494"/>
      <c r="L16" s="495"/>
      <c r="M16" s="496"/>
      <c r="N16" s="497"/>
      <c r="O16" s="498"/>
      <c r="P16" s="499"/>
      <c r="Q16" s="529">
        <v>45918</v>
      </c>
      <c r="R16" s="148">
        <f t="shared" si="0"/>
        <v>1.0003485686898175</v>
      </c>
      <c r="S16" s="200" t="s">
        <v>4127</v>
      </c>
      <c r="T16" s="315"/>
    </row>
    <row r="17" spans="1:20" ht="28.8" x14ac:dyDescent="0.3">
      <c r="A17" s="98">
        <f t="shared" si="1"/>
        <v>14</v>
      </c>
      <c r="B17" s="536">
        <v>1550</v>
      </c>
      <c r="C17" s="523">
        <v>45902</v>
      </c>
      <c r="D17" s="541">
        <v>113041810</v>
      </c>
      <c r="E17" s="270" t="s">
        <v>4355</v>
      </c>
      <c r="F17" s="200" t="s">
        <v>7</v>
      </c>
      <c r="G17" s="221" t="s">
        <v>8</v>
      </c>
      <c r="H17" s="493">
        <v>45902</v>
      </c>
      <c r="I17" s="25"/>
      <c r="J17" s="100" t="s">
        <v>2513</v>
      </c>
      <c r="K17" s="494"/>
      <c r="L17" s="495"/>
      <c r="M17" s="496"/>
      <c r="N17" s="497"/>
      <c r="O17" s="498"/>
      <c r="P17" s="499"/>
      <c r="Q17" s="539">
        <v>45905</v>
      </c>
      <c r="R17" s="148">
        <f t="shared" si="0"/>
        <v>1.0000653566293407</v>
      </c>
      <c r="S17" s="200" t="s">
        <v>3931</v>
      </c>
      <c r="T17" s="315"/>
    </row>
    <row r="18" spans="1:20" ht="43.2" x14ac:dyDescent="0.3">
      <c r="A18" s="98">
        <f t="shared" si="1"/>
        <v>15</v>
      </c>
      <c r="B18" s="536" t="s">
        <v>80</v>
      </c>
      <c r="C18" s="523">
        <v>45902</v>
      </c>
      <c r="D18" s="541">
        <v>19907435</v>
      </c>
      <c r="E18" s="270" t="s">
        <v>4356</v>
      </c>
      <c r="F18" s="200" t="s">
        <v>52</v>
      </c>
      <c r="G18" s="221" t="s">
        <v>8</v>
      </c>
      <c r="H18" s="493">
        <v>45902</v>
      </c>
      <c r="I18" s="25"/>
      <c r="J18" s="100" t="s">
        <v>253</v>
      </c>
      <c r="K18" s="494"/>
      <c r="L18" s="495"/>
      <c r="M18" s="496"/>
      <c r="N18" s="497"/>
      <c r="O18" s="498"/>
      <c r="P18" s="499"/>
      <c r="Q18" s="529">
        <v>45877</v>
      </c>
      <c r="R18" s="148">
        <f t="shared" si="0"/>
        <v>0.99945536142216029</v>
      </c>
      <c r="S18" s="200" t="s">
        <v>4127</v>
      </c>
      <c r="T18" s="535"/>
    </row>
    <row r="19" spans="1:20" ht="28.8" x14ac:dyDescent="0.3">
      <c r="A19" s="98">
        <f t="shared" si="1"/>
        <v>16</v>
      </c>
      <c r="B19" s="536" t="s">
        <v>80</v>
      </c>
      <c r="C19" s="523">
        <v>45902</v>
      </c>
      <c r="D19" s="541">
        <v>6983286</v>
      </c>
      <c r="E19" s="308" t="s">
        <v>4357</v>
      </c>
      <c r="F19" s="200" t="s">
        <v>17</v>
      </c>
      <c r="G19" s="221" t="s">
        <v>8</v>
      </c>
      <c r="H19" s="493">
        <v>45902</v>
      </c>
      <c r="I19" s="25"/>
      <c r="J19" s="100" t="s">
        <v>82</v>
      </c>
      <c r="K19" s="494"/>
      <c r="L19" s="495"/>
      <c r="M19" s="496"/>
      <c r="N19" s="497"/>
      <c r="O19" s="498"/>
      <c r="P19" s="499"/>
      <c r="Q19" s="529">
        <v>45908</v>
      </c>
      <c r="R19" s="148">
        <f t="shared" si="0"/>
        <v>1.0001307132586816</v>
      </c>
      <c r="S19" s="200" t="s">
        <v>4127</v>
      </c>
      <c r="T19" s="535"/>
    </row>
    <row r="20" spans="1:20" ht="28.8" x14ac:dyDescent="0.3">
      <c r="A20" s="98">
        <f t="shared" si="1"/>
        <v>17</v>
      </c>
      <c r="B20" s="536" t="s">
        <v>80</v>
      </c>
      <c r="C20" s="523">
        <v>45902</v>
      </c>
      <c r="D20" s="541">
        <v>112931669</v>
      </c>
      <c r="E20" s="308" t="s">
        <v>4358</v>
      </c>
      <c r="F20" s="219" t="s">
        <v>17</v>
      </c>
      <c r="G20" s="221" t="s">
        <v>8</v>
      </c>
      <c r="H20" s="493">
        <v>45902</v>
      </c>
      <c r="I20" s="25"/>
      <c r="J20" s="100" t="s">
        <v>82</v>
      </c>
      <c r="K20" s="494"/>
      <c r="L20" s="495"/>
      <c r="M20" s="496"/>
      <c r="N20" s="497"/>
      <c r="O20" s="498"/>
      <c r="P20" s="499"/>
      <c r="Q20" s="529">
        <v>45905</v>
      </c>
      <c r="R20" s="148">
        <f t="shared" si="0"/>
        <v>1.0000653566293407</v>
      </c>
      <c r="S20" s="200" t="s">
        <v>4127</v>
      </c>
      <c r="T20" s="535"/>
    </row>
    <row r="21" spans="1:20" ht="28.8" x14ac:dyDescent="0.3">
      <c r="A21" s="98">
        <f t="shared" si="1"/>
        <v>18</v>
      </c>
      <c r="B21" s="536" t="s">
        <v>301</v>
      </c>
      <c r="C21" s="523">
        <v>45902</v>
      </c>
      <c r="D21" s="541">
        <v>42047498</v>
      </c>
      <c r="E21" s="270" t="s">
        <v>4358</v>
      </c>
      <c r="F21" s="219" t="s">
        <v>17</v>
      </c>
      <c r="G21" s="221" t="s">
        <v>8</v>
      </c>
      <c r="H21" s="493">
        <v>45902</v>
      </c>
      <c r="I21" s="25"/>
      <c r="J21" s="100" t="s">
        <v>82</v>
      </c>
      <c r="K21" s="494"/>
      <c r="L21" s="495"/>
      <c r="M21" s="496"/>
      <c r="N21" s="497"/>
      <c r="O21" s="498"/>
      <c r="P21" s="499"/>
      <c r="Q21" s="529">
        <v>45908</v>
      </c>
      <c r="R21" s="148">
        <f t="shared" si="0"/>
        <v>1.0001307132586816</v>
      </c>
      <c r="S21" s="200" t="s">
        <v>3861</v>
      </c>
      <c r="T21" s="542"/>
    </row>
    <row r="22" spans="1:20" ht="28.8" x14ac:dyDescent="0.3">
      <c r="A22" s="98">
        <f t="shared" si="1"/>
        <v>19</v>
      </c>
      <c r="B22" s="536" t="s">
        <v>301</v>
      </c>
      <c r="C22" s="523">
        <v>45902</v>
      </c>
      <c r="D22" s="543">
        <v>90802675</v>
      </c>
      <c r="E22" s="270" t="s">
        <v>4130</v>
      </c>
      <c r="F22" s="219" t="s">
        <v>7</v>
      </c>
      <c r="G22" s="221" t="s">
        <v>8</v>
      </c>
      <c r="H22" s="493">
        <v>45902</v>
      </c>
      <c r="I22" s="25"/>
      <c r="J22" s="100" t="s">
        <v>2367</v>
      </c>
      <c r="K22" s="494"/>
      <c r="L22" s="495"/>
      <c r="M22" s="496"/>
      <c r="N22" s="497"/>
      <c r="O22" s="498"/>
      <c r="P22" s="499"/>
      <c r="Q22" s="529">
        <v>45902</v>
      </c>
      <c r="R22" s="148">
        <f t="shared" si="0"/>
        <v>1</v>
      </c>
      <c r="S22" s="200" t="s">
        <v>3952</v>
      </c>
      <c r="T22" s="315"/>
    </row>
    <row r="23" spans="1:20" ht="43.2" x14ac:dyDescent="0.3">
      <c r="A23" s="98">
        <f t="shared" si="1"/>
        <v>20</v>
      </c>
      <c r="B23" s="536" t="s">
        <v>301</v>
      </c>
      <c r="C23" s="523">
        <v>45902</v>
      </c>
      <c r="D23" s="543">
        <v>17857333</v>
      </c>
      <c r="E23" s="308" t="s">
        <v>4359</v>
      </c>
      <c r="F23" s="200" t="s">
        <v>12</v>
      </c>
      <c r="G23" s="221" t="s">
        <v>4</v>
      </c>
      <c r="H23" s="493">
        <v>45902</v>
      </c>
      <c r="I23" s="25"/>
      <c r="J23" s="100" t="s">
        <v>159</v>
      </c>
      <c r="K23" s="494"/>
      <c r="L23" s="495"/>
      <c r="M23" s="496"/>
      <c r="N23" s="497"/>
      <c r="O23" s="498"/>
      <c r="P23" s="499"/>
      <c r="Q23" s="529">
        <v>45903</v>
      </c>
      <c r="R23" s="148">
        <f t="shared" si="0"/>
        <v>1.0000217855431135</v>
      </c>
      <c r="S23" s="200" t="s">
        <v>720</v>
      </c>
      <c r="T23" s="535"/>
    </row>
    <row r="24" spans="1:20" ht="28.8" x14ac:dyDescent="0.3">
      <c r="A24" s="98">
        <f t="shared" si="1"/>
        <v>21</v>
      </c>
      <c r="B24" s="536" t="s">
        <v>80</v>
      </c>
      <c r="C24" s="523">
        <v>45902</v>
      </c>
      <c r="D24" s="543">
        <v>88673383</v>
      </c>
      <c r="E24" s="308" t="s">
        <v>4358</v>
      </c>
      <c r="F24" s="385" t="s">
        <v>17</v>
      </c>
      <c r="G24" s="221" t="s">
        <v>8</v>
      </c>
      <c r="H24" s="493">
        <v>45902</v>
      </c>
      <c r="I24" s="25"/>
      <c r="J24" s="100" t="s">
        <v>82</v>
      </c>
      <c r="K24" s="494"/>
      <c r="L24" s="495"/>
      <c r="M24" s="496"/>
      <c r="N24" s="497"/>
      <c r="O24" s="498"/>
      <c r="P24" s="499"/>
      <c r="Q24" s="539">
        <v>45918</v>
      </c>
      <c r="R24" s="148">
        <f t="shared" si="0"/>
        <v>1.0003485686898175</v>
      </c>
      <c r="S24" s="200" t="s">
        <v>4127</v>
      </c>
      <c r="T24" s="535"/>
    </row>
    <row r="25" spans="1:20" ht="28.8" x14ac:dyDescent="0.3">
      <c r="A25" s="98">
        <f t="shared" si="1"/>
        <v>22</v>
      </c>
      <c r="B25" s="536" t="s">
        <v>301</v>
      </c>
      <c r="C25" s="546">
        <v>45902</v>
      </c>
      <c r="D25" s="543"/>
      <c r="E25" s="270" t="s">
        <v>4360</v>
      </c>
      <c r="F25" s="385" t="s">
        <v>21</v>
      </c>
      <c r="G25" s="221" t="s">
        <v>8</v>
      </c>
      <c r="H25" s="493">
        <v>45902</v>
      </c>
      <c r="I25" s="25"/>
      <c r="J25" s="100" t="s">
        <v>2579</v>
      </c>
      <c r="K25" s="494"/>
      <c r="L25" s="495"/>
      <c r="M25" s="496"/>
      <c r="N25" s="497"/>
      <c r="O25" s="498"/>
      <c r="P25" s="499"/>
      <c r="Q25" s="539">
        <v>45908</v>
      </c>
      <c r="R25" s="148">
        <f t="shared" si="0"/>
        <v>1.0001307132586816</v>
      </c>
      <c r="S25" s="200" t="s">
        <v>3952</v>
      </c>
      <c r="T25" s="315"/>
    </row>
    <row r="26" spans="1:20" ht="28.8" x14ac:dyDescent="0.3">
      <c r="A26" s="98">
        <f t="shared" si="1"/>
        <v>23</v>
      </c>
      <c r="B26" s="536">
        <v>1550</v>
      </c>
      <c r="C26" s="546">
        <v>45902</v>
      </c>
      <c r="D26" s="543">
        <v>118293931</v>
      </c>
      <c r="E26" s="270" t="s">
        <v>4361</v>
      </c>
      <c r="F26" s="200" t="s">
        <v>1</v>
      </c>
      <c r="G26" s="221" t="s">
        <v>4</v>
      </c>
      <c r="H26" s="493">
        <v>45902</v>
      </c>
      <c r="I26" s="25"/>
      <c r="J26" s="100" t="s">
        <v>2579</v>
      </c>
      <c r="K26" s="494"/>
      <c r="L26" s="495"/>
      <c r="M26" s="496"/>
      <c r="N26" s="497"/>
      <c r="O26" s="498"/>
      <c r="P26" s="499"/>
      <c r="Q26" s="539">
        <v>45902</v>
      </c>
      <c r="R26" s="148">
        <f t="shared" si="0"/>
        <v>1</v>
      </c>
      <c r="S26" s="200" t="s">
        <v>720</v>
      </c>
      <c r="T26" s="315"/>
    </row>
    <row r="27" spans="1:20" ht="187.2" x14ac:dyDescent="0.3">
      <c r="A27" s="98">
        <f t="shared" si="1"/>
        <v>24</v>
      </c>
      <c r="B27" s="536">
        <v>1550</v>
      </c>
      <c r="C27" s="546">
        <v>45902</v>
      </c>
      <c r="D27" s="543">
        <v>74930478</v>
      </c>
      <c r="E27" s="270" t="s">
        <v>4362</v>
      </c>
      <c r="F27" s="200" t="s">
        <v>12</v>
      </c>
      <c r="G27" s="221" t="s">
        <v>4</v>
      </c>
      <c r="H27" s="493">
        <v>45902</v>
      </c>
      <c r="I27" s="25"/>
      <c r="J27" s="100" t="s">
        <v>159</v>
      </c>
      <c r="K27" s="494"/>
      <c r="L27" s="495"/>
      <c r="M27" s="496"/>
      <c r="N27" s="497"/>
      <c r="O27" s="498"/>
      <c r="P27" s="499"/>
      <c r="Q27" s="529">
        <v>46153</v>
      </c>
      <c r="R27" s="148">
        <f t="shared" si="0"/>
        <v>1.005468171321511</v>
      </c>
      <c r="S27" s="200" t="s">
        <v>2974</v>
      </c>
      <c r="T27" s="535" t="s">
        <v>4363</v>
      </c>
    </row>
    <row r="28" spans="1:20" ht="43.2" x14ac:dyDescent="0.3">
      <c r="A28" s="98">
        <f t="shared" si="1"/>
        <v>25</v>
      </c>
      <c r="B28" s="536">
        <v>1550</v>
      </c>
      <c r="C28" s="546">
        <v>45902</v>
      </c>
      <c r="D28" s="543">
        <v>86579185</v>
      </c>
      <c r="E28" s="270" t="s">
        <v>4364</v>
      </c>
      <c r="F28" s="200" t="s">
        <v>12</v>
      </c>
      <c r="G28" s="221" t="s">
        <v>6</v>
      </c>
      <c r="H28" s="493">
        <v>45902</v>
      </c>
      <c r="I28" s="25"/>
      <c r="J28" s="100" t="s">
        <v>159</v>
      </c>
      <c r="K28" s="494"/>
      <c r="L28" s="495"/>
      <c r="M28" s="496"/>
      <c r="N28" s="497"/>
      <c r="O28" s="498"/>
      <c r="P28" s="499"/>
      <c r="Q28" s="539">
        <v>45902</v>
      </c>
      <c r="R28" s="148">
        <f t="shared" si="0"/>
        <v>1</v>
      </c>
      <c r="S28" s="200" t="s">
        <v>2597</v>
      </c>
      <c r="T28" s="535"/>
    </row>
    <row r="29" spans="1:20" ht="28.8" x14ac:dyDescent="0.3">
      <c r="A29" s="98">
        <f t="shared" si="1"/>
        <v>26</v>
      </c>
      <c r="B29" s="536">
        <v>1550</v>
      </c>
      <c r="C29" s="546">
        <v>45902</v>
      </c>
      <c r="D29" s="543">
        <v>118514733</v>
      </c>
      <c r="E29" s="270" t="s">
        <v>4365</v>
      </c>
      <c r="F29" s="200" t="s">
        <v>1</v>
      </c>
      <c r="G29" s="221" t="s">
        <v>4</v>
      </c>
      <c r="H29" s="493">
        <v>45902</v>
      </c>
      <c r="I29" s="25"/>
      <c r="J29" s="100" t="s">
        <v>2367</v>
      </c>
      <c r="K29" s="494"/>
      <c r="L29" s="495"/>
      <c r="M29" s="496"/>
      <c r="N29" s="497"/>
      <c r="O29" s="498"/>
      <c r="P29" s="499"/>
      <c r="Q29" s="539">
        <v>45902</v>
      </c>
      <c r="R29" s="148">
        <f t="shared" si="0"/>
        <v>1</v>
      </c>
      <c r="S29" s="200" t="s">
        <v>4366</v>
      </c>
      <c r="T29" s="535"/>
    </row>
    <row r="30" spans="1:20" ht="33" customHeight="1" x14ac:dyDescent="0.3">
      <c r="A30" s="98">
        <f t="shared" si="1"/>
        <v>27</v>
      </c>
      <c r="B30" s="536">
        <v>1550</v>
      </c>
      <c r="C30" s="546">
        <v>45902</v>
      </c>
      <c r="D30" s="543">
        <v>76105377</v>
      </c>
      <c r="E30" s="270" t="s">
        <v>4367</v>
      </c>
      <c r="F30" s="200" t="s">
        <v>24</v>
      </c>
      <c r="G30" s="221" t="s">
        <v>10</v>
      </c>
      <c r="H30" s="493">
        <v>45902</v>
      </c>
      <c r="I30" s="25"/>
      <c r="J30" s="100" t="s">
        <v>383</v>
      </c>
      <c r="K30" s="494"/>
      <c r="L30" s="495"/>
      <c r="M30" s="496"/>
      <c r="N30" s="497"/>
      <c r="O30" s="498"/>
      <c r="P30" s="499"/>
      <c r="Q30" s="539">
        <v>45903</v>
      </c>
      <c r="R30" s="148">
        <f t="shared" si="0"/>
        <v>1.0000217855431135</v>
      </c>
      <c r="S30" s="200" t="s">
        <v>2209</v>
      </c>
      <c r="T30" s="315"/>
    </row>
    <row r="31" spans="1:20" ht="30" customHeight="1" x14ac:dyDescent="0.3">
      <c r="A31" s="98">
        <f t="shared" si="1"/>
        <v>28</v>
      </c>
      <c r="B31" s="536">
        <v>1550</v>
      </c>
      <c r="C31" s="546">
        <v>45902</v>
      </c>
      <c r="D31" s="543">
        <v>110170350</v>
      </c>
      <c r="E31" s="270" t="s">
        <v>4368</v>
      </c>
      <c r="F31" s="200" t="s">
        <v>1</v>
      </c>
      <c r="G31" s="221" t="s">
        <v>10</v>
      </c>
      <c r="H31" s="493">
        <v>45902</v>
      </c>
      <c r="I31" s="25"/>
      <c r="J31" s="100" t="s">
        <v>2544</v>
      </c>
      <c r="K31" s="494"/>
      <c r="L31" s="495"/>
      <c r="M31" s="496"/>
      <c r="N31" s="497"/>
      <c r="O31" s="498"/>
      <c r="P31" s="499"/>
      <c r="Q31" s="539">
        <v>45903</v>
      </c>
      <c r="R31" s="148">
        <f t="shared" si="0"/>
        <v>1.0000217855431135</v>
      </c>
      <c r="S31" s="200" t="s">
        <v>2209</v>
      </c>
      <c r="T31" s="315"/>
    </row>
    <row r="32" spans="1:20" ht="28.8" x14ac:dyDescent="0.3">
      <c r="A32" s="98">
        <f t="shared" si="1"/>
        <v>29</v>
      </c>
      <c r="B32" s="536">
        <v>1550</v>
      </c>
      <c r="C32" s="546">
        <v>45903</v>
      </c>
      <c r="D32" s="543">
        <v>120657287</v>
      </c>
      <c r="E32" s="270" t="s">
        <v>4369</v>
      </c>
      <c r="F32" s="200" t="s">
        <v>4261</v>
      </c>
      <c r="G32" s="221" t="s">
        <v>4</v>
      </c>
      <c r="H32" s="493">
        <v>45903</v>
      </c>
      <c r="I32" s="25"/>
      <c r="J32" s="100" t="s">
        <v>2411</v>
      </c>
      <c r="K32" s="494"/>
      <c r="L32" s="495"/>
      <c r="M32" s="496"/>
      <c r="N32" s="497"/>
      <c r="O32" s="498"/>
      <c r="P32" s="499"/>
      <c r="Q32" s="539">
        <v>45903</v>
      </c>
      <c r="R32" s="148">
        <f t="shared" si="0"/>
        <v>1</v>
      </c>
      <c r="S32" s="200" t="s">
        <v>3899</v>
      </c>
      <c r="T32" s="535"/>
    </row>
    <row r="33" spans="1:20" ht="43.2" x14ac:dyDescent="0.3">
      <c r="A33" s="98">
        <f t="shared" si="1"/>
        <v>30</v>
      </c>
      <c r="B33" s="536">
        <v>1550</v>
      </c>
      <c r="C33" s="546">
        <v>45903</v>
      </c>
      <c r="D33" s="543">
        <v>114978506</v>
      </c>
      <c r="E33" s="270" t="s">
        <v>4370</v>
      </c>
      <c r="F33" s="200" t="s">
        <v>33</v>
      </c>
      <c r="G33" s="221" t="s">
        <v>6</v>
      </c>
      <c r="H33" s="493">
        <v>45903</v>
      </c>
      <c r="I33" s="25"/>
      <c r="J33" s="100" t="s">
        <v>99</v>
      </c>
      <c r="K33" s="494"/>
      <c r="L33" s="495"/>
      <c r="M33" s="496"/>
      <c r="N33" s="497"/>
      <c r="O33" s="498"/>
      <c r="P33" s="499"/>
      <c r="Q33" s="539">
        <v>45903</v>
      </c>
      <c r="R33" s="148">
        <f t="shared" si="0"/>
        <v>1</v>
      </c>
      <c r="S33" s="200" t="s">
        <v>1893</v>
      </c>
      <c r="T33" s="315"/>
    </row>
    <row r="34" spans="1:20" x14ac:dyDescent="0.3">
      <c r="A34" s="98">
        <f t="shared" si="1"/>
        <v>31</v>
      </c>
      <c r="B34" s="536">
        <v>1550</v>
      </c>
      <c r="C34" s="546">
        <v>45903</v>
      </c>
      <c r="D34" s="543">
        <v>109183185</v>
      </c>
      <c r="E34" s="270" t="s">
        <v>4371</v>
      </c>
      <c r="F34" s="200" t="s">
        <v>3</v>
      </c>
      <c r="G34" s="221" t="s">
        <v>4</v>
      </c>
      <c r="H34" s="493">
        <v>45903</v>
      </c>
      <c r="I34" s="25"/>
      <c r="J34" s="100" t="s">
        <v>2432</v>
      </c>
      <c r="K34" s="494"/>
      <c r="L34" s="495"/>
      <c r="M34" s="496"/>
      <c r="N34" s="497"/>
      <c r="O34" s="498"/>
      <c r="P34" s="499"/>
      <c r="Q34" s="539">
        <v>45903</v>
      </c>
      <c r="R34" s="148">
        <f t="shared" si="0"/>
        <v>1</v>
      </c>
      <c r="S34" s="200" t="s">
        <v>2974</v>
      </c>
      <c r="T34" s="315"/>
    </row>
    <row r="35" spans="1:20" ht="43.2" x14ac:dyDescent="0.3">
      <c r="A35" s="98">
        <f t="shared" si="1"/>
        <v>32</v>
      </c>
      <c r="B35" s="536">
        <v>1550</v>
      </c>
      <c r="C35" s="546">
        <v>45903</v>
      </c>
      <c r="D35" s="543">
        <v>22940863</v>
      </c>
      <c r="E35" s="270" t="s">
        <v>4372</v>
      </c>
      <c r="F35" s="200" t="s">
        <v>7</v>
      </c>
      <c r="G35" s="221" t="s">
        <v>6</v>
      </c>
      <c r="H35" s="493">
        <v>45903</v>
      </c>
      <c r="I35" s="25"/>
      <c r="J35" s="100" t="s">
        <v>2367</v>
      </c>
      <c r="K35" s="494"/>
      <c r="L35" s="495"/>
      <c r="M35" s="496"/>
      <c r="N35" s="497"/>
      <c r="O35" s="498"/>
      <c r="P35" s="499"/>
      <c r="Q35" s="539">
        <v>45904</v>
      </c>
      <c r="R35" s="148">
        <f t="shared" si="0"/>
        <v>1.000021785068514</v>
      </c>
      <c r="S35" s="200" t="s">
        <v>2747</v>
      </c>
      <c r="T35" s="315"/>
    </row>
    <row r="36" spans="1:20" ht="28.8" x14ac:dyDescent="0.3">
      <c r="A36" s="98">
        <f t="shared" si="1"/>
        <v>33</v>
      </c>
      <c r="B36" s="536">
        <v>1550</v>
      </c>
      <c r="C36" s="546">
        <v>45903</v>
      </c>
      <c r="D36">
        <v>94515824</v>
      </c>
      <c r="E36" s="270" t="s">
        <v>4373</v>
      </c>
      <c r="F36" s="200" t="s">
        <v>49</v>
      </c>
      <c r="G36" s="221" t="s">
        <v>4</v>
      </c>
      <c r="H36" s="493">
        <v>45903</v>
      </c>
      <c r="I36" s="655"/>
      <c r="J36" s="107" t="s">
        <v>266</v>
      </c>
      <c r="K36" s="494"/>
      <c r="L36" s="495"/>
      <c r="M36" s="496"/>
      <c r="N36" s="497"/>
      <c r="O36" s="498"/>
      <c r="P36" s="499"/>
      <c r="Q36" s="539">
        <v>45903</v>
      </c>
      <c r="R36" s="148">
        <f t="shared" si="0"/>
        <v>1</v>
      </c>
      <c r="S36" s="200" t="s">
        <v>2970</v>
      </c>
      <c r="T36" s="315"/>
    </row>
    <row r="37" spans="1:20" ht="72" x14ac:dyDescent="0.3">
      <c r="A37" s="98">
        <f t="shared" ref="A37:A63" si="2">A36+1</f>
        <v>34</v>
      </c>
      <c r="B37" s="536">
        <v>1550</v>
      </c>
      <c r="C37" s="546">
        <v>45903</v>
      </c>
      <c r="D37" s="543">
        <v>1533037</v>
      </c>
      <c r="E37" s="270" t="s">
        <v>4374</v>
      </c>
      <c r="F37" s="384" t="s">
        <v>7</v>
      </c>
      <c r="G37" s="221" t="s">
        <v>6</v>
      </c>
      <c r="H37" s="493">
        <v>45903</v>
      </c>
      <c r="I37" s="655"/>
      <c r="J37" s="100" t="s">
        <v>2306</v>
      </c>
      <c r="K37" s="494"/>
      <c r="L37" s="495"/>
      <c r="M37" s="496"/>
      <c r="N37" s="497"/>
      <c r="O37" s="498"/>
      <c r="P37" s="499"/>
      <c r="Q37" s="539">
        <v>45903</v>
      </c>
      <c r="R37" s="148">
        <f t="shared" si="0"/>
        <v>1</v>
      </c>
      <c r="S37" s="200" t="s">
        <v>1893</v>
      </c>
      <c r="T37" s="315"/>
    </row>
    <row r="38" spans="1:20" ht="28.8" x14ac:dyDescent="0.3">
      <c r="A38" s="98">
        <f t="shared" si="2"/>
        <v>35</v>
      </c>
      <c r="B38" s="536">
        <v>1550</v>
      </c>
      <c r="C38" s="546">
        <v>45903</v>
      </c>
      <c r="D38" s="543">
        <v>120659344</v>
      </c>
      <c r="E38" s="308" t="s">
        <v>4375</v>
      </c>
      <c r="F38" s="200" t="s">
        <v>4261</v>
      </c>
      <c r="G38" s="221" t="s">
        <v>4</v>
      </c>
      <c r="H38" s="493">
        <v>45903</v>
      </c>
      <c r="I38" s="25"/>
      <c r="J38" s="100" t="s">
        <v>2352</v>
      </c>
      <c r="K38" s="494"/>
      <c r="L38" s="495"/>
      <c r="M38" s="496"/>
      <c r="N38" s="497"/>
      <c r="O38" s="498"/>
      <c r="P38" s="499"/>
      <c r="Q38" s="539">
        <v>45903</v>
      </c>
      <c r="R38" s="148">
        <f t="shared" si="0"/>
        <v>1</v>
      </c>
      <c r="S38" s="200" t="s">
        <v>4</v>
      </c>
      <c r="T38" s="315"/>
    </row>
    <row r="39" spans="1:20" ht="72" x14ac:dyDescent="0.3">
      <c r="A39" s="98">
        <f t="shared" si="2"/>
        <v>36</v>
      </c>
      <c r="B39" s="506">
        <v>1550</v>
      </c>
      <c r="C39" s="546">
        <v>45903</v>
      </c>
      <c r="D39" s="543">
        <v>89121155</v>
      </c>
      <c r="E39" s="308" t="s">
        <v>4376</v>
      </c>
      <c r="F39" s="200" t="s">
        <v>1</v>
      </c>
      <c r="G39" s="221" t="s">
        <v>6</v>
      </c>
      <c r="H39" s="493">
        <v>45903</v>
      </c>
      <c r="I39" s="25"/>
      <c r="J39" s="100" t="s">
        <v>2506</v>
      </c>
      <c r="K39" s="494"/>
      <c r="L39" s="495"/>
      <c r="M39" s="496"/>
      <c r="N39" s="497"/>
      <c r="O39" s="498"/>
      <c r="P39" s="499"/>
      <c r="Q39" s="539">
        <v>45903</v>
      </c>
      <c r="R39" s="148">
        <f t="shared" si="0"/>
        <v>1</v>
      </c>
      <c r="S39" s="200" t="s">
        <v>2597</v>
      </c>
      <c r="T39" s="315"/>
    </row>
    <row r="40" spans="1:20" ht="28.8" x14ac:dyDescent="0.3">
      <c r="A40" s="98">
        <f t="shared" si="2"/>
        <v>37</v>
      </c>
      <c r="B40" s="536">
        <v>1550</v>
      </c>
      <c r="C40" s="546">
        <v>45903</v>
      </c>
      <c r="D40" s="543"/>
      <c r="E40" s="270" t="s">
        <v>4377</v>
      </c>
      <c r="F40" s="200" t="s">
        <v>21</v>
      </c>
      <c r="G40" s="221" t="s">
        <v>4</v>
      </c>
      <c r="H40" s="493">
        <v>45903</v>
      </c>
      <c r="I40" s="25"/>
      <c r="J40" s="100" t="s">
        <v>3411</v>
      </c>
      <c r="K40" s="494"/>
      <c r="L40" s="495"/>
      <c r="M40" s="496"/>
      <c r="N40" s="497"/>
      <c r="O40" s="498"/>
      <c r="P40" s="499"/>
      <c r="Q40" s="539">
        <v>45903</v>
      </c>
      <c r="R40" s="148">
        <f t="shared" si="0"/>
        <v>1</v>
      </c>
      <c r="S40" s="101" t="s">
        <v>2979</v>
      </c>
      <c r="T40" s="69"/>
    </row>
    <row r="41" spans="1:20" ht="28.8" x14ac:dyDescent="0.3">
      <c r="A41" s="98">
        <f t="shared" si="2"/>
        <v>38</v>
      </c>
      <c r="B41" s="506" t="s">
        <v>1826</v>
      </c>
      <c r="C41" s="492">
        <v>45903</v>
      </c>
      <c r="D41" s="543">
        <v>82913609</v>
      </c>
      <c r="E41" s="271" t="s">
        <v>4378</v>
      </c>
      <c r="F41" s="200" t="s">
        <v>7</v>
      </c>
      <c r="G41" s="221" t="s">
        <v>4</v>
      </c>
      <c r="H41" s="493">
        <v>45903</v>
      </c>
      <c r="I41" s="25"/>
      <c r="J41" s="100" t="s">
        <v>2310</v>
      </c>
      <c r="K41" s="494"/>
      <c r="L41" s="495"/>
      <c r="M41" s="496"/>
      <c r="N41" s="497"/>
      <c r="O41" s="498"/>
      <c r="P41" s="499"/>
      <c r="Q41" s="500">
        <v>45904</v>
      </c>
      <c r="R41" s="148">
        <f t="shared" si="0"/>
        <v>1.000021785068514</v>
      </c>
      <c r="S41" s="101" t="s">
        <v>720</v>
      </c>
      <c r="T41" s="69"/>
    </row>
    <row r="42" spans="1:20" ht="28.8" x14ac:dyDescent="0.3">
      <c r="A42" s="98">
        <f t="shared" si="2"/>
        <v>39</v>
      </c>
      <c r="B42" s="506">
        <v>1550</v>
      </c>
      <c r="C42" s="492">
        <v>45903</v>
      </c>
      <c r="D42" s="543">
        <v>120655160</v>
      </c>
      <c r="E42" s="271" t="s">
        <v>4379</v>
      </c>
      <c r="F42" s="200" t="s">
        <v>1</v>
      </c>
      <c r="G42" s="221" t="s">
        <v>4</v>
      </c>
      <c r="H42" s="493">
        <v>45903</v>
      </c>
      <c r="I42" s="25"/>
      <c r="J42" s="100" t="s">
        <v>4090</v>
      </c>
      <c r="K42" s="494"/>
      <c r="L42" s="495"/>
      <c r="M42" s="496"/>
      <c r="N42" s="497"/>
      <c r="O42" s="498"/>
      <c r="P42" s="499"/>
      <c r="Q42" s="539">
        <v>45905</v>
      </c>
      <c r="R42" s="148">
        <f t="shared" si="0"/>
        <v>1.000043570137028</v>
      </c>
      <c r="S42" s="101" t="s">
        <v>4</v>
      </c>
      <c r="T42" s="69"/>
    </row>
    <row r="43" spans="1:20" ht="28.8" x14ac:dyDescent="0.3">
      <c r="A43" s="98">
        <f t="shared" si="2"/>
        <v>40</v>
      </c>
      <c r="B43" s="536">
        <v>1550</v>
      </c>
      <c r="C43" s="546">
        <v>45903</v>
      </c>
      <c r="D43" s="543">
        <v>97201073</v>
      </c>
      <c r="E43" s="270" t="s">
        <v>4380</v>
      </c>
      <c r="F43" s="384" t="s">
        <v>1</v>
      </c>
      <c r="G43" s="221" t="s">
        <v>4</v>
      </c>
      <c r="H43" s="493">
        <v>45903</v>
      </c>
      <c r="I43" s="25"/>
      <c r="J43" s="100" t="s">
        <v>2432</v>
      </c>
      <c r="K43" s="494"/>
      <c r="L43" s="495"/>
      <c r="M43" s="496"/>
      <c r="N43" s="497"/>
      <c r="O43" s="498"/>
      <c r="P43" s="499"/>
      <c r="Q43" s="539">
        <v>45904</v>
      </c>
      <c r="R43" s="148">
        <f t="shared" si="0"/>
        <v>1.000021785068514</v>
      </c>
      <c r="S43" s="101" t="s">
        <v>1985</v>
      </c>
      <c r="T43" s="69"/>
    </row>
    <row r="44" spans="1:20" ht="57.6" x14ac:dyDescent="0.3">
      <c r="A44" s="98">
        <f t="shared" si="2"/>
        <v>41</v>
      </c>
      <c r="B44" s="536">
        <v>1550</v>
      </c>
      <c r="C44" s="546">
        <v>45903</v>
      </c>
      <c r="D44" s="36">
        <v>120495910</v>
      </c>
      <c r="E44" s="635" t="s">
        <v>3776</v>
      </c>
      <c r="F44" s="384" t="s">
        <v>23</v>
      </c>
      <c r="G44" s="221" t="s">
        <v>4</v>
      </c>
      <c r="H44" s="493">
        <v>45903</v>
      </c>
      <c r="I44" s="25"/>
      <c r="J44" s="100" t="s">
        <v>135</v>
      </c>
      <c r="K44" s="494"/>
      <c r="L44" s="495"/>
      <c r="M44" s="496"/>
      <c r="N44" s="497"/>
      <c r="O44" s="498"/>
      <c r="P44" s="499"/>
      <c r="Q44" s="539">
        <v>45904</v>
      </c>
      <c r="R44" s="148">
        <f t="shared" si="0"/>
        <v>1.000021785068514</v>
      </c>
      <c r="S44" s="101" t="s">
        <v>2209</v>
      </c>
      <c r="T44" s="69"/>
    </row>
    <row r="45" spans="1:20" ht="57.6" x14ac:dyDescent="0.3">
      <c r="A45" s="98">
        <f t="shared" si="2"/>
        <v>42</v>
      </c>
      <c r="B45" s="536">
        <v>1550</v>
      </c>
      <c r="C45" s="546">
        <v>45904</v>
      </c>
      <c r="D45" s="662">
        <v>2199416</v>
      </c>
      <c r="E45" s="263" t="s">
        <v>4381</v>
      </c>
      <c r="F45" s="101" t="s">
        <v>7</v>
      </c>
      <c r="G45" s="221" t="s">
        <v>6</v>
      </c>
      <c r="H45" s="493">
        <v>45904</v>
      </c>
      <c r="I45" s="25"/>
      <c r="J45" s="100" t="s">
        <v>2504</v>
      </c>
      <c r="K45" s="494"/>
      <c r="L45" s="495"/>
      <c r="M45" s="496"/>
      <c r="N45" s="497"/>
      <c r="O45" s="498"/>
      <c r="P45" s="499"/>
      <c r="Q45" s="539">
        <v>45904</v>
      </c>
      <c r="R45" s="148">
        <f t="shared" si="0"/>
        <v>1</v>
      </c>
      <c r="S45" s="101" t="s">
        <v>1860</v>
      </c>
      <c r="T45" s="69"/>
    </row>
    <row r="46" spans="1:20" ht="28.8" x14ac:dyDescent="0.3">
      <c r="A46" s="98">
        <f t="shared" si="2"/>
        <v>43</v>
      </c>
      <c r="B46" s="536">
        <v>1550</v>
      </c>
      <c r="C46" s="546">
        <v>45904</v>
      </c>
      <c r="D46" s="543">
        <v>53983424</v>
      </c>
      <c r="E46" s="264" t="s">
        <v>4382</v>
      </c>
      <c r="F46" s="101" t="s">
        <v>32</v>
      </c>
      <c r="G46" s="221" t="s">
        <v>4</v>
      </c>
      <c r="H46" s="493">
        <v>45904</v>
      </c>
      <c r="I46" s="25">
        <v>10000316050</v>
      </c>
      <c r="J46" s="100" t="s">
        <v>106</v>
      </c>
      <c r="K46" s="494"/>
      <c r="L46" s="495"/>
      <c r="M46" s="496"/>
      <c r="N46" s="497"/>
      <c r="O46" s="498"/>
      <c r="P46" s="499"/>
      <c r="Q46" s="539">
        <v>45930</v>
      </c>
      <c r="R46" s="148">
        <f t="shared" si="0"/>
        <v>1.0005663994423144</v>
      </c>
      <c r="S46" s="101" t="s">
        <v>720</v>
      </c>
      <c r="T46" s="69"/>
    </row>
    <row r="47" spans="1:20" ht="28.8" x14ac:dyDescent="0.3">
      <c r="A47" s="98">
        <f t="shared" si="2"/>
        <v>44</v>
      </c>
      <c r="B47" s="678">
        <v>1550</v>
      </c>
      <c r="C47" s="679">
        <v>45904</v>
      </c>
      <c r="D47" s="543">
        <v>25494228</v>
      </c>
      <c r="E47" s="290" t="s">
        <v>4130</v>
      </c>
      <c r="F47" s="182" t="s">
        <v>7</v>
      </c>
      <c r="G47" s="421" t="s">
        <v>8</v>
      </c>
      <c r="H47" s="560">
        <v>45904</v>
      </c>
      <c r="I47" s="561"/>
      <c r="J47" s="100" t="s">
        <v>2513</v>
      </c>
      <c r="K47" s="494"/>
      <c r="L47" s="495"/>
      <c r="M47" s="496"/>
      <c r="N47" s="497"/>
      <c r="O47" s="498"/>
      <c r="P47" s="499"/>
      <c r="Q47" s="539">
        <v>45905</v>
      </c>
      <c r="R47" s="148">
        <f t="shared" si="0"/>
        <v>1.0000217845939352</v>
      </c>
      <c r="S47" s="101" t="s">
        <v>270</v>
      </c>
      <c r="T47" s="315"/>
    </row>
    <row r="48" spans="1:20" ht="43.2" x14ac:dyDescent="0.3">
      <c r="A48" s="98">
        <f t="shared" si="2"/>
        <v>45</v>
      </c>
      <c r="B48" s="219">
        <v>1550</v>
      </c>
      <c r="C48" s="650">
        <v>45904</v>
      </c>
      <c r="D48" s="219">
        <v>68096836</v>
      </c>
      <c r="E48" s="254" t="s">
        <v>4383</v>
      </c>
      <c r="F48" s="111" t="s">
        <v>59</v>
      </c>
      <c r="G48" s="127" t="s">
        <v>8</v>
      </c>
      <c r="H48" s="568">
        <v>45904</v>
      </c>
      <c r="I48" s="681"/>
      <c r="J48" s="742" t="s">
        <v>99</v>
      </c>
      <c r="K48" s="494" t="s">
        <v>262</v>
      </c>
      <c r="L48" s="669">
        <v>45904</v>
      </c>
      <c r="M48" s="552" t="s">
        <v>1357</v>
      </c>
      <c r="N48" s="497"/>
      <c r="O48" s="498"/>
      <c r="P48" s="499"/>
      <c r="Q48" s="501">
        <v>45918</v>
      </c>
      <c r="R48" s="148">
        <f t="shared" si="0"/>
        <v>1.0003049843150924</v>
      </c>
      <c r="S48" s="101"/>
      <c r="T48" s="69"/>
    </row>
    <row r="49" spans="1:20" ht="43.2" x14ac:dyDescent="0.3">
      <c r="A49" s="98">
        <f t="shared" si="2"/>
        <v>46</v>
      </c>
      <c r="B49" s="111">
        <v>1550</v>
      </c>
      <c r="C49" s="512">
        <v>45904</v>
      </c>
      <c r="D49" s="219">
        <v>41281632</v>
      </c>
      <c r="E49" s="677" t="s">
        <v>4384</v>
      </c>
      <c r="F49" s="111" t="s">
        <v>32</v>
      </c>
      <c r="G49" s="127" t="s">
        <v>4</v>
      </c>
      <c r="H49" s="680">
        <v>45904</v>
      </c>
      <c r="I49" s="125">
        <v>10000316158</v>
      </c>
      <c r="J49" s="413" t="s">
        <v>106</v>
      </c>
      <c r="K49" s="494"/>
      <c r="L49" s="495"/>
      <c r="M49" s="496"/>
      <c r="N49" s="497"/>
      <c r="O49" s="498"/>
      <c r="P49" s="499"/>
      <c r="Q49" s="539">
        <v>45951</v>
      </c>
      <c r="R49" s="148">
        <f t="shared" si="0"/>
        <v>1.001023875914953</v>
      </c>
      <c r="S49" s="101" t="s">
        <v>2979</v>
      </c>
      <c r="T49" s="69"/>
    </row>
    <row r="50" spans="1:20" ht="43.2" x14ac:dyDescent="0.3">
      <c r="A50" s="98">
        <f t="shared" si="2"/>
        <v>47</v>
      </c>
      <c r="B50" s="111">
        <v>1550</v>
      </c>
      <c r="C50" s="512">
        <v>45904</v>
      </c>
      <c r="D50" s="617">
        <v>337991022</v>
      </c>
      <c r="E50" s="686" t="s">
        <v>4385</v>
      </c>
      <c r="F50" s="150" t="s">
        <v>3</v>
      </c>
      <c r="G50" s="127" t="s">
        <v>6</v>
      </c>
      <c r="H50" s="568">
        <v>45904</v>
      </c>
      <c r="I50" s="610"/>
      <c r="J50" s="413" t="s">
        <v>2432</v>
      </c>
      <c r="K50" s="494"/>
      <c r="L50" s="495"/>
      <c r="M50" s="496"/>
      <c r="N50" s="497"/>
      <c r="O50" s="498"/>
      <c r="P50" s="499"/>
      <c r="Q50" s="501">
        <v>45904</v>
      </c>
      <c r="R50" s="148">
        <f t="shared" si="0"/>
        <v>1</v>
      </c>
      <c r="S50" s="101" t="s">
        <v>2747</v>
      </c>
      <c r="T50" s="69"/>
    </row>
    <row r="51" spans="1:20" ht="28.8" x14ac:dyDescent="0.3">
      <c r="A51" s="98">
        <f t="shared" si="2"/>
        <v>48</v>
      </c>
      <c r="B51" s="583" t="s">
        <v>80</v>
      </c>
      <c r="C51" s="573">
        <v>45904</v>
      </c>
      <c r="D51" s="219">
        <v>69644276</v>
      </c>
      <c r="E51" s="254" t="s">
        <v>4386</v>
      </c>
      <c r="F51" s="111" t="s">
        <v>17</v>
      </c>
      <c r="G51" s="172" t="s">
        <v>8</v>
      </c>
      <c r="H51" s="493">
        <v>45904</v>
      </c>
      <c r="I51" s="689">
        <v>10000319274</v>
      </c>
      <c r="J51" s="100" t="s">
        <v>82</v>
      </c>
      <c r="K51" s="494"/>
      <c r="L51" s="495"/>
      <c r="M51" s="496"/>
      <c r="N51" s="497"/>
      <c r="O51" s="498"/>
      <c r="P51" s="499"/>
      <c r="Q51" s="539">
        <v>46010</v>
      </c>
      <c r="R51" s="148">
        <f t="shared" si="0"/>
        <v>1.002309166957128</v>
      </c>
      <c r="S51" s="101" t="s">
        <v>4127</v>
      </c>
      <c r="T51" s="69" t="s">
        <v>4387</v>
      </c>
    </row>
    <row r="52" spans="1:20" ht="28.8" x14ac:dyDescent="0.3">
      <c r="A52" s="98">
        <f t="shared" si="2"/>
        <v>49</v>
      </c>
      <c r="B52" s="491" t="s">
        <v>80</v>
      </c>
      <c r="C52" s="492">
        <v>45904</v>
      </c>
      <c r="D52" s="219">
        <v>6573886</v>
      </c>
      <c r="E52" s="175" t="s">
        <v>4388</v>
      </c>
      <c r="F52" s="111" t="s">
        <v>17</v>
      </c>
      <c r="G52" s="221" t="s">
        <v>8</v>
      </c>
      <c r="H52" s="493">
        <v>45904</v>
      </c>
      <c r="I52" s="25"/>
      <c r="J52" s="100" t="s">
        <v>82</v>
      </c>
      <c r="K52" s="494"/>
      <c r="L52" s="495"/>
      <c r="M52" s="496"/>
      <c r="N52" s="497"/>
      <c r="O52" s="498"/>
      <c r="P52" s="499"/>
      <c r="Q52" s="539">
        <v>45922</v>
      </c>
      <c r="R52" s="148">
        <f t="shared" si="0"/>
        <v>1.000392122690833</v>
      </c>
      <c r="S52" s="101" t="s">
        <v>4127</v>
      </c>
      <c r="T52" s="69"/>
    </row>
    <row r="53" spans="1:20" ht="28.8" x14ac:dyDescent="0.3">
      <c r="A53" s="98">
        <f t="shared" si="2"/>
        <v>50</v>
      </c>
      <c r="B53" s="491" t="s">
        <v>80</v>
      </c>
      <c r="C53" s="556">
        <v>45904</v>
      </c>
      <c r="D53" s="219">
        <v>106094920</v>
      </c>
      <c r="E53" s="175" t="s">
        <v>4389</v>
      </c>
      <c r="F53" s="111" t="s">
        <v>17</v>
      </c>
      <c r="G53" s="221" t="s">
        <v>8</v>
      </c>
      <c r="H53" s="493">
        <v>45904</v>
      </c>
      <c r="I53" s="655">
        <v>10000319306</v>
      </c>
      <c r="J53" s="100" t="s">
        <v>82</v>
      </c>
      <c r="K53" s="494"/>
      <c r="L53" s="495"/>
      <c r="M53" s="496"/>
      <c r="N53" s="497"/>
      <c r="O53" s="498"/>
      <c r="P53" s="499"/>
      <c r="Q53" s="501">
        <v>45919</v>
      </c>
      <c r="R53" s="148">
        <f t="shared" si="0"/>
        <v>1.0003267689090276</v>
      </c>
      <c r="S53" s="101" t="s">
        <v>4127</v>
      </c>
      <c r="T53" s="69" t="s">
        <v>4387</v>
      </c>
    </row>
    <row r="54" spans="1:20" ht="42.75" customHeight="1" x14ac:dyDescent="0.3">
      <c r="A54" s="98">
        <f t="shared" si="2"/>
        <v>51</v>
      </c>
      <c r="B54" s="683">
        <v>1550</v>
      </c>
      <c r="C54" s="512">
        <v>45904</v>
      </c>
      <c r="D54" s="654">
        <v>7146280</v>
      </c>
      <c r="E54" s="293" t="s">
        <v>4390</v>
      </c>
      <c r="F54" s="101" t="s">
        <v>7</v>
      </c>
      <c r="G54" s="221" t="s">
        <v>10</v>
      </c>
      <c r="H54" s="493">
        <v>45904</v>
      </c>
      <c r="I54" s="25"/>
      <c r="J54" s="100" t="s">
        <v>2513</v>
      </c>
      <c r="K54" s="494"/>
      <c r="L54" s="636"/>
      <c r="M54" s="496"/>
      <c r="N54" s="497"/>
      <c r="O54" s="498"/>
      <c r="P54" s="499"/>
      <c r="Q54" s="501">
        <v>45909</v>
      </c>
      <c r="R54" s="148">
        <f t="shared" si="0"/>
        <v>1.0001089229696758</v>
      </c>
      <c r="S54" s="101" t="s">
        <v>1172</v>
      </c>
      <c r="T54" s="69"/>
    </row>
    <row r="55" spans="1:20" ht="53.25" customHeight="1" x14ac:dyDescent="0.3">
      <c r="A55" s="98">
        <f t="shared" si="2"/>
        <v>52</v>
      </c>
      <c r="B55" s="491">
        <v>1550</v>
      </c>
      <c r="C55" s="656">
        <v>45904</v>
      </c>
      <c r="D55" s="685">
        <v>109757653</v>
      </c>
      <c r="E55" s="293" t="s">
        <v>4391</v>
      </c>
      <c r="F55" s="385" t="s">
        <v>7</v>
      </c>
      <c r="G55" s="221" t="s">
        <v>10</v>
      </c>
      <c r="H55" s="493">
        <v>45904</v>
      </c>
      <c r="I55" s="655"/>
      <c r="J55" s="100" t="s">
        <v>3709</v>
      </c>
      <c r="K55" s="494"/>
      <c r="L55" s="495"/>
      <c r="M55" s="496"/>
      <c r="N55" s="497"/>
      <c r="O55" s="498"/>
      <c r="P55" s="499"/>
      <c r="Q55" s="501">
        <v>45908</v>
      </c>
      <c r="R55" s="148">
        <f t="shared" si="0"/>
        <v>1.0000871383757406</v>
      </c>
      <c r="S55" s="101" t="s">
        <v>1806</v>
      </c>
      <c r="T55" s="671"/>
    </row>
    <row r="56" spans="1:20" ht="48" customHeight="1" x14ac:dyDescent="0.3">
      <c r="A56" s="98">
        <f t="shared" si="2"/>
        <v>53</v>
      </c>
      <c r="B56" s="683">
        <v>1550</v>
      </c>
      <c r="C56" s="512">
        <v>45904</v>
      </c>
      <c r="D56" s="219">
        <v>107266245</v>
      </c>
      <c r="E56" s="684" t="s">
        <v>4392</v>
      </c>
      <c r="F56" s="101" t="s">
        <v>3</v>
      </c>
      <c r="G56" s="221" t="s">
        <v>10</v>
      </c>
      <c r="H56" s="493">
        <v>45904</v>
      </c>
      <c r="I56" s="25">
        <v>10000316282</v>
      </c>
      <c r="J56" s="100" t="s">
        <v>82</v>
      </c>
      <c r="K56" s="494"/>
      <c r="L56" s="495"/>
      <c r="M56" s="496"/>
      <c r="N56" s="497"/>
      <c r="O56" s="498"/>
      <c r="P56" s="499"/>
      <c r="Q56" s="501">
        <v>45919</v>
      </c>
      <c r="R56" s="148">
        <f t="shared" si="0"/>
        <v>1.0003267689090276</v>
      </c>
      <c r="S56" s="101" t="s">
        <v>1172</v>
      </c>
      <c r="T56" s="69" t="s">
        <v>4393</v>
      </c>
    </row>
    <row r="57" spans="1:20" ht="28.8" x14ac:dyDescent="0.3">
      <c r="A57" s="98">
        <f t="shared" si="2"/>
        <v>54</v>
      </c>
      <c r="B57" s="506">
        <v>1550</v>
      </c>
      <c r="C57" s="573">
        <v>45905</v>
      </c>
      <c r="D57" s="662">
        <v>319107442</v>
      </c>
      <c r="E57" s="212" t="s">
        <v>4394</v>
      </c>
      <c r="F57" s="101" t="s">
        <v>32</v>
      </c>
      <c r="G57" s="221" t="s">
        <v>4</v>
      </c>
      <c r="H57" s="493">
        <v>45905</v>
      </c>
      <c r="I57" s="25">
        <v>10000316286</v>
      </c>
      <c r="J57" s="100" t="s">
        <v>106</v>
      </c>
      <c r="K57" s="494"/>
      <c r="L57" s="495"/>
      <c r="M57" s="496"/>
      <c r="N57" s="497"/>
      <c r="O57" s="498"/>
      <c r="P57" s="499"/>
      <c r="Q57" s="501">
        <v>45917</v>
      </c>
      <c r="R57" s="148">
        <f t="shared" si="0"/>
        <v>1.0002614094325237</v>
      </c>
      <c r="S57" s="101" t="s">
        <v>720</v>
      </c>
      <c r="T57" s="315"/>
    </row>
    <row r="58" spans="1:20" ht="86.4" x14ac:dyDescent="0.3">
      <c r="A58" s="98">
        <f t="shared" si="2"/>
        <v>55</v>
      </c>
      <c r="B58" s="506">
        <v>1550</v>
      </c>
      <c r="C58" s="492">
        <v>45905</v>
      </c>
      <c r="D58" s="674"/>
      <c r="E58" s="212" t="s">
        <v>4395</v>
      </c>
      <c r="F58" s="101" t="s">
        <v>21</v>
      </c>
      <c r="G58" s="221" t="s">
        <v>6</v>
      </c>
      <c r="H58" s="493">
        <v>45905</v>
      </c>
      <c r="I58" s="25"/>
      <c r="J58" s="100" t="s">
        <v>2992</v>
      </c>
      <c r="K58" s="494"/>
      <c r="L58" s="495"/>
      <c r="M58" s="496"/>
      <c r="N58" s="497"/>
      <c r="O58" s="498"/>
      <c r="P58" s="499"/>
      <c r="Q58" s="500">
        <v>45905</v>
      </c>
      <c r="R58" s="148">
        <f t="shared" si="0"/>
        <v>1</v>
      </c>
      <c r="S58" s="101" t="s">
        <v>2597</v>
      </c>
      <c r="T58" s="69"/>
    </row>
    <row r="59" spans="1:20" ht="28.8" x14ac:dyDescent="0.3">
      <c r="A59" s="98">
        <f t="shared" si="2"/>
        <v>56</v>
      </c>
      <c r="B59" s="506">
        <v>1550</v>
      </c>
      <c r="C59" s="492">
        <v>45905</v>
      </c>
      <c r="D59" s="674">
        <v>120655160</v>
      </c>
      <c r="E59" s="212" t="s">
        <v>4396</v>
      </c>
      <c r="F59" s="101" t="s">
        <v>1</v>
      </c>
      <c r="G59" s="221" t="s">
        <v>4</v>
      </c>
      <c r="H59" s="493">
        <v>45905</v>
      </c>
      <c r="I59" s="25"/>
      <c r="J59" s="100" t="s">
        <v>2352</v>
      </c>
      <c r="K59" s="494"/>
      <c r="L59" s="495"/>
      <c r="M59" s="496"/>
      <c r="N59" s="497"/>
      <c r="O59" s="498"/>
      <c r="P59" s="499"/>
      <c r="Q59" s="500">
        <v>45905</v>
      </c>
      <c r="R59" s="148">
        <f t="shared" si="0"/>
        <v>1</v>
      </c>
      <c r="S59" s="101" t="s">
        <v>4</v>
      </c>
      <c r="T59" s="69"/>
    </row>
    <row r="60" spans="1:20" ht="28.8" x14ac:dyDescent="0.3">
      <c r="A60" s="98">
        <f t="shared" si="2"/>
        <v>57</v>
      </c>
      <c r="B60" s="506" t="s">
        <v>1826</v>
      </c>
      <c r="C60" s="492">
        <v>45905</v>
      </c>
      <c r="D60" s="687">
        <v>118514733</v>
      </c>
      <c r="E60" s="661" t="s">
        <v>4397</v>
      </c>
      <c r="F60" s="182" t="s">
        <v>1</v>
      </c>
      <c r="G60" s="221" t="s">
        <v>4</v>
      </c>
      <c r="H60" s="493">
        <v>45905</v>
      </c>
      <c r="I60" s="25"/>
      <c r="J60" s="100" t="s">
        <v>2306</v>
      </c>
      <c r="K60" s="494"/>
      <c r="L60" s="495"/>
      <c r="M60" s="496"/>
      <c r="N60" s="497"/>
      <c r="O60" s="498"/>
      <c r="P60" s="499"/>
      <c r="Q60" s="539">
        <v>45908</v>
      </c>
      <c r="R60" s="148">
        <f t="shared" si="0"/>
        <v>1.0000653523581309</v>
      </c>
      <c r="S60" s="101" t="s">
        <v>2979</v>
      </c>
      <c r="T60" s="167"/>
    </row>
    <row r="61" spans="1:20" ht="43.2" x14ac:dyDescent="0.3">
      <c r="A61" s="98">
        <f t="shared" si="2"/>
        <v>58</v>
      </c>
      <c r="B61" s="506" t="s">
        <v>301</v>
      </c>
      <c r="C61" s="492">
        <v>45905</v>
      </c>
      <c r="D61" s="675" t="s">
        <v>4398</v>
      </c>
      <c r="E61" s="175" t="s">
        <v>4399</v>
      </c>
      <c r="F61" s="111" t="s">
        <v>17</v>
      </c>
      <c r="G61" s="221" t="s">
        <v>6</v>
      </c>
      <c r="H61" s="493">
        <v>45905</v>
      </c>
      <c r="I61" s="25"/>
      <c r="J61" s="100" t="s">
        <v>82</v>
      </c>
      <c r="K61" s="494"/>
      <c r="L61" s="495"/>
      <c r="M61" s="496"/>
      <c r="N61" s="497"/>
      <c r="O61" s="498"/>
      <c r="P61" s="499"/>
      <c r="Q61" s="501">
        <v>45918</v>
      </c>
      <c r="R61" s="148">
        <f t="shared" si="0"/>
        <v>1.0002831935519008</v>
      </c>
      <c r="S61" s="101" t="s">
        <v>2808</v>
      </c>
      <c r="T61" s="69"/>
    </row>
    <row r="62" spans="1:20" ht="86.4" x14ac:dyDescent="0.3">
      <c r="A62" s="98">
        <f t="shared" si="2"/>
        <v>59</v>
      </c>
      <c r="B62" s="506">
        <v>1550</v>
      </c>
      <c r="C62" s="492">
        <v>45905</v>
      </c>
      <c r="D62" s="631"/>
      <c r="E62" s="212" t="s">
        <v>4400</v>
      </c>
      <c r="F62" s="101" t="s">
        <v>21</v>
      </c>
      <c r="G62" s="221" t="s">
        <v>6</v>
      </c>
      <c r="H62" s="493">
        <v>45905</v>
      </c>
      <c r="I62" s="25"/>
      <c r="J62" s="100" t="s">
        <v>2367</v>
      </c>
      <c r="K62" s="494"/>
      <c r="L62" s="495"/>
      <c r="M62" s="496"/>
      <c r="N62" s="497"/>
      <c r="O62" s="498"/>
      <c r="P62" s="499"/>
      <c r="Q62" s="501">
        <v>45908</v>
      </c>
      <c r="R62" s="148">
        <f t="shared" si="0"/>
        <v>1.0000653523581309</v>
      </c>
      <c r="S62" s="101" t="s">
        <v>2597</v>
      </c>
      <c r="T62" s="69"/>
    </row>
    <row r="63" spans="1:20" ht="43.2" x14ac:dyDescent="0.3">
      <c r="A63" s="98">
        <f t="shared" si="2"/>
        <v>60</v>
      </c>
      <c r="B63" s="506">
        <v>1550</v>
      </c>
      <c r="C63" s="492">
        <v>45905</v>
      </c>
      <c r="D63" s="543">
        <v>120652854</v>
      </c>
      <c r="E63" s="212" t="s">
        <v>4401</v>
      </c>
      <c r="F63" s="101" t="s">
        <v>23</v>
      </c>
      <c r="G63" s="221" t="s">
        <v>8</v>
      </c>
      <c r="H63" s="493">
        <v>45905</v>
      </c>
      <c r="I63" s="25"/>
      <c r="J63" s="100" t="s">
        <v>135</v>
      </c>
      <c r="K63" s="494"/>
      <c r="L63" s="495"/>
      <c r="M63" s="496"/>
      <c r="N63" s="497"/>
      <c r="O63" s="498"/>
      <c r="P63" s="499"/>
      <c r="Q63" s="501">
        <v>45905</v>
      </c>
      <c r="R63" s="148">
        <f t="shared" si="0"/>
        <v>1</v>
      </c>
      <c r="S63" s="101" t="s">
        <v>3841</v>
      </c>
      <c r="T63" s="201"/>
    </row>
    <row r="64" spans="1:20" ht="28.8" x14ac:dyDescent="0.3">
      <c r="A64" s="98" t="e">
        <f>#REF!+1</f>
        <v>#REF!</v>
      </c>
      <c r="B64" s="506" t="s">
        <v>301</v>
      </c>
      <c r="C64" s="492">
        <v>45905</v>
      </c>
      <c r="D64" s="543">
        <v>120646722</v>
      </c>
      <c r="E64" s="212" t="s">
        <v>4402</v>
      </c>
      <c r="F64" s="101" t="s">
        <v>1</v>
      </c>
      <c r="G64" s="221" t="s">
        <v>8</v>
      </c>
      <c r="H64" s="493">
        <v>45905</v>
      </c>
      <c r="I64" s="25"/>
      <c r="J64" s="100" t="s">
        <v>2432</v>
      </c>
      <c r="K64" s="494"/>
      <c r="L64" s="495"/>
      <c r="M64" s="496"/>
      <c r="N64" s="497"/>
      <c r="O64" s="498"/>
      <c r="P64" s="499"/>
      <c r="Q64" s="501">
        <v>45877</v>
      </c>
      <c r="R64" s="148">
        <f t="shared" si="0"/>
        <v>0.99939004465744474</v>
      </c>
      <c r="S64" s="101" t="s">
        <v>3952</v>
      </c>
      <c r="T64" s="69"/>
    </row>
    <row r="65" spans="1:20" ht="43.2" x14ac:dyDescent="0.3">
      <c r="A65" s="98" t="e">
        <f t="shared" ref="A65:A77" si="3">A64+1</f>
        <v>#REF!</v>
      </c>
      <c r="B65" s="506" t="s">
        <v>1826</v>
      </c>
      <c r="C65" s="556">
        <v>45905</v>
      </c>
      <c r="D65" s="543"/>
      <c r="E65" s="661" t="s">
        <v>4403</v>
      </c>
      <c r="F65" s="101" t="s">
        <v>21</v>
      </c>
      <c r="G65" s="221" t="s">
        <v>8</v>
      </c>
      <c r="H65" s="493">
        <v>45905</v>
      </c>
      <c r="I65" s="25"/>
      <c r="J65" s="100" t="s">
        <v>2352</v>
      </c>
      <c r="K65" s="494"/>
      <c r="L65" s="495"/>
      <c r="M65" s="496"/>
      <c r="N65" s="497"/>
      <c r="O65" s="498"/>
      <c r="P65" s="499"/>
      <c r="Q65" s="501">
        <v>45934</v>
      </c>
      <c r="R65" s="148">
        <f t="shared" si="0"/>
        <v>1.0006317394619322</v>
      </c>
      <c r="S65" s="101" t="s">
        <v>3952</v>
      </c>
      <c r="T65" s="69"/>
    </row>
    <row r="66" spans="1:20" ht="129.6" x14ac:dyDescent="0.3">
      <c r="A66" s="98" t="e">
        <f t="shared" si="3"/>
        <v>#REF!</v>
      </c>
      <c r="B66" s="506" t="s">
        <v>80</v>
      </c>
      <c r="C66" s="512">
        <v>45905</v>
      </c>
      <c r="D66" s="675">
        <v>120606496</v>
      </c>
      <c r="E66" s="175" t="s">
        <v>4404</v>
      </c>
      <c r="F66" s="101" t="s">
        <v>38</v>
      </c>
      <c r="G66" s="221" t="s">
        <v>6</v>
      </c>
      <c r="H66" s="493">
        <v>45905</v>
      </c>
      <c r="I66" s="25"/>
      <c r="J66" s="100" t="s">
        <v>253</v>
      </c>
      <c r="K66" s="494"/>
      <c r="L66" s="495"/>
      <c r="M66" s="496"/>
      <c r="N66" s="497"/>
      <c r="O66" s="498"/>
      <c r="P66" s="499"/>
      <c r="Q66" s="501">
        <v>45910</v>
      </c>
      <c r="R66" s="148">
        <f t="shared" si="0"/>
        <v>1.0001089205968849</v>
      </c>
      <c r="S66" s="101" t="s">
        <v>2597</v>
      </c>
      <c r="T66" s="69" t="s">
        <v>4405</v>
      </c>
    </row>
    <row r="67" spans="1:20" ht="72" x14ac:dyDescent="0.3">
      <c r="A67" s="98" t="e">
        <f t="shared" si="3"/>
        <v>#REF!</v>
      </c>
      <c r="B67" s="506">
        <v>1550</v>
      </c>
      <c r="C67" s="512">
        <v>45905</v>
      </c>
      <c r="D67" s="675">
        <v>46838805</v>
      </c>
      <c r="E67" s="175" t="s">
        <v>4406</v>
      </c>
      <c r="F67" s="101" t="s">
        <v>1</v>
      </c>
      <c r="G67" s="221" t="s">
        <v>6</v>
      </c>
      <c r="H67" s="493">
        <v>45905</v>
      </c>
      <c r="I67" s="25"/>
      <c r="J67" s="100" t="s">
        <v>2513</v>
      </c>
      <c r="K67" s="494"/>
      <c r="L67" s="495"/>
      <c r="M67" s="496"/>
      <c r="N67" s="497"/>
      <c r="O67" s="498"/>
      <c r="P67" s="499"/>
      <c r="Q67" s="501">
        <v>45908</v>
      </c>
      <c r="R67" s="148">
        <f t="shared" si="0"/>
        <v>1.0000653523581309</v>
      </c>
      <c r="S67" s="101" t="s">
        <v>2597</v>
      </c>
      <c r="T67" s="167"/>
    </row>
    <row r="68" spans="1:20" ht="75.75" customHeight="1" x14ac:dyDescent="0.3">
      <c r="A68" s="98" t="e">
        <f t="shared" si="3"/>
        <v>#REF!</v>
      </c>
      <c r="B68" s="506">
        <v>1550</v>
      </c>
      <c r="C68" s="512">
        <v>45905</v>
      </c>
      <c r="D68" s="219">
        <v>109963148</v>
      </c>
      <c r="E68" s="175" t="s">
        <v>4407</v>
      </c>
      <c r="F68" s="101" t="s">
        <v>1</v>
      </c>
      <c r="G68" s="221" t="s">
        <v>10</v>
      </c>
      <c r="H68" s="493">
        <v>45905</v>
      </c>
      <c r="I68" s="25"/>
      <c r="J68" s="100" t="s">
        <v>2367</v>
      </c>
      <c r="K68" s="494"/>
      <c r="L68" s="495"/>
      <c r="M68" s="496"/>
      <c r="N68" s="497"/>
      <c r="O68" s="498"/>
      <c r="P68" s="499"/>
      <c r="Q68" s="501">
        <v>45908</v>
      </c>
      <c r="R68" s="148">
        <f t="shared" ref="R68:R131" si="4">Q68/H68</f>
        <v>1.0000653523581309</v>
      </c>
      <c r="S68" s="101" t="s">
        <v>214</v>
      </c>
      <c r="T68" s="167"/>
    </row>
    <row r="69" spans="1:20" ht="57.6" x14ac:dyDescent="0.3">
      <c r="A69" s="98" t="e">
        <f t="shared" si="3"/>
        <v>#REF!</v>
      </c>
      <c r="B69" s="660">
        <v>1550</v>
      </c>
      <c r="C69" s="512">
        <v>45908</v>
      </c>
      <c r="D69" s="219">
        <v>24426881</v>
      </c>
      <c r="E69" s="175" t="s">
        <v>4408</v>
      </c>
      <c r="F69" s="386" t="s">
        <v>7</v>
      </c>
      <c r="G69" s="112" t="s">
        <v>6</v>
      </c>
      <c r="H69" s="493">
        <v>45908</v>
      </c>
      <c r="I69" s="25"/>
      <c r="J69" s="100" t="s">
        <v>2367</v>
      </c>
      <c r="K69" s="494"/>
      <c r="L69" s="495"/>
      <c r="M69" s="496"/>
      <c r="N69" s="497"/>
      <c r="O69" s="498"/>
      <c r="P69" s="499"/>
      <c r="Q69" s="501">
        <v>45909</v>
      </c>
      <c r="R69" s="148">
        <f t="shared" si="4"/>
        <v>1.0000217826958264</v>
      </c>
      <c r="S69" s="101" t="s">
        <v>3783</v>
      </c>
      <c r="T69" s="315"/>
    </row>
    <row r="70" spans="1:20" ht="28.8" x14ac:dyDescent="0.3">
      <c r="A70" s="98" t="e">
        <f t="shared" si="3"/>
        <v>#REF!</v>
      </c>
      <c r="B70" s="506">
        <v>1550</v>
      </c>
      <c r="C70" s="573">
        <v>45908</v>
      </c>
      <c r="D70">
        <v>311105726</v>
      </c>
      <c r="E70" s="212" t="s">
        <v>4409</v>
      </c>
      <c r="F70" s="386" t="s">
        <v>23</v>
      </c>
      <c r="G70" s="112" t="s">
        <v>4</v>
      </c>
      <c r="H70" s="493">
        <v>45908</v>
      </c>
      <c r="I70" s="341"/>
      <c r="J70" s="100" t="s">
        <v>135</v>
      </c>
      <c r="K70" s="494"/>
      <c r="L70" s="495"/>
      <c r="M70" s="496"/>
      <c r="N70" s="497"/>
      <c r="O70" s="498"/>
      <c r="P70" s="499"/>
      <c r="Q70" s="501">
        <v>45910</v>
      </c>
      <c r="R70" s="148">
        <f t="shared" si="4"/>
        <v>1.0000435653916528</v>
      </c>
      <c r="S70" s="101" t="s">
        <v>4410</v>
      </c>
      <c r="T70" s="69"/>
    </row>
    <row r="71" spans="1:20" ht="28.8" x14ac:dyDescent="0.3">
      <c r="A71" s="98" t="e">
        <f t="shared" si="3"/>
        <v>#REF!</v>
      </c>
      <c r="B71" s="506">
        <v>1550</v>
      </c>
      <c r="C71" s="492">
        <v>45908</v>
      </c>
      <c r="D71" s="543">
        <v>120599120</v>
      </c>
      <c r="E71" s="212" t="s">
        <v>4411</v>
      </c>
      <c r="F71" s="386" t="s">
        <v>1</v>
      </c>
      <c r="G71" s="112" t="s">
        <v>4</v>
      </c>
      <c r="H71" s="493">
        <v>45908</v>
      </c>
      <c r="I71" s="341"/>
      <c r="J71" s="100" t="s">
        <v>2367</v>
      </c>
      <c r="K71" s="494"/>
      <c r="L71" s="495"/>
      <c r="M71" s="496"/>
      <c r="N71" s="497"/>
      <c r="O71" s="498"/>
      <c r="P71" s="499"/>
      <c r="Q71" s="501">
        <v>45908</v>
      </c>
      <c r="R71" s="148">
        <f t="shared" si="4"/>
        <v>1</v>
      </c>
      <c r="S71" s="101" t="s">
        <v>2974</v>
      </c>
      <c r="T71" s="69"/>
    </row>
    <row r="72" spans="1:20" ht="28.8" x14ac:dyDescent="0.3">
      <c r="A72" s="98" t="e">
        <f t="shared" si="3"/>
        <v>#REF!</v>
      </c>
      <c r="B72" s="506" t="s">
        <v>80</v>
      </c>
      <c r="C72" s="512">
        <v>45908</v>
      </c>
      <c r="D72" s="135">
        <v>57300437</v>
      </c>
      <c r="E72" s="175" t="s">
        <v>4412</v>
      </c>
      <c r="F72" s="386" t="s">
        <v>17</v>
      </c>
      <c r="G72" s="112" t="s">
        <v>8</v>
      </c>
      <c r="H72" s="493">
        <v>45908</v>
      </c>
      <c r="I72" s="125">
        <v>10000319328</v>
      </c>
      <c r="J72" s="100" t="s">
        <v>82</v>
      </c>
      <c r="K72" s="494"/>
      <c r="L72" s="495"/>
      <c r="M72" s="496"/>
      <c r="N72" s="497"/>
      <c r="O72" s="498"/>
      <c r="P72" s="499"/>
      <c r="Q72" s="501">
        <v>46010</v>
      </c>
      <c r="R72" s="148">
        <f t="shared" si="4"/>
        <v>1.0022218349742964</v>
      </c>
      <c r="S72" s="101" t="s">
        <v>4127</v>
      </c>
      <c r="T72" s="167" t="s">
        <v>4387</v>
      </c>
    </row>
    <row r="73" spans="1:20" ht="28.8" x14ac:dyDescent="0.3">
      <c r="A73" s="98" t="e">
        <f t="shared" si="3"/>
        <v>#REF!</v>
      </c>
      <c r="B73" s="506" t="s">
        <v>80</v>
      </c>
      <c r="C73" s="512">
        <v>45908</v>
      </c>
      <c r="D73" s="135">
        <v>120488337</v>
      </c>
      <c r="E73" s="175" t="s">
        <v>4413</v>
      </c>
      <c r="F73" s="386" t="s">
        <v>3</v>
      </c>
      <c r="G73" s="112" t="s">
        <v>8</v>
      </c>
      <c r="H73" s="493">
        <v>45908</v>
      </c>
      <c r="I73" s="125">
        <v>10000316848</v>
      </c>
      <c r="J73" s="100" t="s">
        <v>82</v>
      </c>
      <c r="K73" s="494"/>
      <c r="L73" s="495"/>
      <c r="M73" s="496"/>
      <c r="N73" s="497"/>
      <c r="O73" s="498"/>
      <c r="P73" s="499"/>
      <c r="Q73" s="501">
        <v>45930</v>
      </c>
      <c r="R73" s="148">
        <f t="shared" si="4"/>
        <v>1.0004792193081815</v>
      </c>
      <c r="S73" s="101" t="s">
        <v>4127</v>
      </c>
      <c r="T73" s="167" t="s">
        <v>4387</v>
      </c>
    </row>
    <row r="74" spans="1:20" ht="57.6" x14ac:dyDescent="0.3">
      <c r="A74" s="98" t="e">
        <f t="shared" si="3"/>
        <v>#REF!</v>
      </c>
      <c r="B74" s="506" t="s">
        <v>80</v>
      </c>
      <c r="C74" s="512">
        <v>45908</v>
      </c>
      <c r="D74" s="135">
        <v>8165165</v>
      </c>
      <c r="E74" s="175" t="s">
        <v>4414</v>
      </c>
      <c r="F74" s="386" t="s">
        <v>39</v>
      </c>
      <c r="G74" s="112" t="s">
        <v>8</v>
      </c>
      <c r="H74" s="493">
        <v>45908</v>
      </c>
      <c r="I74" s="341"/>
      <c r="J74" s="100" t="s">
        <v>22</v>
      </c>
      <c r="K74" s="494"/>
      <c r="L74" s="495"/>
      <c r="M74" s="496"/>
      <c r="N74" s="497"/>
      <c r="O74" s="498"/>
      <c r="P74" s="499"/>
      <c r="Q74" s="501">
        <v>45908</v>
      </c>
      <c r="R74" s="148">
        <f t="shared" si="4"/>
        <v>1</v>
      </c>
      <c r="S74" s="101" t="s">
        <v>4127</v>
      </c>
      <c r="T74" s="69"/>
    </row>
    <row r="75" spans="1:20" ht="43.2" x14ac:dyDescent="0.3">
      <c r="A75" s="98" t="e">
        <f t="shared" si="3"/>
        <v>#REF!</v>
      </c>
      <c r="B75" s="506" t="s">
        <v>1826</v>
      </c>
      <c r="C75" s="512">
        <v>45908</v>
      </c>
      <c r="D75" s="135">
        <v>88402169</v>
      </c>
      <c r="E75" s="175" t="s">
        <v>4415</v>
      </c>
      <c r="F75" s="386" t="s">
        <v>12</v>
      </c>
      <c r="G75" s="112" t="s">
        <v>4</v>
      </c>
      <c r="H75" s="493">
        <v>45908</v>
      </c>
      <c r="I75" s="341"/>
      <c r="J75" s="100" t="s">
        <v>22</v>
      </c>
      <c r="K75" s="494"/>
      <c r="L75" s="495"/>
      <c r="M75" s="496"/>
      <c r="N75" s="497"/>
      <c r="O75" s="498"/>
      <c r="P75" s="499"/>
      <c r="Q75" s="501">
        <v>45909</v>
      </c>
      <c r="R75" s="148">
        <f t="shared" si="4"/>
        <v>1.0000217826958264</v>
      </c>
      <c r="S75" s="101" t="s">
        <v>720</v>
      </c>
      <c r="T75" s="69"/>
    </row>
    <row r="76" spans="1:20" ht="86.4" x14ac:dyDescent="0.3">
      <c r="A76" s="98" t="e">
        <f t="shared" si="3"/>
        <v>#REF!</v>
      </c>
      <c r="B76" s="506">
        <v>1550</v>
      </c>
      <c r="C76" s="512">
        <v>45908</v>
      </c>
      <c r="D76" s="135">
        <v>101556527</v>
      </c>
      <c r="E76" s="175" t="s">
        <v>4416</v>
      </c>
      <c r="F76" s="386" t="s">
        <v>1</v>
      </c>
      <c r="G76" s="112" t="s">
        <v>6</v>
      </c>
      <c r="H76" s="493">
        <v>45908</v>
      </c>
      <c r="I76" s="341"/>
      <c r="J76" s="100" t="s">
        <v>2411</v>
      </c>
      <c r="K76" s="507"/>
      <c r="L76" s="508"/>
      <c r="M76" s="365"/>
      <c r="N76" s="509"/>
      <c r="O76" s="510"/>
      <c r="P76" s="511"/>
      <c r="Q76" s="501">
        <v>45908</v>
      </c>
      <c r="R76" s="148">
        <f t="shared" si="4"/>
        <v>1</v>
      </c>
      <c r="S76" s="101" t="s">
        <v>1860</v>
      </c>
      <c r="T76" s="167"/>
    </row>
    <row r="77" spans="1:20" ht="43.2" x14ac:dyDescent="0.3">
      <c r="A77" s="98" t="e">
        <f t="shared" si="3"/>
        <v>#REF!</v>
      </c>
      <c r="B77" s="506">
        <v>1550</v>
      </c>
      <c r="C77" s="512">
        <v>45902</v>
      </c>
      <c r="D77" s="135">
        <v>93430272</v>
      </c>
      <c r="E77" s="175" t="s">
        <v>4417</v>
      </c>
      <c r="F77" s="386" t="s">
        <v>48</v>
      </c>
      <c r="G77" s="112" t="s">
        <v>4</v>
      </c>
      <c r="H77" s="493">
        <v>45902</v>
      </c>
      <c r="I77" s="341"/>
      <c r="J77" s="100" t="s">
        <v>99</v>
      </c>
      <c r="K77" s="494"/>
      <c r="L77" s="495"/>
      <c r="M77" s="496"/>
      <c r="N77" s="497"/>
      <c r="O77" s="498"/>
      <c r="P77" s="499"/>
      <c r="Q77" s="501">
        <v>45930</v>
      </c>
      <c r="R77" s="148">
        <f t="shared" si="4"/>
        <v>1.0006099952071805</v>
      </c>
      <c r="S77" s="101" t="s">
        <v>2970</v>
      </c>
      <c r="T77" s="69" t="s">
        <v>4418</v>
      </c>
    </row>
    <row r="78" spans="1:20" ht="43.2" x14ac:dyDescent="0.3">
      <c r="A78" s="98" t="e">
        <f>A87+1</f>
        <v>#REF!</v>
      </c>
      <c r="B78" s="506">
        <v>1550</v>
      </c>
      <c r="C78" s="512">
        <v>45902</v>
      </c>
      <c r="D78" s="682">
        <v>20186991</v>
      </c>
      <c r="E78" s="175" t="s">
        <v>4417</v>
      </c>
      <c r="F78" s="386" t="s">
        <v>48</v>
      </c>
      <c r="G78" s="112" t="s">
        <v>4</v>
      </c>
      <c r="H78" s="493">
        <v>45902</v>
      </c>
      <c r="I78" s="341"/>
      <c r="J78" s="100" t="s">
        <v>99</v>
      </c>
      <c r="K78" s="494"/>
      <c r="L78" s="495"/>
      <c r="M78" s="496"/>
      <c r="N78" s="497"/>
      <c r="O78" s="498"/>
      <c r="P78" s="499"/>
      <c r="Q78" s="501">
        <v>45939</v>
      </c>
      <c r="R78" s="148">
        <f t="shared" si="4"/>
        <v>1.0008060650952029</v>
      </c>
      <c r="S78" s="101" t="s">
        <v>2974</v>
      </c>
      <c r="T78" s="69"/>
    </row>
    <row r="79" spans="1:20" ht="129.6" x14ac:dyDescent="0.3">
      <c r="A79" s="98" t="e">
        <f t="shared" ref="A79:A86" si="5">A78+1</f>
        <v>#REF!</v>
      </c>
      <c r="B79" s="506">
        <v>1550</v>
      </c>
      <c r="C79" s="512">
        <v>45908</v>
      </c>
      <c r="D79" s="135">
        <v>5872472</v>
      </c>
      <c r="E79" s="175" t="s">
        <v>4419</v>
      </c>
      <c r="F79" s="386" t="s">
        <v>1</v>
      </c>
      <c r="G79" s="112" t="s">
        <v>6</v>
      </c>
      <c r="H79" s="493">
        <v>45908</v>
      </c>
      <c r="I79" s="341"/>
      <c r="J79" t="s">
        <v>2513</v>
      </c>
      <c r="K79" s="494"/>
      <c r="L79" s="495"/>
      <c r="M79" s="496"/>
      <c r="N79" s="497"/>
      <c r="O79" s="498"/>
      <c r="P79" s="499"/>
      <c r="Q79" s="501">
        <v>45909</v>
      </c>
      <c r="R79" s="148">
        <f t="shared" si="4"/>
        <v>1.0000217826958264</v>
      </c>
      <c r="S79" s="101" t="s">
        <v>3783</v>
      </c>
      <c r="T79" s="69"/>
    </row>
    <row r="80" spans="1:20" ht="100.8" x14ac:dyDescent="0.3">
      <c r="A80" s="98" t="e">
        <f t="shared" si="5"/>
        <v>#REF!</v>
      </c>
      <c r="B80" s="553">
        <v>1550</v>
      </c>
      <c r="C80" s="512">
        <v>45908</v>
      </c>
      <c r="D80" s="135">
        <v>83202358</v>
      </c>
      <c r="E80" s="212" t="s">
        <v>4420</v>
      </c>
      <c r="F80" s="101" t="s">
        <v>32</v>
      </c>
      <c r="G80" s="112" t="s">
        <v>6</v>
      </c>
      <c r="H80" s="493">
        <v>45908</v>
      </c>
      <c r="I80" s="555"/>
      <c r="J80" s="102" t="s">
        <v>106</v>
      </c>
      <c r="K80" s="494"/>
      <c r="L80" s="495"/>
      <c r="M80" s="496"/>
      <c r="N80" s="497"/>
      <c r="O80" s="498"/>
      <c r="P80" s="499"/>
      <c r="Q80" s="501">
        <v>45909</v>
      </c>
      <c r="R80" s="148">
        <f t="shared" si="4"/>
        <v>1.0000217826958264</v>
      </c>
      <c r="S80" s="101" t="s">
        <v>1893</v>
      </c>
      <c r="T80" s="69"/>
    </row>
    <row r="81" spans="1:20" ht="86.4" x14ac:dyDescent="0.45">
      <c r="A81" s="98" t="e">
        <f t="shared" si="5"/>
        <v>#REF!</v>
      </c>
      <c r="B81" s="506" t="s">
        <v>80</v>
      </c>
      <c r="C81" s="492">
        <v>45908</v>
      </c>
      <c r="D81" s="135">
        <v>2342855</v>
      </c>
      <c r="E81" s="212" t="s">
        <v>4421</v>
      </c>
      <c r="F81" s="385" t="s">
        <v>38</v>
      </c>
      <c r="G81" s="112" t="s">
        <v>6</v>
      </c>
      <c r="H81" s="493">
        <v>45908</v>
      </c>
      <c r="I81" s="692"/>
      <c r="J81" s="100" t="s">
        <v>253</v>
      </c>
      <c r="K81" s="507"/>
      <c r="L81" s="508"/>
      <c r="M81" s="365"/>
      <c r="N81" s="509"/>
      <c r="O81" s="510"/>
      <c r="P81" s="511"/>
      <c r="Q81" s="501">
        <v>45910</v>
      </c>
      <c r="R81" s="148">
        <f t="shared" si="4"/>
        <v>1.0000435653916528</v>
      </c>
      <c r="S81" s="101" t="s">
        <v>2597</v>
      </c>
      <c r="T81" s="167" t="s">
        <v>4422</v>
      </c>
    </row>
    <row r="82" spans="1:20" ht="43.2" x14ac:dyDescent="0.3">
      <c r="A82" s="98" t="e">
        <f t="shared" si="5"/>
        <v>#REF!</v>
      </c>
      <c r="B82" s="491">
        <v>1550</v>
      </c>
      <c r="C82" s="492">
        <v>45909</v>
      </c>
      <c r="D82" s="135">
        <v>379381710</v>
      </c>
      <c r="E82" s="212" t="s">
        <v>4423</v>
      </c>
      <c r="F82" s="101" t="s">
        <v>17</v>
      </c>
      <c r="G82" s="112" t="s">
        <v>8</v>
      </c>
      <c r="H82" s="493">
        <v>45909</v>
      </c>
      <c r="I82" s="25"/>
      <c r="J82" s="100" t="s">
        <v>82</v>
      </c>
      <c r="K82" s="494"/>
      <c r="L82" s="495"/>
      <c r="M82" s="496"/>
      <c r="N82" s="497"/>
      <c r="O82" s="498"/>
      <c r="P82" s="499"/>
      <c r="Q82" s="500">
        <v>45909</v>
      </c>
      <c r="R82" s="148">
        <f t="shared" si="4"/>
        <v>1</v>
      </c>
      <c r="S82" s="101" t="s">
        <v>3146</v>
      </c>
      <c r="T82" s="69"/>
    </row>
    <row r="83" spans="1:20" ht="28.8" x14ac:dyDescent="0.3">
      <c r="A83" s="98" t="e">
        <f t="shared" si="5"/>
        <v>#REF!</v>
      </c>
      <c r="B83" s="491">
        <v>1550</v>
      </c>
      <c r="C83" s="492">
        <v>45909</v>
      </c>
      <c r="D83" s="135">
        <v>6033830</v>
      </c>
      <c r="E83" s="175" t="s">
        <v>4424</v>
      </c>
      <c r="F83" s="101" t="s">
        <v>1</v>
      </c>
      <c r="G83" s="112" t="s">
        <v>8</v>
      </c>
      <c r="H83" s="493">
        <v>45909</v>
      </c>
      <c r="I83" s="25"/>
      <c r="J83" s="100" t="s">
        <v>2367</v>
      </c>
      <c r="K83" s="494"/>
      <c r="L83" s="495"/>
      <c r="M83" s="496"/>
      <c r="N83" s="497"/>
      <c r="O83" s="498"/>
      <c r="P83" s="499"/>
      <c r="Q83" s="500">
        <v>45909</v>
      </c>
      <c r="R83" s="148">
        <f t="shared" si="4"/>
        <v>1</v>
      </c>
      <c r="S83" s="101" t="s">
        <v>3861</v>
      </c>
      <c r="T83" s="69"/>
    </row>
    <row r="84" spans="1:20" ht="28.8" x14ac:dyDescent="0.3">
      <c r="A84" s="98" t="e">
        <f t="shared" si="5"/>
        <v>#REF!</v>
      </c>
      <c r="B84" s="491" t="s">
        <v>80</v>
      </c>
      <c r="C84" s="556">
        <v>45909</v>
      </c>
      <c r="D84" s="135">
        <v>72313056</v>
      </c>
      <c r="E84" s="270" t="s">
        <v>4425</v>
      </c>
      <c r="F84" s="101" t="s">
        <v>1</v>
      </c>
      <c r="G84" s="112" t="s">
        <v>8</v>
      </c>
      <c r="H84" s="493">
        <v>45909</v>
      </c>
      <c r="I84" s="25"/>
      <c r="J84" s="100" t="s">
        <v>99</v>
      </c>
      <c r="K84" s="494"/>
      <c r="L84" s="495"/>
      <c r="M84" s="496"/>
      <c r="N84" s="497"/>
      <c r="O84" s="498"/>
      <c r="P84" s="499"/>
      <c r="Q84" s="500">
        <v>45919</v>
      </c>
      <c r="R84" s="148">
        <f t="shared" si="4"/>
        <v>1.0002178222135094</v>
      </c>
      <c r="S84" s="101" t="s">
        <v>4127</v>
      </c>
      <c r="T84" s="69"/>
    </row>
    <row r="85" spans="1:20" ht="57.6" x14ac:dyDescent="0.3">
      <c r="A85" s="98" t="e">
        <f t="shared" si="5"/>
        <v>#REF!</v>
      </c>
      <c r="B85" s="491">
        <v>1550</v>
      </c>
      <c r="C85" s="492">
        <v>45909</v>
      </c>
      <c r="D85" s="135"/>
      <c r="E85" s="212" t="s">
        <v>4426</v>
      </c>
      <c r="F85" s="101" t="s">
        <v>21</v>
      </c>
      <c r="G85" s="112" t="s">
        <v>6</v>
      </c>
      <c r="H85" s="493">
        <v>45909</v>
      </c>
      <c r="I85" s="25"/>
      <c r="J85" s="100" t="s">
        <v>2352</v>
      </c>
      <c r="K85" s="494"/>
      <c r="L85" s="495"/>
      <c r="M85" s="496"/>
      <c r="N85" s="497"/>
      <c r="O85" s="498"/>
      <c r="P85" s="499"/>
      <c r="Q85" s="500">
        <v>45910</v>
      </c>
      <c r="R85" s="148">
        <f t="shared" si="4"/>
        <v>1.0000217822213509</v>
      </c>
      <c r="S85" s="101" t="s">
        <v>2597</v>
      </c>
      <c r="T85" s="69"/>
    </row>
    <row r="86" spans="1:20" ht="43.2" x14ac:dyDescent="0.3">
      <c r="A86" s="98" t="e">
        <f t="shared" si="5"/>
        <v>#REF!</v>
      </c>
      <c r="B86" s="491">
        <v>1550</v>
      </c>
      <c r="C86" s="347">
        <v>45909</v>
      </c>
      <c r="D86" s="135" t="s">
        <v>4427</v>
      </c>
      <c r="E86" s="212" t="s">
        <v>4428</v>
      </c>
      <c r="F86" s="386" t="s">
        <v>12</v>
      </c>
      <c r="G86" s="112" t="s">
        <v>4</v>
      </c>
      <c r="H86" s="493">
        <v>45909</v>
      </c>
      <c r="I86" s="341"/>
      <c r="J86" s="100" t="s">
        <v>159</v>
      </c>
      <c r="K86" s="494"/>
      <c r="L86" s="495"/>
      <c r="M86" s="496"/>
      <c r="N86" s="497"/>
      <c r="O86" s="498"/>
      <c r="P86" s="499"/>
      <c r="Q86" s="501">
        <v>45909</v>
      </c>
      <c r="R86" s="148">
        <f t="shared" si="4"/>
        <v>1</v>
      </c>
      <c r="S86" s="101" t="s">
        <v>3841</v>
      </c>
      <c r="T86" s="167"/>
    </row>
    <row r="87" spans="1:20" ht="43.2" x14ac:dyDescent="0.3">
      <c r="A87" s="98" t="e">
        <f>A77+1</f>
        <v>#REF!</v>
      </c>
      <c r="B87" s="491">
        <v>1550</v>
      </c>
      <c r="C87" s="347">
        <v>45909</v>
      </c>
      <c r="D87" s="135">
        <v>54455154</v>
      </c>
      <c r="E87" s="212" t="s">
        <v>4429</v>
      </c>
      <c r="F87" s="386" t="s">
        <v>25</v>
      </c>
      <c r="G87" s="112" t="s">
        <v>6</v>
      </c>
      <c r="H87" s="493">
        <v>45909</v>
      </c>
      <c r="I87" s="341"/>
      <c r="J87" s="100" t="s">
        <v>22</v>
      </c>
      <c r="K87" s="494"/>
      <c r="L87" s="495"/>
      <c r="M87" s="496"/>
      <c r="N87" s="497"/>
      <c r="O87" s="498"/>
      <c r="P87" s="499"/>
      <c r="Q87" s="501">
        <v>45910</v>
      </c>
      <c r="R87" s="148">
        <f t="shared" si="4"/>
        <v>1.0000217822213509</v>
      </c>
      <c r="S87" s="101" t="s">
        <v>3783</v>
      </c>
      <c r="T87" s="69"/>
    </row>
    <row r="88" spans="1:20" ht="28.8" x14ac:dyDescent="0.3">
      <c r="A88" s="98" t="e">
        <f>A86+1</f>
        <v>#REF!</v>
      </c>
      <c r="B88" s="491" t="s">
        <v>80</v>
      </c>
      <c r="C88" s="502">
        <v>45909</v>
      </c>
      <c r="D88" s="135">
        <v>61627089</v>
      </c>
      <c r="E88" s="212" t="s">
        <v>4430</v>
      </c>
      <c r="F88" s="101" t="s">
        <v>17</v>
      </c>
      <c r="G88" s="112" t="s">
        <v>8</v>
      </c>
      <c r="H88" s="493">
        <v>45909</v>
      </c>
      <c r="I88" s="503"/>
      <c r="J88" s="100" t="s">
        <v>82</v>
      </c>
      <c r="K88" s="494"/>
      <c r="L88" s="495"/>
      <c r="M88" s="496"/>
      <c r="N88" s="497"/>
      <c r="O88" s="498"/>
      <c r="P88" s="499"/>
      <c r="Q88" s="500">
        <v>45922</v>
      </c>
      <c r="R88" s="148">
        <f t="shared" si="4"/>
        <v>1.0002831688775622</v>
      </c>
      <c r="S88" s="101" t="s">
        <v>4127</v>
      </c>
      <c r="T88" s="69"/>
    </row>
    <row r="89" spans="1:20" ht="43.2" x14ac:dyDescent="0.3">
      <c r="A89" s="98" t="e">
        <f t="shared" ref="A89:A152" si="6">A88+1</f>
        <v>#REF!</v>
      </c>
      <c r="B89" s="491" t="s">
        <v>301</v>
      </c>
      <c r="C89" s="282">
        <v>45909</v>
      </c>
      <c r="D89" s="135">
        <v>91976464</v>
      </c>
      <c r="E89" s="212" t="s">
        <v>4431</v>
      </c>
      <c r="F89" s="101" t="s">
        <v>12</v>
      </c>
      <c r="G89" s="376" t="s">
        <v>8</v>
      </c>
      <c r="H89" s="493">
        <v>45909</v>
      </c>
      <c r="I89" s="341"/>
      <c r="J89" s="100" t="s">
        <v>159</v>
      </c>
      <c r="K89" s="494"/>
      <c r="L89" s="495"/>
      <c r="M89" s="496"/>
      <c r="N89" s="497"/>
      <c r="O89" s="498"/>
      <c r="P89" s="499"/>
      <c r="Q89" s="500">
        <v>45909</v>
      </c>
      <c r="R89" s="148">
        <f t="shared" si="4"/>
        <v>1</v>
      </c>
      <c r="S89" s="101" t="s">
        <v>3861</v>
      </c>
      <c r="T89" s="69"/>
    </row>
    <row r="90" spans="1:20" ht="43.2" x14ac:dyDescent="0.3">
      <c r="A90" s="98" t="e">
        <f t="shared" si="6"/>
        <v>#REF!</v>
      </c>
      <c r="B90" s="491">
        <v>1550</v>
      </c>
      <c r="C90" s="282">
        <v>45909</v>
      </c>
      <c r="D90" s="135">
        <v>99745720</v>
      </c>
      <c r="E90" s="212" t="s">
        <v>4432</v>
      </c>
      <c r="F90" s="101" t="s">
        <v>12</v>
      </c>
      <c r="G90" s="376" t="s">
        <v>4</v>
      </c>
      <c r="H90" s="493">
        <v>45909</v>
      </c>
      <c r="I90" s="341"/>
      <c r="J90" s="100" t="s">
        <v>159</v>
      </c>
      <c r="K90" s="494"/>
      <c r="L90" s="495"/>
      <c r="M90" s="496"/>
      <c r="N90" s="497"/>
      <c r="O90" s="498"/>
      <c r="P90" s="499"/>
      <c r="Q90" s="500">
        <v>45909</v>
      </c>
      <c r="R90" s="148">
        <f t="shared" si="4"/>
        <v>1</v>
      </c>
      <c r="S90" s="101" t="s">
        <v>2974</v>
      </c>
      <c r="T90" s="69"/>
    </row>
    <row r="91" spans="1:20" ht="43.2" x14ac:dyDescent="0.3">
      <c r="A91" s="98" t="e">
        <f t="shared" si="6"/>
        <v>#REF!</v>
      </c>
      <c r="B91" s="491">
        <v>1550</v>
      </c>
      <c r="C91" s="282">
        <v>45909</v>
      </c>
      <c r="D91" s="135">
        <v>69563535</v>
      </c>
      <c r="E91" s="212" t="s">
        <v>4433</v>
      </c>
      <c r="F91" s="101" t="s">
        <v>33</v>
      </c>
      <c r="G91" s="376" t="s">
        <v>6</v>
      </c>
      <c r="H91" s="493">
        <v>45909</v>
      </c>
      <c r="I91" s="341"/>
      <c r="J91" s="100" t="s">
        <v>99</v>
      </c>
      <c r="K91" s="494"/>
      <c r="L91" s="495"/>
      <c r="M91" s="496"/>
      <c r="N91" s="497"/>
      <c r="O91" s="498"/>
      <c r="P91" s="499"/>
      <c r="Q91" s="500">
        <v>45909</v>
      </c>
      <c r="R91" s="148">
        <f t="shared" si="4"/>
        <v>1</v>
      </c>
      <c r="S91" s="101" t="s">
        <v>1893</v>
      </c>
      <c r="T91" s="69"/>
    </row>
    <row r="92" spans="1:20" ht="28.8" x14ac:dyDescent="0.3">
      <c r="A92" s="98" t="e">
        <f t="shared" si="6"/>
        <v>#REF!</v>
      </c>
      <c r="B92" s="491" t="s">
        <v>301</v>
      </c>
      <c r="C92" s="282">
        <v>45909</v>
      </c>
      <c r="D92" s="135">
        <v>4071662</v>
      </c>
      <c r="E92" s="212" t="s">
        <v>4434</v>
      </c>
      <c r="F92" s="386" t="s">
        <v>1</v>
      </c>
      <c r="G92" s="112" t="s">
        <v>8</v>
      </c>
      <c r="H92" s="493">
        <v>45909</v>
      </c>
      <c r="I92" s="341"/>
      <c r="J92" s="100" t="s">
        <v>2432</v>
      </c>
      <c r="K92" s="494"/>
      <c r="L92" s="495"/>
      <c r="M92" s="496"/>
      <c r="N92" s="497"/>
      <c r="O92" s="498"/>
      <c r="P92" s="499"/>
      <c r="Q92" s="501">
        <v>45925</v>
      </c>
      <c r="R92" s="148">
        <f t="shared" si="4"/>
        <v>1.000348515541615</v>
      </c>
      <c r="S92" s="101" t="s">
        <v>3861</v>
      </c>
      <c r="T92" s="69"/>
    </row>
    <row r="93" spans="1:20" ht="43.2" x14ac:dyDescent="0.3">
      <c r="A93" s="98" t="e">
        <f t="shared" si="6"/>
        <v>#REF!</v>
      </c>
      <c r="B93" s="491" t="s">
        <v>301</v>
      </c>
      <c r="C93" s="282">
        <v>45909</v>
      </c>
      <c r="D93" s="135">
        <v>104434996</v>
      </c>
      <c r="E93" s="212" t="s">
        <v>4435</v>
      </c>
      <c r="F93" s="101" t="s">
        <v>48</v>
      </c>
      <c r="G93" s="376" t="s">
        <v>6</v>
      </c>
      <c r="H93" s="493">
        <v>45909</v>
      </c>
      <c r="I93" s="341"/>
      <c r="J93" s="100" t="s">
        <v>99</v>
      </c>
      <c r="K93" s="494"/>
      <c r="L93" s="495"/>
      <c r="M93" s="496"/>
      <c r="N93" s="497"/>
      <c r="O93" s="498"/>
      <c r="P93" s="499"/>
      <c r="Q93" s="500">
        <v>45923</v>
      </c>
      <c r="R93" s="148">
        <f t="shared" si="4"/>
        <v>1.000304951098913</v>
      </c>
      <c r="S93" s="101" t="s">
        <v>1811</v>
      </c>
      <c r="T93" s="69"/>
    </row>
    <row r="94" spans="1:20" ht="86.4" x14ac:dyDescent="0.3">
      <c r="A94" s="98" t="e">
        <f t="shared" si="6"/>
        <v>#REF!</v>
      </c>
      <c r="B94" s="491" t="s">
        <v>301</v>
      </c>
      <c r="C94" s="502">
        <v>45909</v>
      </c>
      <c r="D94" s="135">
        <v>119810662</v>
      </c>
      <c r="E94" s="212" t="s">
        <v>4436</v>
      </c>
      <c r="F94" s="101" t="s">
        <v>1</v>
      </c>
      <c r="G94" s="112" t="s">
        <v>6</v>
      </c>
      <c r="H94" s="493">
        <v>45909</v>
      </c>
      <c r="I94" s="25"/>
      <c r="J94" s="100" t="s">
        <v>2352</v>
      </c>
      <c r="K94" s="494"/>
      <c r="L94" s="495"/>
      <c r="M94" s="496"/>
      <c r="N94" s="497"/>
      <c r="O94" s="498"/>
      <c r="P94" s="499"/>
      <c r="Q94" s="500">
        <v>45922</v>
      </c>
      <c r="R94" s="148">
        <f t="shared" si="4"/>
        <v>1.0002831688775622</v>
      </c>
      <c r="S94" s="101" t="s">
        <v>1811</v>
      </c>
      <c r="T94" s="69"/>
    </row>
    <row r="95" spans="1:20" ht="28.8" x14ac:dyDescent="0.3">
      <c r="A95" s="98" t="e">
        <f t="shared" si="6"/>
        <v>#REF!</v>
      </c>
      <c r="B95" s="506" t="s">
        <v>80</v>
      </c>
      <c r="C95" s="492">
        <v>45909</v>
      </c>
      <c r="D95" s="135">
        <v>3754537</v>
      </c>
      <c r="E95" s="212" t="s">
        <v>4437</v>
      </c>
      <c r="F95" s="101" t="s">
        <v>17</v>
      </c>
      <c r="G95" s="112" t="s">
        <v>8</v>
      </c>
      <c r="H95" s="493">
        <v>45909</v>
      </c>
      <c r="I95" s="25"/>
      <c r="J95" s="100" t="s">
        <v>82</v>
      </c>
      <c r="K95" s="494"/>
      <c r="L95" s="495"/>
      <c r="M95" s="496"/>
      <c r="N95" s="497"/>
      <c r="O95" s="498"/>
      <c r="P95" s="499"/>
      <c r="Q95" s="500">
        <v>45922</v>
      </c>
      <c r="R95" s="148">
        <f t="shared" si="4"/>
        <v>1.0002831688775622</v>
      </c>
      <c r="S95" s="101" t="s">
        <v>4127</v>
      </c>
      <c r="T95" s="69"/>
    </row>
    <row r="96" spans="1:20" ht="28.8" x14ac:dyDescent="0.3">
      <c r="A96" s="98" t="e">
        <f t="shared" si="6"/>
        <v>#REF!</v>
      </c>
      <c r="B96" s="506">
        <v>1550</v>
      </c>
      <c r="C96" s="492">
        <v>45909</v>
      </c>
      <c r="D96" s="135">
        <v>78696089</v>
      </c>
      <c r="E96" s="212" t="s">
        <v>4438</v>
      </c>
      <c r="F96" s="101" t="s">
        <v>7</v>
      </c>
      <c r="G96" s="221" t="s">
        <v>8</v>
      </c>
      <c r="H96" s="493">
        <v>45909</v>
      </c>
      <c r="I96" s="25"/>
      <c r="J96" s="100" t="s">
        <v>3479</v>
      </c>
      <c r="K96" s="494"/>
      <c r="L96" s="495"/>
      <c r="M96" s="496"/>
      <c r="N96" s="497"/>
      <c r="O96" s="498"/>
      <c r="P96" s="499"/>
      <c r="Q96" s="500">
        <v>45910</v>
      </c>
      <c r="R96" s="148">
        <f t="shared" si="4"/>
        <v>1.0000217822213509</v>
      </c>
      <c r="S96" s="101" t="s">
        <v>8</v>
      </c>
      <c r="T96" s="69"/>
    </row>
    <row r="97" spans="1:20" ht="39" customHeight="1" x14ac:dyDescent="0.3">
      <c r="A97" s="98" t="e">
        <f t="shared" si="6"/>
        <v>#REF!</v>
      </c>
      <c r="B97" s="506">
        <v>1550</v>
      </c>
      <c r="C97" s="492">
        <v>45909</v>
      </c>
      <c r="D97" s="135">
        <v>51036843</v>
      </c>
      <c r="E97" s="212" t="s">
        <v>4439</v>
      </c>
      <c r="F97" s="101" t="s">
        <v>32</v>
      </c>
      <c r="G97" s="221" t="s">
        <v>10</v>
      </c>
      <c r="H97" s="493">
        <v>45909</v>
      </c>
      <c r="I97" s="25"/>
      <c r="J97" s="100" t="s">
        <v>106</v>
      </c>
      <c r="K97" s="507"/>
      <c r="L97" s="508"/>
      <c r="M97" s="365"/>
      <c r="N97" s="509"/>
      <c r="O97" s="510"/>
      <c r="P97" s="511"/>
      <c r="Q97" s="500">
        <v>45910</v>
      </c>
      <c r="R97" s="148">
        <f t="shared" si="4"/>
        <v>1.0000217822213509</v>
      </c>
      <c r="S97" s="101" t="s">
        <v>1319</v>
      </c>
      <c r="T97" s="167"/>
    </row>
    <row r="98" spans="1:20" ht="43.2" x14ac:dyDescent="0.3">
      <c r="A98" s="98" t="e">
        <f t="shared" si="6"/>
        <v>#REF!</v>
      </c>
      <c r="B98" s="506" t="s">
        <v>1826</v>
      </c>
      <c r="C98" s="556">
        <v>45910</v>
      </c>
      <c r="D98" s="135">
        <v>38950308</v>
      </c>
      <c r="E98" s="661" t="s">
        <v>4440</v>
      </c>
      <c r="F98" s="420" t="s">
        <v>48</v>
      </c>
      <c r="G98" s="221" t="s">
        <v>4</v>
      </c>
      <c r="H98" s="493">
        <v>45910</v>
      </c>
      <c r="I98" s="341"/>
      <c r="J98" s="100" t="s">
        <v>99</v>
      </c>
      <c r="K98" s="507" t="s">
        <v>262</v>
      </c>
      <c r="L98" s="508"/>
      <c r="M98" s="365"/>
      <c r="N98" s="509"/>
      <c r="O98" s="510"/>
      <c r="P98" s="511"/>
      <c r="Q98" s="500">
        <v>45926</v>
      </c>
      <c r="R98" s="148">
        <f t="shared" si="4"/>
        <v>1.0003485079503376</v>
      </c>
      <c r="S98" s="101" t="s">
        <v>3020</v>
      </c>
      <c r="T98" s="167"/>
    </row>
    <row r="99" spans="1:20" ht="43.2" x14ac:dyDescent="0.3">
      <c r="A99" s="98" t="e">
        <f t="shared" si="6"/>
        <v>#REF!</v>
      </c>
      <c r="B99" s="660">
        <v>1550</v>
      </c>
      <c r="C99" s="512">
        <v>45910</v>
      </c>
      <c r="D99" s="135">
        <v>103515429</v>
      </c>
      <c r="E99" s="175" t="s">
        <v>4271</v>
      </c>
      <c r="F99" s="111" t="s">
        <v>32</v>
      </c>
      <c r="G99" s="221" t="s">
        <v>8</v>
      </c>
      <c r="H99" s="493">
        <v>45910</v>
      </c>
      <c r="I99" s="341"/>
      <c r="J99" s="100" t="s">
        <v>106</v>
      </c>
      <c r="K99" s="507"/>
      <c r="L99" s="508"/>
      <c r="M99" s="365"/>
      <c r="N99" s="509"/>
      <c r="O99" s="510"/>
      <c r="P99" s="511"/>
      <c r="Q99" s="500">
        <v>45910</v>
      </c>
      <c r="R99" s="148">
        <f t="shared" si="4"/>
        <v>1</v>
      </c>
      <c r="S99" s="101" t="s">
        <v>3841</v>
      </c>
      <c r="T99" s="167"/>
    </row>
    <row r="100" spans="1:20" ht="57.6" x14ac:dyDescent="0.3">
      <c r="A100" s="98" t="e">
        <f t="shared" si="6"/>
        <v>#REF!</v>
      </c>
      <c r="B100" s="660" t="s">
        <v>301</v>
      </c>
      <c r="C100" s="512">
        <v>45910</v>
      </c>
      <c r="D100" s="135">
        <v>97342203</v>
      </c>
      <c r="E100" s="688" t="s">
        <v>4441</v>
      </c>
      <c r="F100" s="111" t="s">
        <v>32</v>
      </c>
      <c r="G100" s="221" t="s">
        <v>6</v>
      </c>
      <c r="H100" s="493">
        <v>45910</v>
      </c>
      <c r="I100" s="25"/>
      <c r="J100" s="100" t="s">
        <v>106</v>
      </c>
      <c r="K100" s="494"/>
      <c r="L100" s="495"/>
      <c r="M100" s="496"/>
      <c r="N100" s="497"/>
      <c r="O100" s="498"/>
      <c r="P100" s="499"/>
      <c r="Q100" s="500">
        <v>45910</v>
      </c>
      <c r="R100" s="148">
        <f t="shared" si="4"/>
        <v>1</v>
      </c>
      <c r="S100" s="101" t="s">
        <v>1811</v>
      </c>
      <c r="T100" s="69"/>
    </row>
    <row r="101" spans="1:20" ht="57.6" x14ac:dyDescent="0.3">
      <c r="A101" s="98" t="e">
        <f t="shared" si="6"/>
        <v>#REF!</v>
      </c>
      <c r="B101" s="660" t="s">
        <v>301</v>
      </c>
      <c r="C101" s="512">
        <v>45910</v>
      </c>
      <c r="D101" s="135">
        <v>31036171</v>
      </c>
      <c r="E101" s="294" t="s">
        <v>4442</v>
      </c>
      <c r="F101" s="111" t="s">
        <v>32</v>
      </c>
      <c r="G101" s="221" t="s">
        <v>6</v>
      </c>
      <c r="H101" s="493">
        <v>45910</v>
      </c>
      <c r="I101" s="25"/>
      <c r="J101" s="100" t="s">
        <v>106</v>
      </c>
      <c r="K101" s="494"/>
      <c r="L101" s="495"/>
      <c r="M101" s="496"/>
      <c r="N101" s="497"/>
      <c r="O101" s="498"/>
      <c r="P101" s="499"/>
      <c r="Q101" s="500">
        <v>45910</v>
      </c>
      <c r="R101" s="148">
        <f t="shared" si="4"/>
        <v>1</v>
      </c>
      <c r="S101" s="101" t="s">
        <v>1811</v>
      </c>
      <c r="T101" s="69"/>
    </row>
    <row r="102" spans="1:20" ht="72" x14ac:dyDescent="0.3">
      <c r="A102" s="98" t="e">
        <f t="shared" si="6"/>
        <v>#REF!</v>
      </c>
      <c r="B102" s="660">
        <v>1550</v>
      </c>
      <c r="C102" s="512">
        <v>45910</v>
      </c>
      <c r="D102" s="135">
        <v>42435633</v>
      </c>
      <c r="E102" s="175" t="s">
        <v>4443</v>
      </c>
      <c r="F102" s="111" t="s">
        <v>32</v>
      </c>
      <c r="G102" s="221" t="s">
        <v>6</v>
      </c>
      <c r="H102" s="493">
        <v>45910</v>
      </c>
      <c r="I102" s="25"/>
      <c r="J102" s="100" t="s">
        <v>106</v>
      </c>
      <c r="K102" s="494"/>
      <c r="L102" s="495"/>
      <c r="M102" s="496"/>
      <c r="N102" s="497"/>
      <c r="O102" s="498"/>
      <c r="P102" s="499"/>
      <c r="Q102" s="500">
        <v>45910</v>
      </c>
      <c r="R102" s="148">
        <f t="shared" si="4"/>
        <v>1</v>
      </c>
      <c r="S102" s="101" t="s">
        <v>1893</v>
      </c>
      <c r="T102" s="69"/>
    </row>
    <row r="103" spans="1:20" ht="28.8" x14ac:dyDescent="0.3">
      <c r="A103" s="98" t="e">
        <f t="shared" si="6"/>
        <v>#REF!</v>
      </c>
      <c r="B103" s="506">
        <v>1550</v>
      </c>
      <c r="C103" s="573">
        <v>45910</v>
      </c>
      <c r="D103" s="135" t="s">
        <v>4444</v>
      </c>
      <c r="E103" s="212" t="s">
        <v>4445</v>
      </c>
      <c r="F103" s="386" t="s">
        <v>1</v>
      </c>
      <c r="G103" s="112" t="s">
        <v>4</v>
      </c>
      <c r="H103" s="493">
        <v>45910</v>
      </c>
      <c r="I103" s="341"/>
      <c r="J103" s="100" t="s">
        <v>3709</v>
      </c>
      <c r="K103" s="494"/>
      <c r="L103" s="495"/>
      <c r="M103" s="496"/>
      <c r="N103" s="497"/>
      <c r="O103" s="498"/>
      <c r="P103" s="499"/>
      <c r="Q103" s="501">
        <v>45910</v>
      </c>
      <c r="R103" s="148">
        <f t="shared" si="4"/>
        <v>1</v>
      </c>
      <c r="S103" s="101" t="s">
        <v>4</v>
      </c>
      <c r="T103" s="69"/>
    </row>
    <row r="104" spans="1:20" ht="28.8" x14ac:dyDescent="0.3">
      <c r="A104" s="98" t="e">
        <f t="shared" si="6"/>
        <v>#REF!</v>
      </c>
      <c r="B104" s="506">
        <v>1550</v>
      </c>
      <c r="C104" s="492">
        <v>45910</v>
      </c>
      <c r="D104" s="135">
        <v>4890841</v>
      </c>
      <c r="E104" s="212" t="s">
        <v>4446</v>
      </c>
      <c r="F104" s="386" t="s">
        <v>32</v>
      </c>
      <c r="G104" s="112" t="s">
        <v>4</v>
      </c>
      <c r="H104" s="493">
        <v>45910</v>
      </c>
      <c r="I104" s="341">
        <v>10000317618</v>
      </c>
      <c r="J104" s="100" t="s">
        <v>106</v>
      </c>
      <c r="K104" s="494"/>
      <c r="L104" s="495"/>
      <c r="M104" s="496"/>
      <c r="N104" s="497"/>
      <c r="O104" s="498"/>
      <c r="P104" s="499"/>
      <c r="Q104" s="501">
        <v>45911</v>
      </c>
      <c r="R104" s="148">
        <f t="shared" si="4"/>
        <v>1.0000217817468962</v>
      </c>
      <c r="S104" s="101" t="s">
        <v>3899</v>
      </c>
      <c r="T104" s="167"/>
    </row>
    <row r="105" spans="1:20" ht="115.2" x14ac:dyDescent="0.3">
      <c r="A105" s="98" t="e">
        <f t="shared" si="6"/>
        <v>#REF!</v>
      </c>
      <c r="B105" s="506" t="s">
        <v>80</v>
      </c>
      <c r="C105" s="492">
        <v>45910</v>
      </c>
      <c r="D105" s="135">
        <v>34109196</v>
      </c>
      <c r="E105" s="212" t="s">
        <v>4447</v>
      </c>
      <c r="F105" s="386" t="s">
        <v>38</v>
      </c>
      <c r="G105" s="112" t="s">
        <v>6</v>
      </c>
      <c r="H105" s="493">
        <v>45910</v>
      </c>
      <c r="I105" s="341"/>
      <c r="J105" s="100" t="s">
        <v>253</v>
      </c>
      <c r="K105" s="494"/>
      <c r="L105" s="495"/>
      <c r="M105" s="496"/>
      <c r="N105" s="497"/>
      <c r="O105" s="498"/>
      <c r="P105" s="499"/>
      <c r="Q105" s="501">
        <v>45910</v>
      </c>
      <c r="R105" s="148">
        <f t="shared" si="4"/>
        <v>1</v>
      </c>
      <c r="S105" s="101" t="s">
        <v>2597</v>
      </c>
      <c r="T105" s="69" t="s">
        <v>4448</v>
      </c>
    </row>
    <row r="106" spans="1:20" ht="86.4" x14ac:dyDescent="0.3">
      <c r="A106" s="98" t="e">
        <f t="shared" si="6"/>
        <v>#REF!</v>
      </c>
      <c r="B106" s="506">
        <v>1550</v>
      </c>
      <c r="C106" s="492">
        <v>45910</v>
      </c>
      <c r="D106" s="135">
        <v>5734258</v>
      </c>
      <c r="E106" s="212" t="s">
        <v>4449</v>
      </c>
      <c r="F106" s="386" t="s">
        <v>3</v>
      </c>
      <c r="G106" s="112" t="s">
        <v>6</v>
      </c>
      <c r="H106" s="493">
        <v>45910</v>
      </c>
      <c r="I106" s="341"/>
      <c r="J106" s="100" t="s">
        <v>82</v>
      </c>
      <c r="K106" s="494"/>
      <c r="L106" s="495"/>
      <c r="M106" s="496"/>
      <c r="N106" s="497"/>
      <c r="O106" s="498"/>
      <c r="P106" s="499"/>
      <c r="Q106" s="501">
        <v>45936</v>
      </c>
      <c r="R106" s="148">
        <f t="shared" si="4"/>
        <v>1.0005663254192987</v>
      </c>
      <c r="S106" s="101" t="s">
        <v>1860</v>
      </c>
      <c r="T106" s="69"/>
    </row>
    <row r="107" spans="1:20" ht="57.6" x14ac:dyDescent="0.3">
      <c r="A107" s="98" t="e">
        <f t="shared" si="6"/>
        <v>#REF!</v>
      </c>
      <c r="B107" s="506" t="s">
        <v>301</v>
      </c>
      <c r="C107" s="492">
        <v>45910</v>
      </c>
      <c r="D107" s="135">
        <v>117641871</v>
      </c>
      <c r="E107" s="212" t="s">
        <v>4450</v>
      </c>
      <c r="F107" s="101" t="s">
        <v>32</v>
      </c>
      <c r="G107" s="112" t="s">
        <v>6</v>
      </c>
      <c r="H107" s="493">
        <v>45910</v>
      </c>
      <c r="I107" s="25"/>
      <c r="J107" s="100" t="s">
        <v>106</v>
      </c>
      <c r="K107" s="494"/>
      <c r="L107" s="495"/>
      <c r="M107" s="496"/>
      <c r="N107" s="497"/>
      <c r="O107" s="498"/>
      <c r="P107" s="499"/>
      <c r="Q107" s="500">
        <v>45910</v>
      </c>
      <c r="R107" s="148">
        <f t="shared" si="4"/>
        <v>1</v>
      </c>
      <c r="S107" s="101" t="s">
        <v>1811</v>
      </c>
      <c r="T107" s="69"/>
    </row>
    <row r="108" spans="1:20" ht="57.75" customHeight="1" x14ac:dyDescent="0.3">
      <c r="A108" s="98" t="e">
        <f t="shared" si="6"/>
        <v>#REF!</v>
      </c>
      <c r="B108" s="506">
        <v>1550</v>
      </c>
      <c r="C108" s="492">
        <v>45910</v>
      </c>
      <c r="D108" s="135">
        <v>34290370</v>
      </c>
      <c r="E108" s="212" t="s">
        <v>4451</v>
      </c>
      <c r="F108" s="386" t="s">
        <v>3</v>
      </c>
      <c r="G108" s="112" t="s">
        <v>10</v>
      </c>
      <c r="H108" s="493">
        <v>45910</v>
      </c>
      <c r="I108" s="341">
        <v>10000317597</v>
      </c>
      <c r="J108" s="100" t="s">
        <v>82</v>
      </c>
      <c r="K108" s="494"/>
      <c r="L108" s="495"/>
      <c r="M108" s="496"/>
      <c r="N108" s="497"/>
      <c r="O108" s="498"/>
      <c r="P108" s="499"/>
      <c r="Q108" s="501">
        <v>45917</v>
      </c>
      <c r="R108" s="148">
        <f t="shared" si="4"/>
        <v>1.0001524722282726</v>
      </c>
      <c r="S108" s="101" t="s">
        <v>2209</v>
      </c>
      <c r="T108" s="69" t="s">
        <v>4393</v>
      </c>
    </row>
    <row r="109" spans="1:20" ht="28.8" x14ac:dyDescent="0.3">
      <c r="A109" s="98" t="e">
        <f t="shared" si="6"/>
        <v>#REF!</v>
      </c>
      <c r="B109" s="506">
        <v>1550</v>
      </c>
      <c r="C109" s="492">
        <v>45911</v>
      </c>
      <c r="D109" s="135">
        <v>43577911</v>
      </c>
      <c r="E109" s="212" t="s">
        <v>4452</v>
      </c>
      <c r="F109" s="101" t="s">
        <v>1</v>
      </c>
      <c r="G109" s="112" t="s">
        <v>4</v>
      </c>
      <c r="H109" s="493">
        <v>45911</v>
      </c>
      <c r="I109" s="25"/>
      <c r="J109" s="100" t="s">
        <v>4453</v>
      </c>
      <c r="K109" s="494"/>
      <c r="L109" s="495"/>
      <c r="M109" s="496"/>
      <c r="N109" s="497"/>
      <c r="O109" s="498"/>
      <c r="P109" s="499"/>
      <c r="Q109" s="500">
        <v>45911</v>
      </c>
      <c r="R109" s="148">
        <f t="shared" si="4"/>
        <v>1</v>
      </c>
      <c r="S109" s="101" t="s">
        <v>3899</v>
      </c>
      <c r="T109" s="69"/>
    </row>
    <row r="110" spans="1:20" ht="43.2" x14ac:dyDescent="0.3">
      <c r="A110" s="98" t="e">
        <f t="shared" si="6"/>
        <v>#REF!</v>
      </c>
      <c r="B110" s="506" t="s">
        <v>301</v>
      </c>
      <c r="C110" s="492">
        <v>45911</v>
      </c>
      <c r="D110" s="135">
        <v>101094310</v>
      </c>
      <c r="E110" s="212" t="s">
        <v>4454</v>
      </c>
      <c r="F110" s="101" t="s">
        <v>24</v>
      </c>
      <c r="G110" s="112" t="s">
        <v>8</v>
      </c>
      <c r="H110" s="493">
        <v>45911</v>
      </c>
      <c r="I110" s="25"/>
      <c r="J110" s="100" t="s">
        <v>383</v>
      </c>
      <c r="K110" s="494"/>
      <c r="L110" s="495"/>
      <c r="M110" s="496"/>
      <c r="N110" s="497"/>
      <c r="O110" s="498"/>
      <c r="P110" s="499"/>
      <c r="Q110" s="500">
        <v>45917</v>
      </c>
      <c r="R110" s="148">
        <f t="shared" si="4"/>
        <v>1.0001306876347715</v>
      </c>
      <c r="S110" s="101" t="s">
        <v>3952</v>
      </c>
      <c r="T110" s="69"/>
    </row>
    <row r="111" spans="1:20" ht="28.8" x14ac:dyDescent="0.3">
      <c r="A111" s="98" t="e">
        <f t="shared" si="6"/>
        <v>#REF!</v>
      </c>
      <c r="B111" s="506">
        <v>1550</v>
      </c>
      <c r="C111" s="492">
        <v>45911</v>
      </c>
      <c r="D111" s="135">
        <v>48150010</v>
      </c>
      <c r="E111" s="212" t="s">
        <v>4455</v>
      </c>
      <c r="F111" s="101" t="s">
        <v>7</v>
      </c>
      <c r="G111" s="112" t="s">
        <v>4</v>
      </c>
      <c r="H111" s="493">
        <v>45911</v>
      </c>
      <c r="I111" s="25"/>
      <c r="J111" s="100" t="s">
        <v>3108</v>
      </c>
      <c r="K111" s="494"/>
      <c r="L111" s="495"/>
      <c r="M111" s="496"/>
      <c r="N111" s="497"/>
      <c r="O111" s="498"/>
      <c r="P111" s="499"/>
      <c r="Q111" s="500">
        <v>45911</v>
      </c>
      <c r="R111" s="148">
        <f t="shared" si="4"/>
        <v>1</v>
      </c>
      <c r="S111" s="101" t="s">
        <v>720</v>
      </c>
      <c r="T111" s="315"/>
    </row>
    <row r="112" spans="1:20" ht="129.6" x14ac:dyDescent="0.3">
      <c r="A112" s="98" t="e">
        <f t="shared" si="6"/>
        <v>#REF!</v>
      </c>
      <c r="B112" s="506">
        <v>1550</v>
      </c>
      <c r="C112" s="492">
        <v>45911</v>
      </c>
      <c r="D112" s="135">
        <v>95127283</v>
      </c>
      <c r="E112" s="212" t="s">
        <v>4456</v>
      </c>
      <c r="F112" s="101" t="s">
        <v>3</v>
      </c>
      <c r="G112" s="112" t="s">
        <v>6</v>
      </c>
      <c r="H112" s="493">
        <v>45911</v>
      </c>
      <c r="I112" s="25"/>
      <c r="J112" s="100" t="s">
        <v>82</v>
      </c>
      <c r="K112" s="494"/>
      <c r="L112" s="495"/>
      <c r="M112" s="496"/>
      <c r="N112" s="497"/>
      <c r="O112" s="498"/>
      <c r="P112" s="499"/>
      <c r="Q112" s="500">
        <v>45917</v>
      </c>
      <c r="R112" s="148">
        <f t="shared" si="4"/>
        <v>1.0001306876347715</v>
      </c>
      <c r="S112" s="101" t="s">
        <v>1312</v>
      </c>
      <c r="T112" s="69"/>
    </row>
    <row r="113" spans="1:20" ht="43.2" x14ac:dyDescent="0.3">
      <c r="A113" s="98" t="e">
        <f t="shared" si="6"/>
        <v>#REF!</v>
      </c>
      <c r="B113" s="506">
        <v>1550</v>
      </c>
      <c r="C113" s="492">
        <v>45911</v>
      </c>
      <c r="D113" s="135">
        <v>32889224</v>
      </c>
      <c r="E113" s="212" t="s">
        <v>4457</v>
      </c>
      <c r="F113" s="101" t="s">
        <v>1</v>
      </c>
      <c r="G113" s="112" t="s">
        <v>8</v>
      </c>
      <c r="H113" s="493">
        <v>45911</v>
      </c>
      <c r="I113" s="25"/>
      <c r="J113" s="100" t="s">
        <v>99</v>
      </c>
      <c r="K113" s="494"/>
      <c r="L113" s="495"/>
      <c r="M113" s="496"/>
      <c r="N113" s="497"/>
      <c r="O113" s="498"/>
      <c r="P113" s="499"/>
      <c r="Q113" s="500">
        <v>45912</v>
      </c>
      <c r="R113" s="148">
        <f t="shared" si="4"/>
        <v>1.0000217812724619</v>
      </c>
      <c r="S113" s="101" t="s">
        <v>3418</v>
      </c>
      <c r="T113" s="69"/>
    </row>
    <row r="114" spans="1:20" ht="28.8" x14ac:dyDescent="0.3">
      <c r="A114" s="98" t="e">
        <f t="shared" si="6"/>
        <v>#REF!</v>
      </c>
      <c r="B114" s="506" t="s">
        <v>301</v>
      </c>
      <c r="C114" s="492">
        <v>45911</v>
      </c>
      <c r="D114" s="135">
        <v>10229914</v>
      </c>
      <c r="E114" s="212" t="s">
        <v>4458</v>
      </c>
      <c r="F114" s="101" t="s">
        <v>1</v>
      </c>
      <c r="G114" s="112" t="s">
        <v>8</v>
      </c>
      <c r="H114" s="493">
        <v>45911</v>
      </c>
      <c r="I114" s="25"/>
      <c r="J114" s="100" t="s">
        <v>99</v>
      </c>
      <c r="K114" s="494"/>
      <c r="L114" s="495"/>
      <c r="M114" s="496"/>
      <c r="N114" s="497"/>
      <c r="O114" s="498"/>
      <c r="P114" s="499"/>
      <c r="Q114" s="500">
        <v>45913</v>
      </c>
      <c r="R114" s="148">
        <f t="shared" si="4"/>
        <v>1.0000435625449238</v>
      </c>
      <c r="S114" s="101" t="s">
        <v>4459</v>
      </c>
      <c r="T114" s="69"/>
    </row>
    <row r="115" spans="1:20" ht="43.2" x14ac:dyDescent="0.3">
      <c r="A115" s="98" t="e">
        <f t="shared" si="6"/>
        <v>#REF!</v>
      </c>
      <c r="B115" s="506">
        <v>1550</v>
      </c>
      <c r="C115" s="492">
        <v>45911</v>
      </c>
      <c r="D115" s="135">
        <v>16697618</v>
      </c>
      <c r="E115" s="212" t="s">
        <v>4025</v>
      </c>
      <c r="F115" s="344" t="s">
        <v>49</v>
      </c>
      <c r="G115" s="112" t="s">
        <v>8</v>
      </c>
      <c r="H115" s="493">
        <v>45911</v>
      </c>
      <c r="I115" s="25"/>
      <c r="J115" s="100" t="s">
        <v>266</v>
      </c>
      <c r="K115" s="507"/>
      <c r="L115" s="508"/>
      <c r="M115" s="365"/>
      <c r="N115" s="509"/>
      <c r="O115" s="510"/>
      <c r="P115" s="511"/>
      <c r="Q115" s="500">
        <v>45911</v>
      </c>
      <c r="R115" s="148">
        <f t="shared" si="4"/>
        <v>1</v>
      </c>
      <c r="S115" s="101" t="s">
        <v>3841</v>
      </c>
      <c r="T115" s="167"/>
    </row>
    <row r="116" spans="1:20" ht="28.8" x14ac:dyDescent="0.3">
      <c r="A116" s="98" t="e">
        <f t="shared" si="6"/>
        <v>#REF!</v>
      </c>
      <c r="B116" s="506" t="s">
        <v>80</v>
      </c>
      <c r="C116" s="492">
        <v>45911</v>
      </c>
      <c r="D116" s="135">
        <v>81311818</v>
      </c>
      <c r="E116" s="212" t="s">
        <v>4460</v>
      </c>
      <c r="F116" s="101" t="s">
        <v>3</v>
      </c>
      <c r="G116" s="112" t="s">
        <v>8</v>
      </c>
      <c r="H116" s="493">
        <v>45911</v>
      </c>
      <c r="I116" s="25"/>
      <c r="J116" s="100" t="s">
        <v>82</v>
      </c>
      <c r="K116" s="494"/>
      <c r="L116" s="495"/>
      <c r="M116" s="496"/>
      <c r="N116" s="497"/>
      <c r="O116" s="498"/>
      <c r="P116" s="499"/>
      <c r="Q116" s="500">
        <v>45922</v>
      </c>
      <c r="R116" s="148">
        <f t="shared" si="4"/>
        <v>1.0002395939970814</v>
      </c>
      <c r="S116" s="101" t="s">
        <v>8</v>
      </c>
      <c r="T116" s="315"/>
    </row>
    <row r="117" spans="1:20" ht="28.8" x14ac:dyDescent="0.3">
      <c r="A117" s="98" t="e">
        <f t="shared" si="6"/>
        <v>#REF!</v>
      </c>
      <c r="B117" s="506" t="s">
        <v>1826</v>
      </c>
      <c r="C117" s="492">
        <v>45911</v>
      </c>
      <c r="D117" s="135">
        <v>92505597</v>
      </c>
      <c r="E117" s="212" t="s">
        <v>4461</v>
      </c>
      <c r="F117" s="101" t="s">
        <v>3</v>
      </c>
      <c r="G117" s="112" t="s">
        <v>4</v>
      </c>
      <c r="H117" s="493">
        <v>45911</v>
      </c>
      <c r="I117" s="25"/>
      <c r="J117" s="100" t="s">
        <v>82</v>
      </c>
      <c r="K117" s="507"/>
      <c r="L117" s="508"/>
      <c r="M117" s="365"/>
      <c r="N117" s="509"/>
      <c r="O117" s="510"/>
      <c r="P117" s="511"/>
      <c r="Q117" s="500">
        <v>45916</v>
      </c>
      <c r="R117" s="148">
        <f t="shared" si="4"/>
        <v>1.0001089063623096</v>
      </c>
      <c r="S117" s="101" t="s">
        <v>720</v>
      </c>
      <c r="T117" s="69"/>
    </row>
    <row r="118" spans="1:20" ht="25.5" customHeight="1" x14ac:dyDescent="0.3">
      <c r="A118" s="98" t="e">
        <f t="shared" si="6"/>
        <v>#REF!</v>
      </c>
      <c r="B118" s="506">
        <v>1550</v>
      </c>
      <c r="C118" s="492">
        <v>45911</v>
      </c>
      <c r="D118" s="135">
        <v>83175407</v>
      </c>
      <c r="E118" s="212" t="s">
        <v>4462</v>
      </c>
      <c r="F118" s="101" t="s">
        <v>32</v>
      </c>
      <c r="G118" s="112" t="s">
        <v>10</v>
      </c>
      <c r="H118" s="493">
        <v>45911</v>
      </c>
      <c r="I118" s="25"/>
      <c r="J118" s="100" t="s">
        <v>106</v>
      </c>
      <c r="K118" s="494"/>
      <c r="L118" s="495"/>
      <c r="M118" s="496"/>
      <c r="N118" s="497"/>
      <c r="O118" s="498"/>
      <c r="P118" s="499"/>
      <c r="Q118" s="500">
        <v>45933</v>
      </c>
      <c r="R118" s="148">
        <f t="shared" si="4"/>
        <v>1.0004791879941626</v>
      </c>
      <c r="S118" s="101" t="s">
        <v>2213</v>
      </c>
      <c r="T118" s="69" t="s">
        <v>4463</v>
      </c>
    </row>
    <row r="119" spans="1:20" ht="35.25" customHeight="1" x14ac:dyDescent="0.3">
      <c r="A119" s="98" t="e">
        <f t="shared" si="6"/>
        <v>#REF!</v>
      </c>
      <c r="B119" s="506">
        <v>1550</v>
      </c>
      <c r="C119" s="492">
        <v>45911</v>
      </c>
      <c r="D119" s="135">
        <v>95995846</v>
      </c>
      <c r="E119" s="212" t="s">
        <v>4464</v>
      </c>
      <c r="F119" s="101" t="s">
        <v>32</v>
      </c>
      <c r="G119" s="112" t="s">
        <v>10</v>
      </c>
      <c r="H119" s="493">
        <v>45911</v>
      </c>
      <c r="I119" s="25"/>
      <c r="J119" s="100" t="s">
        <v>106</v>
      </c>
      <c r="K119" s="494"/>
      <c r="L119" s="495"/>
      <c r="M119" s="496"/>
      <c r="N119" s="497"/>
      <c r="O119" s="498"/>
      <c r="P119" s="499"/>
      <c r="Q119" s="500">
        <v>45912</v>
      </c>
      <c r="R119" s="148">
        <f t="shared" si="4"/>
        <v>1.0000217812724619</v>
      </c>
      <c r="S119" s="101" t="s">
        <v>1172</v>
      </c>
      <c r="T119" s="69"/>
    </row>
    <row r="120" spans="1:20" ht="52.5" customHeight="1" x14ac:dyDescent="0.3">
      <c r="A120" s="98" t="e">
        <f t="shared" si="6"/>
        <v>#REF!</v>
      </c>
      <c r="B120" s="506">
        <v>1550</v>
      </c>
      <c r="C120" s="492">
        <v>45911</v>
      </c>
      <c r="D120" s="135">
        <v>44768699</v>
      </c>
      <c r="E120" s="212" t="s">
        <v>4465</v>
      </c>
      <c r="F120" s="101" t="s">
        <v>7</v>
      </c>
      <c r="G120" s="112" t="s">
        <v>10</v>
      </c>
      <c r="H120" s="493">
        <v>45911</v>
      </c>
      <c r="I120" s="25"/>
      <c r="J120" s="107" t="s">
        <v>2547</v>
      </c>
      <c r="K120" s="494"/>
      <c r="L120" s="495"/>
      <c r="M120" s="496"/>
      <c r="N120" s="497"/>
      <c r="O120" s="498"/>
      <c r="P120" s="499"/>
      <c r="Q120" s="500">
        <v>45911</v>
      </c>
      <c r="R120" s="148">
        <f t="shared" si="4"/>
        <v>1</v>
      </c>
      <c r="S120" s="101" t="s">
        <v>85</v>
      </c>
      <c r="T120" s="359"/>
    </row>
    <row r="121" spans="1:20" ht="39" customHeight="1" x14ac:dyDescent="0.3">
      <c r="A121" s="98" t="e">
        <f t="shared" si="6"/>
        <v>#REF!</v>
      </c>
      <c r="B121" s="506">
        <v>1550</v>
      </c>
      <c r="C121" s="492">
        <v>45911</v>
      </c>
      <c r="D121" s="135">
        <v>26357941</v>
      </c>
      <c r="E121" s="212" t="s">
        <v>4466</v>
      </c>
      <c r="F121" s="101" t="s">
        <v>1</v>
      </c>
      <c r="G121" s="112" t="s">
        <v>10</v>
      </c>
      <c r="H121" s="493">
        <v>45911</v>
      </c>
      <c r="I121" s="25"/>
      <c r="J121" s="100" t="s">
        <v>3948</v>
      </c>
      <c r="K121" s="494"/>
      <c r="L121" s="495"/>
      <c r="M121" s="496"/>
      <c r="N121" s="497"/>
      <c r="O121" s="498"/>
      <c r="P121" s="499"/>
      <c r="Q121" s="500">
        <v>45912</v>
      </c>
      <c r="R121" s="148">
        <f t="shared" si="4"/>
        <v>1.0000217812724619</v>
      </c>
      <c r="S121" s="101" t="s">
        <v>2209</v>
      </c>
      <c r="T121" s="69"/>
    </row>
    <row r="122" spans="1:20" ht="33" customHeight="1" x14ac:dyDescent="0.3">
      <c r="A122" s="98" t="e">
        <f t="shared" si="6"/>
        <v>#REF!</v>
      </c>
      <c r="B122" s="506">
        <v>1550</v>
      </c>
      <c r="C122" s="492">
        <v>45911</v>
      </c>
      <c r="D122" s="135">
        <v>5324025</v>
      </c>
      <c r="E122" s="212" t="s">
        <v>4467</v>
      </c>
      <c r="F122" s="101" t="s">
        <v>3</v>
      </c>
      <c r="G122" s="112" t="s">
        <v>10</v>
      </c>
      <c r="H122" s="493">
        <v>45911</v>
      </c>
      <c r="I122" s="25"/>
      <c r="J122" s="100" t="s">
        <v>82</v>
      </c>
      <c r="K122" s="494"/>
      <c r="L122" s="495"/>
      <c r="M122" s="496"/>
      <c r="N122" s="497"/>
      <c r="O122" s="498"/>
      <c r="P122" s="499"/>
      <c r="Q122" s="500">
        <v>45912</v>
      </c>
      <c r="R122" s="148">
        <f t="shared" si="4"/>
        <v>1.0000217812724619</v>
      </c>
      <c r="S122" s="101" t="s">
        <v>1319</v>
      </c>
      <c r="T122" s="69"/>
    </row>
    <row r="123" spans="1:20" ht="43.2" x14ac:dyDescent="0.3">
      <c r="A123" s="98" t="e">
        <f t="shared" si="6"/>
        <v>#REF!</v>
      </c>
      <c r="B123" s="506">
        <v>1550</v>
      </c>
      <c r="C123" s="492">
        <v>45912</v>
      </c>
      <c r="D123" s="96">
        <v>87012421</v>
      </c>
      <c r="E123" s="212" t="s">
        <v>4468</v>
      </c>
      <c r="F123" s="344" t="s">
        <v>38</v>
      </c>
      <c r="G123" s="112" t="s">
        <v>6</v>
      </c>
      <c r="H123" s="493">
        <v>45912</v>
      </c>
      <c r="I123" s="25"/>
      <c r="J123" s="100" t="s">
        <v>253</v>
      </c>
      <c r="K123" s="494"/>
      <c r="L123" s="495"/>
      <c r="M123" s="496"/>
      <c r="N123" s="497"/>
      <c r="O123" s="498"/>
      <c r="P123" s="499"/>
      <c r="Q123" s="500">
        <v>45916</v>
      </c>
      <c r="R123" s="148">
        <f t="shared" si="4"/>
        <v>1.0000871231921937</v>
      </c>
      <c r="S123" s="101" t="s">
        <v>2597</v>
      </c>
      <c r="T123" s="69" t="s">
        <v>4469</v>
      </c>
    </row>
    <row r="124" spans="1:20" x14ac:dyDescent="0.3">
      <c r="A124" s="98" t="e">
        <f t="shared" si="6"/>
        <v>#REF!</v>
      </c>
      <c r="B124" s="506">
        <v>1550</v>
      </c>
      <c r="C124" s="492">
        <v>45912</v>
      </c>
      <c r="D124" s="135">
        <v>77120671</v>
      </c>
      <c r="E124" t="s">
        <v>4470</v>
      </c>
      <c r="F124" s="101" t="s">
        <v>3</v>
      </c>
      <c r="G124" s="112" t="s">
        <v>4</v>
      </c>
      <c r="H124" s="493">
        <v>45912</v>
      </c>
      <c r="I124" s="25"/>
      <c r="J124" s="100" t="s">
        <v>4471</v>
      </c>
      <c r="K124" s="494"/>
      <c r="L124" s="495"/>
      <c r="M124" s="496"/>
      <c r="N124" s="497"/>
      <c r="O124" s="498"/>
      <c r="P124" s="499"/>
      <c r="Q124" s="500">
        <v>45912</v>
      </c>
      <c r="R124" s="148">
        <f t="shared" si="4"/>
        <v>1</v>
      </c>
      <c r="S124" s="101" t="s">
        <v>1860</v>
      </c>
      <c r="T124" s="69"/>
    </row>
    <row r="125" spans="1:20" ht="28.8" x14ac:dyDescent="0.3">
      <c r="A125" s="98" t="e">
        <f t="shared" si="6"/>
        <v>#REF!</v>
      </c>
      <c r="B125" s="506">
        <v>1550</v>
      </c>
      <c r="C125" s="492">
        <v>45912</v>
      </c>
      <c r="D125" s="135">
        <v>35273976</v>
      </c>
      <c r="E125" s="212" t="s">
        <v>4472</v>
      </c>
      <c r="F125" s="101" t="s">
        <v>32</v>
      </c>
      <c r="G125" s="112" t="s">
        <v>4</v>
      </c>
      <c r="H125" s="493">
        <v>45909</v>
      </c>
      <c r="I125" s="25">
        <v>10000318424</v>
      </c>
      <c r="J125" s="107" t="s">
        <v>106</v>
      </c>
      <c r="K125" s="494"/>
      <c r="L125" s="495"/>
      <c r="M125" s="496"/>
      <c r="N125" s="497"/>
      <c r="O125" s="498"/>
      <c r="P125" s="499"/>
      <c r="Q125" s="500">
        <v>45939</v>
      </c>
      <c r="R125" s="148">
        <f t="shared" si="4"/>
        <v>1.000653466640528</v>
      </c>
      <c r="S125" s="101" t="s">
        <v>3899</v>
      </c>
      <c r="T125" s="69"/>
    </row>
    <row r="126" spans="1:20" ht="28.8" x14ac:dyDescent="0.3">
      <c r="A126" s="98" t="e">
        <f t="shared" si="6"/>
        <v>#REF!</v>
      </c>
      <c r="B126" s="506" t="s">
        <v>301</v>
      </c>
      <c r="C126" s="492">
        <v>45912</v>
      </c>
      <c r="D126" s="135">
        <v>106217070</v>
      </c>
      <c r="E126" s="212" t="s">
        <v>4130</v>
      </c>
      <c r="F126" s="101" t="s">
        <v>7</v>
      </c>
      <c r="G126" s="112" t="s">
        <v>8</v>
      </c>
      <c r="H126" s="493">
        <v>45912</v>
      </c>
      <c r="I126" s="25"/>
      <c r="J126" s="107" t="s">
        <v>4176</v>
      </c>
      <c r="K126" s="494"/>
      <c r="L126" s="495"/>
      <c r="M126" s="496"/>
      <c r="N126" s="497"/>
      <c r="O126" s="498"/>
      <c r="P126" s="499"/>
      <c r="Q126" s="500">
        <v>45917</v>
      </c>
      <c r="R126" s="148">
        <f t="shared" si="4"/>
        <v>1.0001089039902422</v>
      </c>
      <c r="S126" s="633" t="s">
        <v>3952</v>
      </c>
      <c r="T126" s="69"/>
    </row>
    <row r="127" spans="1:20" ht="57.6" x14ac:dyDescent="0.3">
      <c r="A127" s="98" t="e">
        <f t="shared" si="6"/>
        <v>#REF!</v>
      </c>
      <c r="B127" s="506" t="s">
        <v>80</v>
      </c>
      <c r="C127" s="492">
        <v>45912</v>
      </c>
      <c r="D127" s="135">
        <v>87054566</v>
      </c>
      <c r="E127" s="212" t="s">
        <v>4473</v>
      </c>
      <c r="F127" s="101" t="s">
        <v>39</v>
      </c>
      <c r="G127" s="112" t="s">
        <v>8</v>
      </c>
      <c r="H127" s="493">
        <v>45912</v>
      </c>
      <c r="I127" s="655">
        <v>10000318224</v>
      </c>
      <c r="J127" s="100" t="s">
        <v>22</v>
      </c>
      <c r="K127" s="494"/>
      <c r="L127" s="495"/>
      <c r="M127" s="496"/>
      <c r="N127" s="497"/>
      <c r="O127" s="498"/>
      <c r="P127" s="499"/>
      <c r="Q127" s="500">
        <v>45916</v>
      </c>
      <c r="R127" s="148">
        <f t="shared" si="4"/>
        <v>1.0000871231921937</v>
      </c>
      <c r="S127" s="633" t="s">
        <v>4127</v>
      </c>
      <c r="T127" s="69"/>
    </row>
    <row r="128" spans="1:20" x14ac:dyDescent="0.3">
      <c r="A128" s="98" t="e">
        <f t="shared" si="6"/>
        <v>#REF!</v>
      </c>
      <c r="B128" s="506" t="s">
        <v>1826</v>
      </c>
      <c r="C128" s="492">
        <v>45912</v>
      </c>
      <c r="D128" s="135">
        <v>76527859</v>
      </c>
      <c r="E128" s="212" t="s">
        <v>4474</v>
      </c>
      <c r="F128" s="101" t="s">
        <v>3</v>
      </c>
      <c r="G128" s="112" t="s">
        <v>4</v>
      </c>
      <c r="H128" s="493">
        <v>45912</v>
      </c>
      <c r="I128" s="25"/>
      <c r="J128" s="100" t="s">
        <v>2432</v>
      </c>
      <c r="K128" s="494"/>
      <c r="L128" s="495"/>
      <c r="M128" s="496"/>
      <c r="N128" s="497"/>
      <c r="O128" s="498"/>
      <c r="P128" s="499"/>
      <c r="Q128" s="500">
        <v>45912</v>
      </c>
      <c r="R128" s="148">
        <f t="shared" si="4"/>
        <v>1</v>
      </c>
      <c r="S128" s="633" t="s">
        <v>720</v>
      </c>
      <c r="T128" s="167"/>
    </row>
    <row r="129" spans="1:20" x14ac:dyDescent="0.3">
      <c r="A129" s="98" t="e">
        <f t="shared" si="6"/>
        <v>#REF!</v>
      </c>
      <c r="B129" s="506">
        <v>1550</v>
      </c>
      <c r="C129" s="492">
        <v>45912</v>
      </c>
      <c r="D129" s="135">
        <v>29912016</v>
      </c>
      <c r="E129" s="212" t="s">
        <v>4475</v>
      </c>
      <c r="F129" s="101" t="s">
        <v>14</v>
      </c>
      <c r="G129" s="112" t="s">
        <v>4</v>
      </c>
      <c r="H129" s="493">
        <v>45912</v>
      </c>
      <c r="I129" s="25"/>
      <c r="J129" s="100"/>
      <c r="K129" s="494" t="s">
        <v>393</v>
      </c>
      <c r="L129" s="495"/>
      <c r="M129" s="496"/>
      <c r="N129" s="497"/>
      <c r="O129" s="498"/>
      <c r="P129" s="499"/>
      <c r="Q129" s="500">
        <v>45919</v>
      </c>
      <c r="R129" s="148">
        <f t="shared" si="4"/>
        <v>1.0001524655863392</v>
      </c>
      <c r="S129" s="633" t="s">
        <v>3783</v>
      </c>
      <c r="T129" s="69"/>
    </row>
    <row r="130" spans="1:20" ht="28.8" x14ac:dyDescent="0.3">
      <c r="A130" s="98" t="e">
        <f t="shared" si="6"/>
        <v>#REF!</v>
      </c>
      <c r="B130" s="506">
        <v>1550</v>
      </c>
      <c r="C130" s="492">
        <v>45912</v>
      </c>
      <c r="D130" s="135">
        <v>95127283</v>
      </c>
      <c r="E130" s="212" t="s">
        <v>4476</v>
      </c>
      <c r="F130" s="101" t="s">
        <v>3</v>
      </c>
      <c r="G130" s="112" t="s">
        <v>4</v>
      </c>
      <c r="H130" s="493">
        <v>45912</v>
      </c>
      <c r="I130" s="25"/>
      <c r="J130" s="100" t="s">
        <v>82</v>
      </c>
      <c r="K130" s="494"/>
      <c r="L130" s="495"/>
      <c r="M130" s="496"/>
      <c r="N130" s="497"/>
      <c r="O130" s="498"/>
      <c r="P130" s="499"/>
      <c r="Q130" s="500">
        <v>45933</v>
      </c>
      <c r="R130" s="148">
        <f t="shared" si="4"/>
        <v>1.0004573967590173</v>
      </c>
      <c r="S130" s="633" t="s">
        <v>2974</v>
      </c>
      <c r="T130" s="121"/>
    </row>
    <row r="131" spans="1:20" ht="28.8" x14ac:dyDescent="0.3">
      <c r="A131" s="98" t="e">
        <f t="shared" si="6"/>
        <v>#REF!</v>
      </c>
      <c r="B131" s="506">
        <v>1550</v>
      </c>
      <c r="C131" s="492">
        <v>45912</v>
      </c>
      <c r="D131" s="135">
        <v>25967908</v>
      </c>
      <c r="E131" s="212" t="s">
        <v>4477</v>
      </c>
      <c r="F131" s="101" t="s">
        <v>1</v>
      </c>
      <c r="G131" s="112" t="s">
        <v>4</v>
      </c>
      <c r="H131" s="493">
        <v>45912</v>
      </c>
      <c r="I131" s="25"/>
      <c r="J131" s="100" t="s">
        <v>99</v>
      </c>
      <c r="K131" s="494"/>
      <c r="L131" s="495"/>
      <c r="M131" s="496"/>
      <c r="N131" s="497"/>
      <c r="O131" s="498"/>
      <c r="P131" s="499"/>
      <c r="Q131" s="500">
        <v>45912</v>
      </c>
      <c r="R131" s="148">
        <f t="shared" si="4"/>
        <v>1</v>
      </c>
      <c r="S131" s="633" t="s">
        <v>720</v>
      </c>
      <c r="T131" s="315"/>
    </row>
    <row r="132" spans="1:20" x14ac:dyDescent="0.3">
      <c r="A132" s="98" t="e">
        <f t="shared" si="6"/>
        <v>#REF!</v>
      </c>
      <c r="B132" s="506">
        <v>1550</v>
      </c>
      <c r="C132" s="492">
        <v>45912</v>
      </c>
      <c r="D132" s="135"/>
      <c r="E132" s="212" t="s">
        <v>4478</v>
      </c>
      <c r="F132" s="344" t="s">
        <v>21</v>
      </c>
      <c r="G132" s="112" t="s">
        <v>4</v>
      </c>
      <c r="H132" s="493">
        <v>45912</v>
      </c>
      <c r="I132" s="25"/>
      <c r="J132" s="107" t="s">
        <v>4479</v>
      </c>
      <c r="K132" s="557"/>
      <c r="L132" s="495"/>
      <c r="M132" s="496"/>
      <c r="N132" s="497"/>
      <c r="O132" s="498"/>
      <c r="P132" s="499"/>
      <c r="Q132" s="500">
        <v>45915</v>
      </c>
      <c r="R132" s="148">
        <f t="shared" ref="R132:R195" si="7">Q132/H132</f>
        <v>1.0000653423941452</v>
      </c>
      <c r="S132" s="633" t="s">
        <v>1811</v>
      </c>
      <c r="T132" s="167"/>
    </row>
    <row r="133" spans="1:20" ht="36" customHeight="1" x14ac:dyDescent="0.3">
      <c r="A133" s="98" t="e">
        <f t="shared" si="6"/>
        <v>#REF!</v>
      </c>
      <c r="B133" s="506">
        <v>1550</v>
      </c>
      <c r="C133" s="492">
        <v>45912</v>
      </c>
      <c r="D133" s="135">
        <v>120672243</v>
      </c>
      <c r="E133" s="212" t="s">
        <v>4480</v>
      </c>
      <c r="F133" s="344" t="s">
        <v>1</v>
      </c>
      <c r="G133" s="112" t="s">
        <v>10</v>
      </c>
      <c r="H133" s="493">
        <v>45912</v>
      </c>
      <c r="I133" s="25"/>
      <c r="J133" s="100" t="s">
        <v>99</v>
      </c>
      <c r="K133" s="557"/>
      <c r="L133" s="495"/>
      <c r="M133" s="496"/>
      <c r="N133" s="497"/>
      <c r="O133" s="498"/>
      <c r="P133" s="499"/>
      <c r="Q133" s="500">
        <v>45912</v>
      </c>
      <c r="R133" s="148">
        <f t="shared" si="7"/>
        <v>1</v>
      </c>
      <c r="S133" s="633" t="s">
        <v>1806</v>
      </c>
      <c r="T133" s="69"/>
    </row>
    <row r="134" spans="1:20" ht="45" customHeight="1" x14ac:dyDescent="0.3">
      <c r="A134" s="98" t="e">
        <f t="shared" si="6"/>
        <v>#REF!</v>
      </c>
      <c r="B134" s="506">
        <v>1550</v>
      </c>
      <c r="C134" s="492">
        <v>45912</v>
      </c>
      <c r="D134" s="135">
        <v>120601842</v>
      </c>
      <c r="E134" s="212" t="s">
        <v>4481</v>
      </c>
      <c r="F134" s="344" t="s">
        <v>1</v>
      </c>
      <c r="G134" s="112" t="s">
        <v>10</v>
      </c>
      <c r="H134" s="493">
        <v>45912</v>
      </c>
      <c r="I134" s="25"/>
      <c r="J134" s="100" t="s">
        <v>3411</v>
      </c>
      <c r="K134" s="557"/>
      <c r="L134" s="508"/>
      <c r="M134" s="365"/>
      <c r="N134" s="509"/>
      <c r="O134" s="510"/>
      <c r="P134" s="511"/>
      <c r="Q134" s="500">
        <v>45912</v>
      </c>
      <c r="R134" s="148">
        <f t="shared" si="7"/>
        <v>1</v>
      </c>
      <c r="S134" s="633" t="s">
        <v>216</v>
      </c>
      <c r="T134" s="167"/>
    </row>
    <row r="135" spans="1:20" ht="39" customHeight="1" x14ac:dyDescent="0.3">
      <c r="A135" s="98" t="e">
        <f t="shared" si="6"/>
        <v>#REF!</v>
      </c>
      <c r="B135" s="506">
        <v>1550</v>
      </c>
      <c r="C135" s="492">
        <v>45912</v>
      </c>
      <c r="D135" s="135">
        <v>94523207</v>
      </c>
      <c r="E135" s="212" t="s">
        <v>4482</v>
      </c>
      <c r="F135" s="344" t="s">
        <v>12</v>
      </c>
      <c r="G135" s="112" t="s">
        <v>10</v>
      </c>
      <c r="H135" s="493">
        <v>45912</v>
      </c>
      <c r="I135" s="25"/>
      <c r="J135" s="100" t="s">
        <v>159</v>
      </c>
      <c r="K135" s="557"/>
      <c r="L135" s="495"/>
      <c r="M135" s="496"/>
      <c r="N135" s="497"/>
      <c r="O135" s="498"/>
      <c r="P135" s="499"/>
      <c r="Q135" s="500">
        <v>45912</v>
      </c>
      <c r="R135" s="148">
        <f t="shared" si="7"/>
        <v>1</v>
      </c>
      <c r="S135" s="633" t="s">
        <v>85</v>
      </c>
      <c r="T135" s="167"/>
    </row>
    <row r="136" spans="1:20" ht="43.2" x14ac:dyDescent="0.3">
      <c r="A136" s="98" t="e">
        <f t="shared" si="6"/>
        <v>#REF!</v>
      </c>
      <c r="B136" s="506" t="s">
        <v>4483</v>
      </c>
      <c r="C136" s="492">
        <v>45916</v>
      </c>
      <c r="D136" s="135">
        <v>2551179</v>
      </c>
      <c r="E136" s="212" t="s">
        <v>4484</v>
      </c>
      <c r="F136" s="344" t="s">
        <v>38</v>
      </c>
      <c r="G136" s="112" t="s">
        <v>6</v>
      </c>
      <c r="H136" s="493">
        <v>45916</v>
      </c>
      <c r="I136" s="25"/>
      <c r="J136" s="100" t="s">
        <v>253</v>
      </c>
      <c r="K136" s="558"/>
      <c r="L136" s="508"/>
      <c r="M136" s="365"/>
      <c r="N136" s="509"/>
      <c r="O136" s="510"/>
      <c r="P136" s="511"/>
      <c r="Q136" s="500">
        <v>45917</v>
      </c>
      <c r="R136" s="148">
        <f t="shared" si="7"/>
        <v>1.0000217789006012</v>
      </c>
      <c r="S136" s="633" t="s">
        <v>2597</v>
      </c>
      <c r="T136" s="344" t="s">
        <v>4485</v>
      </c>
    </row>
    <row r="137" spans="1:20" ht="43.2" x14ac:dyDescent="0.3">
      <c r="A137" s="98" t="e">
        <f t="shared" si="6"/>
        <v>#REF!</v>
      </c>
      <c r="B137" s="506" t="s">
        <v>1826</v>
      </c>
      <c r="C137" s="492">
        <v>45916</v>
      </c>
      <c r="D137" s="135">
        <v>106546104</v>
      </c>
      <c r="E137" s="212" t="s">
        <v>4486</v>
      </c>
      <c r="F137" s="344" t="s">
        <v>12</v>
      </c>
      <c r="G137" s="112" t="s">
        <v>4</v>
      </c>
      <c r="H137" s="493">
        <v>45916</v>
      </c>
      <c r="I137" s="25"/>
      <c r="J137" s="100" t="s">
        <v>159</v>
      </c>
      <c r="K137" s="626"/>
      <c r="L137" s="508"/>
      <c r="M137" s="365"/>
      <c r="N137" s="509"/>
      <c r="O137" s="510"/>
      <c r="P137" s="511"/>
      <c r="Q137" s="500">
        <v>45916</v>
      </c>
      <c r="R137" s="148">
        <f t="shared" si="7"/>
        <v>1</v>
      </c>
      <c r="S137" s="633" t="s">
        <v>3020</v>
      </c>
      <c r="T137" s="69"/>
    </row>
    <row r="138" spans="1:20" ht="43.2" x14ac:dyDescent="0.3">
      <c r="A138" s="98" t="e">
        <f t="shared" si="6"/>
        <v>#REF!</v>
      </c>
      <c r="B138" s="506" t="s">
        <v>301</v>
      </c>
      <c r="C138" s="492">
        <v>45916</v>
      </c>
      <c r="D138" s="135">
        <v>106546104</v>
      </c>
      <c r="E138" s="212" t="s">
        <v>4486</v>
      </c>
      <c r="F138" s="344" t="s">
        <v>12</v>
      </c>
      <c r="G138" s="112" t="s">
        <v>4</v>
      </c>
      <c r="H138" s="493">
        <v>45916</v>
      </c>
      <c r="I138" s="25"/>
      <c r="J138" s="100" t="s">
        <v>159</v>
      </c>
      <c r="K138" s="558"/>
      <c r="L138" s="508"/>
      <c r="M138" s="365"/>
      <c r="N138" s="509"/>
      <c r="O138" s="510"/>
      <c r="P138" s="511"/>
      <c r="Q138" s="500">
        <v>45918</v>
      </c>
      <c r="R138" s="148">
        <f t="shared" si="7"/>
        <v>1.0000435578012021</v>
      </c>
      <c r="S138" s="633" t="s">
        <v>720</v>
      </c>
      <c r="T138" s="69"/>
    </row>
    <row r="139" spans="1:20" ht="43.2" x14ac:dyDescent="0.3">
      <c r="A139" s="98" t="e">
        <f t="shared" si="6"/>
        <v>#REF!</v>
      </c>
      <c r="B139" s="506" t="s">
        <v>301</v>
      </c>
      <c r="C139" s="492">
        <v>45916</v>
      </c>
      <c r="D139" s="135">
        <v>85832421</v>
      </c>
      <c r="E139" s="212" t="s">
        <v>4487</v>
      </c>
      <c r="F139" s="344" t="s">
        <v>23</v>
      </c>
      <c r="G139" s="112" t="s">
        <v>8</v>
      </c>
      <c r="H139" s="493">
        <v>45916</v>
      </c>
      <c r="I139" s="25"/>
      <c r="J139" s="100" t="s">
        <v>135</v>
      </c>
      <c r="K139" s="494"/>
      <c r="L139" s="495"/>
      <c r="M139" s="496"/>
      <c r="N139" s="497"/>
      <c r="O139" s="498"/>
      <c r="P139" s="499"/>
      <c r="Q139" s="500">
        <v>45918</v>
      </c>
      <c r="R139" s="148">
        <f t="shared" si="7"/>
        <v>1.0000435578012021</v>
      </c>
      <c r="S139" s="633" t="s">
        <v>3952</v>
      </c>
      <c r="T139" s="69"/>
    </row>
    <row r="140" spans="1:20" ht="28.8" x14ac:dyDescent="0.3">
      <c r="A140" s="98" t="e">
        <f t="shared" si="6"/>
        <v>#REF!</v>
      </c>
      <c r="B140" s="506" t="s">
        <v>80</v>
      </c>
      <c r="C140" s="492">
        <v>45916</v>
      </c>
      <c r="D140" s="135">
        <v>95127283</v>
      </c>
      <c r="E140" s="212" t="s">
        <v>4488</v>
      </c>
      <c r="F140" s="344" t="s">
        <v>3</v>
      </c>
      <c r="G140" s="112" t="s">
        <v>8</v>
      </c>
      <c r="H140" s="493">
        <v>45916</v>
      </c>
      <c r="I140" s="25"/>
      <c r="J140" s="100" t="s">
        <v>82</v>
      </c>
      <c r="K140" s="558"/>
      <c r="L140" s="508"/>
      <c r="M140" s="365"/>
      <c r="N140" s="509"/>
      <c r="O140" s="510"/>
      <c r="P140" s="511"/>
      <c r="Q140" s="500">
        <v>45937</v>
      </c>
      <c r="R140" s="148">
        <f t="shared" si="7"/>
        <v>1.0004573569126229</v>
      </c>
      <c r="S140" s="633" t="s">
        <v>4489</v>
      </c>
      <c r="T140" s="69"/>
    </row>
    <row r="141" spans="1:20" ht="28.8" x14ac:dyDescent="0.3">
      <c r="A141" s="98" t="e">
        <f t="shared" si="6"/>
        <v>#REF!</v>
      </c>
      <c r="B141" s="195" t="s">
        <v>80</v>
      </c>
      <c r="C141" s="603">
        <v>45916</v>
      </c>
      <c r="D141" s="135">
        <v>80224377</v>
      </c>
      <c r="E141" s="270" t="s">
        <v>4490</v>
      </c>
      <c r="F141" s="344" t="s">
        <v>24</v>
      </c>
      <c r="G141" s="112" t="s">
        <v>8</v>
      </c>
      <c r="H141" s="493">
        <v>45916</v>
      </c>
      <c r="I141" s="25"/>
      <c r="J141" s="100" t="s">
        <v>2536</v>
      </c>
      <c r="K141" s="558"/>
      <c r="L141" s="508"/>
      <c r="M141" s="365"/>
      <c r="N141" s="509"/>
      <c r="O141" s="510"/>
      <c r="P141" s="511"/>
      <c r="Q141" s="500">
        <v>45917</v>
      </c>
      <c r="R141" s="148">
        <f t="shared" si="7"/>
        <v>1.0000217789006012</v>
      </c>
      <c r="S141" s="633" t="s">
        <v>4489</v>
      </c>
      <c r="T141" s="69"/>
    </row>
    <row r="142" spans="1:20" ht="43.2" x14ac:dyDescent="0.3">
      <c r="A142" s="98" t="e">
        <f t="shared" si="6"/>
        <v>#REF!</v>
      </c>
      <c r="B142" s="506" t="s">
        <v>1826</v>
      </c>
      <c r="C142" s="492">
        <v>45916</v>
      </c>
      <c r="D142" s="135"/>
      <c r="E142" s="212" t="s">
        <v>4491</v>
      </c>
      <c r="F142" s="344" t="s">
        <v>21</v>
      </c>
      <c r="G142" s="112" t="s">
        <v>4</v>
      </c>
      <c r="H142" s="493">
        <v>45916</v>
      </c>
      <c r="I142" s="25"/>
      <c r="J142" s="100" t="s">
        <v>99</v>
      </c>
      <c r="K142" s="558"/>
      <c r="L142" s="508"/>
      <c r="M142" s="365"/>
      <c r="N142" s="509"/>
      <c r="O142" s="510"/>
      <c r="P142" s="511"/>
      <c r="Q142" s="500">
        <v>45918</v>
      </c>
      <c r="R142" s="148">
        <f t="shared" si="7"/>
        <v>1.0000435578012021</v>
      </c>
      <c r="S142" s="633" t="s">
        <v>4489</v>
      </c>
      <c r="T142" s="69"/>
    </row>
    <row r="143" spans="1:20" ht="43.2" x14ac:dyDescent="0.3">
      <c r="A143" s="98" t="e">
        <f t="shared" si="6"/>
        <v>#REF!</v>
      </c>
      <c r="B143" s="506" t="s">
        <v>301</v>
      </c>
      <c r="C143" s="492">
        <v>45916</v>
      </c>
      <c r="D143" s="135">
        <v>102325642</v>
      </c>
      <c r="E143" s="212" t="s">
        <v>4492</v>
      </c>
      <c r="F143" s="344" t="s">
        <v>1</v>
      </c>
      <c r="G143" s="112" t="s">
        <v>8</v>
      </c>
      <c r="H143" s="493">
        <v>45916</v>
      </c>
      <c r="I143" s="25"/>
      <c r="J143" s="107" t="s">
        <v>1260</v>
      </c>
      <c r="K143" s="558"/>
      <c r="L143" s="508"/>
      <c r="M143" s="365"/>
      <c r="N143" s="509"/>
      <c r="O143" s="510"/>
      <c r="P143" s="511"/>
      <c r="Q143" s="500">
        <v>45916</v>
      </c>
      <c r="R143" s="148">
        <f t="shared" si="7"/>
        <v>1</v>
      </c>
      <c r="S143" s="633" t="s">
        <v>3952</v>
      </c>
      <c r="T143" s="69"/>
    </row>
    <row r="144" spans="1:20" ht="43.2" x14ac:dyDescent="0.3">
      <c r="A144" s="98" t="e">
        <f t="shared" si="6"/>
        <v>#REF!</v>
      </c>
      <c r="B144" s="506">
        <v>1550</v>
      </c>
      <c r="C144" s="492">
        <v>45916</v>
      </c>
      <c r="D144" s="135">
        <v>120670674</v>
      </c>
      <c r="E144" s="212" t="s">
        <v>4493</v>
      </c>
      <c r="F144" s="344" t="s">
        <v>1</v>
      </c>
      <c r="G144" s="112" t="s">
        <v>4</v>
      </c>
      <c r="H144" s="493">
        <v>45916</v>
      </c>
      <c r="I144" s="25"/>
      <c r="J144" s="100" t="s">
        <v>2367</v>
      </c>
      <c r="K144" s="558"/>
      <c r="L144" s="508"/>
      <c r="M144" s="365"/>
      <c r="N144" s="509"/>
      <c r="O144" s="510"/>
      <c r="P144" s="511"/>
      <c r="Q144" s="500">
        <v>45919</v>
      </c>
      <c r="R144" s="148">
        <f t="shared" si="7"/>
        <v>1.0000653367018033</v>
      </c>
      <c r="S144" s="633" t="s">
        <v>4494</v>
      </c>
      <c r="T144" s="167"/>
    </row>
    <row r="145" spans="1:20" ht="28.8" x14ac:dyDescent="0.3">
      <c r="A145" s="98" t="e">
        <f t="shared" si="6"/>
        <v>#REF!</v>
      </c>
      <c r="B145" s="506" t="s">
        <v>1826</v>
      </c>
      <c r="C145" s="492">
        <v>45916</v>
      </c>
      <c r="D145" s="135">
        <v>53235096</v>
      </c>
      <c r="E145" s="212" t="s">
        <v>4495</v>
      </c>
      <c r="F145" s="344" t="s">
        <v>3</v>
      </c>
      <c r="G145" s="112" t="s">
        <v>4</v>
      </c>
      <c r="H145" s="493">
        <v>45916</v>
      </c>
      <c r="I145" s="25"/>
      <c r="J145" s="100" t="s">
        <v>3411</v>
      </c>
      <c r="K145" s="494"/>
      <c r="L145" s="495"/>
      <c r="M145" s="496"/>
      <c r="N145" s="497"/>
      <c r="O145" s="498"/>
      <c r="P145" s="499"/>
      <c r="Q145" s="500">
        <v>45917</v>
      </c>
      <c r="R145" s="148">
        <f t="shared" si="7"/>
        <v>1.0000217789006012</v>
      </c>
      <c r="S145" s="633" t="s">
        <v>720</v>
      </c>
      <c r="T145" s="69"/>
    </row>
    <row r="146" spans="1:20" ht="43.2" x14ac:dyDescent="0.3">
      <c r="A146" s="98" t="e">
        <f t="shared" si="6"/>
        <v>#REF!</v>
      </c>
      <c r="B146" s="506">
        <v>1550</v>
      </c>
      <c r="C146" s="492">
        <v>45917</v>
      </c>
      <c r="D146" s="135">
        <v>32286236</v>
      </c>
      <c r="E146" s="212" t="s">
        <v>4496</v>
      </c>
      <c r="F146" s="344" t="s">
        <v>1</v>
      </c>
      <c r="G146" s="112" t="s">
        <v>6</v>
      </c>
      <c r="H146" s="493">
        <v>45917</v>
      </c>
      <c r="I146" s="25"/>
      <c r="J146" s="107" t="s">
        <v>2352</v>
      </c>
      <c r="K146" s="507"/>
      <c r="L146" s="508"/>
      <c r="M146" s="365"/>
      <c r="N146" s="509"/>
      <c r="O146" s="510"/>
      <c r="P146" s="511"/>
      <c r="Q146" s="500">
        <v>45918</v>
      </c>
      <c r="R146" s="148">
        <f t="shared" si="7"/>
        <v>1.0000217784262908</v>
      </c>
      <c r="S146" s="633" t="s">
        <v>3783</v>
      </c>
      <c r="T146" s="167"/>
    </row>
    <row r="147" spans="1:20" ht="28.8" x14ac:dyDescent="0.3">
      <c r="A147" s="98" t="e">
        <f t="shared" si="6"/>
        <v>#REF!</v>
      </c>
      <c r="B147" s="506">
        <v>1550</v>
      </c>
      <c r="C147" s="492">
        <v>45917</v>
      </c>
      <c r="D147" s="135">
        <v>96206586</v>
      </c>
      <c r="E147" s="270" t="s">
        <v>4497</v>
      </c>
      <c r="F147" s="344" t="s">
        <v>3</v>
      </c>
      <c r="G147" s="112" t="s">
        <v>8</v>
      </c>
      <c r="H147" s="493">
        <v>45917</v>
      </c>
      <c r="I147" s="25"/>
      <c r="J147" s="100" t="s">
        <v>82</v>
      </c>
      <c r="K147" s="507"/>
      <c r="L147" s="508"/>
      <c r="M147" s="365"/>
      <c r="N147" s="509"/>
      <c r="O147" s="510"/>
      <c r="P147" s="511"/>
      <c r="Q147" s="500">
        <v>45951</v>
      </c>
      <c r="R147" s="148">
        <f t="shared" si="7"/>
        <v>1.0007404664938913</v>
      </c>
      <c r="S147" s="633" t="s">
        <v>479</v>
      </c>
      <c r="T147" s="167"/>
    </row>
    <row r="148" spans="1:20" ht="72" x14ac:dyDescent="0.3">
      <c r="A148" s="98" t="e">
        <f t="shared" si="6"/>
        <v>#REF!</v>
      </c>
      <c r="B148" s="506">
        <v>1550</v>
      </c>
      <c r="C148" s="492">
        <v>45917</v>
      </c>
      <c r="D148" s="135">
        <v>30477832</v>
      </c>
      <c r="E148" s="270" t="s">
        <v>4498</v>
      </c>
      <c r="F148" s="344" t="s">
        <v>1</v>
      </c>
      <c r="G148" s="112" t="s">
        <v>6</v>
      </c>
      <c r="H148" s="493">
        <v>45917</v>
      </c>
      <c r="I148" s="25"/>
      <c r="J148" s="107" t="s">
        <v>4479</v>
      </c>
      <c r="K148" s="494"/>
      <c r="L148" s="495"/>
      <c r="M148" s="496"/>
      <c r="N148" s="497"/>
      <c r="O148" s="498"/>
      <c r="P148" s="499"/>
      <c r="Q148" s="500">
        <v>45917</v>
      </c>
      <c r="R148" s="148">
        <f t="shared" si="7"/>
        <v>1</v>
      </c>
      <c r="S148" s="633" t="s">
        <v>1811</v>
      </c>
      <c r="T148" s="69"/>
    </row>
    <row r="149" spans="1:20" ht="28.8" x14ac:dyDescent="0.3">
      <c r="A149" s="98" t="e">
        <f t="shared" si="6"/>
        <v>#REF!</v>
      </c>
      <c r="B149" s="506" t="s">
        <v>80</v>
      </c>
      <c r="C149" s="492">
        <v>45917</v>
      </c>
      <c r="D149" s="135">
        <v>71882375</v>
      </c>
      <c r="E149" s="270" t="s">
        <v>4499</v>
      </c>
      <c r="F149" s="344" t="s">
        <v>17</v>
      </c>
      <c r="G149" s="112" t="s">
        <v>8</v>
      </c>
      <c r="H149" s="493">
        <v>45917</v>
      </c>
      <c r="I149" s="25"/>
      <c r="J149" s="100" t="s">
        <v>82</v>
      </c>
      <c r="K149" s="507"/>
      <c r="L149" s="508"/>
      <c r="M149" s="365"/>
      <c r="N149" s="509"/>
      <c r="O149" s="510"/>
      <c r="P149" s="511"/>
      <c r="Q149" s="500">
        <v>45918</v>
      </c>
      <c r="R149" s="148">
        <f t="shared" si="7"/>
        <v>1.0000217784262908</v>
      </c>
      <c r="S149" s="633" t="s">
        <v>4127</v>
      </c>
      <c r="T149" s="69"/>
    </row>
    <row r="150" spans="1:20" ht="28.8" x14ac:dyDescent="0.3">
      <c r="A150" s="98" t="e">
        <f t="shared" si="6"/>
        <v>#REF!</v>
      </c>
      <c r="B150" s="506" t="s">
        <v>1826</v>
      </c>
      <c r="C150" s="492">
        <v>45917</v>
      </c>
      <c r="D150" s="135">
        <v>80602347</v>
      </c>
      <c r="E150" s="270" t="s">
        <v>4500</v>
      </c>
      <c r="F150" s="344" t="s">
        <v>23</v>
      </c>
      <c r="G150" s="112" t="s">
        <v>4</v>
      </c>
      <c r="H150" s="493">
        <v>45917</v>
      </c>
      <c r="I150" s="25"/>
      <c r="J150" s="107" t="s">
        <v>135</v>
      </c>
      <c r="K150" s="494"/>
      <c r="L150" s="495"/>
      <c r="M150" s="496"/>
      <c r="N150" s="497"/>
      <c r="O150" s="498"/>
      <c r="P150" s="499"/>
      <c r="Q150" s="500">
        <v>45933</v>
      </c>
      <c r="R150" s="148">
        <f t="shared" si="7"/>
        <v>1.0003484548206547</v>
      </c>
      <c r="S150" s="633" t="s">
        <v>3020</v>
      </c>
      <c r="T150" s="69" t="s">
        <v>4501</v>
      </c>
    </row>
    <row r="151" spans="1:20" ht="57.6" x14ac:dyDescent="0.3">
      <c r="A151" s="98" t="e">
        <f t="shared" si="6"/>
        <v>#REF!</v>
      </c>
      <c r="B151" s="506">
        <v>1550</v>
      </c>
      <c r="C151" s="492">
        <v>45917</v>
      </c>
      <c r="D151" s="135">
        <v>55964508</v>
      </c>
      <c r="E151" s="270" t="s">
        <v>4502</v>
      </c>
      <c r="F151" s="344" t="s">
        <v>1</v>
      </c>
      <c r="G151" s="112" t="s">
        <v>6</v>
      </c>
      <c r="H151" s="493">
        <v>45917</v>
      </c>
      <c r="I151" s="25"/>
      <c r="J151" s="107" t="s">
        <v>2544</v>
      </c>
      <c r="K151" s="494"/>
      <c r="L151" s="495"/>
      <c r="M151" s="496"/>
      <c r="N151" s="497"/>
      <c r="O151" s="498"/>
      <c r="P151" s="499"/>
      <c r="Q151" s="500">
        <v>45917</v>
      </c>
      <c r="R151" s="148">
        <f t="shared" si="7"/>
        <v>1</v>
      </c>
      <c r="S151" s="633" t="s">
        <v>1312</v>
      </c>
      <c r="T151" s="69"/>
    </row>
    <row r="152" spans="1:20" ht="28.8" x14ac:dyDescent="0.3">
      <c r="A152" s="98" t="e">
        <f t="shared" si="6"/>
        <v>#REF!</v>
      </c>
      <c r="B152" s="506">
        <v>1550</v>
      </c>
      <c r="C152" s="492">
        <v>45917</v>
      </c>
      <c r="D152" s="135">
        <v>120673770</v>
      </c>
      <c r="E152" s="270" t="s">
        <v>4503</v>
      </c>
      <c r="F152" s="344" t="s">
        <v>1</v>
      </c>
      <c r="G152" s="112" t="s">
        <v>4</v>
      </c>
      <c r="H152" s="493">
        <v>45917</v>
      </c>
      <c r="I152" s="25"/>
      <c r="J152" s="107" t="s">
        <v>2544</v>
      </c>
      <c r="K152" s="494"/>
      <c r="L152" s="495"/>
      <c r="M152" s="496"/>
      <c r="N152" s="497"/>
      <c r="O152" s="498"/>
      <c r="P152" s="499"/>
      <c r="Q152" s="500">
        <v>45918</v>
      </c>
      <c r="R152" s="148">
        <f t="shared" si="7"/>
        <v>1.0000217784262908</v>
      </c>
      <c r="S152" s="633" t="s">
        <v>4489</v>
      </c>
      <c r="T152" s="315"/>
    </row>
    <row r="153" spans="1:20" ht="43.2" x14ac:dyDescent="0.3">
      <c r="A153" s="98" t="e">
        <f t="shared" ref="A153:A216" si="8">A152+1</f>
        <v>#REF!</v>
      </c>
      <c r="B153" s="506">
        <v>1550</v>
      </c>
      <c r="C153" s="492">
        <v>45918</v>
      </c>
      <c r="D153" s="135">
        <v>44509847</v>
      </c>
      <c r="E153" s="635" t="s">
        <v>4504</v>
      </c>
      <c r="F153" s="344" t="s">
        <v>32</v>
      </c>
      <c r="G153" s="112" t="s">
        <v>4</v>
      </c>
      <c r="H153" s="493">
        <v>45918</v>
      </c>
      <c r="I153" s="25"/>
      <c r="J153" s="107" t="s">
        <v>106</v>
      </c>
      <c r="K153" s="494"/>
      <c r="L153" s="495"/>
      <c r="M153" s="496"/>
      <c r="N153" s="497"/>
      <c r="O153" s="498"/>
      <c r="P153" s="499"/>
      <c r="Q153" s="500">
        <v>45939</v>
      </c>
      <c r="R153" s="148">
        <f t="shared" si="7"/>
        <v>1.0004573369920293</v>
      </c>
      <c r="S153" s="633" t="s">
        <v>4494</v>
      </c>
      <c r="T153" s="69"/>
    </row>
    <row r="154" spans="1:20" ht="43.2" x14ac:dyDescent="0.3">
      <c r="A154" s="98" t="e">
        <f t="shared" si="8"/>
        <v>#REF!</v>
      </c>
      <c r="B154" s="506">
        <v>1550</v>
      </c>
      <c r="C154" s="492">
        <v>45918</v>
      </c>
      <c r="D154" s="135">
        <v>162865856</v>
      </c>
      <c r="E154" s="635" t="s">
        <v>4505</v>
      </c>
      <c r="F154" s="344" t="s">
        <v>12</v>
      </c>
      <c r="G154" s="112" t="s">
        <v>6</v>
      </c>
      <c r="H154" s="493">
        <v>45918</v>
      </c>
      <c r="I154" s="25"/>
      <c r="J154" s="100" t="s">
        <v>159</v>
      </c>
      <c r="K154" s="494"/>
      <c r="L154" s="495"/>
      <c r="M154" s="496"/>
      <c r="N154" s="497"/>
      <c r="O154" s="498"/>
      <c r="P154" s="499"/>
      <c r="Q154" s="500">
        <v>45796</v>
      </c>
      <c r="R154" s="148">
        <f t="shared" si="7"/>
        <v>0.99734308985582998</v>
      </c>
      <c r="S154" s="633" t="s">
        <v>1860</v>
      </c>
      <c r="T154" s="69"/>
    </row>
    <row r="155" spans="1:20" ht="28.8" x14ac:dyDescent="0.3">
      <c r="A155" s="98" t="e">
        <f t="shared" si="8"/>
        <v>#REF!</v>
      </c>
      <c r="B155" s="506">
        <v>1550</v>
      </c>
      <c r="C155" s="492">
        <v>45918</v>
      </c>
      <c r="D155" s="135"/>
      <c r="E155" s="270" t="s">
        <v>4506</v>
      </c>
      <c r="F155" s="344" t="s">
        <v>21</v>
      </c>
      <c r="G155" s="112" t="s">
        <v>8</v>
      </c>
      <c r="H155" s="493">
        <v>45918</v>
      </c>
      <c r="I155" s="25"/>
      <c r="J155" s="107" t="s">
        <v>3724</v>
      </c>
      <c r="K155" s="494"/>
      <c r="L155" s="495"/>
      <c r="M155" s="496"/>
      <c r="N155" s="497"/>
      <c r="O155" s="498"/>
      <c r="P155" s="499"/>
      <c r="Q155" s="500">
        <v>45924</v>
      </c>
      <c r="R155" s="148">
        <f t="shared" si="7"/>
        <v>1.0001306677120083</v>
      </c>
      <c r="S155" s="633" t="s">
        <v>270</v>
      </c>
      <c r="T155" s="315"/>
    </row>
    <row r="156" spans="1:20" ht="43.2" x14ac:dyDescent="0.3">
      <c r="A156" s="98" t="e">
        <f t="shared" si="8"/>
        <v>#REF!</v>
      </c>
      <c r="B156" s="506">
        <v>1550</v>
      </c>
      <c r="C156" s="492">
        <v>45918</v>
      </c>
      <c r="D156" s="135">
        <v>54126347</v>
      </c>
      <c r="E156" s="270" t="s">
        <v>4507</v>
      </c>
      <c r="F156" s="344" t="s">
        <v>49</v>
      </c>
      <c r="G156" s="112" t="s">
        <v>6</v>
      </c>
      <c r="H156" s="493">
        <v>45918</v>
      </c>
      <c r="I156" s="25"/>
      <c r="J156" s="107" t="s">
        <v>266</v>
      </c>
      <c r="K156" s="494"/>
      <c r="L156" s="495"/>
      <c r="M156" s="496"/>
      <c r="N156" s="497"/>
      <c r="O156" s="498"/>
      <c r="P156" s="499"/>
      <c r="Q156" s="500">
        <v>45918</v>
      </c>
      <c r="R156" s="148">
        <f t="shared" si="7"/>
        <v>1</v>
      </c>
      <c r="S156" s="633" t="s">
        <v>1893</v>
      </c>
      <c r="T156" s="167"/>
    </row>
    <row r="157" spans="1:20" ht="100.8" x14ac:dyDescent="0.3">
      <c r="A157" s="98" t="e">
        <f t="shared" si="8"/>
        <v>#REF!</v>
      </c>
      <c r="B157" s="506">
        <v>1550</v>
      </c>
      <c r="C157" s="492">
        <v>45918</v>
      </c>
      <c r="D157" s="135"/>
      <c r="E157" s="270" t="s">
        <v>4508</v>
      </c>
      <c r="F157" s="344" t="s">
        <v>12</v>
      </c>
      <c r="G157" s="112" t="s">
        <v>6</v>
      </c>
      <c r="H157" s="493">
        <v>45918</v>
      </c>
      <c r="I157" s="25"/>
      <c r="J157" s="100" t="s">
        <v>159</v>
      </c>
      <c r="K157" s="494"/>
      <c r="L157" s="495"/>
      <c r="M157" s="496"/>
      <c r="N157" s="497"/>
      <c r="O157" s="498"/>
      <c r="P157" s="499"/>
      <c r="Q157" s="500">
        <v>45919</v>
      </c>
      <c r="R157" s="148">
        <f t="shared" si="7"/>
        <v>1.0000217779520013</v>
      </c>
      <c r="S157" s="633" t="s">
        <v>1936</v>
      </c>
      <c r="T157" s="167"/>
    </row>
    <row r="158" spans="1:20" ht="158.4" x14ac:dyDescent="0.3">
      <c r="A158" s="98" t="e">
        <f t="shared" si="8"/>
        <v>#REF!</v>
      </c>
      <c r="B158" s="506">
        <v>1550</v>
      </c>
      <c r="C158" s="492">
        <v>45919</v>
      </c>
      <c r="D158" s="135">
        <v>2330067</v>
      </c>
      <c r="E158" s="270" t="s">
        <v>4509</v>
      </c>
      <c r="F158" s="344" t="s">
        <v>48</v>
      </c>
      <c r="G158" s="112" t="s">
        <v>4</v>
      </c>
      <c r="H158" s="493">
        <v>45919</v>
      </c>
      <c r="I158" s="25"/>
      <c r="J158" s="100" t="s">
        <v>99</v>
      </c>
      <c r="K158" s="494"/>
      <c r="L158" s="495"/>
      <c r="M158" s="496"/>
      <c r="N158" s="497"/>
      <c r="O158" s="498"/>
      <c r="P158" s="499"/>
      <c r="Q158" s="500">
        <v>45919</v>
      </c>
      <c r="R158" s="148">
        <f t="shared" si="7"/>
        <v>1</v>
      </c>
      <c r="S158" s="633" t="s">
        <v>2974</v>
      </c>
      <c r="T158" s="167" t="s">
        <v>4510</v>
      </c>
    </row>
    <row r="159" spans="1:20" ht="43.2" x14ac:dyDescent="0.3">
      <c r="A159" s="98" t="e">
        <f t="shared" si="8"/>
        <v>#REF!</v>
      </c>
      <c r="B159" s="506">
        <v>1550</v>
      </c>
      <c r="C159" s="492">
        <v>45919</v>
      </c>
      <c r="D159" s="135">
        <v>87262177</v>
      </c>
      <c r="E159" s="270" t="s">
        <v>4511</v>
      </c>
      <c r="F159" s="344" t="s">
        <v>3</v>
      </c>
      <c r="G159" s="112" t="s">
        <v>4</v>
      </c>
      <c r="H159" s="493">
        <v>45919</v>
      </c>
      <c r="I159" s="25"/>
      <c r="J159" s="100" t="s">
        <v>82</v>
      </c>
      <c r="K159" s="494"/>
      <c r="L159" s="495"/>
      <c r="M159" s="496"/>
      <c r="N159" s="497"/>
      <c r="O159" s="498"/>
      <c r="P159" s="499"/>
      <c r="Q159" s="500">
        <v>45930</v>
      </c>
      <c r="R159" s="148">
        <f t="shared" si="7"/>
        <v>1.0002395522550578</v>
      </c>
      <c r="S159" s="633" t="s">
        <v>4494</v>
      </c>
      <c r="T159" s="167"/>
    </row>
    <row r="160" spans="1:20" ht="28.8" x14ac:dyDescent="0.3">
      <c r="A160" s="98" t="e">
        <f t="shared" si="8"/>
        <v>#REF!</v>
      </c>
      <c r="B160" s="506">
        <v>1550</v>
      </c>
      <c r="C160" s="492">
        <v>45919</v>
      </c>
      <c r="D160" s="135">
        <v>6790682</v>
      </c>
      <c r="E160" s="270" t="s">
        <v>4512</v>
      </c>
      <c r="F160" s="344" t="s">
        <v>1</v>
      </c>
      <c r="G160" s="112" t="s">
        <v>4</v>
      </c>
      <c r="H160" s="493">
        <v>45919</v>
      </c>
      <c r="I160" s="25"/>
      <c r="J160" s="100" t="s">
        <v>2506</v>
      </c>
      <c r="K160" s="494"/>
      <c r="L160" s="495"/>
      <c r="M160" s="496"/>
      <c r="N160" s="497"/>
      <c r="O160" s="498"/>
      <c r="P160" s="499"/>
      <c r="Q160" s="500">
        <v>45923</v>
      </c>
      <c r="R160" s="148">
        <f t="shared" si="7"/>
        <v>1.0000871099109301</v>
      </c>
      <c r="S160" s="633" t="s">
        <v>151</v>
      </c>
      <c r="T160" s="69"/>
    </row>
    <row r="161" spans="1:20" ht="28.8" x14ac:dyDescent="0.3">
      <c r="A161" s="98" t="e">
        <f t="shared" si="8"/>
        <v>#REF!</v>
      </c>
      <c r="B161" s="506">
        <v>1550</v>
      </c>
      <c r="C161" s="492">
        <v>45919</v>
      </c>
      <c r="D161" s="135">
        <v>71703926</v>
      </c>
      <c r="E161" s="264" t="s">
        <v>4513</v>
      </c>
      <c r="F161" s="344" t="s">
        <v>1</v>
      </c>
      <c r="G161" s="112" t="s">
        <v>4</v>
      </c>
      <c r="H161" s="493">
        <v>45919</v>
      </c>
      <c r="I161" s="25"/>
      <c r="J161" s="107" t="s">
        <v>2432</v>
      </c>
      <c r="K161" s="494"/>
      <c r="L161" s="495"/>
      <c r="M161" s="496"/>
      <c r="N161" s="497"/>
      <c r="O161" s="498"/>
      <c r="P161" s="499"/>
      <c r="Q161" s="500">
        <v>45923</v>
      </c>
      <c r="R161" s="148">
        <f t="shared" si="7"/>
        <v>1.0000871099109301</v>
      </c>
      <c r="S161" s="633" t="s">
        <v>720</v>
      </c>
      <c r="T161" s="69"/>
    </row>
    <row r="162" spans="1:20" ht="28.8" x14ac:dyDescent="0.3">
      <c r="A162" s="98" t="e">
        <f t="shared" si="8"/>
        <v>#REF!</v>
      </c>
      <c r="B162" s="553" t="s">
        <v>80</v>
      </c>
      <c r="C162" s="556">
        <v>45922</v>
      </c>
      <c r="D162" s="135">
        <v>120675420</v>
      </c>
      <c r="E162" s="290" t="s">
        <v>4514</v>
      </c>
      <c r="F162" s="416" t="s">
        <v>1</v>
      </c>
      <c r="G162" s="417" t="s">
        <v>4</v>
      </c>
      <c r="H162" s="560">
        <v>45922</v>
      </c>
      <c r="I162" s="561"/>
      <c r="J162" s="489" t="s">
        <v>2271</v>
      </c>
      <c r="K162" s="562"/>
      <c r="L162" s="563"/>
      <c r="M162" s="496"/>
      <c r="N162" s="497"/>
      <c r="O162" s="498"/>
      <c r="P162" s="499"/>
      <c r="Q162" s="500">
        <v>45922</v>
      </c>
      <c r="R162" s="148">
        <f t="shared" si="7"/>
        <v>1</v>
      </c>
      <c r="S162" s="633" t="s">
        <v>3020</v>
      </c>
      <c r="T162" s="69"/>
    </row>
    <row r="163" spans="1:20" ht="28.8" x14ac:dyDescent="0.3">
      <c r="A163" s="98" t="e">
        <f t="shared" si="8"/>
        <v>#REF!</v>
      </c>
      <c r="B163" s="111" t="s">
        <v>80</v>
      </c>
      <c r="C163" s="512">
        <v>45922</v>
      </c>
      <c r="D163" s="219">
        <v>94969434</v>
      </c>
      <c r="E163" s="254" t="s">
        <v>4515</v>
      </c>
      <c r="F163" s="111" t="s">
        <v>1</v>
      </c>
      <c r="G163" s="125" t="s">
        <v>4</v>
      </c>
      <c r="H163" s="568">
        <v>45922</v>
      </c>
      <c r="I163" s="341"/>
      <c r="J163" s="125" t="s">
        <v>2352</v>
      </c>
      <c r="K163" s="569"/>
      <c r="L163" s="570"/>
      <c r="M163" s="665"/>
      <c r="N163" s="497"/>
      <c r="O163" s="498"/>
      <c r="P163" s="499"/>
      <c r="Q163" s="500">
        <v>45923</v>
      </c>
      <c r="R163" s="148">
        <f t="shared" si="7"/>
        <v>1.0000217760550498</v>
      </c>
      <c r="S163" s="633" t="s">
        <v>3020</v>
      </c>
      <c r="T163" s="69"/>
    </row>
    <row r="164" spans="1:20" ht="43.2" x14ac:dyDescent="0.3">
      <c r="A164" s="98" t="e">
        <f t="shared" si="8"/>
        <v>#REF!</v>
      </c>
      <c r="B164" s="111" t="s">
        <v>80</v>
      </c>
      <c r="C164" s="512">
        <v>45922</v>
      </c>
      <c r="D164" s="219"/>
      <c r="E164" s="254" t="s">
        <v>4516</v>
      </c>
      <c r="F164" s="111" t="s">
        <v>21</v>
      </c>
      <c r="G164" s="125" t="s">
        <v>8</v>
      </c>
      <c r="H164" s="568">
        <v>45922</v>
      </c>
      <c r="I164" s="341"/>
      <c r="J164" s="100" t="s">
        <v>99</v>
      </c>
      <c r="K164" s="569"/>
      <c r="L164" s="570"/>
      <c r="M164" s="666"/>
      <c r="N164" s="565"/>
      <c r="O164" s="566"/>
      <c r="P164" s="567"/>
      <c r="Q164" s="500">
        <v>45922</v>
      </c>
      <c r="R164" s="148">
        <f t="shared" si="7"/>
        <v>1</v>
      </c>
      <c r="S164" s="633" t="s">
        <v>4127</v>
      </c>
      <c r="T164" s="69"/>
    </row>
    <row r="165" spans="1:20" ht="43.2" x14ac:dyDescent="0.3">
      <c r="A165" s="98" t="e">
        <f t="shared" si="8"/>
        <v>#REF!</v>
      </c>
      <c r="B165" s="111" t="s">
        <v>80</v>
      </c>
      <c r="C165" s="512">
        <v>45922</v>
      </c>
      <c r="D165" s="219">
        <v>81431821</v>
      </c>
      <c r="E165" s="109" t="s">
        <v>4517</v>
      </c>
      <c r="F165" s="111" t="s">
        <v>7</v>
      </c>
      <c r="G165" s="125" t="s">
        <v>8</v>
      </c>
      <c r="H165" s="568">
        <v>45922</v>
      </c>
      <c r="I165" s="341"/>
      <c r="J165" s="727" t="s">
        <v>99</v>
      </c>
      <c r="K165" s="569"/>
      <c r="L165" s="570"/>
      <c r="M165" s="667"/>
      <c r="N165" s="571"/>
      <c r="O165" s="572"/>
      <c r="P165" s="572"/>
      <c r="Q165" s="500">
        <v>45937</v>
      </c>
      <c r="R165" s="148">
        <f t="shared" si="7"/>
        <v>1.0003266408257481</v>
      </c>
      <c r="S165" s="633" t="s">
        <v>4127</v>
      </c>
      <c r="T165" s="257" t="s">
        <v>4518</v>
      </c>
    </row>
    <row r="166" spans="1:20" ht="28.8" x14ac:dyDescent="0.3">
      <c r="A166" s="98" t="e">
        <f t="shared" si="8"/>
        <v>#REF!</v>
      </c>
      <c r="B166" s="111">
        <v>1550</v>
      </c>
      <c r="C166" s="512">
        <v>45922</v>
      </c>
      <c r="D166" s="219">
        <v>74881817</v>
      </c>
      <c r="E166" s="109" t="s">
        <v>4519</v>
      </c>
      <c r="F166" s="111" t="s">
        <v>1</v>
      </c>
      <c r="G166" s="125" t="s">
        <v>4</v>
      </c>
      <c r="H166" s="568">
        <v>45922</v>
      </c>
      <c r="I166" s="341"/>
      <c r="J166" s="125" t="s">
        <v>4090</v>
      </c>
      <c r="K166" s="569"/>
      <c r="L166" s="570"/>
      <c r="M166" s="515"/>
      <c r="N166" s="577"/>
      <c r="O166" s="578"/>
      <c r="P166" s="579"/>
      <c r="Q166" s="500">
        <v>45923</v>
      </c>
      <c r="R166" s="148">
        <f t="shared" si="7"/>
        <v>1.0000217760550498</v>
      </c>
      <c r="S166" s="633" t="s">
        <v>4520</v>
      </c>
      <c r="T166" s="69"/>
    </row>
    <row r="167" spans="1:20" ht="43.2" x14ac:dyDescent="0.3">
      <c r="A167" s="98" t="e">
        <f t="shared" si="8"/>
        <v>#REF!</v>
      </c>
      <c r="B167" s="111">
        <v>1550</v>
      </c>
      <c r="C167" s="512">
        <v>45922</v>
      </c>
      <c r="D167" s="219">
        <v>12054143</v>
      </c>
      <c r="E167" s="109" t="s">
        <v>4025</v>
      </c>
      <c r="F167" s="111" t="s">
        <v>49</v>
      </c>
      <c r="G167" s="125" t="s">
        <v>8</v>
      </c>
      <c r="H167" s="568">
        <v>45922</v>
      </c>
      <c r="I167" s="341"/>
      <c r="J167" s="125" t="s">
        <v>266</v>
      </c>
      <c r="K167" s="569"/>
      <c r="L167" s="570"/>
      <c r="M167" s="665"/>
      <c r="N167" s="497"/>
      <c r="O167" s="498"/>
      <c r="P167" s="499"/>
      <c r="Q167" s="500">
        <v>45922</v>
      </c>
      <c r="R167" s="148">
        <f t="shared" si="7"/>
        <v>1</v>
      </c>
      <c r="S167" s="633" t="s">
        <v>3841</v>
      </c>
      <c r="T167" s="69"/>
    </row>
    <row r="168" spans="1:20" ht="43.2" x14ac:dyDescent="0.3">
      <c r="A168" s="98" t="e">
        <f t="shared" si="8"/>
        <v>#REF!</v>
      </c>
      <c r="B168" s="554" t="s">
        <v>1044</v>
      </c>
      <c r="C168" s="573">
        <v>45922</v>
      </c>
      <c r="D168" s="369">
        <v>4818024</v>
      </c>
      <c r="E168" s="277" t="s">
        <v>4521</v>
      </c>
      <c r="F168" s="101" t="s">
        <v>38</v>
      </c>
      <c r="G168" s="81" t="s">
        <v>6</v>
      </c>
      <c r="H168" s="493">
        <v>45922</v>
      </c>
      <c r="I168" s="555"/>
      <c r="J168" s="100" t="s">
        <v>253</v>
      </c>
      <c r="K168" s="574"/>
      <c r="L168" s="575"/>
      <c r="M168" s="496"/>
      <c r="N168" s="497"/>
      <c r="O168" s="498"/>
      <c r="P168" s="499"/>
      <c r="Q168" s="529">
        <v>45926</v>
      </c>
      <c r="R168" s="148">
        <f t="shared" si="7"/>
        <v>1.0000871042201995</v>
      </c>
      <c r="S168" s="633" t="s">
        <v>4522</v>
      </c>
      <c r="T168" s="69"/>
    </row>
    <row r="169" spans="1:20" ht="43.2" x14ac:dyDescent="0.3">
      <c r="A169" s="98" t="e">
        <f t="shared" si="8"/>
        <v>#REF!</v>
      </c>
      <c r="B169" s="506" t="s">
        <v>301</v>
      </c>
      <c r="C169" s="492">
        <v>45922</v>
      </c>
      <c r="D169" s="369">
        <v>76358380</v>
      </c>
      <c r="E169" s="270" t="s">
        <v>4523</v>
      </c>
      <c r="F169" s="111" t="s">
        <v>4208</v>
      </c>
      <c r="G169" s="125" t="s">
        <v>8</v>
      </c>
      <c r="H169" s="568">
        <v>45922</v>
      </c>
      <c r="I169" s="341"/>
      <c r="J169" s="100" t="s">
        <v>253</v>
      </c>
      <c r="K169" s="569"/>
      <c r="L169" s="570"/>
      <c r="M169" s="665"/>
      <c r="N169" s="497"/>
      <c r="O169" s="498"/>
      <c r="P169" s="499"/>
      <c r="Q169" s="500">
        <v>45937</v>
      </c>
      <c r="R169" s="148">
        <f t="shared" si="7"/>
        <v>1.0003266408257481</v>
      </c>
      <c r="S169" s="633" t="s">
        <v>3952</v>
      </c>
      <c r="T169" s="69"/>
    </row>
    <row r="170" spans="1:20" ht="43.2" x14ac:dyDescent="0.3">
      <c r="A170" s="98" t="e">
        <f t="shared" si="8"/>
        <v>#REF!</v>
      </c>
      <c r="B170" s="506">
        <v>1550</v>
      </c>
      <c r="C170" s="492">
        <v>45922</v>
      </c>
      <c r="D170" s="369">
        <v>63372223</v>
      </c>
      <c r="E170" s="270" t="s">
        <v>4524</v>
      </c>
      <c r="F170" s="344" t="s">
        <v>1</v>
      </c>
      <c r="G170" s="112" t="s">
        <v>8</v>
      </c>
      <c r="H170" s="493">
        <v>45922</v>
      </c>
      <c r="I170" s="25"/>
      <c r="J170" s="100" t="s">
        <v>2352</v>
      </c>
      <c r="K170" s="494"/>
      <c r="L170" s="636"/>
      <c r="M170" s="496"/>
      <c r="N170" s="497"/>
      <c r="O170" s="498"/>
      <c r="P170" s="499"/>
      <c r="Q170" s="500">
        <v>45923</v>
      </c>
      <c r="R170" s="148">
        <f t="shared" si="7"/>
        <v>1.0000217760550498</v>
      </c>
      <c r="S170" s="633" t="s">
        <v>3841</v>
      </c>
      <c r="T170" s="69"/>
    </row>
    <row r="171" spans="1:20" ht="28.8" x14ac:dyDescent="0.3">
      <c r="A171" s="98" t="e">
        <f t="shared" si="8"/>
        <v>#REF!</v>
      </c>
      <c r="B171" s="506">
        <v>1550</v>
      </c>
      <c r="C171" s="492">
        <v>45923</v>
      </c>
      <c r="D171" s="537">
        <v>40744027</v>
      </c>
      <c r="E171" s="275" t="s">
        <v>4525</v>
      </c>
      <c r="F171" s="416" t="s">
        <v>30</v>
      </c>
      <c r="G171" s="417" t="s">
        <v>4</v>
      </c>
      <c r="H171" s="560">
        <v>45923</v>
      </c>
      <c r="I171" s="561"/>
      <c r="J171" s="100" t="s">
        <v>82</v>
      </c>
      <c r="K171" s="562"/>
      <c r="L171" s="563"/>
      <c r="M171" s="564"/>
      <c r="N171" s="565"/>
      <c r="O171" s="566"/>
      <c r="P171" s="567"/>
      <c r="Q171" s="500">
        <v>45924</v>
      </c>
      <c r="R171" s="148">
        <f t="shared" si="7"/>
        <v>1.0000217755808636</v>
      </c>
      <c r="S171" s="633" t="s">
        <v>1569</v>
      </c>
      <c r="T171" s="69"/>
    </row>
    <row r="172" spans="1:20" ht="43.2" x14ac:dyDescent="0.3">
      <c r="A172" s="98" t="e">
        <f t="shared" si="8"/>
        <v>#REF!</v>
      </c>
      <c r="B172" s="553">
        <v>1550</v>
      </c>
      <c r="C172" s="556">
        <v>45923</v>
      </c>
      <c r="D172" s="219">
        <v>53530314</v>
      </c>
      <c r="E172" s="275" t="s">
        <v>4025</v>
      </c>
      <c r="F172" s="111" t="s">
        <v>49</v>
      </c>
      <c r="G172" s="125" t="s">
        <v>8</v>
      </c>
      <c r="H172" s="568">
        <v>45923</v>
      </c>
      <c r="I172" s="341"/>
      <c r="J172" s="125" t="s">
        <v>266</v>
      </c>
      <c r="K172" s="569"/>
      <c r="L172" s="570"/>
      <c r="M172" s="570"/>
      <c r="N172" s="571"/>
      <c r="O172" s="572"/>
      <c r="P172" s="572"/>
      <c r="Q172" s="500">
        <v>45923</v>
      </c>
      <c r="R172" s="148">
        <f t="shared" si="7"/>
        <v>1</v>
      </c>
      <c r="S172" s="633" t="s">
        <v>3418</v>
      </c>
      <c r="T172" s="167"/>
    </row>
    <row r="173" spans="1:20" ht="28.8" x14ac:dyDescent="0.3">
      <c r="A173" s="98" t="e">
        <f t="shared" si="8"/>
        <v>#REF!</v>
      </c>
      <c r="B173" s="111" t="s">
        <v>80</v>
      </c>
      <c r="C173" s="502">
        <v>45923</v>
      </c>
      <c r="D173" s="219">
        <v>102310238</v>
      </c>
      <c r="E173" s="109" t="s">
        <v>4526</v>
      </c>
      <c r="F173" s="111" t="s">
        <v>1</v>
      </c>
      <c r="G173" s="125" t="s">
        <v>8</v>
      </c>
      <c r="H173" s="568">
        <v>45923</v>
      </c>
      <c r="I173" s="341"/>
      <c r="J173" s="100" t="s">
        <v>99</v>
      </c>
      <c r="K173" s="569"/>
      <c r="L173" s="570"/>
      <c r="M173" s="570"/>
      <c r="N173" s="571"/>
      <c r="O173" s="572"/>
      <c r="P173" s="572"/>
      <c r="Q173" s="500">
        <v>45932</v>
      </c>
      <c r="R173" s="148">
        <f t="shared" si="7"/>
        <v>1.0001959802277727</v>
      </c>
      <c r="S173" s="633" t="s">
        <v>4127</v>
      </c>
      <c r="T173" s="167"/>
    </row>
    <row r="174" spans="1:20" ht="43.2" x14ac:dyDescent="0.3">
      <c r="A174" s="98" t="e">
        <f t="shared" si="8"/>
        <v>#REF!</v>
      </c>
      <c r="B174" s="554" t="s">
        <v>80</v>
      </c>
      <c r="C174" s="573">
        <v>45923</v>
      </c>
      <c r="D174" s="369">
        <v>84744278</v>
      </c>
      <c r="E174" s="264" t="s">
        <v>4527</v>
      </c>
      <c r="F174" s="101" t="s">
        <v>1</v>
      </c>
      <c r="G174" s="81" t="s">
        <v>6</v>
      </c>
      <c r="H174" s="493">
        <v>45923</v>
      </c>
      <c r="I174" s="555"/>
      <c r="J174" s="107" t="s">
        <v>2367</v>
      </c>
      <c r="K174" s="574"/>
      <c r="L174" s="575"/>
      <c r="M174" s="576"/>
      <c r="N174" s="577"/>
      <c r="O174" s="578"/>
      <c r="P174" s="579"/>
      <c r="Q174" s="500">
        <v>45925</v>
      </c>
      <c r="R174" s="148">
        <f t="shared" si="7"/>
        <v>1.0000435511617272</v>
      </c>
      <c r="S174" s="633" t="s">
        <v>2597</v>
      </c>
      <c r="T174" s="69"/>
    </row>
    <row r="175" spans="1:20" ht="57.6" x14ac:dyDescent="0.3">
      <c r="A175" s="98" t="e">
        <f t="shared" si="8"/>
        <v>#REF!</v>
      </c>
      <c r="B175" s="506">
        <v>1550</v>
      </c>
      <c r="C175" s="492">
        <v>45923</v>
      </c>
      <c r="D175" s="369">
        <v>74179403</v>
      </c>
      <c r="E175" s="264" t="s">
        <v>4528</v>
      </c>
      <c r="F175" s="101" t="s">
        <v>1</v>
      </c>
      <c r="G175" s="81" t="s">
        <v>6</v>
      </c>
      <c r="H175" s="493">
        <v>45923</v>
      </c>
      <c r="I175" s="555"/>
      <c r="J175" s="107" t="s">
        <v>2306</v>
      </c>
      <c r="K175" s="574"/>
      <c r="L175" s="575"/>
      <c r="M175" s="576"/>
      <c r="N175" s="577"/>
      <c r="O175" s="578"/>
      <c r="P175" s="579"/>
      <c r="Q175" s="500">
        <v>45923</v>
      </c>
      <c r="R175" s="148">
        <f t="shared" si="7"/>
        <v>1</v>
      </c>
      <c r="S175" s="633" t="s">
        <v>1860</v>
      </c>
      <c r="T175" s="69"/>
    </row>
    <row r="176" spans="1:20" ht="43.2" x14ac:dyDescent="0.3">
      <c r="A176" s="98" t="e">
        <f t="shared" si="8"/>
        <v>#REF!</v>
      </c>
      <c r="B176" s="553" t="s">
        <v>1044</v>
      </c>
      <c r="C176" s="556">
        <v>45923</v>
      </c>
      <c r="D176" s="537">
        <v>99838621</v>
      </c>
      <c r="E176" s="290" t="s">
        <v>4521</v>
      </c>
      <c r="F176" s="416" t="s">
        <v>38</v>
      </c>
      <c r="G176" s="417" t="s">
        <v>6</v>
      </c>
      <c r="H176" s="493">
        <v>45923</v>
      </c>
      <c r="I176" s="25"/>
      <c r="J176" s="100" t="s">
        <v>253</v>
      </c>
      <c r="K176" s="494"/>
      <c r="L176" s="637"/>
      <c r="M176" s="496"/>
      <c r="N176" s="497"/>
      <c r="O176" s="498"/>
      <c r="P176" s="499"/>
      <c r="Q176" s="500">
        <v>45926</v>
      </c>
      <c r="R176" s="148">
        <f t="shared" si="7"/>
        <v>1.000065326742591</v>
      </c>
      <c r="S176" s="633" t="s">
        <v>4522</v>
      </c>
      <c r="T176" s="167" t="s">
        <v>4529</v>
      </c>
    </row>
    <row r="177" spans="1:20" ht="43.2" x14ac:dyDescent="0.3">
      <c r="A177" s="98" t="e">
        <f t="shared" si="8"/>
        <v>#REF!</v>
      </c>
      <c r="B177" s="111">
        <v>1550</v>
      </c>
      <c r="C177" s="512">
        <v>45923</v>
      </c>
      <c r="D177" s="219">
        <v>15780872</v>
      </c>
      <c r="E177" s="254" t="s">
        <v>4530</v>
      </c>
      <c r="F177" s="111" t="s">
        <v>23</v>
      </c>
      <c r="G177" s="125" t="s">
        <v>6</v>
      </c>
      <c r="H177" s="599">
        <v>45923</v>
      </c>
      <c r="I177" s="25">
        <v>10000320215</v>
      </c>
      <c r="J177" s="107" t="s">
        <v>135</v>
      </c>
      <c r="K177" s="494"/>
      <c r="L177" s="495"/>
      <c r="M177" s="496"/>
      <c r="N177" s="497"/>
      <c r="O177" s="498"/>
      <c r="P177" s="499"/>
      <c r="Q177" s="500">
        <v>45929</v>
      </c>
      <c r="R177" s="148">
        <f t="shared" si="7"/>
        <v>1.0001306534851817</v>
      </c>
      <c r="S177" s="633" t="s">
        <v>3783</v>
      </c>
      <c r="T177" s="167"/>
    </row>
    <row r="178" spans="1:20" ht="86.4" x14ac:dyDescent="0.3">
      <c r="A178" s="98" t="e">
        <f t="shared" si="8"/>
        <v>#REF!</v>
      </c>
      <c r="B178" s="111">
        <v>1550</v>
      </c>
      <c r="C178" s="512">
        <v>45923</v>
      </c>
      <c r="D178" s="219">
        <v>27010546</v>
      </c>
      <c r="E178" s="254" t="s">
        <v>4531</v>
      </c>
      <c r="F178" s="101" t="s">
        <v>7</v>
      </c>
      <c r="G178" s="81" t="s">
        <v>6</v>
      </c>
      <c r="H178" s="493">
        <v>45923</v>
      </c>
      <c r="I178" s="555"/>
      <c r="J178" s="100" t="s">
        <v>2513</v>
      </c>
      <c r="K178" s="574"/>
      <c r="L178" s="575"/>
      <c r="M178" s="576"/>
      <c r="N178" s="577"/>
      <c r="O178" s="578"/>
      <c r="P178" s="579"/>
      <c r="Q178" s="500">
        <v>45923</v>
      </c>
      <c r="R178" s="148">
        <f t="shared" si="7"/>
        <v>1</v>
      </c>
      <c r="S178" s="633" t="s">
        <v>3783</v>
      </c>
      <c r="T178" s="167"/>
    </row>
    <row r="179" spans="1:20" ht="28.8" x14ac:dyDescent="0.3">
      <c r="A179" s="98" t="e">
        <f t="shared" si="8"/>
        <v>#REF!</v>
      </c>
      <c r="B179" s="111">
        <v>1550</v>
      </c>
      <c r="C179" s="512">
        <v>45923</v>
      </c>
      <c r="D179" s="219">
        <v>50376047</v>
      </c>
      <c r="E179" s="254" t="s">
        <v>4532</v>
      </c>
      <c r="F179" s="101" t="s">
        <v>1</v>
      </c>
      <c r="G179" s="81" t="s">
        <v>6</v>
      </c>
      <c r="H179" s="493">
        <v>45923</v>
      </c>
      <c r="I179" s="555"/>
      <c r="J179" s="107" t="s">
        <v>2544</v>
      </c>
      <c r="K179" s="574"/>
      <c r="L179" s="575"/>
      <c r="M179" s="576"/>
      <c r="N179" s="577"/>
      <c r="O179" s="578"/>
      <c r="P179" s="579"/>
      <c r="Q179" s="500">
        <v>45924</v>
      </c>
      <c r="R179" s="148">
        <f t="shared" si="7"/>
        <v>1.0000217755808636</v>
      </c>
      <c r="S179" s="633" t="s">
        <v>1312</v>
      </c>
      <c r="T179" s="167"/>
    </row>
    <row r="180" spans="1:20" ht="158.4" x14ac:dyDescent="0.3">
      <c r="A180" s="98" t="e">
        <f t="shared" si="8"/>
        <v>#REF!</v>
      </c>
      <c r="B180" s="111">
        <v>1550</v>
      </c>
      <c r="C180" s="512">
        <v>45923</v>
      </c>
      <c r="D180" s="219"/>
      <c r="E180" s="254" t="s">
        <v>4533</v>
      </c>
      <c r="F180" s="111" t="s">
        <v>12</v>
      </c>
      <c r="G180" s="125" t="s">
        <v>6</v>
      </c>
      <c r="H180" s="599">
        <v>45923</v>
      </c>
      <c r="I180" s="25"/>
      <c r="J180" s="100" t="s">
        <v>159</v>
      </c>
      <c r="K180" s="494"/>
      <c r="L180" s="495"/>
      <c r="M180" s="496"/>
      <c r="N180" s="497"/>
      <c r="O180" s="498"/>
      <c r="P180" s="499"/>
      <c r="Q180" s="500">
        <v>45924</v>
      </c>
      <c r="R180" s="148">
        <f t="shared" si="7"/>
        <v>1.0000217755808636</v>
      </c>
      <c r="S180" s="633" t="s">
        <v>1860</v>
      </c>
      <c r="T180" s="167"/>
    </row>
    <row r="181" spans="1:20" ht="72" x14ac:dyDescent="0.3">
      <c r="A181" s="98" t="e">
        <f t="shared" si="8"/>
        <v>#REF!</v>
      </c>
      <c r="B181" s="111">
        <v>1550</v>
      </c>
      <c r="C181" s="512">
        <v>45924</v>
      </c>
      <c r="D181" s="219">
        <v>104289333</v>
      </c>
      <c r="E181" s="254" t="s">
        <v>4534</v>
      </c>
      <c r="F181" s="111" t="s">
        <v>1</v>
      </c>
      <c r="G181" s="125" t="s">
        <v>6</v>
      </c>
      <c r="H181" s="599">
        <v>45924</v>
      </c>
      <c r="I181" s="25"/>
      <c r="J181" s="107" t="s">
        <v>2352</v>
      </c>
      <c r="K181" s="494"/>
      <c r="L181" s="495"/>
      <c r="M181" s="496"/>
      <c r="N181" s="497"/>
      <c r="O181" s="498"/>
      <c r="P181" s="499"/>
      <c r="Q181" s="500">
        <v>45924</v>
      </c>
      <c r="R181" s="148">
        <f t="shared" si="7"/>
        <v>1</v>
      </c>
      <c r="S181" s="633" t="s">
        <v>1860</v>
      </c>
      <c r="T181" s="167"/>
    </row>
    <row r="182" spans="1:20" ht="89.25" customHeight="1" x14ac:dyDescent="0.3">
      <c r="A182" s="98" t="e">
        <f t="shared" si="8"/>
        <v>#REF!</v>
      </c>
      <c r="B182" s="554" t="s">
        <v>301</v>
      </c>
      <c r="C182" s="573">
        <v>45924</v>
      </c>
      <c r="D182" s="219"/>
      <c r="E182" s="264" t="s">
        <v>4535</v>
      </c>
      <c r="F182" s="101" t="s">
        <v>23</v>
      </c>
      <c r="G182" s="81" t="s">
        <v>8</v>
      </c>
      <c r="H182" s="493">
        <v>45924</v>
      </c>
      <c r="I182" s="25"/>
      <c r="J182" s="107" t="s">
        <v>135</v>
      </c>
      <c r="K182" s="494"/>
      <c r="L182" s="495"/>
      <c r="M182" s="496"/>
      <c r="N182" s="497"/>
      <c r="O182" s="498"/>
      <c r="P182" s="499"/>
      <c r="Q182" s="500">
        <v>45926</v>
      </c>
      <c r="R182" s="148">
        <f t="shared" si="7"/>
        <v>1.000043550213396</v>
      </c>
      <c r="S182" s="633" t="s">
        <v>3952</v>
      </c>
      <c r="T182" s="69"/>
    </row>
    <row r="183" spans="1:20" ht="57.6" x14ac:dyDescent="0.3">
      <c r="A183" s="98" t="e">
        <f t="shared" si="8"/>
        <v>#REF!</v>
      </c>
      <c r="B183" s="506" t="s">
        <v>301</v>
      </c>
      <c r="C183" s="492">
        <v>45924</v>
      </c>
      <c r="D183" s="617">
        <v>65748123</v>
      </c>
      <c r="E183" s="290" t="s">
        <v>4536</v>
      </c>
      <c r="F183" s="416" t="s">
        <v>1</v>
      </c>
      <c r="G183" s="112" t="s">
        <v>6</v>
      </c>
      <c r="H183" s="493">
        <v>45924</v>
      </c>
      <c r="I183" s="25"/>
      <c r="J183" s="107" t="s">
        <v>2544</v>
      </c>
      <c r="K183" s="494"/>
      <c r="L183" s="495"/>
      <c r="M183" s="496"/>
      <c r="N183" s="497"/>
      <c r="O183" s="498"/>
      <c r="P183" s="499"/>
      <c r="Q183" s="500">
        <v>45924</v>
      </c>
      <c r="R183" s="148">
        <f t="shared" si="7"/>
        <v>1</v>
      </c>
      <c r="S183" s="633" t="s">
        <v>2808</v>
      </c>
      <c r="T183" s="167"/>
    </row>
    <row r="184" spans="1:20" ht="43.2" x14ac:dyDescent="0.3">
      <c r="A184" s="98" t="e">
        <f t="shared" si="8"/>
        <v>#REF!</v>
      </c>
      <c r="B184" s="506">
        <v>1550</v>
      </c>
      <c r="C184" s="492">
        <v>45924</v>
      </c>
      <c r="D184" s="219">
        <v>114288526</v>
      </c>
      <c r="E184" s="175" t="s">
        <v>4537</v>
      </c>
      <c r="F184" s="111" t="s">
        <v>7</v>
      </c>
      <c r="G184" s="112" t="s">
        <v>8</v>
      </c>
      <c r="H184" s="493">
        <v>45924</v>
      </c>
      <c r="I184" s="25"/>
      <c r="J184" s="107" t="s">
        <v>2547</v>
      </c>
      <c r="K184" s="494"/>
      <c r="L184" s="495"/>
      <c r="M184" s="496"/>
      <c r="N184" s="497"/>
      <c r="O184" s="498"/>
      <c r="P184" s="499"/>
      <c r="Q184" s="500">
        <v>45950</v>
      </c>
      <c r="R184" s="148">
        <f t="shared" si="7"/>
        <v>1.0005661527741485</v>
      </c>
      <c r="S184" s="633" t="s">
        <v>3418</v>
      </c>
      <c r="T184" s="69"/>
    </row>
    <row r="185" spans="1:20" ht="28.8" x14ac:dyDescent="0.3">
      <c r="A185" s="98" t="e">
        <f t="shared" si="8"/>
        <v>#REF!</v>
      </c>
      <c r="B185" s="506" t="s">
        <v>301</v>
      </c>
      <c r="C185" s="492">
        <v>45924</v>
      </c>
      <c r="D185" s="219">
        <v>103497307</v>
      </c>
      <c r="E185" s="254" t="s">
        <v>4538</v>
      </c>
      <c r="F185" s="111" t="s">
        <v>7</v>
      </c>
      <c r="G185" s="112" t="s">
        <v>4</v>
      </c>
      <c r="H185" s="493">
        <v>45924</v>
      </c>
      <c r="I185" s="25"/>
      <c r="J185" s="107" t="s">
        <v>2317</v>
      </c>
      <c r="K185" s="494"/>
      <c r="L185" s="495"/>
      <c r="M185" s="496"/>
      <c r="N185" s="497"/>
      <c r="O185" s="498"/>
      <c r="P185" s="499"/>
      <c r="Q185" s="500">
        <v>45925</v>
      </c>
      <c r="R185" s="148">
        <f t="shared" si="7"/>
        <v>1.000021775106698</v>
      </c>
      <c r="S185" s="633" t="s">
        <v>2979</v>
      </c>
      <c r="T185" s="69"/>
    </row>
    <row r="186" spans="1:20" ht="43.2" x14ac:dyDescent="0.3">
      <c r="A186" s="98" t="e">
        <f t="shared" si="8"/>
        <v>#REF!</v>
      </c>
      <c r="B186" s="506" t="s">
        <v>301</v>
      </c>
      <c r="C186" s="492">
        <v>45924</v>
      </c>
      <c r="D186" s="219">
        <v>96532300</v>
      </c>
      <c r="E186" s="677" t="s">
        <v>4539</v>
      </c>
      <c r="F186" s="111" t="s">
        <v>3</v>
      </c>
      <c r="G186" s="112" t="s">
        <v>4</v>
      </c>
      <c r="H186" s="493">
        <v>45924</v>
      </c>
      <c r="I186" s="25"/>
      <c r="J186" s="100" t="s">
        <v>82</v>
      </c>
      <c r="K186" s="494"/>
      <c r="L186" s="495"/>
      <c r="M186" s="496"/>
      <c r="N186" s="497"/>
      <c r="O186" s="498"/>
      <c r="P186" s="499"/>
      <c r="Q186" s="500">
        <v>45929</v>
      </c>
      <c r="R186" s="148">
        <f t="shared" si="7"/>
        <v>1.0001088755334901</v>
      </c>
      <c r="S186" s="633" t="s">
        <v>720</v>
      </c>
      <c r="T186" s="69"/>
    </row>
    <row r="187" spans="1:20" ht="28.8" x14ac:dyDescent="0.3">
      <c r="A187" s="98" t="e">
        <f t="shared" si="8"/>
        <v>#REF!</v>
      </c>
      <c r="B187" s="506">
        <v>1550</v>
      </c>
      <c r="C187" s="492">
        <v>45924</v>
      </c>
      <c r="D187" s="219">
        <v>120679507</v>
      </c>
      <c r="E187" s="690" t="s">
        <v>4540</v>
      </c>
      <c r="F187" s="111" t="s">
        <v>1</v>
      </c>
      <c r="G187" s="112" t="s">
        <v>4</v>
      </c>
      <c r="H187" s="493">
        <v>45924</v>
      </c>
      <c r="I187" s="25"/>
      <c r="J187" s="107" t="s">
        <v>2317</v>
      </c>
      <c r="K187" s="494"/>
      <c r="L187" s="495"/>
      <c r="M187" s="496"/>
      <c r="N187" s="497"/>
      <c r="O187" s="498"/>
      <c r="P187" s="499"/>
      <c r="Q187" s="500">
        <v>45924</v>
      </c>
      <c r="R187" s="148">
        <f t="shared" si="7"/>
        <v>1</v>
      </c>
      <c r="S187" s="633" t="s">
        <v>2597</v>
      </c>
      <c r="T187" s="69"/>
    </row>
    <row r="188" spans="1:20" ht="43.2" x14ac:dyDescent="0.3">
      <c r="A188" s="98" t="e">
        <f t="shared" si="8"/>
        <v>#REF!</v>
      </c>
      <c r="B188" s="506">
        <v>1550</v>
      </c>
      <c r="C188" s="492">
        <v>45924</v>
      </c>
      <c r="D188" s="219"/>
      <c r="E188" s="36" t="s">
        <v>4541</v>
      </c>
      <c r="F188" s="111" t="s">
        <v>1314</v>
      </c>
      <c r="G188" s="112" t="s">
        <v>4</v>
      </c>
      <c r="H188" s="493">
        <v>45924</v>
      </c>
      <c r="I188" s="25"/>
      <c r="J188" s="100" t="s">
        <v>99</v>
      </c>
      <c r="K188" s="494"/>
      <c r="L188" s="495"/>
      <c r="M188" s="496"/>
      <c r="N188" s="497"/>
      <c r="O188" s="498"/>
      <c r="P188" s="499"/>
      <c r="Q188" s="500">
        <v>45925</v>
      </c>
      <c r="R188" s="148">
        <f t="shared" si="7"/>
        <v>1.000021775106698</v>
      </c>
      <c r="S188" s="633" t="s">
        <v>2974</v>
      </c>
      <c r="T188" s="69"/>
    </row>
    <row r="189" spans="1:20" ht="28.8" x14ac:dyDescent="0.3">
      <c r="A189" s="98" t="e">
        <f t="shared" si="8"/>
        <v>#REF!</v>
      </c>
      <c r="B189" s="506">
        <v>1550</v>
      </c>
      <c r="C189" s="492">
        <v>45924</v>
      </c>
      <c r="D189" s="219">
        <v>14811669</v>
      </c>
      <c r="E189" s="254" t="s">
        <v>4542</v>
      </c>
      <c r="F189" s="111" t="s">
        <v>3</v>
      </c>
      <c r="G189" s="112" t="s">
        <v>4</v>
      </c>
      <c r="H189" s="493">
        <v>45924</v>
      </c>
      <c r="I189" s="25">
        <v>10000320477</v>
      </c>
      <c r="J189" s="100" t="s">
        <v>82</v>
      </c>
      <c r="K189" s="494"/>
      <c r="L189" s="495"/>
      <c r="M189" s="496"/>
      <c r="N189" s="497"/>
      <c r="O189" s="498"/>
      <c r="P189" s="499"/>
      <c r="Q189" s="500">
        <v>45931</v>
      </c>
      <c r="R189" s="148">
        <f t="shared" si="7"/>
        <v>1.0001524257468861</v>
      </c>
      <c r="S189" s="633" t="s">
        <v>2979</v>
      </c>
      <c r="T189" s="69"/>
    </row>
    <row r="190" spans="1:20" ht="43.2" x14ac:dyDescent="0.3">
      <c r="A190" s="98" t="e">
        <f t="shared" si="8"/>
        <v>#REF!</v>
      </c>
      <c r="B190" s="506">
        <v>1550</v>
      </c>
      <c r="C190" s="492">
        <v>45924</v>
      </c>
      <c r="D190" s="219">
        <v>1085148</v>
      </c>
      <c r="E190" s="254" t="s">
        <v>4543</v>
      </c>
      <c r="F190" s="111" t="s">
        <v>4208</v>
      </c>
      <c r="G190" s="112" t="s">
        <v>6</v>
      </c>
      <c r="H190" s="493">
        <v>45924</v>
      </c>
      <c r="I190" s="25"/>
      <c r="J190" s="100" t="s">
        <v>253</v>
      </c>
      <c r="K190" s="494"/>
      <c r="L190" s="495"/>
      <c r="M190" s="496"/>
      <c r="N190" s="497"/>
      <c r="O190" s="498"/>
      <c r="P190" s="499"/>
      <c r="Q190" s="500">
        <v>45937</v>
      </c>
      <c r="R190" s="148">
        <f t="shared" si="7"/>
        <v>1.0002830763870743</v>
      </c>
      <c r="S190" s="633" t="s">
        <v>3905</v>
      </c>
      <c r="T190" s="69"/>
    </row>
    <row r="191" spans="1:20" ht="43.2" x14ac:dyDescent="0.3">
      <c r="A191" s="98" t="e">
        <f t="shared" si="8"/>
        <v>#REF!</v>
      </c>
      <c r="B191" s="506">
        <v>1550</v>
      </c>
      <c r="C191" s="492">
        <v>45924</v>
      </c>
      <c r="D191" s="219">
        <v>36928356</v>
      </c>
      <c r="E191" s="254" t="s">
        <v>4544</v>
      </c>
      <c r="F191" s="111" t="s">
        <v>4208</v>
      </c>
      <c r="G191" s="112" t="s">
        <v>6</v>
      </c>
      <c r="H191" s="493">
        <v>45924</v>
      </c>
      <c r="I191" s="25"/>
      <c r="J191" s="100" t="s">
        <v>253</v>
      </c>
      <c r="K191" s="507"/>
      <c r="L191" s="508"/>
      <c r="M191" s="365"/>
      <c r="N191" s="509"/>
      <c r="O191" s="510"/>
      <c r="P191" s="511"/>
      <c r="Q191" s="500">
        <v>45937</v>
      </c>
      <c r="R191" s="148">
        <f t="shared" si="7"/>
        <v>1.0002830763870743</v>
      </c>
      <c r="S191" s="633" t="s">
        <v>3905</v>
      </c>
      <c r="T191" s="167"/>
    </row>
    <row r="192" spans="1:20" ht="43.2" x14ac:dyDescent="0.3">
      <c r="A192" s="98" t="e">
        <f t="shared" si="8"/>
        <v>#REF!</v>
      </c>
      <c r="B192" s="506">
        <v>1550</v>
      </c>
      <c r="C192" s="492">
        <v>45924</v>
      </c>
      <c r="D192" s="664">
        <v>82330417</v>
      </c>
      <c r="E192" s="277" t="s">
        <v>4545</v>
      </c>
      <c r="F192" s="101" t="s">
        <v>26</v>
      </c>
      <c r="G192" s="112" t="s">
        <v>6</v>
      </c>
      <c r="H192" s="493">
        <v>45924</v>
      </c>
      <c r="I192" s="25"/>
      <c r="J192" s="107" t="s">
        <v>22</v>
      </c>
      <c r="K192" s="507"/>
      <c r="L192" s="508"/>
      <c r="M192" s="365"/>
      <c r="N192" s="509"/>
      <c r="O192" s="510"/>
      <c r="P192" s="511"/>
      <c r="Q192" s="500">
        <v>45925</v>
      </c>
      <c r="R192" s="148">
        <f t="shared" si="7"/>
        <v>1.000021775106698</v>
      </c>
      <c r="S192" s="633" t="s">
        <v>2597</v>
      </c>
      <c r="T192" s="167"/>
    </row>
    <row r="193" spans="1:20" ht="44.25" customHeight="1" x14ac:dyDescent="0.3">
      <c r="A193" s="98" t="e">
        <f t="shared" si="8"/>
        <v>#REF!</v>
      </c>
      <c r="B193" s="506">
        <v>1550</v>
      </c>
      <c r="C193" s="492">
        <v>45924</v>
      </c>
      <c r="D193" s="219"/>
      <c r="E193" s="270" t="s">
        <v>4546</v>
      </c>
      <c r="F193" s="344" t="s">
        <v>12</v>
      </c>
      <c r="G193" s="112" t="s">
        <v>10</v>
      </c>
      <c r="H193" s="493">
        <v>45924</v>
      </c>
      <c r="I193" s="25"/>
      <c r="J193" s="100" t="s">
        <v>159</v>
      </c>
      <c r="K193" s="494"/>
      <c r="L193" s="495"/>
      <c r="M193" s="496"/>
      <c r="N193" s="497"/>
      <c r="O193" s="498"/>
      <c r="P193" s="499"/>
      <c r="Q193" s="500">
        <v>45924</v>
      </c>
      <c r="R193" s="148">
        <f t="shared" si="7"/>
        <v>1</v>
      </c>
      <c r="S193" s="633" t="s">
        <v>2213</v>
      </c>
      <c r="T193" s="167"/>
    </row>
    <row r="194" spans="1:20" ht="46.5" customHeight="1" x14ac:dyDescent="0.3">
      <c r="A194" s="98" t="e">
        <f t="shared" si="8"/>
        <v>#REF!</v>
      </c>
      <c r="B194" s="506">
        <v>1550</v>
      </c>
      <c r="C194" s="492">
        <v>45924</v>
      </c>
      <c r="D194" s="219">
        <v>37221787</v>
      </c>
      <c r="E194" s="270" t="s">
        <v>4547</v>
      </c>
      <c r="F194" s="344" t="s">
        <v>7</v>
      </c>
      <c r="G194" s="112" t="s">
        <v>10</v>
      </c>
      <c r="H194" s="493">
        <v>45924</v>
      </c>
      <c r="I194" s="25"/>
      <c r="J194" s="107" t="s">
        <v>2306</v>
      </c>
      <c r="K194" s="494"/>
      <c r="L194" s="495"/>
      <c r="M194" s="496"/>
      <c r="N194" s="497"/>
      <c r="O194" s="498"/>
      <c r="P194" s="499"/>
      <c r="Q194" s="500">
        <v>45925</v>
      </c>
      <c r="R194" s="148">
        <f t="shared" si="7"/>
        <v>1.000021775106698</v>
      </c>
      <c r="S194" s="633" t="s">
        <v>2213</v>
      </c>
      <c r="T194" s="167"/>
    </row>
    <row r="195" spans="1:20" x14ac:dyDescent="0.3">
      <c r="A195" s="98" t="e">
        <f t="shared" si="8"/>
        <v>#REF!</v>
      </c>
      <c r="B195" s="506" t="s">
        <v>1826</v>
      </c>
      <c r="C195" s="492">
        <v>45925</v>
      </c>
      <c r="D195" s="219">
        <v>84346922</v>
      </c>
      <c r="E195" s="270" t="s">
        <v>4548</v>
      </c>
      <c r="F195" s="344" t="s">
        <v>3</v>
      </c>
      <c r="G195" s="112" t="s">
        <v>4</v>
      </c>
      <c r="H195" s="493">
        <v>45925</v>
      </c>
      <c r="I195" s="25"/>
      <c r="J195" s="107" t="s">
        <v>2536</v>
      </c>
      <c r="K195" s="507"/>
      <c r="L195" s="508"/>
      <c r="M195" s="365"/>
      <c r="N195" s="509"/>
      <c r="O195" s="510"/>
      <c r="P195" s="511"/>
      <c r="Q195" s="500">
        <v>45929</v>
      </c>
      <c r="R195" s="148">
        <f t="shared" si="7"/>
        <v>1.0000870985302124</v>
      </c>
      <c r="S195" s="633" t="s">
        <v>2979</v>
      </c>
      <c r="T195" s="167"/>
    </row>
    <row r="196" spans="1:20" ht="28.8" x14ac:dyDescent="0.3">
      <c r="A196" s="98" t="e">
        <f t="shared" si="8"/>
        <v>#REF!</v>
      </c>
      <c r="B196" s="506">
        <v>1550</v>
      </c>
      <c r="C196" s="492">
        <v>45925</v>
      </c>
      <c r="D196" s="219">
        <v>120638029</v>
      </c>
      <c r="E196" s="270" t="s">
        <v>4549</v>
      </c>
      <c r="F196" s="344" t="s">
        <v>23</v>
      </c>
      <c r="G196" s="112" t="s">
        <v>6</v>
      </c>
      <c r="H196" s="493">
        <v>45925</v>
      </c>
      <c r="I196" s="25"/>
      <c r="J196" s="107" t="s">
        <v>135</v>
      </c>
      <c r="K196" s="507"/>
      <c r="L196" s="508"/>
      <c r="M196" s="365"/>
      <c r="N196" s="509"/>
      <c r="O196" s="510"/>
      <c r="P196" s="511"/>
      <c r="Q196" s="500">
        <v>45925</v>
      </c>
      <c r="R196" s="148">
        <f t="shared" ref="R196:R235" si="9">Q196/H196</f>
        <v>1</v>
      </c>
      <c r="S196" s="633" t="s">
        <v>1860</v>
      </c>
      <c r="T196" s="167"/>
    </row>
    <row r="197" spans="1:20" ht="28.8" x14ac:dyDescent="0.3">
      <c r="A197" s="98" t="e">
        <f t="shared" si="8"/>
        <v>#REF!</v>
      </c>
      <c r="B197" s="506" t="s">
        <v>301</v>
      </c>
      <c r="C197" s="492">
        <v>45925</v>
      </c>
      <c r="D197" s="219">
        <v>54460549</v>
      </c>
      <c r="E197" s="270" t="s">
        <v>4550</v>
      </c>
      <c r="F197" s="344" t="s">
        <v>7</v>
      </c>
      <c r="G197" s="112" t="s">
        <v>4</v>
      </c>
      <c r="H197" s="493">
        <v>45925</v>
      </c>
      <c r="I197" s="25"/>
      <c r="J197" s="107" t="s">
        <v>2513</v>
      </c>
      <c r="K197" s="507"/>
      <c r="L197" s="508"/>
      <c r="M197" s="365"/>
      <c r="N197" s="509"/>
      <c r="O197" s="510"/>
      <c r="P197" s="511"/>
      <c r="Q197" s="500">
        <v>45925</v>
      </c>
      <c r="R197" s="148">
        <f t="shared" si="9"/>
        <v>1</v>
      </c>
      <c r="S197" s="633" t="s">
        <v>720</v>
      </c>
      <c r="T197" s="69"/>
    </row>
    <row r="198" spans="1:20" ht="57.6" x14ac:dyDescent="0.3">
      <c r="A198" s="98" t="e">
        <f t="shared" si="8"/>
        <v>#REF!</v>
      </c>
      <c r="B198" s="506">
        <v>1550</v>
      </c>
      <c r="C198" s="492">
        <v>45925</v>
      </c>
      <c r="D198" s="219">
        <v>63315475</v>
      </c>
      <c r="E198" s="270" t="s">
        <v>4551</v>
      </c>
      <c r="F198" s="344" t="s">
        <v>3</v>
      </c>
      <c r="G198" s="112" t="s">
        <v>6</v>
      </c>
      <c r="H198" s="493">
        <v>45925</v>
      </c>
      <c r="I198" s="25"/>
      <c r="J198" s="729" t="s">
        <v>3741</v>
      </c>
      <c r="K198" s="226"/>
      <c r="L198" s="580"/>
      <c r="M198" s="228"/>
      <c r="N198" s="509"/>
      <c r="O198" s="510"/>
      <c r="P198" s="511"/>
      <c r="Q198" s="500">
        <v>45926</v>
      </c>
      <c r="R198" s="148">
        <f t="shared" si="9"/>
        <v>1.000021774632553</v>
      </c>
      <c r="S198" s="633" t="s">
        <v>2747</v>
      </c>
      <c r="T198" s="69"/>
    </row>
    <row r="199" spans="1:20" ht="43.2" x14ac:dyDescent="0.3">
      <c r="A199" s="98" t="e">
        <f t="shared" si="8"/>
        <v>#REF!</v>
      </c>
      <c r="B199" s="506" t="s">
        <v>80</v>
      </c>
      <c r="C199" s="492">
        <v>45925</v>
      </c>
      <c r="D199" s="219"/>
      <c r="E199" s="270" t="s">
        <v>4552</v>
      </c>
      <c r="F199" s="344" t="s">
        <v>21</v>
      </c>
      <c r="G199" s="112" t="s">
        <v>8</v>
      </c>
      <c r="H199" s="493">
        <v>45925</v>
      </c>
      <c r="I199" s="25"/>
      <c r="J199" s="107" t="s">
        <v>3180</v>
      </c>
      <c r="K199" s="226"/>
      <c r="L199" s="580"/>
      <c r="M199" s="228"/>
      <c r="N199" s="509"/>
      <c r="O199" s="510"/>
      <c r="P199" s="511"/>
      <c r="Q199" s="500">
        <v>45926</v>
      </c>
      <c r="R199" s="148">
        <f t="shared" si="9"/>
        <v>1.000021774632553</v>
      </c>
      <c r="S199" s="633" t="s">
        <v>4127</v>
      </c>
      <c r="T199" s="69"/>
    </row>
    <row r="200" spans="1:20" ht="28.8" x14ac:dyDescent="0.3">
      <c r="A200" s="98" t="e">
        <f t="shared" si="8"/>
        <v>#REF!</v>
      </c>
      <c r="B200" s="506" t="s">
        <v>1826</v>
      </c>
      <c r="C200" s="492">
        <v>45925</v>
      </c>
      <c r="D200" s="219">
        <v>82727635</v>
      </c>
      <c r="E200" s="270" t="s">
        <v>4553</v>
      </c>
      <c r="F200" s="344" t="s">
        <v>1</v>
      </c>
      <c r="G200" s="112" t="s">
        <v>4</v>
      </c>
      <c r="H200" s="493">
        <v>45925</v>
      </c>
      <c r="I200" s="25"/>
      <c r="J200" s="107" t="s">
        <v>2513</v>
      </c>
      <c r="K200" s="226"/>
      <c r="L200" s="580"/>
      <c r="M200" s="228"/>
      <c r="N200" s="509"/>
      <c r="O200" s="510"/>
      <c r="P200" s="511"/>
      <c r="Q200" s="500">
        <v>45923</v>
      </c>
      <c r="R200" s="148">
        <f t="shared" si="9"/>
        <v>0.99995645073489381</v>
      </c>
      <c r="S200" s="633" t="s">
        <v>720</v>
      </c>
      <c r="T200" s="69"/>
    </row>
    <row r="201" spans="1:20" ht="57.6" x14ac:dyDescent="0.3">
      <c r="A201" s="98" t="e">
        <f t="shared" si="8"/>
        <v>#REF!</v>
      </c>
      <c r="B201" s="506">
        <v>1550</v>
      </c>
      <c r="C201" s="492">
        <v>45925</v>
      </c>
      <c r="D201" s="219">
        <v>94485267</v>
      </c>
      <c r="E201" s="270" t="s">
        <v>4554</v>
      </c>
      <c r="F201" s="344" t="s">
        <v>1</v>
      </c>
      <c r="G201" s="112" t="s">
        <v>6</v>
      </c>
      <c r="H201" s="493">
        <v>45925</v>
      </c>
      <c r="I201" s="25"/>
      <c r="J201" s="107" t="s">
        <v>2367</v>
      </c>
      <c r="K201" s="507"/>
      <c r="L201" s="508"/>
      <c r="M201" s="365"/>
      <c r="N201" s="509"/>
      <c r="O201" s="510"/>
      <c r="P201" s="511"/>
      <c r="Q201" s="500">
        <v>45929</v>
      </c>
      <c r="R201" s="148">
        <f t="shared" si="9"/>
        <v>1.0000870985302124</v>
      </c>
      <c r="S201" s="633" t="s">
        <v>1860</v>
      </c>
      <c r="T201" s="167"/>
    </row>
    <row r="202" spans="1:20" ht="41.25" customHeight="1" x14ac:dyDescent="0.3">
      <c r="A202" s="98" t="e">
        <f t="shared" si="8"/>
        <v>#REF!</v>
      </c>
      <c r="B202" s="506">
        <v>1550</v>
      </c>
      <c r="C202" s="492">
        <v>45925</v>
      </c>
      <c r="D202" s="219">
        <v>120667797</v>
      </c>
      <c r="E202" s="270" t="s">
        <v>4555</v>
      </c>
      <c r="F202" s="344" t="s">
        <v>1</v>
      </c>
      <c r="G202" s="112" t="s">
        <v>10</v>
      </c>
      <c r="H202" s="493">
        <v>45925</v>
      </c>
      <c r="I202" s="25"/>
      <c r="J202" s="107" t="s">
        <v>2352</v>
      </c>
      <c r="K202" s="494"/>
      <c r="L202" s="669"/>
      <c r="M202" s="552"/>
      <c r="N202" s="497"/>
      <c r="O202" s="498"/>
      <c r="P202" s="499"/>
      <c r="Q202" s="500">
        <v>45925</v>
      </c>
      <c r="R202" s="148">
        <f t="shared" si="9"/>
        <v>1</v>
      </c>
      <c r="S202" s="633" t="s">
        <v>1806</v>
      </c>
      <c r="T202" s="69"/>
    </row>
    <row r="203" spans="1:20" ht="43.2" x14ac:dyDescent="0.3">
      <c r="A203" s="98" t="e">
        <f t="shared" si="8"/>
        <v>#REF!</v>
      </c>
      <c r="B203" s="506">
        <v>1550</v>
      </c>
      <c r="C203" s="492">
        <v>45926</v>
      </c>
      <c r="D203" s="219">
        <v>103126015</v>
      </c>
      <c r="E203" s="270" t="s">
        <v>4556</v>
      </c>
      <c r="F203" s="344" t="s">
        <v>23</v>
      </c>
      <c r="G203" s="112" t="s">
        <v>8</v>
      </c>
      <c r="H203" s="493">
        <v>45926</v>
      </c>
      <c r="I203" s="25"/>
      <c r="J203" s="107" t="s">
        <v>135</v>
      </c>
      <c r="K203" s="494"/>
      <c r="L203" s="636"/>
      <c r="M203" s="496"/>
      <c r="N203" s="497"/>
      <c r="O203" s="498"/>
      <c r="P203" s="499"/>
      <c r="Q203" s="500">
        <v>45926</v>
      </c>
      <c r="R203" s="148">
        <f t="shared" si="9"/>
        <v>1</v>
      </c>
      <c r="S203" s="633" t="s">
        <v>3146</v>
      </c>
      <c r="T203" s="69"/>
    </row>
    <row r="204" spans="1:20" ht="28.8" x14ac:dyDescent="0.3">
      <c r="A204" s="98" t="e">
        <f t="shared" si="8"/>
        <v>#REF!</v>
      </c>
      <c r="B204" s="506" t="s">
        <v>1044</v>
      </c>
      <c r="C204" s="492">
        <v>45926</v>
      </c>
      <c r="D204" s="219">
        <v>1668102</v>
      </c>
      <c r="E204" s="270" t="s">
        <v>4557</v>
      </c>
      <c r="F204" s="344" t="s">
        <v>17</v>
      </c>
      <c r="G204" s="112" t="s">
        <v>8</v>
      </c>
      <c r="H204" s="493">
        <v>45926</v>
      </c>
      <c r="I204" s="25"/>
      <c r="J204" s="100" t="s">
        <v>82</v>
      </c>
      <c r="K204" s="494"/>
      <c r="L204" s="495"/>
      <c r="M204" s="496"/>
      <c r="N204" s="497"/>
      <c r="O204" s="498"/>
      <c r="P204" s="499"/>
      <c r="Q204" s="500">
        <v>45943</v>
      </c>
      <c r="R204" s="148">
        <f t="shared" si="9"/>
        <v>1.0003701606932891</v>
      </c>
      <c r="S204" s="633" t="s">
        <v>4127</v>
      </c>
      <c r="T204" s="69"/>
    </row>
    <row r="205" spans="1:20" ht="28.8" x14ac:dyDescent="0.3">
      <c r="A205" s="98" t="e">
        <f t="shared" si="8"/>
        <v>#REF!</v>
      </c>
      <c r="B205" s="506" t="s">
        <v>2510</v>
      </c>
      <c r="C205" s="492">
        <v>45926</v>
      </c>
      <c r="D205">
        <v>73477362</v>
      </c>
      <c r="E205" s="270" t="s">
        <v>4558</v>
      </c>
      <c r="F205" s="344" t="s">
        <v>23</v>
      </c>
      <c r="G205" s="112" t="s">
        <v>4</v>
      </c>
      <c r="H205" s="493">
        <v>45926</v>
      </c>
      <c r="I205" s="25">
        <v>10000320858</v>
      </c>
      <c r="J205" s="100" t="s">
        <v>82</v>
      </c>
      <c r="K205" s="494"/>
      <c r="L205" s="495"/>
      <c r="M205" s="496"/>
      <c r="N205" s="497"/>
      <c r="O205" s="498"/>
      <c r="P205" s="499"/>
      <c r="Q205" s="500">
        <v>45930</v>
      </c>
      <c r="R205" s="148">
        <f t="shared" si="9"/>
        <v>1.0000870966337152</v>
      </c>
      <c r="S205" s="633" t="s">
        <v>3020</v>
      </c>
      <c r="T205" s="69"/>
    </row>
    <row r="206" spans="1:20" x14ac:dyDescent="0.3">
      <c r="A206" s="98" t="e">
        <f t="shared" si="8"/>
        <v>#REF!</v>
      </c>
      <c r="B206" s="506" t="s">
        <v>1826</v>
      </c>
      <c r="C206" s="492">
        <v>45926</v>
      </c>
      <c r="D206" s="219"/>
      <c r="E206" s="263" t="s">
        <v>4559</v>
      </c>
      <c r="F206" s="344" t="s">
        <v>12</v>
      </c>
      <c r="G206" s="112" t="s">
        <v>4</v>
      </c>
      <c r="H206" s="493">
        <v>45926</v>
      </c>
      <c r="I206" s="25"/>
      <c r="J206" s="107" t="s">
        <v>135</v>
      </c>
      <c r="K206" s="494"/>
      <c r="L206" s="495"/>
      <c r="M206" s="496"/>
      <c r="N206" s="497"/>
      <c r="O206" s="498"/>
      <c r="P206" s="499"/>
      <c r="Q206" s="500">
        <v>45926</v>
      </c>
      <c r="R206" s="148">
        <f t="shared" si="9"/>
        <v>1</v>
      </c>
      <c r="S206" s="633" t="s">
        <v>720</v>
      </c>
      <c r="T206" s="69"/>
    </row>
    <row r="207" spans="1:20" ht="28.8" x14ac:dyDescent="0.3">
      <c r="A207" s="98" t="e">
        <f t="shared" si="8"/>
        <v>#REF!</v>
      </c>
      <c r="B207" s="506" t="s">
        <v>301</v>
      </c>
      <c r="C207" s="492">
        <v>45926</v>
      </c>
      <c r="D207" s="219">
        <v>94572364</v>
      </c>
      <c r="E207" s="270" t="s">
        <v>4558</v>
      </c>
      <c r="F207" s="344" t="s">
        <v>23</v>
      </c>
      <c r="G207" s="112" t="s">
        <v>4</v>
      </c>
      <c r="H207" s="493">
        <v>45926</v>
      </c>
      <c r="I207" s="25"/>
      <c r="J207" s="100" t="s">
        <v>82</v>
      </c>
      <c r="K207" s="494"/>
      <c r="L207" s="495"/>
      <c r="M207" s="496"/>
      <c r="N207" s="497"/>
      <c r="O207" s="498"/>
      <c r="P207" s="499"/>
      <c r="Q207" s="500">
        <v>45930</v>
      </c>
      <c r="R207" s="148">
        <f t="shared" si="9"/>
        <v>1.0000870966337152</v>
      </c>
      <c r="S207" s="633" t="s">
        <v>720</v>
      </c>
      <c r="T207" s="57"/>
    </row>
    <row r="208" spans="1:20" ht="28.8" x14ac:dyDescent="0.3">
      <c r="A208" s="98" t="e">
        <f t="shared" si="8"/>
        <v>#REF!</v>
      </c>
      <c r="B208" s="506">
        <v>1550</v>
      </c>
      <c r="C208" s="492">
        <v>45926</v>
      </c>
      <c r="D208" s="219">
        <v>5850940</v>
      </c>
      <c r="E208" s="264" t="s">
        <v>4560</v>
      </c>
      <c r="F208" s="344" t="s">
        <v>1</v>
      </c>
      <c r="G208" s="112" t="s">
        <v>4</v>
      </c>
      <c r="H208" s="493">
        <v>45926</v>
      </c>
      <c r="I208" s="25"/>
      <c r="J208" s="107" t="s">
        <v>4176</v>
      </c>
      <c r="K208" s="494"/>
      <c r="L208" s="495"/>
      <c r="M208" s="496"/>
      <c r="N208" s="497"/>
      <c r="O208" s="498"/>
      <c r="P208" s="499"/>
      <c r="Q208" s="500">
        <v>45926</v>
      </c>
      <c r="R208" s="148">
        <f t="shared" si="9"/>
        <v>1</v>
      </c>
      <c r="S208" s="633" t="s">
        <v>2970</v>
      </c>
      <c r="T208" s="57"/>
    </row>
    <row r="209" spans="1:20" ht="28.8" x14ac:dyDescent="0.3">
      <c r="A209" s="98" t="e">
        <f t="shared" si="8"/>
        <v>#REF!</v>
      </c>
      <c r="B209" s="506" t="s">
        <v>1044</v>
      </c>
      <c r="C209" s="492">
        <v>45926</v>
      </c>
      <c r="D209" s="82">
        <v>58583408</v>
      </c>
      <c r="E209" s="270" t="s">
        <v>4561</v>
      </c>
      <c r="F209" s="344" t="s">
        <v>3</v>
      </c>
      <c r="G209" s="112" t="s">
        <v>8</v>
      </c>
      <c r="H209" s="493">
        <v>45926</v>
      </c>
      <c r="I209" s="25"/>
      <c r="J209" s="100" t="s">
        <v>82</v>
      </c>
      <c r="K209" s="494"/>
      <c r="L209" s="495"/>
      <c r="M209" s="496"/>
      <c r="N209" s="497"/>
      <c r="O209" s="498"/>
      <c r="P209" s="499"/>
      <c r="Q209" s="500">
        <v>45931</v>
      </c>
      <c r="R209" s="148">
        <f t="shared" si="9"/>
        <v>1.0001088707921439</v>
      </c>
      <c r="S209" s="633" t="s">
        <v>4127</v>
      </c>
      <c r="T209" s="201"/>
    </row>
    <row r="210" spans="1:20" ht="86.4" x14ac:dyDescent="0.3">
      <c r="A210" s="98" t="e">
        <f t="shared" si="8"/>
        <v>#REF!</v>
      </c>
      <c r="B210" s="506">
        <v>1550</v>
      </c>
      <c r="C210" s="492">
        <v>45926</v>
      </c>
      <c r="D210" s="219">
        <v>74881817</v>
      </c>
      <c r="E210" s="270" t="s">
        <v>4562</v>
      </c>
      <c r="F210" s="344" t="s">
        <v>1</v>
      </c>
      <c r="G210" s="112" t="s">
        <v>6</v>
      </c>
      <c r="H210" s="493">
        <v>45926</v>
      </c>
      <c r="I210" s="25"/>
      <c r="J210" s="107" t="s">
        <v>4090</v>
      </c>
      <c r="K210" s="513"/>
      <c r="L210" s="514"/>
      <c r="M210" s="515"/>
      <c r="N210" s="31"/>
      <c r="O210" s="53"/>
      <c r="P210" s="55"/>
      <c r="Q210" s="500">
        <v>45931</v>
      </c>
      <c r="R210" s="148">
        <f t="shared" si="9"/>
        <v>1.0001088707921439</v>
      </c>
      <c r="S210" s="633" t="s">
        <v>2597</v>
      </c>
      <c r="T210" s="257"/>
    </row>
    <row r="211" spans="1:20" ht="57.6" x14ac:dyDescent="0.3">
      <c r="A211" s="98" t="e">
        <f t="shared" si="8"/>
        <v>#REF!</v>
      </c>
      <c r="B211" s="506">
        <v>1550</v>
      </c>
      <c r="C211" s="492">
        <v>45926</v>
      </c>
      <c r="D211" s="219">
        <v>51999552</v>
      </c>
      <c r="E211" s="263" t="s">
        <v>4563</v>
      </c>
      <c r="F211" s="344" t="s">
        <v>32</v>
      </c>
      <c r="G211" s="112" t="s">
        <v>6</v>
      </c>
      <c r="H211" s="493">
        <v>45926</v>
      </c>
      <c r="I211" s="25"/>
      <c r="J211" s="107" t="s">
        <v>135</v>
      </c>
      <c r="K211" s="494"/>
      <c r="L211" s="495"/>
      <c r="M211" s="496"/>
      <c r="N211" s="497"/>
      <c r="O211" s="498"/>
      <c r="P211" s="499"/>
      <c r="Q211" s="500">
        <v>45943</v>
      </c>
      <c r="R211" s="148">
        <f t="shared" si="9"/>
        <v>1.0003701606932891</v>
      </c>
      <c r="S211" s="633" t="s">
        <v>1860</v>
      </c>
      <c r="T211" s="57"/>
    </row>
    <row r="212" spans="1:20" ht="43.2" x14ac:dyDescent="0.3">
      <c r="A212" s="98" t="e">
        <f t="shared" si="8"/>
        <v>#REF!</v>
      </c>
      <c r="B212" s="506">
        <v>1550</v>
      </c>
      <c r="C212" s="492">
        <v>45926</v>
      </c>
      <c r="D212" s="219">
        <v>67439640</v>
      </c>
      <c r="E212" s="263" t="s">
        <v>4564</v>
      </c>
      <c r="F212" s="344" t="s">
        <v>4208</v>
      </c>
      <c r="G212" s="112" t="s">
        <v>6</v>
      </c>
      <c r="H212" s="493">
        <v>45926</v>
      </c>
      <c r="I212" s="25"/>
      <c r="J212" s="100" t="s">
        <v>253</v>
      </c>
      <c r="K212" s="494"/>
      <c r="L212" s="495"/>
      <c r="M212" s="496"/>
      <c r="N212" s="497"/>
      <c r="O212" s="498"/>
      <c r="P212" s="499"/>
      <c r="Q212" s="500">
        <v>45937</v>
      </c>
      <c r="R212" s="148">
        <f t="shared" si="9"/>
        <v>1.0002395157427166</v>
      </c>
      <c r="S212" s="633" t="s">
        <v>3783</v>
      </c>
      <c r="T212" s="57"/>
    </row>
    <row r="213" spans="1:20" ht="43.2" x14ac:dyDescent="0.3">
      <c r="A213" s="98" t="e">
        <f t="shared" si="8"/>
        <v>#REF!</v>
      </c>
      <c r="B213" s="506">
        <v>1550</v>
      </c>
      <c r="C213" s="492">
        <v>45926</v>
      </c>
      <c r="D213" s="219">
        <v>15067440</v>
      </c>
      <c r="E213" s="264" t="s">
        <v>4565</v>
      </c>
      <c r="F213" s="344" t="s">
        <v>49</v>
      </c>
      <c r="G213" s="112" t="s">
        <v>6</v>
      </c>
      <c r="H213" s="493">
        <v>45926</v>
      </c>
      <c r="I213" s="25"/>
      <c r="J213" s="107" t="s">
        <v>266</v>
      </c>
      <c r="K213" s="494"/>
      <c r="L213" s="495"/>
      <c r="M213" s="496"/>
      <c r="N213" s="497"/>
      <c r="O213" s="498"/>
      <c r="P213" s="499"/>
      <c r="Q213" s="500">
        <v>45926</v>
      </c>
      <c r="R213" s="148">
        <f t="shared" si="9"/>
        <v>1</v>
      </c>
      <c r="S213" s="633" t="s">
        <v>1312</v>
      </c>
      <c r="T213" s="201"/>
    </row>
    <row r="214" spans="1:20" ht="43.2" x14ac:dyDescent="0.3">
      <c r="A214" s="98" t="e">
        <f t="shared" si="8"/>
        <v>#REF!</v>
      </c>
      <c r="B214" s="506">
        <v>1550</v>
      </c>
      <c r="C214" s="492">
        <v>45926</v>
      </c>
      <c r="D214" s="219">
        <v>109906314</v>
      </c>
      <c r="E214" s="270" t="s">
        <v>4566</v>
      </c>
      <c r="F214" s="344" t="s">
        <v>1</v>
      </c>
      <c r="G214" s="112" t="s">
        <v>8</v>
      </c>
      <c r="H214" s="493">
        <v>45926</v>
      </c>
      <c r="I214" s="25"/>
      <c r="J214" s="100" t="s">
        <v>99</v>
      </c>
      <c r="K214" s="518" t="s">
        <v>393</v>
      </c>
      <c r="L214" s="613">
        <v>45926</v>
      </c>
      <c r="M214" s="691" t="s">
        <v>1357</v>
      </c>
      <c r="N214" s="520"/>
      <c r="O214" s="520"/>
      <c r="P214" s="521"/>
      <c r="Q214" s="500">
        <v>45931</v>
      </c>
      <c r="R214" s="148">
        <f t="shared" si="9"/>
        <v>1.0001088707921439</v>
      </c>
      <c r="S214" s="633" t="s">
        <v>3146</v>
      </c>
      <c r="T214" s="201"/>
    </row>
    <row r="215" spans="1:20" ht="100.8" x14ac:dyDescent="0.3">
      <c r="A215" s="98" t="e">
        <f t="shared" si="8"/>
        <v>#REF!</v>
      </c>
      <c r="B215" s="506">
        <v>1550</v>
      </c>
      <c r="C215" s="492">
        <v>45926</v>
      </c>
      <c r="D215" s="219">
        <v>112406688</v>
      </c>
      <c r="E215" s="270" t="s">
        <v>4567</v>
      </c>
      <c r="F215" s="344" t="s">
        <v>1</v>
      </c>
      <c r="G215" s="112" t="s">
        <v>6</v>
      </c>
      <c r="H215" s="493">
        <v>45926</v>
      </c>
      <c r="I215" s="25"/>
      <c r="J215" s="107" t="s">
        <v>2352</v>
      </c>
      <c r="K215" s="518"/>
      <c r="L215" s="518"/>
      <c r="M215" s="519"/>
      <c r="N215" s="520"/>
      <c r="O215" s="520"/>
      <c r="P215" s="521"/>
      <c r="Q215" s="500">
        <v>45929</v>
      </c>
      <c r="R215" s="148">
        <f t="shared" si="9"/>
        <v>1.0000653224752862</v>
      </c>
      <c r="S215" s="633" t="s">
        <v>3783</v>
      </c>
      <c r="T215" s="201"/>
    </row>
    <row r="216" spans="1:20" ht="87" customHeight="1" x14ac:dyDescent="0.3">
      <c r="A216" s="98" t="e">
        <f t="shared" si="8"/>
        <v>#REF!</v>
      </c>
      <c r="B216" s="506">
        <v>1550</v>
      </c>
      <c r="C216" s="492">
        <v>45926</v>
      </c>
      <c r="D216" s="219">
        <v>55550592</v>
      </c>
      <c r="E216" s="270" t="s">
        <v>4568</v>
      </c>
      <c r="F216" s="344" t="s">
        <v>1</v>
      </c>
      <c r="G216" s="112" t="s">
        <v>10</v>
      </c>
      <c r="H216" s="493">
        <v>45926</v>
      </c>
      <c r="I216" s="25"/>
      <c r="J216" s="107" t="s">
        <v>2367</v>
      </c>
      <c r="K216" s="518"/>
      <c r="L216" s="518"/>
      <c r="M216" s="519"/>
      <c r="N216" s="520"/>
      <c r="O216" s="520"/>
      <c r="P216" s="521"/>
      <c r="Q216" s="500">
        <v>45926</v>
      </c>
      <c r="R216" s="148">
        <f t="shared" si="9"/>
        <v>1</v>
      </c>
      <c r="S216" s="633" t="s">
        <v>2209</v>
      </c>
      <c r="T216" s="201"/>
    </row>
    <row r="217" spans="1:20" ht="78" customHeight="1" x14ac:dyDescent="0.3">
      <c r="A217" s="98" t="e">
        <f t="shared" ref="A217:A235" si="10">A216+1</f>
        <v>#REF!</v>
      </c>
      <c r="B217" s="506">
        <v>1550</v>
      </c>
      <c r="C217" s="492">
        <v>45926</v>
      </c>
      <c r="D217" s="219">
        <v>102877173</v>
      </c>
      <c r="E217" s="270" t="s">
        <v>4569</v>
      </c>
      <c r="F217" s="344" t="s">
        <v>7</v>
      </c>
      <c r="G217" s="112" t="s">
        <v>10</v>
      </c>
      <c r="H217" s="493">
        <v>45926</v>
      </c>
      <c r="I217" s="25"/>
      <c r="J217" s="107" t="s">
        <v>2547</v>
      </c>
      <c r="K217" s="518"/>
      <c r="L217" s="518"/>
      <c r="M217" s="519"/>
      <c r="N217" s="520"/>
      <c r="O217" s="520"/>
      <c r="P217" s="521"/>
      <c r="Q217" s="500">
        <v>45958</v>
      </c>
      <c r="R217" s="148">
        <f t="shared" si="9"/>
        <v>1.0006967730697209</v>
      </c>
      <c r="S217" s="633" t="s">
        <v>2213</v>
      </c>
      <c r="T217" s="201"/>
    </row>
    <row r="218" spans="1:20" ht="43.2" x14ac:dyDescent="0.3">
      <c r="A218" s="98" t="e">
        <f t="shared" si="10"/>
        <v>#REF!</v>
      </c>
      <c r="B218" s="506">
        <v>1550</v>
      </c>
      <c r="C218" s="492">
        <v>45929</v>
      </c>
      <c r="D218" s="219">
        <v>90982320</v>
      </c>
      <c r="E218" s="270" t="s">
        <v>4570</v>
      </c>
      <c r="F218" s="344" t="s">
        <v>59</v>
      </c>
      <c r="G218" s="112" t="s">
        <v>8</v>
      </c>
      <c r="H218" s="493">
        <v>45929</v>
      </c>
      <c r="I218" s="655"/>
      <c r="J218" s="742" t="s">
        <v>3874</v>
      </c>
      <c r="K218" s="518"/>
      <c r="L218" s="518"/>
      <c r="M218" s="519"/>
      <c r="N218" s="520"/>
      <c r="O218" s="520"/>
      <c r="P218" s="521"/>
      <c r="Q218" s="500">
        <v>45930</v>
      </c>
      <c r="R218" s="148">
        <f t="shared" si="9"/>
        <v>1.0000217727361798</v>
      </c>
      <c r="S218" s="633" t="s">
        <v>3952</v>
      </c>
      <c r="T218" s="201"/>
    </row>
    <row r="219" spans="1:20" ht="43.2" x14ac:dyDescent="0.3">
      <c r="A219" s="98" t="e">
        <f t="shared" si="10"/>
        <v>#REF!</v>
      </c>
      <c r="B219" s="506">
        <v>1550</v>
      </c>
      <c r="C219" s="492">
        <v>45929</v>
      </c>
      <c r="D219" s="219">
        <v>115319859</v>
      </c>
      <c r="E219" s="270" t="s">
        <v>4571</v>
      </c>
      <c r="F219" s="344" t="s">
        <v>1</v>
      </c>
      <c r="G219" s="112" t="s">
        <v>6</v>
      </c>
      <c r="H219" s="493">
        <v>45929</v>
      </c>
      <c r="I219" s="25"/>
      <c r="J219" s="107" t="s">
        <v>2306</v>
      </c>
      <c r="K219" s="518"/>
      <c r="L219" s="518"/>
      <c r="M219" s="519"/>
      <c r="N219" s="520"/>
      <c r="O219" s="520"/>
      <c r="P219" s="521"/>
      <c r="Q219" s="500">
        <v>45932</v>
      </c>
      <c r="R219" s="148">
        <f t="shared" si="9"/>
        <v>1.0000653182085393</v>
      </c>
      <c r="S219" s="633" t="s">
        <v>1312</v>
      </c>
      <c r="T219" s="201"/>
    </row>
    <row r="220" spans="1:20" ht="28.8" x14ac:dyDescent="0.3">
      <c r="A220" s="98" t="e">
        <f t="shared" si="10"/>
        <v>#REF!</v>
      </c>
      <c r="B220" s="506" t="s">
        <v>301</v>
      </c>
      <c r="C220" s="492">
        <v>45929</v>
      </c>
      <c r="D220" s="219">
        <v>22264868</v>
      </c>
      <c r="E220" s="270" t="s">
        <v>4572</v>
      </c>
      <c r="F220" s="344" t="s">
        <v>23</v>
      </c>
      <c r="G220" s="112" t="s">
        <v>6</v>
      </c>
      <c r="H220" s="493">
        <v>45929</v>
      </c>
      <c r="I220" s="25"/>
      <c r="J220" s="107" t="s">
        <v>135</v>
      </c>
      <c r="K220" s="518"/>
      <c r="L220" s="518"/>
      <c r="M220" s="519"/>
      <c r="N220" s="520"/>
      <c r="O220" s="520"/>
      <c r="P220" s="521"/>
      <c r="Q220" s="500">
        <v>45931</v>
      </c>
      <c r="R220" s="148">
        <f t="shared" si="9"/>
        <v>1.0000435454723595</v>
      </c>
      <c r="S220" s="633" t="s">
        <v>1312</v>
      </c>
      <c r="T220" s="201"/>
    </row>
    <row r="221" spans="1:20" ht="62.25" customHeight="1" x14ac:dyDescent="0.3">
      <c r="A221" s="98" t="e">
        <f t="shared" si="10"/>
        <v>#REF!</v>
      </c>
      <c r="B221" s="506">
        <v>1550</v>
      </c>
      <c r="C221" s="492">
        <v>45929</v>
      </c>
      <c r="D221" s="219">
        <v>59207248</v>
      </c>
      <c r="E221" s="270" t="s">
        <v>4573</v>
      </c>
      <c r="F221" s="344" t="s">
        <v>1</v>
      </c>
      <c r="G221" s="112" t="s">
        <v>10</v>
      </c>
      <c r="H221" s="493">
        <v>45929</v>
      </c>
      <c r="I221" s="25"/>
      <c r="J221" s="107" t="s">
        <v>2352</v>
      </c>
      <c r="K221" s="518"/>
      <c r="L221" s="518"/>
      <c r="M221" s="519"/>
      <c r="N221" s="520"/>
      <c r="O221" s="520"/>
      <c r="P221" s="521"/>
      <c r="Q221" s="500">
        <v>45929</v>
      </c>
      <c r="R221" s="148">
        <f t="shared" si="9"/>
        <v>1</v>
      </c>
      <c r="S221" s="633" t="s">
        <v>755</v>
      </c>
      <c r="T221" s="201"/>
    </row>
    <row r="222" spans="1:20" ht="135.75" customHeight="1" x14ac:dyDescent="0.3">
      <c r="A222" s="98" t="e">
        <f t="shared" si="10"/>
        <v>#REF!</v>
      </c>
      <c r="B222" s="506">
        <v>1550</v>
      </c>
      <c r="C222" s="492">
        <v>45929</v>
      </c>
      <c r="D222" s="219"/>
      <c r="E222" s="270" t="s">
        <v>4574</v>
      </c>
      <c r="F222" s="344" t="s">
        <v>21</v>
      </c>
      <c r="G222" s="112" t="s">
        <v>10</v>
      </c>
      <c r="H222" s="493">
        <v>45929</v>
      </c>
      <c r="I222" s="25"/>
      <c r="J222" s="107" t="s">
        <v>3180</v>
      </c>
      <c r="K222" s="518"/>
      <c r="L222" s="518"/>
      <c r="M222" s="519"/>
      <c r="N222" s="520"/>
      <c r="O222" s="520"/>
      <c r="P222" s="521"/>
      <c r="Q222" s="500">
        <v>45944</v>
      </c>
      <c r="R222" s="148">
        <f t="shared" si="9"/>
        <v>1.0003265910426964</v>
      </c>
      <c r="S222" s="633" t="s">
        <v>1806</v>
      </c>
      <c r="T222" s="201" t="s">
        <v>4575</v>
      </c>
    </row>
    <row r="223" spans="1:20" ht="100.8" x14ac:dyDescent="0.3">
      <c r="A223" s="98" t="e">
        <f t="shared" si="10"/>
        <v>#REF!</v>
      </c>
      <c r="B223" s="506">
        <v>1550</v>
      </c>
      <c r="C223" s="492">
        <v>45929</v>
      </c>
      <c r="D223" s="219">
        <v>119819716</v>
      </c>
      <c r="E223" s="270" t="s">
        <v>4576</v>
      </c>
      <c r="F223" s="344" t="s">
        <v>7</v>
      </c>
      <c r="G223" s="112" t="s">
        <v>6</v>
      </c>
      <c r="H223" s="493">
        <v>45929</v>
      </c>
      <c r="I223" s="25"/>
      <c r="J223" s="107" t="s">
        <v>2513</v>
      </c>
      <c r="K223" s="518"/>
      <c r="L223" s="518"/>
      <c r="M223" s="519"/>
      <c r="N223" s="520"/>
      <c r="O223" s="520"/>
      <c r="P223" s="521"/>
      <c r="Q223" s="500">
        <v>45936</v>
      </c>
      <c r="R223" s="148">
        <f t="shared" si="9"/>
        <v>1.0001524091532583</v>
      </c>
      <c r="S223" s="633" t="s">
        <v>2597</v>
      </c>
      <c r="T223" s="201"/>
    </row>
    <row r="224" spans="1:20" ht="57.6" x14ac:dyDescent="0.3">
      <c r="A224" s="98" t="e">
        <f t="shared" si="10"/>
        <v>#REF!</v>
      </c>
      <c r="B224" s="506" t="s">
        <v>301</v>
      </c>
      <c r="C224" s="492">
        <v>45930</v>
      </c>
      <c r="D224" s="219">
        <v>99794241</v>
      </c>
      <c r="E224" s="270" t="s">
        <v>4577</v>
      </c>
      <c r="F224" s="344" t="s">
        <v>32</v>
      </c>
      <c r="G224" s="112" t="s">
        <v>6</v>
      </c>
      <c r="H224" s="493">
        <v>45930</v>
      </c>
      <c r="I224" s="25"/>
      <c r="J224" s="107" t="s">
        <v>106</v>
      </c>
      <c r="K224" s="518"/>
      <c r="L224" s="518"/>
      <c r="M224" s="519"/>
      <c r="N224" s="520"/>
      <c r="O224" s="520"/>
      <c r="P224" s="521"/>
      <c r="Q224" s="500">
        <v>45940</v>
      </c>
      <c r="R224" s="148">
        <f t="shared" si="9"/>
        <v>1.0002177226213804</v>
      </c>
      <c r="S224" s="633" t="s">
        <v>1312</v>
      </c>
      <c r="T224" s="201"/>
    </row>
    <row r="225" spans="1:20" ht="72" x14ac:dyDescent="0.3">
      <c r="A225" s="98" t="e">
        <f t="shared" si="10"/>
        <v>#REF!</v>
      </c>
      <c r="B225" s="506">
        <v>1550</v>
      </c>
      <c r="C225" s="492">
        <v>45930</v>
      </c>
      <c r="D225" s="219">
        <v>46083790</v>
      </c>
      <c r="E225" s="270" t="s">
        <v>4578</v>
      </c>
      <c r="F225" s="344" t="s">
        <v>1</v>
      </c>
      <c r="G225" s="172" t="s">
        <v>6</v>
      </c>
      <c r="H225" s="493">
        <v>45930</v>
      </c>
      <c r="I225" s="25"/>
      <c r="J225" s="107" t="s">
        <v>2544</v>
      </c>
      <c r="K225" s="518"/>
      <c r="L225" s="518"/>
      <c r="M225" s="519"/>
      <c r="N225" s="520"/>
      <c r="O225" s="520"/>
      <c r="P225" s="521"/>
      <c r="Q225" s="516">
        <v>45939</v>
      </c>
      <c r="R225" s="148">
        <f t="shared" si="9"/>
        <v>1.0001959503592424</v>
      </c>
      <c r="S225" s="633" t="s">
        <v>2808</v>
      </c>
      <c r="T225" s="57"/>
    </row>
    <row r="226" spans="1:20" ht="100.8" x14ac:dyDescent="0.3">
      <c r="A226" s="98" t="e">
        <f t="shared" si="10"/>
        <v>#REF!</v>
      </c>
      <c r="B226" s="506">
        <v>1550</v>
      </c>
      <c r="C226" s="492">
        <v>45930</v>
      </c>
      <c r="D226" s="219"/>
      <c r="E226" s="270" t="s">
        <v>4579</v>
      </c>
      <c r="F226" s="344" t="s">
        <v>21</v>
      </c>
      <c r="G226" s="112" t="s">
        <v>6</v>
      </c>
      <c r="H226" s="493">
        <v>45930</v>
      </c>
      <c r="I226" s="25"/>
      <c r="J226" s="107" t="s">
        <v>2504</v>
      </c>
      <c r="K226" s="494"/>
      <c r="L226" s="495"/>
      <c r="M226" s="496"/>
      <c r="N226" s="497"/>
      <c r="O226" s="498"/>
      <c r="P226" s="499"/>
      <c r="Q226" s="516">
        <v>45930</v>
      </c>
      <c r="R226" s="148">
        <f t="shared" si="9"/>
        <v>1</v>
      </c>
      <c r="S226" s="633" t="s">
        <v>1893</v>
      </c>
      <c r="T226" s="57"/>
    </row>
    <row r="227" spans="1:20" ht="28.8" x14ac:dyDescent="0.3">
      <c r="A227" s="98" t="e">
        <f t="shared" si="10"/>
        <v>#REF!</v>
      </c>
      <c r="B227" s="506">
        <v>1550</v>
      </c>
      <c r="C227" s="492">
        <v>45930</v>
      </c>
      <c r="D227" s="219">
        <v>7501056</v>
      </c>
      <c r="E227" s="270" t="s">
        <v>4580</v>
      </c>
      <c r="F227" s="344" t="s">
        <v>3</v>
      </c>
      <c r="G227" s="172" t="s">
        <v>4</v>
      </c>
      <c r="H227" s="493">
        <v>45930</v>
      </c>
      <c r="I227" s="25"/>
      <c r="J227" s="100" t="s">
        <v>82</v>
      </c>
      <c r="K227" s="518"/>
      <c r="L227" s="518"/>
      <c r="M227" s="519"/>
      <c r="N227" s="520"/>
      <c r="O227" s="520"/>
      <c r="P227" s="521"/>
      <c r="Q227" s="516">
        <v>45926</v>
      </c>
      <c r="R227" s="148">
        <f t="shared" si="9"/>
        <v>0.99991291095144785</v>
      </c>
      <c r="S227" s="633" t="s">
        <v>3086</v>
      </c>
      <c r="T227" s="201"/>
    </row>
    <row r="228" spans="1:20" ht="72" x14ac:dyDescent="0.3">
      <c r="A228" s="98" t="e">
        <f t="shared" si="10"/>
        <v>#REF!</v>
      </c>
      <c r="B228" s="506">
        <v>1550</v>
      </c>
      <c r="C228" s="492">
        <v>45930</v>
      </c>
      <c r="D228" s="219">
        <v>120685973</v>
      </c>
      <c r="E228" s="676" t="s">
        <v>4581</v>
      </c>
      <c r="F228" s="344" t="s">
        <v>1</v>
      </c>
      <c r="G228" s="172" t="s">
        <v>6</v>
      </c>
      <c r="H228" s="493">
        <v>45930</v>
      </c>
      <c r="I228" s="25"/>
      <c r="J228" s="107" t="s">
        <v>3180</v>
      </c>
      <c r="K228" s="513"/>
      <c r="L228" s="514"/>
      <c r="M228" s="515"/>
      <c r="N228" s="31"/>
      <c r="O228" s="53"/>
      <c r="P228" s="55"/>
      <c r="Q228" s="516">
        <v>45933</v>
      </c>
      <c r="R228" s="148">
        <f t="shared" si="9"/>
        <v>1.0000653167864142</v>
      </c>
      <c r="S228" s="633" t="s">
        <v>1860</v>
      </c>
      <c r="T228" s="57"/>
    </row>
    <row r="229" spans="1:20" ht="28.8" x14ac:dyDescent="0.3">
      <c r="A229" s="98" t="e">
        <f t="shared" si="10"/>
        <v>#REF!</v>
      </c>
      <c r="B229" s="506">
        <v>1550</v>
      </c>
      <c r="C229" s="492">
        <v>45930</v>
      </c>
      <c r="D229" s="219">
        <v>12735531</v>
      </c>
      <c r="E229" s="270" t="s">
        <v>4582</v>
      </c>
      <c r="F229" s="344" t="s">
        <v>3</v>
      </c>
      <c r="G229" s="112" t="s">
        <v>4</v>
      </c>
      <c r="H229" s="493">
        <v>45930</v>
      </c>
      <c r="I229" s="25">
        <v>10000321538</v>
      </c>
      <c r="J229" s="100" t="s">
        <v>82</v>
      </c>
      <c r="K229" s="494"/>
      <c r="L229" s="495"/>
      <c r="M229" s="496"/>
      <c r="N229" s="497"/>
      <c r="O229" s="498"/>
      <c r="P229" s="499"/>
      <c r="Q229" s="516">
        <v>45937</v>
      </c>
      <c r="R229" s="148">
        <f t="shared" si="9"/>
        <v>1.0001524058349662</v>
      </c>
      <c r="S229" s="633" t="s">
        <v>3020</v>
      </c>
      <c r="T229" s="57"/>
    </row>
    <row r="230" spans="1:20" ht="72" x14ac:dyDescent="0.3">
      <c r="A230" s="98" t="e">
        <f t="shared" si="10"/>
        <v>#REF!</v>
      </c>
      <c r="B230" s="506">
        <v>1550</v>
      </c>
      <c r="C230" s="492">
        <v>45930</v>
      </c>
      <c r="D230" s="219">
        <v>30203546</v>
      </c>
      <c r="E230" s="270" t="s">
        <v>4583</v>
      </c>
      <c r="F230" s="344" t="s">
        <v>1</v>
      </c>
      <c r="G230" s="172" t="s">
        <v>6</v>
      </c>
      <c r="H230" s="493">
        <v>45930</v>
      </c>
      <c r="I230" s="25"/>
      <c r="J230" s="107" t="s">
        <v>2352</v>
      </c>
      <c r="K230" s="513"/>
      <c r="L230" s="514"/>
      <c r="M230" s="515"/>
      <c r="N230" s="31"/>
      <c r="O230" s="53"/>
      <c r="P230" s="55"/>
      <c r="Q230" s="516">
        <v>45937</v>
      </c>
      <c r="R230" s="148">
        <f t="shared" si="9"/>
        <v>1.0001524058349662</v>
      </c>
      <c r="S230" s="633" t="s">
        <v>1860</v>
      </c>
      <c r="T230" s="201"/>
    </row>
    <row r="231" spans="1:20" ht="40.5" customHeight="1" x14ac:dyDescent="0.3">
      <c r="A231" s="98" t="e">
        <f t="shared" si="10"/>
        <v>#REF!</v>
      </c>
      <c r="B231" s="554">
        <v>1550</v>
      </c>
      <c r="C231" s="516">
        <v>45930</v>
      </c>
      <c r="D231" s="219">
        <v>73365882</v>
      </c>
      <c r="E231" s="270" t="s">
        <v>4584</v>
      </c>
      <c r="F231" s="378" t="s">
        <v>7</v>
      </c>
      <c r="G231" s="221" t="s">
        <v>10</v>
      </c>
      <c r="H231" s="493">
        <v>45930</v>
      </c>
      <c r="I231" s="503"/>
      <c r="J231" s="107" t="s">
        <v>2513</v>
      </c>
      <c r="K231" s="518"/>
      <c r="L231" s="518"/>
      <c r="M231" s="519"/>
      <c r="N231" s="520"/>
      <c r="O231" s="520"/>
      <c r="P231" s="521"/>
      <c r="Q231" s="346">
        <v>45930</v>
      </c>
      <c r="R231" s="148">
        <f t="shared" si="9"/>
        <v>1</v>
      </c>
      <c r="S231" s="633" t="s">
        <v>85</v>
      </c>
      <c r="T231" s="57"/>
    </row>
    <row r="232" spans="1:20" ht="43.5" customHeight="1" x14ac:dyDescent="0.3">
      <c r="A232" s="98" t="e">
        <f t="shared" si="10"/>
        <v>#REF!</v>
      </c>
      <c r="B232" s="554">
        <v>1550</v>
      </c>
      <c r="C232" s="516">
        <v>45930</v>
      </c>
      <c r="D232" s="219"/>
      <c r="E232" s="270" t="s">
        <v>4585</v>
      </c>
      <c r="F232" s="378" t="s">
        <v>21</v>
      </c>
      <c r="G232" s="221" t="s">
        <v>10</v>
      </c>
      <c r="H232" s="493">
        <v>45930</v>
      </c>
      <c r="I232" s="503"/>
      <c r="J232" s="107" t="s">
        <v>2352</v>
      </c>
      <c r="K232" s="518"/>
      <c r="L232" s="518"/>
      <c r="M232" s="519"/>
      <c r="N232" s="520"/>
      <c r="O232" s="520"/>
      <c r="P232" s="521"/>
      <c r="Q232" s="346">
        <v>45930</v>
      </c>
      <c r="R232" s="148">
        <f t="shared" si="9"/>
        <v>1</v>
      </c>
      <c r="S232" s="633" t="s">
        <v>1172</v>
      </c>
      <c r="T232" s="57"/>
    </row>
    <row r="233" spans="1:20" ht="42.75" customHeight="1" x14ac:dyDescent="0.3">
      <c r="A233" s="98" t="e">
        <f t="shared" si="10"/>
        <v>#REF!</v>
      </c>
      <c r="B233" s="554">
        <v>1550</v>
      </c>
      <c r="C233" s="516">
        <v>45930</v>
      </c>
      <c r="D233" s="219">
        <v>93140231</v>
      </c>
      <c r="E233" s="271" t="s">
        <v>4586</v>
      </c>
      <c r="F233" s="378" t="s">
        <v>1</v>
      </c>
      <c r="G233" s="221" t="s">
        <v>10</v>
      </c>
      <c r="H233" s="493">
        <v>45930</v>
      </c>
      <c r="I233" s="25"/>
      <c r="J233" s="107" t="s">
        <v>2411</v>
      </c>
      <c r="K233" s="518"/>
      <c r="L233" s="518"/>
      <c r="M233" s="519"/>
      <c r="N233" s="520"/>
      <c r="O233" s="520"/>
      <c r="P233" s="521"/>
      <c r="Q233" s="346">
        <v>45930</v>
      </c>
      <c r="R233" s="148">
        <f t="shared" si="9"/>
        <v>1</v>
      </c>
      <c r="S233" s="633" t="s">
        <v>1780</v>
      </c>
      <c r="T233" s="201"/>
    </row>
    <row r="234" spans="1:20" ht="39" customHeight="1" x14ac:dyDescent="0.3">
      <c r="A234" s="98" t="e">
        <f t="shared" si="10"/>
        <v>#REF!</v>
      </c>
      <c r="B234" s="554">
        <v>1550</v>
      </c>
      <c r="C234" s="516">
        <v>45930</v>
      </c>
      <c r="D234" s="219">
        <v>4774302</v>
      </c>
      <c r="E234" s="270" t="s">
        <v>4587</v>
      </c>
      <c r="F234" s="378" t="s">
        <v>1</v>
      </c>
      <c r="G234" s="221" t="s">
        <v>10</v>
      </c>
      <c r="H234" s="493">
        <v>45930</v>
      </c>
      <c r="I234" s="503"/>
      <c r="J234" s="107" t="s">
        <v>2544</v>
      </c>
      <c r="K234" s="513"/>
      <c r="L234" s="582"/>
      <c r="M234" s="515"/>
      <c r="N234" s="31"/>
      <c r="O234" s="53"/>
      <c r="P234" s="55"/>
      <c r="Q234" s="346">
        <v>45930</v>
      </c>
      <c r="R234" s="148">
        <f t="shared" si="9"/>
        <v>1</v>
      </c>
      <c r="S234" s="633" t="s">
        <v>2213</v>
      </c>
      <c r="T234" s="57"/>
    </row>
    <row r="235" spans="1:20" ht="39" customHeight="1" x14ac:dyDescent="0.3">
      <c r="A235" s="98" t="e">
        <f t="shared" si="10"/>
        <v>#REF!</v>
      </c>
      <c r="B235" s="554">
        <v>1550</v>
      </c>
      <c r="C235" s="516">
        <v>45930</v>
      </c>
      <c r="D235" s="219">
        <v>112309704</v>
      </c>
      <c r="E235" s="270" t="s">
        <v>4588</v>
      </c>
      <c r="F235" s="378" t="s">
        <v>1</v>
      </c>
      <c r="G235" s="221" t="s">
        <v>10</v>
      </c>
      <c r="H235" s="493">
        <v>45930</v>
      </c>
      <c r="I235" s="503"/>
      <c r="J235" s="107" t="s">
        <v>2306</v>
      </c>
      <c r="K235" s="518"/>
      <c r="L235" s="518"/>
      <c r="M235" s="519"/>
      <c r="N235" s="520"/>
      <c r="O235" s="520"/>
      <c r="P235" s="521"/>
      <c r="Q235" s="346">
        <v>45930</v>
      </c>
      <c r="R235" s="148">
        <f t="shared" si="9"/>
        <v>1</v>
      </c>
      <c r="S235" s="633" t="s">
        <v>85</v>
      </c>
      <c r="T235" s="57"/>
    </row>
  </sheetData>
  <autoFilter ref="A3:T235" xr:uid="{42B3932C-4DFA-4F6E-A9CA-08E99D044DAC}"/>
  <mergeCells count="1">
    <mergeCell ref="B1:T1"/>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7ECFD082-6D78-4B6F-9AFC-4484AF8B5C93}">
          <x14:formula1>
            <xm:f>'Conceptos de Tipificación'!$A$3:$A$57</xm:f>
          </x14:formula1>
          <xm:sqref>F4:F235</xm:sqref>
        </x14:dataValidation>
        <x14:dataValidation type="list" allowBlank="1" showInputMessage="1" showErrorMessage="1" xr:uid="{D714DD8D-9965-4E51-9AC2-E6AF844E3A17}">
          <x14:formula1>
            <xm:f>'Conceptos de Tipificación'!$E$4:$E$7</xm:f>
          </x14:formula1>
          <xm:sqref>G4:G235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54710-B1DD-478A-86CD-5704F034DB8A}">
  <dimension ref="A1:J25"/>
  <sheetViews>
    <sheetView topLeftCell="A15" workbookViewId="0">
      <selection activeCell="B37" sqref="B37"/>
    </sheetView>
  </sheetViews>
  <sheetFormatPr baseColWidth="10" defaultColWidth="9.109375" defaultRowHeight="14.4" x14ac:dyDescent="0.3"/>
  <cols>
    <col min="2" max="2" width="34.33203125" customWidth="1"/>
    <col min="3" max="3" width="24.6640625" customWidth="1"/>
    <col min="4" max="4" width="22.33203125" customWidth="1"/>
    <col min="5" max="5" width="21.88671875" customWidth="1"/>
    <col min="6" max="6" width="17" customWidth="1"/>
    <col min="7" max="9" width="11.44140625" customWidth="1"/>
    <col min="10" max="10" width="31.109375" customWidth="1"/>
    <col min="11" max="257" width="11.44140625" customWidth="1"/>
  </cols>
  <sheetData>
    <row r="1" spans="1:10" x14ac:dyDescent="0.3">
      <c r="B1" s="58" t="s">
        <v>4589</v>
      </c>
      <c r="C1" s="58"/>
      <c r="D1" s="58"/>
      <c r="E1" s="58"/>
      <c r="F1" s="58"/>
      <c r="G1" s="58"/>
    </row>
    <row r="2" spans="1:10" x14ac:dyDescent="0.3">
      <c r="B2" s="61" t="s">
        <v>4590</v>
      </c>
      <c r="C2" s="76" t="s">
        <v>4591</v>
      </c>
      <c r="D2" s="76" t="s">
        <v>4592</v>
      </c>
      <c r="E2" s="76" t="s">
        <v>4593</v>
      </c>
      <c r="F2" s="76" t="s">
        <v>4594</v>
      </c>
      <c r="G2" s="76" t="s">
        <v>4595</v>
      </c>
      <c r="H2" s="77" t="s">
        <v>4596</v>
      </c>
      <c r="I2" s="77" t="s">
        <v>4597</v>
      </c>
    </row>
    <row r="3" spans="1:10" x14ac:dyDescent="0.3">
      <c r="A3">
        <v>1</v>
      </c>
      <c r="B3" s="59" t="s">
        <v>4598</v>
      </c>
      <c r="C3" s="59">
        <v>110</v>
      </c>
      <c r="D3" s="59">
        <v>24</v>
      </c>
      <c r="E3" s="59"/>
      <c r="F3" s="59"/>
      <c r="G3" s="59"/>
      <c r="H3" s="36"/>
      <c r="I3" s="36">
        <f>C3</f>
        <v>110</v>
      </c>
    </row>
    <row r="4" spans="1:10" ht="52.5" customHeight="1" x14ac:dyDescent="0.3">
      <c r="A4">
        <v>2</v>
      </c>
      <c r="B4" s="60" t="s">
        <v>4599</v>
      </c>
      <c r="C4" s="78">
        <v>50</v>
      </c>
      <c r="D4" s="59">
        <v>4</v>
      </c>
      <c r="E4" s="59"/>
      <c r="F4" s="59"/>
      <c r="G4" s="59"/>
      <c r="H4" s="36"/>
      <c r="I4" s="36">
        <f>C4</f>
        <v>50</v>
      </c>
    </row>
    <row r="5" spans="1:10" x14ac:dyDescent="0.3">
      <c r="A5">
        <v>3</v>
      </c>
      <c r="B5" s="59" t="s">
        <v>4600</v>
      </c>
      <c r="C5" s="78">
        <v>10</v>
      </c>
      <c r="D5" s="59">
        <v>2</v>
      </c>
      <c r="E5" s="59"/>
      <c r="F5" s="59"/>
      <c r="G5" s="59"/>
      <c r="H5" s="36"/>
      <c r="I5" s="36">
        <f>C5</f>
        <v>10</v>
      </c>
    </row>
    <row r="6" spans="1:10" x14ac:dyDescent="0.3">
      <c r="A6">
        <v>4</v>
      </c>
      <c r="B6" s="60" t="s">
        <v>4601</v>
      </c>
      <c r="C6" s="78">
        <v>4</v>
      </c>
      <c r="D6" s="59">
        <v>1</v>
      </c>
      <c r="E6" s="59"/>
      <c r="F6" s="59"/>
      <c r="G6" s="59"/>
      <c r="H6" s="36"/>
      <c r="I6" s="36">
        <f>C6</f>
        <v>4</v>
      </c>
    </row>
    <row r="7" spans="1:10" x14ac:dyDescent="0.3">
      <c r="A7">
        <v>5</v>
      </c>
      <c r="B7" s="78" t="s">
        <v>4602</v>
      </c>
      <c r="C7" s="59"/>
      <c r="D7" s="59">
        <v>1</v>
      </c>
      <c r="E7" s="59"/>
      <c r="F7" s="59"/>
      <c r="G7" s="59"/>
      <c r="H7" s="36"/>
      <c r="I7" s="36">
        <v>1</v>
      </c>
    </row>
    <row r="8" spans="1:10" ht="43.2" x14ac:dyDescent="0.3">
      <c r="A8">
        <v>6</v>
      </c>
      <c r="B8" s="60" t="s">
        <v>4603</v>
      </c>
      <c r="C8" s="78">
        <v>12</v>
      </c>
      <c r="D8" s="59">
        <v>2</v>
      </c>
      <c r="E8" s="59"/>
      <c r="F8" s="59"/>
      <c r="G8" s="59"/>
      <c r="H8" s="36"/>
      <c r="I8" s="36">
        <f t="shared" ref="I8:I21" si="0">C8</f>
        <v>12</v>
      </c>
    </row>
    <row r="9" spans="1:10" ht="43.2" x14ac:dyDescent="0.3">
      <c r="A9">
        <v>7</v>
      </c>
      <c r="B9" s="60" t="s">
        <v>4604</v>
      </c>
      <c r="C9" s="78">
        <v>10</v>
      </c>
      <c r="D9" s="59">
        <v>2</v>
      </c>
      <c r="E9" s="59"/>
      <c r="F9" s="59"/>
      <c r="G9" s="59"/>
      <c r="H9" s="36"/>
      <c r="I9" s="36">
        <f t="shared" si="0"/>
        <v>10</v>
      </c>
    </row>
    <row r="10" spans="1:10" x14ac:dyDescent="0.3">
      <c r="A10">
        <v>8</v>
      </c>
      <c r="B10" s="59" t="s">
        <v>4605</v>
      </c>
      <c r="C10" s="59">
        <v>1</v>
      </c>
      <c r="D10" s="59"/>
      <c r="E10" s="59"/>
      <c r="F10" s="59"/>
      <c r="G10" s="59"/>
      <c r="H10" s="36"/>
      <c r="I10" s="36">
        <f t="shared" si="0"/>
        <v>1</v>
      </c>
    </row>
    <row r="11" spans="1:10" ht="28.8" x14ac:dyDescent="0.3">
      <c r="A11">
        <v>9</v>
      </c>
      <c r="B11" s="60" t="s">
        <v>4606</v>
      </c>
      <c r="C11" s="78">
        <v>4</v>
      </c>
      <c r="D11" s="59">
        <v>1</v>
      </c>
      <c r="E11" s="59"/>
      <c r="F11" s="59"/>
      <c r="G11" s="59"/>
      <c r="H11" s="36"/>
      <c r="I11" s="36">
        <f t="shared" si="0"/>
        <v>4</v>
      </c>
    </row>
    <row r="12" spans="1:10" x14ac:dyDescent="0.3">
      <c r="A12">
        <v>10</v>
      </c>
      <c r="B12" s="59" t="s">
        <v>4607</v>
      </c>
      <c r="C12" s="78">
        <v>14</v>
      </c>
      <c r="D12" s="59">
        <v>1</v>
      </c>
      <c r="E12" s="59"/>
      <c r="F12" s="59"/>
      <c r="G12" s="59"/>
      <c r="H12" s="36"/>
      <c r="I12" s="36">
        <f t="shared" si="0"/>
        <v>14</v>
      </c>
    </row>
    <row r="13" spans="1:10" x14ac:dyDescent="0.3">
      <c r="A13">
        <v>11</v>
      </c>
      <c r="B13" s="59" t="s">
        <v>4608</v>
      </c>
      <c r="C13" s="78"/>
      <c r="D13" s="78">
        <v>1</v>
      </c>
      <c r="E13" s="59"/>
      <c r="F13" s="59"/>
      <c r="G13" s="59"/>
      <c r="H13" s="36"/>
      <c r="I13" s="36">
        <f t="shared" si="0"/>
        <v>0</v>
      </c>
    </row>
    <row r="14" spans="1:10" x14ac:dyDescent="0.3">
      <c r="A14">
        <v>12</v>
      </c>
      <c r="B14" s="59" t="s">
        <v>4609</v>
      </c>
      <c r="C14" s="78"/>
      <c r="D14" s="78">
        <v>1</v>
      </c>
      <c r="E14" s="59"/>
      <c r="F14" s="59"/>
      <c r="G14" s="59"/>
      <c r="H14" s="36"/>
      <c r="I14" s="36">
        <f t="shared" si="0"/>
        <v>0</v>
      </c>
    </row>
    <row r="15" spans="1:10" ht="59.25" customHeight="1" x14ac:dyDescent="0.3">
      <c r="A15">
        <v>13</v>
      </c>
      <c r="B15" s="59" t="s">
        <v>17</v>
      </c>
      <c r="C15" s="78">
        <v>20</v>
      </c>
      <c r="D15" s="59"/>
      <c r="E15" s="59"/>
      <c r="F15" s="59"/>
      <c r="G15" s="59"/>
      <c r="H15" s="36"/>
      <c r="I15" s="36">
        <f t="shared" si="0"/>
        <v>20</v>
      </c>
      <c r="J15" s="24" t="s">
        <v>4610</v>
      </c>
    </row>
    <row r="16" spans="1:10" ht="59.25" customHeight="1" x14ac:dyDescent="0.3">
      <c r="A16">
        <v>14</v>
      </c>
      <c r="B16" s="59" t="s">
        <v>4611</v>
      </c>
      <c r="C16" s="78">
        <v>1</v>
      </c>
      <c r="D16" s="59"/>
      <c r="E16" s="59"/>
      <c r="F16" s="59"/>
      <c r="G16" s="59"/>
      <c r="H16" s="36"/>
      <c r="I16" s="36">
        <f t="shared" si="0"/>
        <v>1</v>
      </c>
      <c r="J16" s="24"/>
    </row>
    <row r="17" spans="1:9" ht="33.75" customHeight="1" x14ac:dyDescent="0.3">
      <c r="A17">
        <v>15</v>
      </c>
      <c r="B17" s="59" t="s">
        <v>19</v>
      </c>
      <c r="C17" s="78">
        <v>2</v>
      </c>
      <c r="D17" s="59"/>
      <c r="E17" s="59"/>
      <c r="F17" s="59"/>
      <c r="G17" s="59"/>
      <c r="H17" s="36"/>
      <c r="I17" s="36">
        <f t="shared" si="0"/>
        <v>2</v>
      </c>
    </row>
    <row r="18" spans="1:9" x14ac:dyDescent="0.3">
      <c r="A18">
        <v>16</v>
      </c>
      <c r="B18" s="59" t="s">
        <v>4612</v>
      </c>
      <c r="C18" s="59">
        <v>8</v>
      </c>
      <c r="D18" s="59"/>
      <c r="E18" s="59">
        <v>2</v>
      </c>
      <c r="F18" s="59">
        <v>1</v>
      </c>
      <c r="G18" s="59"/>
      <c r="H18" s="36"/>
      <c r="I18" s="36">
        <f t="shared" si="0"/>
        <v>8</v>
      </c>
    </row>
    <row r="19" spans="1:9" x14ac:dyDescent="0.3">
      <c r="A19">
        <v>17</v>
      </c>
      <c r="B19" s="59" t="s">
        <v>4613</v>
      </c>
      <c r="C19" s="59"/>
      <c r="D19" s="59">
        <v>1</v>
      </c>
      <c r="E19" s="59"/>
      <c r="F19" s="59"/>
      <c r="G19" s="59"/>
      <c r="H19" s="36"/>
      <c r="I19" s="36">
        <f t="shared" si="0"/>
        <v>0</v>
      </c>
    </row>
    <row r="20" spans="1:9" x14ac:dyDescent="0.3">
      <c r="A20">
        <v>18</v>
      </c>
      <c r="B20" s="59" t="s">
        <v>4614</v>
      </c>
      <c r="C20" s="59">
        <v>8</v>
      </c>
      <c r="D20" s="59"/>
      <c r="E20" s="59"/>
      <c r="F20" s="59"/>
      <c r="G20" s="59"/>
      <c r="H20" s="36"/>
      <c r="I20" s="36">
        <f t="shared" si="0"/>
        <v>8</v>
      </c>
    </row>
    <row r="21" spans="1:9" x14ac:dyDescent="0.3">
      <c r="A21">
        <v>19</v>
      </c>
      <c r="B21" s="59" t="s">
        <v>24</v>
      </c>
      <c r="C21" s="59">
        <v>3</v>
      </c>
      <c r="D21" s="59"/>
      <c r="E21" s="59"/>
      <c r="F21" s="59"/>
      <c r="G21" s="59"/>
      <c r="H21" s="36"/>
      <c r="I21" s="36">
        <f t="shared" si="0"/>
        <v>3</v>
      </c>
    </row>
    <row r="22" spans="1:9" x14ac:dyDescent="0.3">
      <c r="A22">
        <v>20</v>
      </c>
      <c r="B22" s="75" t="s">
        <v>4615</v>
      </c>
      <c r="C22" s="75">
        <v>460</v>
      </c>
      <c r="D22" s="63"/>
      <c r="E22" s="63"/>
      <c r="F22" s="63"/>
      <c r="G22" s="63"/>
      <c r="H22" s="36"/>
      <c r="I22" s="36"/>
    </row>
    <row r="23" spans="1:9" x14ac:dyDescent="0.3">
      <c r="B23" s="75" t="s">
        <v>4616</v>
      </c>
      <c r="C23" s="75">
        <v>281</v>
      </c>
      <c r="D23" s="63"/>
      <c r="E23" s="63"/>
      <c r="F23" s="63"/>
      <c r="G23" s="63"/>
      <c r="H23" s="36"/>
      <c r="I23" s="36"/>
    </row>
    <row r="24" spans="1:9" x14ac:dyDescent="0.3">
      <c r="B24" s="75" t="s">
        <v>4617</v>
      </c>
      <c r="C24" s="75">
        <v>1485</v>
      </c>
      <c r="D24" s="63">
        <f>SUM(D3:D23)</f>
        <v>41</v>
      </c>
      <c r="E24" s="63">
        <f>SUM(E3:E23)</f>
        <v>2</v>
      </c>
      <c r="F24" s="63"/>
      <c r="G24" s="63"/>
      <c r="H24" s="36"/>
      <c r="I24" s="36"/>
    </row>
    <row r="25" spans="1:9" x14ac:dyDescent="0.3">
      <c r="C25">
        <f>SUM(C22:C24)</f>
        <v>2226</v>
      </c>
      <c r="I25">
        <f>SUM(I3:I24)</f>
        <v>258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8F289-41FA-46E2-9B1F-BB508D2F7B79}">
  <dimension ref="A1:I36"/>
  <sheetViews>
    <sheetView topLeftCell="A8" workbookViewId="0">
      <selection activeCell="E11" sqref="E11"/>
    </sheetView>
  </sheetViews>
  <sheetFormatPr baseColWidth="10" defaultColWidth="9.109375" defaultRowHeight="14.4" x14ac:dyDescent="0.3"/>
  <cols>
    <col min="1" max="1" width="37.6640625" customWidth="1"/>
    <col min="2" max="2" width="14" customWidth="1"/>
    <col min="3" max="3" width="14.44140625" customWidth="1"/>
    <col min="4" max="4" width="13.109375" customWidth="1"/>
    <col min="5" max="5" width="12.5546875" customWidth="1"/>
    <col min="6" max="6" width="11.109375" customWidth="1"/>
    <col min="9" max="9" width="9.109375" style="24"/>
  </cols>
  <sheetData>
    <row r="1" spans="1:9" x14ac:dyDescent="0.3">
      <c r="A1" s="58" t="s">
        <v>4589</v>
      </c>
      <c r="B1" s="58"/>
      <c r="C1" s="58"/>
      <c r="D1" s="58"/>
      <c r="E1" s="58"/>
      <c r="F1" s="58"/>
    </row>
    <row r="2" spans="1:9" x14ac:dyDescent="0.3">
      <c r="A2" s="61" t="s">
        <v>4590</v>
      </c>
      <c r="B2" s="76" t="s">
        <v>4591</v>
      </c>
      <c r="C2" s="76" t="s">
        <v>4592</v>
      </c>
      <c r="D2" s="76" t="s">
        <v>4593</v>
      </c>
      <c r="E2" s="76" t="s">
        <v>4594</v>
      </c>
      <c r="F2" s="76" t="s">
        <v>4595</v>
      </c>
      <c r="G2" s="77" t="s">
        <v>4596</v>
      </c>
      <c r="H2" s="77" t="s">
        <v>4597</v>
      </c>
    </row>
    <row r="3" spans="1:9" x14ac:dyDescent="0.3">
      <c r="A3" s="59" t="s">
        <v>4598</v>
      </c>
      <c r="B3" s="59">
        <v>17</v>
      </c>
      <c r="C3" s="59"/>
      <c r="D3" s="59"/>
      <c r="E3" s="59"/>
      <c r="F3" s="59"/>
      <c r="G3" s="36">
        <v>6</v>
      </c>
      <c r="H3" s="36">
        <v>11</v>
      </c>
    </row>
    <row r="4" spans="1:9" ht="28.8" x14ac:dyDescent="0.3">
      <c r="A4" s="60" t="s">
        <v>4618</v>
      </c>
      <c r="B4" s="59">
        <v>23</v>
      </c>
      <c r="C4" s="59"/>
      <c r="D4" s="59"/>
      <c r="E4" s="59"/>
      <c r="F4" s="59"/>
      <c r="G4" s="36">
        <v>6</v>
      </c>
      <c r="H4" s="36">
        <f>23-6</f>
        <v>17</v>
      </c>
    </row>
    <row r="5" spans="1:9" x14ac:dyDescent="0.3">
      <c r="A5" s="59" t="s">
        <v>4600</v>
      </c>
      <c r="B5" s="59">
        <v>9</v>
      </c>
      <c r="C5" s="59">
        <v>1</v>
      </c>
      <c r="D5" s="59"/>
      <c r="E5" s="59"/>
      <c r="F5" s="59"/>
      <c r="G5" s="36">
        <v>3</v>
      </c>
      <c r="H5" s="36">
        <v>7</v>
      </c>
    </row>
    <row r="6" spans="1:9" ht="28.8" x14ac:dyDescent="0.3">
      <c r="A6" s="60" t="s">
        <v>4619</v>
      </c>
      <c r="B6" s="59">
        <v>6</v>
      </c>
      <c r="C6" s="59">
        <v>0</v>
      </c>
      <c r="D6" s="59"/>
      <c r="E6" s="59"/>
      <c r="F6" s="59"/>
      <c r="G6" s="36">
        <v>1</v>
      </c>
      <c r="H6" s="36">
        <v>5</v>
      </c>
    </row>
    <row r="7" spans="1:9" x14ac:dyDescent="0.3">
      <c r="A7" s="60" t="s">
        <v>15</v>
      </c>
      <c r="B7" s="59">
        <v>5</v>
      </c>
      <c r="C7" s="59">
        <v>0</v>
      </c>
      <c r="D7" s="59"/>
      <c r="E7" s="59"/>
      <c r="F7" s="59"/>
      <c r="G7" s="36">
        <v>1</v>
      </c>
      <c r="H7" s="36">
        <v>4</v>
      </c>
    </row>
    <row r="8" spans="1:9" x14ac:dyDescent="0.3">
      <c r="A8" s="59" t="s">
        <v>4602</v>
      </c>
      <c r="B8" s="59"/>
      <c r="C8" s="59">
        <v>0</v>
      </c>
      <c r="D8" s="59"/>
      <c r="E8" s="59"/>
      <c r="F8" s="59"/>
      <c r="G8" s="36"/>
      <c r="H8" s="36"/>
    </row>
    <row r="9" spans="1:9" ht="28.8" x14ac:dyDescent="0.3">
      <c r="A9" s="60" t="s">
        <v>4603</v>
      </c>
      <c r="B9" s="59">
        <v>7</v>
      </c>
      <c r="C9" s="59">
        <v>0</v>
      </c>
      <c r="D9" s="59"/>
      <c r="E9" s="59"/>
      <c r="F9" s="59"/>
      <c r="G9" s="36">
        <v>0</v>
      </c>
      <c r="H9" s="36">
        <v>7</v>
      </c>
    </row>
    <row r="10" spans="1:9" ht="43.2" x14ac:dyDescent="0.3">
      <c r="A10" s="60" t="s">
        <v>4604</v>
      </c>
      <c r="B10" s="59">
        <v>26</v>
      </c>
      <c r="C10" s="59">
        <v>1</v>
      </c>
      <c r="D10" s="59"/>
      <c r="E10" s="59"/>
      <c r="F10" s="59"/>
      <c r="G10" s="36">
        <v>4</v>
      </c>
      <c r="H10" s="36">
        <v>23</v>
      </c>
    </row>
    <row r="11" spans="1:9" x14ac:dyDescent="0.3">
      <c r="A11" s="59" t="s">
        <v>4605</v>
      </c>
      <c r="B11" s="59">
        <v>0</v>
      </c>
      <c r="C11" s="59">
        <v>0</v>
      </c>
      <c r="D11" s="59"/>
      <c r="E11" s="59"/>
      <c r="F11" s="59"/>
      <c r="G11" s="36"/>
      <c r="H11" s="36"/>
    </row>
    <row r="12" spans="1:9" x14ac:dyDescent="0.3">
      <c r="A12" s="60" t="s">
        <v>4606</v>
      </c>
      <c r="B12" s="59">
        <v>3</v>
      </c>
      <c r="C12" s="59">
        <v>0</v>
      </c>
      <c r="D12" s="59"/>
      <c r="E12" s="59"/>
      <c r="F12" s="59"/>
      <c r="G12" s="36">
        <v>1</v>
      </c>
      <c r="H12" s="36">
        <v>2</v>
      </c>
    </row>
    <row r="13" spans="1:9" x14ac:dyDescent="0.3">
      <c r="A13" s="59" t="s">
        <v>4607</v>
      </c>
      <c r="B13" s="59">
        <v>2</v>
      </c>
      <c r="C13" s="59">
        <v>0</v>
      </c>
      <c r="D13" s="59"/>
      <c r="E13" s="59"/>
      <c r="F13" s="59"/>
      <c r="G13" s="36">
        <v>0</v>
      </c>
      <c r="H13" s="36">
        <v>2</v>
      </c>
    </row>
    <row r="14" spans="1:9" x14ac:dyDescent="0.3">
      <c r="A14" s="59" t="s">
        <v>4608</v>
      </c>
      <c r="B14" s="59">
        <v>0</v>
      </c>
      <c r="C14" s="59">
        <v>0</v>
      </c>
      <c r="D14" s="59"/>
      <c r="E14" s="59"/>
      <c r="F14" s="59"/>
      <c r="G14" s="36">
        <v>0</v>
      </c>
      <c r="H14" s="36">
        <v>0</v>
      </c>
    </row>
    <row r="15" spans="1:9" x14ac:dyDescent="0.3">
      <c r="A15" s="59" t="s">
        <v>4609</v>
      </c>
      <c r="B15" s="59">
        <f>14-6</f>
        <v>8</v>
      </c>
      <c r="C15" s="59">
        <v>6</v>
      </c>
      <c r="D15" s="59"/>
      <c r="E15" s="59"/>
      <c r="F15" s="59"/>
      <c r="G15" s="36"/>
      <c r="H15" s="36"/>
    </row>
    <row r="16" spans="1:9" x14ac:dyDescent="0.3">
      <c r="A16" s="59" t="s">
        <v>17</v>
      </c>
      <c r="B16" s="59">
        <v>65</v>
      </c>
      <c r="C16" s="59">
        <v>0</v>
      </c>
      <c r="D16" s="59"/>
      <c r="E16" s="59"/>
      <c r="F16" s="59"/>
      <c r="G16" s="36"/>
      <c r="H16" s="36"/>
      <c r="I16" t="s">
        <v>4610</v>
      </c>
    </row>
    <row r="17" spans="1:8" x14ac:dyDescent="0.3">
      <c r="A17" s="59" t="s">
        <v>19</v>
      </c>
      <c r="B17" s="59">
        <v>2</v>
      </c>
      <c r="C17" s="59">
        <v>0</v>
      </c>
      <c r="D17" s="59"/>
      <c r="E17" s="59"/>
      <c r="F17" s="59"/>
      <c r="G17" s="36"/>
      <c r="H17" s="36"/>
    </row>
    <row r="18" spans="1:8" x14ac:dyDescent="0.3">
      <c r="A18" s="59" t="s">
        <v>4612</v>
      </c>
      <c r="B18" s="59">
        <v>9</v>
      </c>
      <c r="C18" s="59">
        <v>1</v>
      </c>
      <c r="D18" s="59"/>
      <c r="E18" s="59"/>
      <c r="F18" s="59"/>
      <c r="G18" s="36"/>
      <c r="H18" s="36"/>
    </row>
    <row r="19" spans="1:8" x14ac:dyDescent="0.3">
      <c r="A19" s="59" t="s">
        <v>4613</v>
      </c>
      <c r="B19" s="59">
        <v>0</v>
      </c>
      <c r="C19" s="59">
        <v>0</v>
      </c>
      <c r="D19" s="59"/>
      <c r="E19" s="59"/>
      <c r="F19" s="59"/>
      <c r="G19" s="36"/>
      <c r="H19" s="36"/>
    </row>
    <row r="20" spans="1:8" x14ac:dyDescent="0.3">
      <c r="A20" s="59" t="s">
        <v>4620</v>
      </c>
      <c r="B20" s="59">
        <v>6</v>
      </c>
      <c r="C20" s="59">
        <v>0</v>
      </c>
      <c r="D20" s="59"/>
      <c r="E20" s="59"/>
      <c r="F20" s="59"/>
      <c r="G20" s="36"/>
      <c r="H20" s="36"/>
    </row>
    <row r="21" spans="1:8" x14ac:dyDescent="0.3">
      <c r="A21" s="59" t="s">
        <v>24</v>
      </c>
      <c r="B21" s="59">
        <v>1</v>
      </c>
      <c r="C21" s="59">
        <v>2</v>
      </c>
      <c r="D21" s="59"/>
      <c r="E21" s="59"/>
      <c r="F21" s="59"/>
      <c r="G21" s="36"/>
      <c r="H21" s="36"/>
    </row>
    <row r="22" spans="1:8" x14ac:dyDescent="0.3">
      <c r="A22" s="75" t="s">
        <v>4615</v>
      </c>
      <c r="B22" s="75">
        <v>278</v>
      </c>
      <c r="C22" s="63"/>
      <c r="D22" s="63"/>
      <c r="E22" s="63"/>
      <c r="F22" s="63"/>
      <c r="G22" s="36"/>
      <c r="H22" s="36"/>
    </row>
    <row r="23" spans="1:8" x14ac:dyDescent="0.3">
      <c r="A23" s="75" t="s">
        <v>4616</v>
      </c>
      <c r="B23" s="75">
        <v>135</v>
      </c>
      <c r="C23" s="63"/>
      <c r="D23" s="63"/>
      <c r="E23" s="63"/>
      <c r="F23" s="63"/>
      <c r="G23" s="36"/>
      <c r="H23" s="36"/>
    </row>
    <row r="24" spans="1:8" x14ac:dyDescent="0.3">
      <c r="A24" s="75" t="s">
        <v>4617</v>
      </c>
      <c r="B24" s="75">
        <v>818</v>
      </c>
      <c r="C24" s="63"/>
      <c r="D24" s="63"/>
      <c r="E24" s="63"/>
      <c r="F24" s="63"/>
      <c r="G24" s="36"/>
      <c r="H24" s="36"/>
    </row>
    <row r="25" spans="1:8" x14ac:dyDescent="0.3">
      <c r="B25">
        <f>SUM(B22:B24)</f>
        <v>1231</v>
      </c>
    </row>
    <row r="31" spans="1:8" x14ac:dyDescent="0.3">
      <c r="B31" s="58" t="s">
        <v>4621</v>
      </c>
      <c r="C31" s="58"/>
      <c r="D31" s="58"/>
      <c r="E31" s="58"/>
      <c r="F31" s="58" t="s">
        <v>4622</v>
      </c>
      <c r="G31" s="58"/>
      <c r="H31" s="58"/>
    </row>
    <row r="32" spans="1:8" x14ac:dyDescent="0.3">
      <c r="B32" s="58" t="s">
        <v>4623</v>
      </c>
      <c r="C32" s="58">
        <v>760</v>
      </c>
      <c r="D32" s="58"/>
      <c r="E32" s="58"/>
      <c r="F32" s="58" t="s">
        <v>4623</v>
      </c>
      <c r="G32" s="58">
        <v>714</v>
      </c>
      <c r="H32" s="58"/>
    </row>
    <row r="33" spans="2:8" x14ac:dyDescent="0.3">
      <c r="B33" s="58" t="s">
        <v>4624</v>
      </c>
      <c r="C33" s="58">
        <v>107</v>
      </c>
      <c r="D33" s="58"/>
      <c r="E33" s="58"/>
      <c r="F33" s="58" t="s">
        <v>4624</v>
      </c>
      <c r="G33" s="58">
        <v>99</v>
      </c>
      <c r="H33" s="58"/>
    </row>
    <row r="34" spans="2:8" x14ac:dyDescent="0.3">
      <c r="B34" s="58" t="s">
        <v>4625</v>
      </c>
      <c r="C34" s="58">
        <v>262</v>
      </c>
      <c r="D34" s="58"/>
      <c r="E34" s="58"/>
      <c r="F34" s="58" t="s">
        <v>4625</v>
      </c>
      <c r="G34" s="58">
        <v>234</v>
      </c>
      <c r="H34" s="58"/>
    </row>
    <row r="35" spans="2:8" x14ac:dyDescent="0.3">
      <c r="B35" s="58" t="s">
        <v>4626</v>
      </c>
      <c r="C35" s="58">
        <v>151</v>
      </c>
      <c r="D35" s="58"/>
      <c r="E35" s="58"/>
      <c r="F35" s="58" t="s">
        <v>4626</v>
      </c>
      <c r="G35" s="58">
        <v>145</v>
      </c>
      <c r="H35" s="58"/>
    </row>
    <row r="36" spans="2:8" x14ac:dyDescent="0.3">
      <c r="B36" s="58" t="s">
        <v>4627</v>
      </c>
      <c r="C36" s="58">
        <f>SUM(C32:C35)</f>
        <v>1280</v>
      </c>
      <c r="D36" s="58"/>
      <c r="E36" s="58"/>
      <c r="F36" s="58" t="s">
        <v>4627</v>
      </c>
      <c r="G36" s="58">
        <f>SUM(G32:G35)</f>
        <v>1192</v>
      </c>
      <c r="H36" s="5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0F093-A317-4A41-9421-1AE3B514D06C}">
  <dimension ref="A2:D28"/>
  <sheetViews>
    <sheetView workbookViewId="0">
      <selection activeCell="B13" sqref="B13"/>
    </sheetView>
  </sheetViews>
  <sheetFormatPr baseColWidth="10" defaultColWidth="9.109375" defaultRowHeight="14.4" x14ac:dyDescent="0.3"/>
  <cols>
    <col min="2" max="2" width="17.6640625" customWidth="1"/>
    <col min="3" max="3" width="11.109375" customWidth="1"/>
  </cols>
  <sheetData>
    <row r="2" spans="1:4" x14ac:dyDescent="0.3">
      <c r="A2" s="62" t="s">
        <v>4628</v>
      </c>
      <c r="B2" s="62" t="s">
        <v>2269</v>
      </c>
      <c r="C2" s="36"/>
      <c r="D2" s="36" t="s">
        <v>4629</v>
      </c>
    </row>
    <row r="3" spans="1:4" x14ac:dyDescent="0.3">
      <c r="A3" s="62">
        <v>1</v>
      </c>
      <c r="B3" s="36">
        <v>92304532</v>
      </c>
      <c r="C3" s="36" t="s">
        <v>720</v>
      </c>
      <c r="D3" s="36" t="s">
        <v>393</v>
      </c>
    </row>
    <row r="4" spans="1:4" x14ac:dyDescent="0.3">
      <c r="A4" s="62">
        <v>2</v>
      </c>
      <c r="B4" s="36">
        <v>116006943</v>
      </c>
      <c r="C4" s="36" t="s">
        <v>720</v>
      </c>
      <c r="D4" s="36" t="s">
        <v>393</v>
      </c>
    </row>
    <row r="5" spans="1:4" x14ac:dyDescent="0.3">
      <c r="A5" s="62">
        <v>4</v>
      </c>
      <c r="B5" s="36">
        <v>115954554</v>
      </c>
      <c r="C5" s="36" t="s">
        <v>1927</v>
      </c>
      <c r="D5" s="36" t="s">
        <v>393</v>
      </c>
    </row>
    <row r="6" spans="1:4" x14ac:dyDescent="0.3">
      <c r="A6" s="62">
        <v>6</v>
      </c>
      <c r="B6" s="36">
        <v>101690649</v>
      </c>
      <c r="C6" s="36" t="s">
        <v>1850</v>
      </c>
      <c r="D6" s="36" t="s">
        <v>393</v>
      </c>
    </row>
    <row r="7" spans="1:4" x14ac:dyDescent="0.3">
      <c r="A7" s="62">
        <v>7</v>
      </c>
      <c r="B7" s="36">
        <v>97330019</v>
      </c>
      <c r="C7" s="36" t="s">
        <v>720</v>
      </c>
      <c r="D7" s="36" t="s">
        <v>393</v>
      </c>
    </row>
    <row r="8" spans="1:4" x14ac:dyDescent="0.3">
      <c r="A8" s="62">
        <v>8</v>
      </c>
      <c r="B8" s="36">
        <v>97406422</v>
      </c>
      <c r="C8" s="36" t="s">
        <v>4630</v>
      </c>
      <c r="D8" s="36" t="s">
        <v>393</v>
      </c>
    </row>
    <row r="9" spans="1:4" x14ac:dyDescent="0.3">
      <c r="A9" s="62">
        <v>9</v>
      </c>
      <c r="B9" s="36">
        <v>120138751</v>
      </c>
      <c r="C9" s="36" t="s">
        <v>720</v>
      </c>
      <c r="D9" s="36" t="s">
        <v>393</v>
      </c>
    </row>
    <row r="10" spans="1:4" x14ac:dyDescent="0.3">
      <c r="A10" s="62">
        <v>10</v>
      </c>
      <c r="B10" s="36">
        <v>96025840</v>
      </c>
      <c r="C10" s="36" t="s">
        <v>1811</v>
      </c>
      <c r="D10" s="36"/>
    </row>
    <row r="11" spans="1:4" x14ac:dyDescent="0.3">
      <c r="A11" s="62">
        <v>11</v>
      </c>
      <c r="B11" s="36">
        <v>111525683</v>
      </c>
      <c r="C11" s="36" t="s">
        <v>4063</v>
      </c>
      <c r="D11" s="36" t="s">
        <v>393</v>
      </c>
    </row>
    <row r="12" spans="1:4" x14ac:dyDescent="0.3">
      <c r="A12" s="62">
        <v>12</v>
      </c>
      <c r="B12" s="36">
        <v>101690649</v>
      </c>
      <c r="C12" s="36" t="s">
        <v>4631</v>
      </c>
      <c r="D12" s="36" t="s">
        <v>393</v>
      </c>
    </row>
    <row r="13" spans="1:4" x14ac:dyDescent="0.3">
      <c r="A13" s="62">
        <v>13</v>
      </c>
      <c r="B13" s="36">
        <v>112879209</v>
      </c>
      <c r="C13" s="36" t="s">
        <v>1860</v>
      </c>
      <c r="D13" s="36"/>
    </row>
    <row r="14" spans="1:4" x14ac:dyDescent="0.3">
      <c r="A14" s="62">
        <v>14</v>
      </c>
      <c r="B14" s="36">
        <v>115789480</v>
      </c>
      <c r="C14" s="36" t="s">
        <v>2747</v>
      </c>
      <c r="D14" s="36" t="s">
        <v>393</v>
      </c>
    </row>
    <row r="15" spans="1:4" x14ac:dyDescent="0.3">
      <c r="A15" s="62">
        <v>15</v>
      </c>
      <c r="B15" s="36">
        <v>111514282</v>
      </c>
      <c r="C15" s="36" t="s">
        <v>720</v>
      </c>
      <c r="D15" s="36" t="s">
        <v>393</v>
      </c>
    </row>
    <row r="16" spans="1:4" x14ac:dyDescent="0.3">
      <c r="A16" s="62">
        <v>16</v>
      </c>
      <c r="B16" s="36"/>
      <c r="C16" s="36"/>
      <c r="D16" s="36"/>
    </row>
    <row r="17" spans="1:4" x14ac:dyDescent="0.3">
      <c r="A17" s="62">
        <v>17</v>
      </c>
      <c r="B17" s="36"/>
      <c r="C17" s="36"/>
      <c r="D17" s="36"/>
    </row>
    <row r="18" spans="1:4" x14ac:dyDescent="0.3">
      <c r="A18" s="62">
        <v>18</v>
      </c>
      <c r="B18" s="36"/>
      <c r="C18" s="36"/>
      <c r="D18" s="36"/>
    </row>
    <row r="19" spans="1:4" x14ac:dyDescent="0.3">
      <c r="A19" s="62">
        <v>19</v>
      </c>
      <c r="B19" s="36"/>
      <c r="C19" s="36"/>
      <c r="D19" s="36"/>
    </row>
    <row r="20" spans="1:4" x14ac:dyDescent="0.3">
      <c r="A20" s="62">
        <v>20</v>
      </c>
      <c r="B20" s="36"/>
      <c r="C20" s="36"/>
      <c r="D20" s="36"/>
    </row>
    <row r="21" spans="1:4" x14ac:dyDescent="0.3">
      <c r="A21" s="40"/>
      <c r="B21" s="40"/>
    </row>
    <row r="22" spans="1:4" x14ac:dyDescent="0.3">
      <c r="A22" s="36"/>
      <c r="B22" s="36"/>
    </row>
    <row r="23" spans="1:4" x14ac:dyDescent="0.3">
      <c r="A23" s="36"/>
      <c r="B23" s="36"/>
    </row>
    <row r="24" spans="1:4" x14ac:dyDescent="0.3">
      <c r="A24" s="36"/>
      <c r="B24" s="36"/>
    </row>
    <row r="25" spans="1:4" x14ac:dyDescent="0.3">
      <c r="A25" s="36"/>
      <c r="B25" s="36"/>
    </row>
    <row r="26" spans="1:4" x14ac:dyDescent="0.3">
      <c r="A26" s="36"/>
      <c r="B26" s="36"/>
    </row>
    <row r="27" spans="1:4" x14ac:dyDescent="0.3">
      <c r="A27" s="36"/>
      <c r="B27" s="36"/>
    </row>
    <row r="28" spans="1:4" x14ac:dyDescent="0.3">
      <c r="A28" s="36"/>
      <c r="B28" s="36"/>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9C560-213C-454F-A06E-B5ADA3BBEA85}">
  <sheetPr>
    <tabColor rgb="FFFFC000"/>
  </sheetPr>
  <dimension ref="A1:T235"/>
  <sheetViews>
    <sheetView workbookViewId="0">
      <selection activeCell="G251" sqref="G251"/>
    </sheetView>
  </sheetViews>
  <sheetFormatPr baseColWidth="10" defaultColWidth="9.109375" defaultRowHeight="14.4" x14ac:dyDescent="0.3"/>
  <cols>
    <col min="1" max="1" width="7.5546875" customWidth="1"/>
    <col min="2" max="2" width="12.33203125" customWidth="1"/>
    <col min="3" max="3" width="10.88671875" customWidth="1"/>
    <col min="4" max="4" width="11.33203125" customWidth="1"/>
    <col min="5" max="5" width="36.109375" customWidth="1"/>
    <col min="6" max="6" width="14.88671875" customWidth="1"/>
    <col min="7" max="9" width="13.44140625" customWidth="1"/>
    <col min="10" max="10" width="22.5546875" customWidth="1"/>
    <col min="11" max="16" width="13.44140625" customWidth="1"/>
    <col min="17" max="18" width="12.5546875" customWidth="1"/>
    <col min="19" max="19" width="15.44140625" customWidth="1"/>
    <col min="20" max="20" width="18.109375" customWidth="1"/>
    <col min="21" max="21" width="12.5546875" customWidth="1"/>
  </cols>
  <sheetData>
    <row r="1" spans="1:20" x14ac:dyDescent="0.3">
      <c r="A1" s="24"/>
      <c r="B1" s="857" t="s">
        <v>2268</v>
      </c>
      <c r="C1" s="857"/>
      <c r="D1" s="857"/>
      <c r="E1" s="857"/>
      <c r="F1" s="857"/>
      <c r="G1" s="857"/>
      <c r="H1" s="857"/>
      <c r="I1" s="857"/>
      <c r="J1" s="857"/>
      <c r="K1" s="857"/>
      <c r="L1" s="857"/>
      <c r="M1" s="857"/>
      <c r="N1" s="857"/>
      <c r="O1" s="857"/>
      <c r="P1" s="857"/>
      <c r="Q1" s="857"/>
      <c r="R1" s="857"/>
      <c r="S1" s="857"/>
      <c r="T1" s="857"/>
    </row>
    <row r="2" spans="1:20" x14ac:dyDescent="0.3">
      <c r="A2" s="24"/>
      <c r="B2" s="319"/>
      <c r="C2" s="319"/>
      <c r="D2" s="319"/>
      <c r="E2" s="319"/>
      <c r="F2" s="319"/>
      <c r="G2" s="319"/>
      <c r="H2" s="319"/>
      <c r="I2" s="319"/>
      <c r="J2" s="319"/>
      <c r="K2" s="319"/>
      <c r="L2" s="319"/>
      <c r="M2" s="319"/>
      <c r="N2" s="319"/>
      <c r="O2" s="319"/>
      <c r="P2" s="319"/>
      <c r="Q2" s="319"/>
      <c r="R2" s="319"/>
      <c r="S2" s="319"/>
      <c r="T2" s="319"/>
    </row>
    <row r="3" spans="1:20" ht="43.8" thickBot="1" x14ac:dyDescent="0.35">
      <c r="A3" s="24"/>
      <c r="B3" s="320" t="s">
        <v>66</v>
      </c>
      <c r="C3" s="321" t="s">
        <v>67</v>
      </c>
      <c r="D3" s="322" t="s">
        <v>2269</v>
      </c>
      <c r="E3" s="389" t="s">
        <v>68</v>
      </c>
      <c r="F3" s="370" t="s">
        <v>69</v>
      </c>
      <c r="G3" s="324" t="s">
        <v>70</v>
      </c>
      <c r="H3" s="325" t="s">
        <v>71</v>
      </c>
      <c r="I3" s="326" t="s">
        <v>72</v>
      </c>
      <c r="J3" s="327" t="s">
        <v>73</v>
      </c>
      <c r="K3" s="328" t="s">
        <v>74</v>
      </c>
      <c r="L3" s="325" t="s">
        <v>71</v>
      </c>
      <c r="M3" s="327" t="s">
        <v>73</v>
      </c>
      <c r="N3" s="328" t="s">
        <v>75</v>
      </c>
      <c r="O3" s="325" t="s">
        <v>71</v>
      </c>
      <c r="P3" s="327" t="s">
        <v>73</v>
      </c>
      <c r="Q3" s="329" t="s">
        <v>76</v>
      </c>
      <c r="R3" s="323" t="s">
        <v>77</v>
      </c>
      <c r="S3" s="323" t="s">
        <v>78</v>
      </c>
      <c r="T3" s="321" t="s">
        <v>79</v>
      </c>
    </row>
    <row r="4" spans="1:20" ht="28.8" x14ac:dyDescent="0.3">
      <c r="A4" s="98">
        <v>1</v>
      </c>
      <c r="B4" s="522">
        <v>1550</v>
      </c>
      <c r="C4" s="523">
        <v>45931</v>
      </c>
      <c r="D4" s="537">
        <v>28798252</v>
      </c>
      <c r="E4" s="270" t="s">
        <v>4632</v>
      </c>
      <c r="F4" s="200" t="s">
        <v>12</v>
      </c>
      <c r="G4" s="221" t="s">
        <v>8</v>
      </c>
      <c r="H4" s="493">
        <v>45931</v>
      </c>
      <c r="I4" s="25"/>
      <c r="J4" s="100" t="s">
        <v>159</v>
      </c>
      <c r="K4" s="494"/>
      <c r="L4" s="495"/>
      <c r="M4" s="496"/>
      <c r="N4" s="497"/>
      <c r="O4" s="498"/>
      <c r="P4" s="499"/>
      <c r="Q4" s="529">
        <v>45931</v>
      </c>
      <c r="R4" s="148">
        <f t="shared" ref="R4:R67" si="0">Q4-H4</f>
        <v>0</v>
      </c>
      <c r="S4" s="200" t="s">
        <v>3418</v>
      </c>
      <c r="T4" s="629"/>
    </row>
    <row r="5" spans="1:20" x14ac:dyDescent="0.3">
      <c r="A5" s="98">
        <f t="shared" ref="A5:A36" si="1">A4+1</f>
        <v>2</v>
      </c>
      <c r="B5" s="522" t="s">
        <v>1826</v>
      </c>
      <c r="C5" s="523">
        <v>45931</v>
      </c>
      <c r="D5" s="36">
        <v>56329903</v>
      </c>
      <c r="E5" s="635" t="s">
        <v>2488</v>
      </c>
      <c r="F5" s="200" t="s">
        <v>23</v>
      </c>
      <c r="G5" s="221" t="s">
        <v>4</v>
      </c>
      <c r="H5" s="493">
        <v>45931</v>
      </c>
      <c r="I5" s="25"/>
      <c r="J5" s="100" t="s">
        <v>135</v>
      </c>
      <c r="K5" s="494"/>
      <c r="L5" s="495"/>
      <c r="M5" s="496"/>
      <c r="N5" s="497"/>
      <c r="O5" s="498"/>
      <c r="P5" s="499"/>
      <c r="Q5" s="529">
        <v>45931</v>
      </c>
      <c r="R5" s="148">
        <f t="shared" si="0"/>
        <v>0</v>
      </c>
      <c r="S5" s="200" t="s">
        <v>3096</v>
      </c>
      <c r="T5" s="535"/>
    </row>
    <row r="6" spans="1:20" ht="28.8" x14ac:dyDescent="0.3">
      <c r="A6" s="98">
        <f t="shared" si="1"/>
        <v>3</v>
      </c>
      <c r="B6" s="536">
        <v>1550</v>
      </c>
      <c r="C6" s="523">
        <v>45931</v>
      </c>
      <c r="D6" s="630">
        <v>89598601</v>
      </c>
      <c r="E6" s="308" t="s">
        <v>4633</v>
      </c>
      <c r="F6" s="200" t="s">
        <v>3</v>
      </c>
      <c r="G6" s="221" t="s">
        <v>4</v>
      </c>
      <c r="H6" s="493">
        <v>45931</v>
      </c>
      <c r="I6" s="25"/>
      <c r="J6" s="100" t="s">
        <v>82</v>
      </c>
      <c r="K6" s="494"/>
      <c r="L6" s="495"/>
      <c r="M6" s="496"/>
      <c r="N6" s="497"/>
      <c r="O6" s="498"/>
      <c r="P6" s="499"/>
      <c r="Q6" s="539">
        <v>45931</v>
      </c>
      <c r="R6" s="148">
        <f t="shared" si="0"/>
        <v>0</v>
      </c>
      <c r="S6" s="200" t="s">
        <v>267</v>
      </c>
      <c r="T6" s="535"/>
    </row>
    <row r="7" spans="1:20" ht="28.8" x14ac:dyDescent="0.3">
      <c r="A7" s="98">
        <f t="shared" si="1"/>
        <v>4</v>
      </c>
      <c r="B7" s="536">
        <v>1550</v>
      </c>
      <c r="C7" s="652">
        <v>45931</v>
      </c>
      <c r="D7" s="537"/>
      <c r="E7" s="275" t="s">
        <v>4634</v>
      </c>
      <c r="F7" s="653" t="s">
        <v>21</v>
      </c>
      <c r="G7" s="221" t="s">
        <v>4</v>
      </c>
      <c r="H7" s="493">
        <v>45931</v>
      </c>
      <c r="I7" s="25"/>
      <c r="J7" s="100" t="s">
        <v>2432</v>
      </c>
      <c r="K7" s="494"/>
      <c r="L7" s="495"/>
      <c r="M7" s="496"/>
      <c r="N7" s="497"/>
      <c r="O7" s="498"/>
      <c r="P7" s="499"/>
      <c r="Q7" s="529">
        <v>45933</v>
      </c>
      <c r="R7" s="148">
        <f t="shared" si="0"/>
        <v>2</v>
      </c>
      <c r="S7" s="200" t="s">
        <v>4635</v>
      </c>
      <c r="T7" s="540"/>
    </row>
    <row r="8" spans="1:20" ht="28.8" x14ac:dyDescent="0.3">
      <c r="A8" s="98">
        <f t="shared" si="1"/>
        <v>5</v>
      </c>
      <c r="B8" s="651">
        <v>1550</v>
      </c>
      <c r="C8" s="650">
        <v>45931</v>
      </c>
      <c r="D8" s="219">
        <v>39651835</v>
      </c>
      <c r="E8" s="109" t="s">
        <v>4636</v>
      </c>
      <c r="F8" s="219" t="s">
        <v>23</v>
      </c>
      <c r="G8" s="221" t="s">
        <v>6</v>
      </c>
      <c r="H8" s="493">
        <v>45931</v>
      </c>
      <c r="I8" s="25"/>
      <c r="J8" s="100" t="s">
        <v>135</v>
      </c>
      <c r="K8" s="494"/>
      <c r="L8" s="495"/>
      <c r="M8" s="496"/>
      <c r="N8" s="497"/>
      <c r="O8" s="498"/>
      <c r="P8" s="499"/>
      <c r="Q8" s="529">
        <v>45931</v>
      </c>
      <c r="R8" s="148">
        <f t="shared" si="0"/>
        <v>0</v>
      </c>
      <c r="S8" s="200" t="s">
        <v>1936</v>
      </c>
      <c r="T8" s="535"/>
    </row>
    <row r="9" spans="1:20" ht="28.8" x14ac:dyDescent="0.3">
      <c r="A9" s="98">
        <f t="shared" si="1"/>
        <v>6</v>
      </c>
      <c r="B9" s="651">
        <v>1550</v>
      </c>
      <c r="C9" s="650">
        <v>45931</v>
      </c>
      <c r="D9" s="123">
        <v>7577524</v>
      </c>
      <c r="E9" s="175" t="s">
        <v>4637</v>
      </c>
      <c r="F9" s="219" t="s">
        <v>7</v>
      </c>
      <c r="G9" s="221" t="s">
        <v>8</v>
      </c>
      <c r="H9" s="493">
        <v>45931</v>
      </c>
      <c r="I9" s="25"/>
      <c r="J9" s="100" t="s">
        <v>4176</v>
      </c>
      <c r="K9" s="494"/>
      <c r="L9" s="495"/>
      <c r="M9" s="496"/>
      <c r="N9" s="497"/>
      <c r="O9" s="498"/>
      <c r="P9" s="499"/>
      <c r="Q9" s="539">
        <v>45945</v>
      </c>
      <c r="R9" s="148">
        <f t="shared" si="0"/>
        <v>14</v>
      </c>
      <c r="S9" s="200" t="s">
        <v>3418</v>
      </c>
      <c r="T9" s="315"/>
    </row>
    <row r="10" spans="1:20" ht="43.2" x14ac:dyDescent="0.3">
      <c r="A10" s="98">
        <f t="shared" si="1"/>
        <v>7</v>
      </c>
      <c r="B10" s="651" t="s">
        <v>80</v>
      </c>
      <c r="C10" s="650">
        <v>45931</v>
      </c>
      <c r="D10" s="63">
        <v>120600943</v>
      </c>
      <c r="E10" s="254" t="s">
        <v>4638</v>
      </c>
      <c r="F10" s="219" t="s">
        <v>17</v>
      </c>
      <c r="G10" s="221" t="s">
        <v>10</v>
      </c>
      <c r="H10" s="493">
        <v>45931</v>
      </c>
      <c r="I10" s="25"/>
      <c r="J10" s="100" t="s">
        <v>82</v>
      </c>
      <c r="K10" s="494"/>
      <c r="L10" s="495"/>
      <c r="M10" s="496"/>
      <c r="N10" s="497"/>
      <c r="O10" s="498"/>
      <c r="P10" s="499"/>
      <c r="Q10" s="539">
        <v>45943</v>
      </c>
      <c r="R10" s="148">
        <f t="shared" si="0"/>
        <v>12</v>
      </c>
      <c r="S10" s="200" t="s">
        <v>1319</v>
      </c>
      <c r="T10" s="315"/>
    </row>
    <row r="11" spans="1:20" ht="53.25" customHeight="1" x14ac:dyDescent="0.3">
      <c r="A11" s="98">
        <f t="shared" si="1"/>
        <v>8</v>
      </c>
      <c r="B11" s="651" t="s">
        <v>80</v>
      </c>
      <c r="C11" s="650">
        <v>45931</v>
      </c>
      <c r="D11" s="63">
        <v>39900142</v>
      </c>
      <c r="E11" s="254" t="s">
        <v>4639</v>
      </c>
      <c r="F11" s="219" t="s">
        <v>7</v>
      </c>
      <c r="G11" s="221" t="s">
        <v>10</v>
      </c>
      <c r="H11" s="493">
        <v>45931</v>
      </c>
      <c r="I11" s="25"/>
      <c r="J11" s="100" t="s">
        <v>2536</v>
      </c>
      <c r="K11" s="494"/>
      <c r="L11" s="495"/>
      <c r="M11" s="496"/>
      <c r="N11" s="497"/>
      <c r="O11" s="498"/>
      <c r="P11" s="499"/>
      <c r="Q11" s="539">
        <v>45932</v>
      </c>
      <c r="R11" s="148">
        <f t="shared" si="0"/>
        <v>1</v>
      </c>
      <c r="S11" s="200" t="s">
        <v>1319</v>
      </c>
      <c r="T11" s="535"/>
    </row>
    <row r="12" spans="1:20" ht="58.5" customHeight="1" x14ac:dyDescent="0.3">
      <c r="A12" s="98">
        <f t="shared" si="1"/>
        <v>9</v>
      </c>
      <c r="B12" s="536" t="s">
        <v>301</v>
      </c>
      <c r="C12" s="650">
        <v>45931</v>
      </c>
      <c r="D12" s="654">
        <v>25324039</v>
      </c>
      <c r="E12" s="254" t="s">
        <v>4640</v>
      </c>
      <c r="F12" s="200" t="s">
        <v>37</v>
      </c>
      <c r="G12" s="221" t="s">
        <v>10</v>
      </c>
      <c r="H12" s="493">
        <v>45931</v>
      </c>
      <c r="I12" s="25"/>
      <c r="J12" s="100" t="s">
        <v>3993</v>
      </c>
      <c r="K12" s="494"/>
      <c r="L12" s="495"/>
      <c r="M12" s="496"/>
      <c r="N12" s="497"/>
      <c r="O12" s="498"/>
      <c r="P12" s="499"/>
      <c r="Q12" s="539">
        <v>45932</v>
      </c>
      <c r="R12" s="148">
        <f t="shared" si="0"/>
        <v>1</v>
      </c>
      <c r="S12" s="200" t="s">
        <v>214</v>
      </c>
      <c r="T12" s="535"/>
    </row>
    <row r="13" spans="1:20" ht="31.5" customHeight="1" x14ac:dyDescent="0.3">
      <c r="A13" s="98">
        <f t="shared" si="1"/>
        <v>10</v>
      </c>
      <c r="B13" s="651" t="s">
        <v>80</v>
      </c>
      <c r="C13" s="650">
        <v>45931</v>
      </c>
      <c r="D13" s="541">
        <v>306446014</v>
      </c>
      <c r="E13" s="254" t="s">
        <v>4641</v>
      </c>
      <c r="F13" s="219" t="s">
        <v>3</v>
      </c>
      <c r="G13" s="221" t="s">
        <v>10</v>
      </c>
      <c r="H13" s="493">
        <v>45931</v>
      </c>
      <c r="I13" s="25">
        <v>1000032189</v>
      </c>
      <c r="J13" s="100" t="s">
        <v>135</v>
      </c>
      <c r="K13" s="494"/>
      <c r="L13" s="495"/>
      <c r="M13" s="496"/>
      <c r="N13" s="497"/>
      <c r="O13" s="498"/>
      <c r="P13" s="499"/>
      <c r="Q13" s="539">
        <v>45943</v>
      </c>
      <c r="R13" s="148">
        <f t="shared" si="0"/>
        <v>12</v>
      </c>
      <c r="S13" s="200" t="s">
        <v>1319</v>
      </c>
      <c r="T13" s="315" t="s">
        <v>4642</v>
      </c>
    </row>
    <row r="14" spans="1:20" ht="28.8" x14ac:dyDescent="0.3">
      <c r="A14" s="98">
        <f t="shared" si="1"/>
        <v>11</v>
      </c>
      <c r="B14" s="536">
        <v>1550</v>
      </c>
      <c r="C14" s="523">
        <v>45932</v>
      </c>
      <c r="D14" s="541">
        <v>43486037</v>
      </c>
      <c r="E14" s="270" t="s">
        <v>3776</v>
      </c>
      <c r="F14" s="219" t="s">
        <v>1</v>
      </c>
      <c r="G14" s="221" t="s">
        <v>4</v>
      </c>
      <c r="H14" s="493">
        <v>45932</v>
      </c>
      <c r="I14" s="25"/>
      <c r="J14" s="100" t="s">
        <v>99</v>
      </c>
      <c r="K14" s="494"/>
      <c r="L14" s="495"/>
      <c r="M14" s="496"/>
      <c r="N14" s="497"/>
      <c r="O14" s="498"/>
      <c r="P14" s="499"/>
      <c r="Q14" s="529">
        <v>45933</v>
      </c>
      <c r="R14" s="148">
        <f t="shared" si="0"/>
        <v>1</v>
      </c>
      <c r="S14" s="200" t="s">
        <v>4635</v>
      </c>
      <c r="T14" s="315"/>
    </row>
    <row r="15" spans="1:20" ht="28.8" x14ac:dyDescent="0.3">
      <c r="A15" s="98">
        <f t="shared" si="1"/>
        <v>12</v>
      </c>
      <c r="B15" s="536">
        <v>1550</v>
      </c>
      <c r="C15" s="523">
        <v>45932</v>
      </c>
      <c r="D15" s="541"/>
      <c r="E15" s="308" t="s">
        <v>4643</v>
      </c>
      <c r="F15" s="200" t="s">
        <v>21</v>
      </c>
      <c r="G15" s="221" t="s">
        <v>4</v>
      </c>
      <c r="H15" s="493">
        <v>45932</v>
      </c>
      <c r="I15" s="25"/>
      <c r="J15" s="100" t="s">
        <v>2352</v>
      </c>
      <c r="K15" s="494"/>
      <c r="L15" s="495"/>
      <c r="M15" s="496"/>
      <c r="N15" s="497"/>
      <c r="O15" s="498"/>
      <c r="P15" s="499"/>
      <c r="Q15" s="529">
        <v>45932</v>
      </c>
      <c r="R15" s="148">
        <f t="shared" si="0"/>
        <v>0</v>
      </c>
      <c r="S15" s="200" t="s">
        <v>3096</v>
      </c>
      <c r="T15" s="315"/>
    </row>
    <row r="16" spans="1:20" ht="43.2" x14ac:dyDescent="0.3">
      <c r="A16" s="98">
        <f t="shared" si="1"/>
        <v>13</v>
      </c>
      <c r="B16" s="536" t="s">
        <v>1826</v>
      </c>
      <c r="C16" s="523">
        <v>45932</v>
      </c>
      <c r="D16" s="541">
        <v>285547844</v>
      </c>
      <c r="E16" s="270" t="s">
        <v>4644</v>
      </c>
      <c r="F16" s="200" t="s">
        <v>23</v>
      </c>
      <c r="G16" s="221" t="s">
        <v>8</v>
      </c>
      <c r="H16" s="493">
        <v>45932</v>
      </c>
      <c r="I16" s="25"/>
      <c r="J16" s="100" t="s">
        <v>135</v>
      </c>
      <c r="K16" s="494"/>
      <c r="L16" s="495"/>
      <c r="M16" s="496"/>
      <c r="N16" s="497"/>
      <c r="O16" s="498"/>
      <c r="P16" s="499"/>
      <c r="Q16" s="539">
        <v>45936</v>
      </c>
      <c r="R16" s="148">
        <f t="shared" si="0"/>
        <v>4</v>
      </c>
      <c r="S16" s="200" t="s">
        <v>4127</v>
      </c>
      <c r="T16" s="315"/>
    </row>
    <row r="17" spans="1:20" ht="28.8" x14ac:dyDescent="0.3">
      <c r="A17" s="98">
        <f t="shared" si="1"/>
        <v>14</v>
      </c>
      <c r="B17" s="536" t="s">
        <v>1826</v>
      </c>
      <c r="C17" s="523">
        <v>45932</v>
      </c>
      <c r="D17" s="541">
        <v>93662564</v>
      </c>
      <c r="E17" s="270" t="s">
        <v>4645</v>
      </c>
      <c r="F17" s="200" t="s">
        <v>12</v>
      </c>
      <c r="G17" s="221" t="s">
        <v>4</v>
      </c>
      <c r="H17" s="493">
        <v>45932</v>
      </c>
      <c r="I17" s="25"/>
      <c r="J17" s="100" t="s">
        <v>159</v>
      </c>
      <c r="K17" s="494"/>
      <c r="L17" s="495"/>
      <c r="M17" s="496"/>
      <c r="N17" s="497"/>
      <c r="O17" s="498"/>
      <c r="P17" s="499"/>
      <c r="Q17" s="529">
        <v>45968</v>
      </c>
      <c r="R17" s="148">
        <f t="shared" si="0"/>
        <v>36</v>
      </c>
      <c r="S17" s="200" t="s">
        <v>3086</v>
      </c>
      <c r="T17" s="535"/>
    </row>
    <row r="18" spans="1:20" ht="72" x14ac:dyDescent="0.3">
      <c r="A18" s="98">
        <f t="shared" si="1"/>
        <v>15</v>
      </c>
      <c r="B18" s="536" t="s">
        <v>301</v>
      </c>
      <c r="C18" s="523">
        <v>45932</v>
      </c>
      <c r="D18" s="541">
        <v>14868709</v>
      </c>
      <c r="E18" s="308" t="s">
        <v>4646</v>
      </c>
      <c r="F18" s="200" t="s">
        <v>1</v>
      </c>
      <c r="G18" s="221" t="s">
        <v>6</v>
      </c>
      <c r="H18" s="493">
        <v>45932</v>
      </c>
      <c r="I18" s="25"/>
      <c r="J18" s="100" t="s">
        <v>2544</v>
      </c>
      <c r="K18" s="494"/>
      <c r="L18" s="495"/>
      <c r="M18" s="496"/>
      <c r="N18" s="497"/>
      <c r="O18" s="498"/>
      <c r="P18" s="499"/>
      <c r="Q18" s="529">
        <v>45932</v>
      </c>
      <c r="R18" s="148">
        <f t="shared" si="0"/>
        <v>0</v>
      </c>
      <c r="S18" s="200" t="s">
        <v>1312</v>
      </c>
      <c r="T18" s="535"/>
    </row>
    <row r="19" spans="1:20" ht="28.8" x14ac:dyDescent="0.3">
      <c r="A19" s="98">
        <f t="shared" si="1"/>
        <v>16</v>
      </c>
      <c r="B19" s="536">
        <v>1550</v>
      </c>
      <c r="C19" s="523">
        <v>45932</v>
      </c>
      <c r="D19" s="541">
        <v>100472249</v>
      </c>
      <c r="E19" s="308" t="s">
        <v>4647</v>
      </c>
      <c r="F19" s="219" t="s">
        <v>1</v>
      </c>
      <c r="G19" s="221" t="s">
        <v>4</v>
      </c>
      <c r="H19" s="493">
        <v>45932</v>
      </c>
      <c r="I19" s="25"/>
      <c r="J19" s="100" t="s">
        <v>2544</v>
      </c>
      <c r="K19" s="494"/>
      <c r="L19" s="495"/>
      <c r="M19" s="496"/>
      <c r="N19" s="497"/>
      <c r="O19" s="498"/>
      <c r="P19" s="499"/>
      <c r="Q19" s="529">
        <v>45938</v>
      </c>
      <c r="R19" s="148">
        <f t="shared" si="0"/>
        <v>6</v>
      </c>
      <c r="S19" s="200" t="s">
        <v>3899</v>
      </c>
      <c r="T19" s="535"/>
    </row>
    <row r="20" spans="1:20" ht="28.8" x14ac:dyDescent="0.3">
      <c r="A20" s="98">
        <f t="shared" si="1"/>
        <v>17</v>
      </c>
      <c r="B20" s="536">
        <v>1550</v>
      </c>
      <c r="C20" s="523">
        <v>45932</v>
      </c>
      <c r="D20" s="541">
        <v>9496394</v>
      </c>
      <c r="E20" s="270" t="s">
        <v>4648</v>
      </c>
      <c r="F20" s="219" t="s">
        <v>4208</v>
      </c>
      <c r="G20" s="221" t="s">
        <v>8</v>
      </c>
      <c r="H20" s="493">
        <v>45932</v>
      </c>
      <c r="I20" s="25"/>
      <c r="J20" s="100" t="s">
        <v>253</v>
      </c>
      <c r="K20" s="494"/>
      <c r="L20" s="495"/>
      <c r="M20" s="496"/>
      <c r="N20" s="497"/>
      <c r="O20" s="498"/>
      <c r="P20" s="499"/>
      <c r="Q20" s="529">
        <v>45937</v>
      </c>
      <c r="R20" s="148">
        <f t="shared" si="0"/>
        <v>5</v>
      </c>
      <c r="S20" s="200" t="s">
        <v>270</v>
      </c>
      <c r="T20" s="542"/>
    </row>
    <row r="21" spans="1:20" ht="28.8" x14ac:dyDescent="0.3">
      <c r="A21" s="98">
        <f t="shared" si="1"/>
        <v>18</v>
      </c>
      <c r="B21" s="536">
        <v>1550</v>
      </c>
      <c r="C21" s="523">
        <v>45932</v>
      </c>
      <c r="D21" s="543">
        <v>89537270</v>
      </c>
      <c r="E21" s="270" t="s">
        <v>4649</v>
      </c>
      <c r="F21" s="219" t="s">
        <v>7</v>
      </c>
      <c r="G21" s="221" t="s">
        <v>4</v>
      </c>
      <c r="H21" s="493">
        <v>45932</v>
      </c>
      <c r="I21" s="25"/>
      <c r="J21" s="100" t="s">
        <v>2513</v>
      </c>
      <c r="K21" s="494"/>
      <c r="L21" s="495"/>
      <c r="M21" s="496"/>
      <c r="N21" s="497"/>
      <c r="O21" s="498"/>
      <c r="P21" s="499"/>
      <c r="Q21" s="529">
        <v>45945</v>
      </c>
      <c r="R21" s="148">
        <f t="shared" si="0"/>
        <v>13</v>
      </c>
      <c r="S21" s="200" t="s">
        <v>3047</v>
      </c>
      <c r="T21" s="315" t="s">
        <v>4650</v>
      </c>
    </row>
    <row r="22" spans="1:20" ht="28.8" x14ac:dyDescent="0.3">
      <c r="A22" s="98">
        <f t="shared" si="1"/>
        <v>19</v>
      </c>
      <c r="B22" s="536">
        <v>1550</v>
      </c>
      <c r="C22" s="523">
        <v>45932</v>
      </c>
      <c r="D22" s="543">
        <v>108676471</v>
      </c>
      <c r="E22" s="308" t="s">
        <v>4651</v>
      </c>
      <c r="F22" s="200" t="s">
        <v>33</v>
      </c>
      <c r="G22" s="221" t="s">
        <v>4</v>
      </c>
      <c r="H22" s="493">
        <v>45932</v>
      </c>
      <c r="I22" s="25"/>
      <c r="J22" s="100" t="s">
        <v>99</v>
      </c>
      <c r="K22" s="494"/>
      <c r="L22" s="495"/>
      <c r="M22" s="496"/>
      <c r="N22" s="497"/>
      <c r="O22" s="498"/>
      <c r="P22" s="499"/>
      <c r="Q22" s="529">
        <v>45933</v>
      </c>
      <c r="R22" s="148">
        <f t="shared" si="0"/>
        <v>1</v>
      </c>
      <c r="S22" s="200" t="s">
        <v>3086</v>
      </c>
      <c r="T22" s="535"/>
    </row>
    <row r="23" spans="1:20" ht="39" customHeight="1" x14ac:dyDescent="0.3">
      <c r="A23" s="98">
        <f t="shared" si="1"/>
        <v>20</v>
      </c>
      <c r="B23" s="536">
        <v>1550</v>
      </c>
      <c r="C23" s="523">
        <v>45932</v>
      </c>
      <c r="D23" s="543">
        <v>7321848</v>
      </c>
      <c r="E23" s="308" t="s">
        <v>4652</v>
      </c>
      <c r="F23" s="385" t="s">
        <v>1</v>
      </c>
      <c r="G23" s="221" t="s">
        <v>10</v>
      </c>
      <c r="H23" s="493">
        <v>45932</v>
      </c>
      <c r="I23" s="25"/>
      <c r="J23" s="100" t="s">
        <v>2306</v>
      </c>
      <c r="K23" s="494"/>
      <c r="L23" s="495"/>
      <c r="M23" s="496"/>
      <c r="N23" s="497"/>
      <c r="O23" s="498"/>
      <c r="P23" s="499"/>
      <c r="Q23" s="539">
        <v>45932</v>
      </c>
      <c r="R23" s="148">
        <f t="shared" si="0"/>
        <v>0</v>
      </c>
      <c r="S23" s="200" t="s">
        <v>1806</v>
      </c>
      <c r="T23" s="535"/>
    </row>
    <row r="24" spans="1:20" ht="57.6" x14ac:dyDescent="0.3">
      <c r="A24" s="98">
        <f t="shared" si="1"/>
        <v>21</v>
      </c>
      <c r="B24" s="536" t="s">
        <v>301</v>
      </c>
      <c r="C24" s="523">
        <v>45932</v>
      </c>
      <c r="D24" s="543">
        <v>118396323</v>
      </c>
      <c r="E24" s="270" t="s">
        <v>4653</v>
      </c>
      <c r="F24" s="385" t="s">
        <v>1</v>
      </c>
      <c r="G24" s="221" t="s">
        <v>10</v>
      </c>
      <c r="H24" s="493">
        <v>45932</v>
      </c>
      <c r="I24" s="25"/>
      <c r="J24" s="100" t="s">
        <v>2547</v>
      </c>
      <c r="K24" s="494"/>
      <c r="L24" s="495"/>
      <c r="M24" s="496"/>
      <c r="N24" s="497"/>
      <c r="O24" s="498"/>
      <c r="P24" s="499"/>
      <c r="Q24" s="539">
        <v>45932</v>
      </c>
      <c r="R24" s="148">
        <f t="shared" si="0"/>
        <v>0</v>
      </c>
      <c r="S24" s="200" t="s">
        <v>214</v>
      </c>
      <c r="T24" s="315"/>
    </row>
    <row r="25" spans="1:20" ht="61.5" customHeight="1" x14ac:dyDescent="0.3">
      <c r="A25" s="98">
        <f t="shared" si="1"/>
        <v>22</v>
      </c>
      <c r="B25" s="536" t="s">
        <v>301</v>
      </c>
      <c r="C25" s="523">
        <v>45932</v>
      </c>
      <c r="D25" s="543">
        <v>1393448</v>
      </c>
      <c r="E25" s="270" t="s">
        <v>4654</v>
      </c>
      <c r="F25" s="200" t="s">
        <v>1</v>
      </c>
      <c r="G25" s="221" t="s">
        <v>10</v>
      </c>
      <c r="H25" s="493">
        <v>45932</v>
      </c>
      <c r="I25" s="25"/>
      <c r="J25" s="100" t="s">
        <v>2352</v>
      </c>
      <c r="K25" s="494"/>
      <c r="L25" s="495"/>
      <c r="M25" s="496"/>
      <c r="N25" s="497"/>
      <c r="O25" s="498"/>
      <c r="P25" s="499"/>
      <c r="Q25" s="539">
        <v>45932</v>
      </c>
      <c r="R25" s="148">
        <f t="shared" si="0"/>
        <v>0</v>
      </c>
      <c r="S25" s="200" t="s">
        <v>214</v>
      </c>
      <c r="T25" s="315"/>
    </row>
    <row r="26" spans="1:20" ht="57.6" x14ac:dyDescent="0.3">
      <c r="A26" s="98">
        <f t="shared" si="1"/>
        <v>23</v>
      </c>
      <c r="B26" s="536" t="s">
        <v>301</v>
      </c>
      <c r="C26" s="546">
        <v>45933</v>
      </c>
      <c r="D26" s="543"/>
      <c r="E26" s="270" t="s">
        <v>4655</v>
      </c>
      <c r="F26" s="200" t="s">
        <v>21</v>
      </c>
      <c r="G26" s="221" t="s">
        <v>6</v>
      </c>
      <c r="H26" s="493">
        <v>45933</v>
      </c>
      <c r="I26" s="25"/>
      <c r="J26" s="100" t="s">
        <v>99</v>
      </c>
      <c r="K26" s="494"/>
      <c r="L26" s="495"/>
      <c r="M26" s="496"/>
      <c r="N26" s="497"/>
      <c r="O26" s="498"/>
      <c r="P26" s="499"/>
      <c r="Q26" s="539">
        <v>45933</v>
      </c>
      <c r="R26" s="148">
        <f t="shared" si="0"/>
        <v>0</v>
      </c>
      <c r="S26" s="200" t="s">
        <v>1312</v>
      </c>
      <c r="T26" s="535"/>
    </row>
    <row r="27" spans="1:20" ht="86.4" x14ac:dyDescent="0.3">
      <c r="A27" s="98">
        <f t="shared" si="1"/>
        <v>24</v>
      </c>
      <c r="B27" s="536">
        <v>1550</v>
      </c>
      <c r="C27" s="546">
        <v>45933</v>
      </c>
      <c r="D27" s="543">
        <v>9614826</v>
      </c>
      <c r="E27" s="270" t="s">
        <v>4656</v>
      </c>
      <c r="F27" s="200" t="s">
        <v>1</v>
      </c>
      <c r="G27" s="221" t="s">
        <v>6</v>
      </c>
      <c r="H27" s="493">
        <v>45933</v>
      </c>
      <c r="I27" s="25"/>
      <c r="J27" s="100" t="s">
        <v>2411</v>
      </c>
      <c r="K27" s="494"/>
      <c r="L27" s="495"/>
      <c r="M27" s="496"/>
      <c r="N27" s="497"/>
      <c r="O27" s="498"/>
      <c r="P27" s="499"/>
      <c r="Q27" s="539">
        <v>45933</v>
      </c>
      <c r="R27" s="148">
        <f t="shared" si="0"/>
        <v>0</v>
      </c>
      <c r="S27" s="200" t="s">
        <v>1860</v>
      </c>
      <c r="T27" s="535"/>
    </row>
    <row r="28" spans="1:20" ht="57.6" x14ac:dyDescent="0.3">
      <c r="A28" s="98">
        <f t="shared" si="1"/>
        <v>25</v>
      </c>
      <c r="B28" s="536">
        <v>1550</v>
      </c>
      <c r="C28" s="546">
        <v>45933</v>
      </c>
      <c r="D28" s="543">
        <v>62847899</v>
      </c>
      <c r="E28" s="270" t="s">
        <v>4657</v>
      </c>
      <c r="F28" s="200" t="s">
        <v>12</v>
      </c>
      <c r="G28" s="221" t="s">
        <v>6</v>
      </c>
      <c r="H28" s="493">
        <v>45933</v>
      </c>
      <c r="I28" s="25"/>
      <c r="J28" s="100" t="s">
        <v>159</v>
      </c>
      <c r="K28" s="494"/>
      <c r="L28" s="495"/>
      <c r="M28" s="496"/>
      <c r="N28" s="497"/>
      <c r="O28" s="498"/>
      <c r="P28" s="499"/>
      <c r="Q28" s="539">
        <v>45933</v>
      </c>
      <c r="R28" s="148">
        <f t="shared" si="0"/>
        <v>0</v>
      </c>
      <c r="S28" s="200" t="s">
        <v>2597</v>
      </c>
      <c r="T28" s="535"/>
    </row>
    <row r="29" spans="1:20" x14ac:dyDescent="0.3">
      <c r="A29" s="98">
        <f t="shared" si="1"/>
        <v>26</v>
      </c>
      <c r="B29" s="536">
        <v>1550</v>
      </c>
      <c r="C29" s="546">
        <v>45933</v>
      </c>
      <c r="D29" s="543">
        <v>64211215</v>
      </c>
      <c r="E29" s="270" t="s">
        <v>4658</v>
      </c>
      <c r="F29" s="200" t="s">
        <v>3</v>
      </c>
      <c r="G29" s="221" t="s">
        <v>4</v>
      </c>
      <c r="H29" s="493">
        <v>45933</v>
      </c>
      <c r="I29" s="25"/>
      <c r="J29" s="100" t="s">
        <v>2536</v>
      </c>
      <c r="K29" s="494"/>
      <c r="L29" s="495"/>
      <c r="M29" s="496"/>
      <c r="N29" s="497"/>
      <c r="O29" s="498"/>
      <c r="P29" s="499"/>
      <c r="Q29" s="539">
        <v>45933</v>
      </c>
      <c r="R29" s="148">
        <f t="shared" si="0"/>
        <v>0</v>
      </c>
      <c r="S29" s="200" t="s">
        <v>3899</v>
      </c>
      <c r="T29" s="315"/>
    </row>
    <row r="30" spans="1:20" ht="28.8" x14ac:dyDescent="0.3">
      <c r="A30" s="98">
        <f t="shared" si="1"/>
        <v>27</v>
      </c>
      <c r="B30" s="536">
        <v>1550</v>
      </c>
      <c r="C30" s="546">
        <v>45933</v>
      </c>
      <c r="D30" s="543">
        <v>90051688</v>
      </c>
      <c r="E30" s="270" t="s">
        <v>4659</v>
      </c>
      <c r="F30" s="200" t="s">
        <v>3</v>
      </c>
      <c r="G30" s="221" t="s">
        <v>8</v>
      </c>
      <c r="H30" s="493">
        <v>45933</v>
      </c>
      <c r="I30" s="25"/>
      <c r="J30" s="100" t="s">
        <v>3411</v>
      </c>
      <c r="K30" s="494"/>
      <c r="L30" s="495"/>
      <c r="M30" s="496"/>
      <c r="N30" s="497"/>
      <c r="O30" s="498"/>
      <c r="P30" s="499"/>
      <c r="Q30" s="539">
        <v>45936</v>
      </c>
      <c r="R30" s="148">
        <f t="shared" si="0"/>
        <v>3</v>
      </c>
      <c r="S30" s="200" t="s">
        <v>270</v>
      </c>
      <c r="T30" s="315"/>
    </row>
    <row r="31" spans="1:20" ht="28.8" x14ac:dyDescent="0.3">
      <c r="A31" s="98">
        <f t="shared" si="1"/>
        <v>28</v>
      </c>
      <c r="B31" s="536" t="s">
        <v>80</v>
      </c>
      <c r="C31" s="546">
        <v>45933</v>
      </c>
      <c r="D31" s="543">
        <v>2342855</v>
      </c>
      <c r="E31" s="270" t="s">
        <v>4660</v>
      </c>
      <c r="F31" s="200" t="s">
        <v>38</v>
      </c>
      <c r="G31" s="221" t="s">
        <v>6</v>
      </c>
      <c r="H31" s="493">
        <v>45933</v>
      </c>
      <c r="I31" s="25"/>
      <c r="J31" s="100" t="s">
        <v>253</v>
      </c>
      <c r="K31" s="494"/>
      <c r="L31" s="495"/>
      <c r="M31" s="496"/>
      <c r="N31" s="497"/>
      <c r="O31" s="498"/>
      <c r="P31" s="499"/>
      <c r="Q31" s="539">
        <v>45939</v>
      </c>
      <c r="R31" s="148">
        <f t="shared" si="0"/>
        <v>6</v>
      </c>
      <c r="S31" s="200" t="s">
        <v>2597</v>
      </c>
      <c r="T31" s="535"/>
    </row>
    <row r="32" spans="1:20" ht="43.2" x14ac:dyDescent="0.3">
      <c r="A32" s="98">
        <f t="shared" si="1"/>
        <v>29</v>
      </c>
      <c r="B32" s="536" t="s">
        <v>80</v>
      </c>
      <c r="C32" s="546">
        <v>45933</v>
      </c>
      <c r="D32" s="543">
        <v>120477068</v>
      </c>
      <c r="E32" s="270" t="s">
        <v>4661</v>
      </c>
      <c r="F32" s="200" t="s">
        <v>17</v>
      </c>
      <c r="G32" s="221" t="s">
        <v>10</v>
      </c>
      <c r="H32" s="493">
        <v>45933</v>
      </c>
      <c r="I32" s="25"/>
      <c r="J32" s="100" t="s">
        <v>82</v>
      </c>
      <c r="K32" s="494"/>
      <c r="L32" s="495"/>
      <c r="M32" s="496"/>
      <c r="N32" s="497"/>
      <c r="O32" s="498"/>
      <c r="P32" s="499"/>
      <c r="Q32" s="539">
        <v>45943</v>
      </c>
      <c r="R32" s="148">
        <f t="shared" si="0"/>
        <v>10</v>
      </c>
      <c r="S32" s="200" t="s">
        <v>1319</v>
      </c>
      <c r="T32" s="315"/>
    </row>
    <row r="33" spans="1:20" ht="43.2" x14ac:dyDescent="0.3">
      <c r="A33" s="98">
        <f t="shared" si="1"/>
        <v>30</v>
      </c>
      <c r="B33" s="536" t="s">
        <v>80</v>
      </c>
      <c r="C33" s="546">
        <v>45933</v>
      </c>
      <c r="D33" s="543">
        <v>97218774</v>
      </c>
      <c r="E33" s="270" t="s">
        <v>4662</v>
      </c>
      <c r="F33" s="200" t="s">
        <v>17</v>
      </c>
      <c r="G33" s="221" t="s">
        <v>10</v>
      </c>
      <c r="H33" s="493">
        <v>45933</v>
      </c>
      <c r="I33" s="25"/>
      <c r="J33" s="100" t="s">
        <v>82</v>
      </c>
      <c r="K33" s="494"/>
      <c r="L33" s="495"/>
      <c r="M33" s="496"/>
      <c r="N33" s="497"/>
      <c r="O33" s="498"/>
      <c r="P33" s="499"/>
      <c r="Q33" s="539">
        <v>45943</v>
      </c>
      <c r="R33" s="148">
        <f t="shared" si="0"/>
        <v>10</v>
      </c>
      <c r="S33" s="200" t="s">
        <v>1319</v>
      </c>
      <c r="T33" s="315"/>
    </row>
    <row r="34" spans="1:20" ht="72" x14ac:dyDescent="0.3">
      <c r="A34" s="98">
        <f t="shared" si="1"/>
        <v>31</v>
      </c>
      <c r="B34" s="536" t="s">
        <v>80</v>
      </c>
      <c r="C34" s="546">
        <v>45933</v>
      </c>
      <c r="D34" s="543">
        <v>111315581</v>
      </c>
      <c r="E34" s="270" t="s">
        <v>4663</v>
      </c>
      <c r="F34" s="200" t="s">
        <v>17</v>
      </c>
      <c r="G34" s="221" t="s">
        <v>10</v>
      </c>
      <c r="H34" s="493">
        <v>45933</v>
      </c>
      <c r="I34" s="25"/>
      <c r="J34" s="100" t="s">
        <v>82</v>
      </c>
      <c r="K34" s="494"/>
      <c r="L34" s="495"/>
      <c r="M34" s="496"/>
      <c r="N34" s="497"/>
      <c r="O34" s="498"/>
      <c r="P34" s="499"/>
      <c r="Q34" s="539">
        <v>46010</v>
      </c>
      <c r="R34" s="148">
        <f t="shared" si="0"/>
        <v>77</v>
      </c>
      <c r="S34" s="200" t="s">
        <v>1319</v>
      </c>
      <c r="T34" s="315"/>
    </row>
    <row r="35" spans="1:20" ht="86.4" x14ac:dyDescent="0.3">
      <c r="A35" s="98">
        <f t="shared" si="1"/>
        <v>32</v>
      </c>
      <c r="B35" s="536" t="s">
        <v>80</v>
      </c>
      <c r="C35" s="546">
        <v>45933</v>
      </c>
      <c r="D35" s="543">
        <v>80243533</v>
      </c>
      <c r="E35" s="270" t="s">
        <v>4664</v>
      </c>
      <c r="F35" s="200" t="s">
        <v>32</v>
      </c>
      <c r="G35" s="221" t="s">
        <v>10</v>
      </c>
      <c r="H35" s="493">
        <v>45933</v>
      </c>
      <c r="I35" s="655"/>
      <c r="J35" s="100" t="s">
        <v>106</v>
      </c>
      <c r="K35" s="494"/>
      <c r="L35" s="495"/>
      <c r="M35" s="496"/>
      <c r="N35" s="497"/>
      <c r="O35" s="498"/>
      <c r="P35" s="499"/>
      <c r="Q35" s="539">
        <v>45940</v>
      </c>
      <c r="R35" s="148">
        <f t="shared" si="0"/>
        <v>7</v>
      </c>
      <c r="S35" s="200" t="s">
        <v>1319</v>
      </c>
      <c r="T35" s="315"/>
    </row>
    <row r="36" spans="1:20" ht="129.6" x14ac:dyDescent="0.3">
      <c r="A36" s="98">
        <f t="shared" si="1"/>
        <v>33</v>
      </c>
      <c r="B36" s="536" t="s">
        <v>301</v>
      </c>
      <c r="C36" s="546">
        <v>45933</v>
      </c>
      <c r="D36" s="543">
        <v>12540579</v>
      </c>
      <c r="E36" s="270" t="s">
        <v>4665</v>
      </c>
      <c r="F36" s="384" t="s">
        <v>26</v>
      </c>
      <c r="G36" s="221" t="s">
        <v>10</v>
      </c>
      <c r="H36" s="493">
        <v>45933</v>
      </c>
      <c r="I36" s="655"/>
      <c r="J36" s="100" t="s">
        <v>4176</v>
      </c>
      <c r="K36" s="494"/>
      <c r="L36" s="495"/>
      <c r="M36" s="496"/>
      <c r="N36" s="497"/>
      <c r="O36" s="498"/>
      <c r="P36" s="499"/>
      <c r="Q36" s="539">
        <v>45936</v>
      </c>
      <c r="R36" s="148">
        <f t="shared" si="0"/>
        <v>3</v>
      </c>
      <c r="S36" s="200" t="s">
        <v>214</v>
      </c>
      <c r="T36" s="315"/>
    </row>
    <row r="37" spans="1:20" ht="57.6" x14ac:dyDescent="0.3">
      <c r="A37" s="98">
        <f t="shared" ref="A37:A68" si="2">A36+1</f>
        <v>34</v>
      </c>
      <c r="B37" s="536" t="s">
        <v>80</v>
      </c>
      <c r="C37" s="546">
        <v>45933</v>
      </c>
      <c r="D37" s="543">
        <v>107799944</v>
      </c>
      <c r="E37" s="308" t="s">
        <v>4666</v>
      </c>
      <c r="F37" s="200" t="s">
        <v>3</v>
      </c>
      <c r="G37" s="221" t="s">
        <v>10</v>
      </c>
      <c r="H37" s="493">
        <v>45933</v>
      </c>
      <c r="I37" s="25">
        <v>10000322567</v>
      </c>
      <c r="J37" s="100" t="s">
        <v>135</v>
      </c>
      <c r="K37" s="494"/>
      <c r="L37" s="495"/>
      <c r="M37" s="496"/>
      <c r="N37" s="497"/>
      <c r="O37" s="498"/>
      <c r="P37" s="499"/>
      <c r="Q37" s="539">
        <v>45944</v>
      </c>
      <c r="R37" s="148">
        <f t="shared" si="0"/>
        <v>11</v>
      </c>
      <c r="S37" s="200" t="s">
        <v>1319</v>
      </c>
      <c r="T37" s="315" t="s">
        <v>4642</v>
      </c>
    </row>
    <row r="38" spans="1:20" ht="72" x14ac:dyDescent="0.3">
      <c r="A38" s="98">
        <f t="shared" si="2"/>
        <v>35</v>
      </c>
      <c r="B38" s="506">
        <v>1550</v>
      </c>
      <c r="C38" s="546">
        <v>45936</v>
      </c>
      <c r="D38" s="543">
        <v>72174749</v>
      </c>
      <c r="E38" s="308" t="s">
        <v>4667</v>
      </c>
      <c r="F38" s="200" t="s">
        <v>7</v>
      </c>
      <c r="G38" s="221" t="s">
        <v>6</v>
      </c>
      <c r="H38" s="493">
        <v>45936</v>
      </c>
      <c r="I38" s="25"/>
      <c r="J38" s="100" t="s">
        <v>2547</v>
      </c>
      <c r="K38" s="494"/>
      <c r="L38" s="495"/>
      <c r="M38" s="496"/>
      <c r="N38" s="497"/>
      <c r="O38" s="498"/>
      <c r="P38" s="499"/>
      <c r="Q38" s="539">
        <v>45939</v>
      </c>
      <c r="R38" s="148">
        <f t="shared" si="0"/>
        <v>3</v>
      </c>
      <c r="S38" s="200" t="s">
        <v>2747</v>
      </c>
      <c r="T38" s="315"/>
    </row>
    <row r="39" spans="1:20" x14ac:dyDescent="0.3">
      <c r="A39" s="98">
        <f t="shared" si="2"/>
        <v>36</v>
      </c>
      <c r="B39" s="536">
        <v>1550</v>
      </c>
      <c r="C39" s="546">
        <v>45936</v>
      </c>
      <c r="D39" s="543">
        <v>37798065</v>
      </c>
      <c r="E39" s="270" t="s">
        <v>4668</v>
      </c>
      <c r="F39" s="200" t="s">
        <v>3</v>
      </c>
      <c r="G39" s="221" t="s">
        <v>4</v>
      </c>
      <c r="H39" s="493">
        <v>45936</v>
      </c>
      <c r="I39" s="25"/>
      <c r="J39" s="100" t="s">
        <v>2536</v>
      </c>
      <c r="K39" s="494"/>
      <c r="L39" s="495"/>
      <c r="M39" s="496"/>
      <c r="N39" s="497"/>
      <c r="O39" s="498"/>
      <c r="P39" s="499"/>
      <c r="Q39" s="539">
        <v>45936</v>
      </c>
      <c r="R39" s="148">
        <f t="shared" si="0"/>
        <v>0</v>
      </c>
      <c r="S39" s="101" t="s">
        <v>2974</v>
      </c>
      <c r="T39" s="69"/>
    </row>
    <row r="40" spans="1:20" ht="43.2" x14ac:dyDescent="0.3">
      <c r="A40" s="98">
        <f t="shared" si="2"/>
        <v>37</v>
      </c>
      <c r="B40" s="506" t="s">
        <v>301</v>
      </c>
      <c r="C40" s="492">
        <v>45936</v>
      </c>
      <c r="D40" s="543">
        <v>303970057</v>
      </c>
      <c r="E40" s="271" t="s">
        <v>4669</v>
      </c>
      <c r="F40" s="200" t="s">
        <v>1</v>
      </c>
      <c r="G40" s="221" t="s">
        <v>6</v>
      </c>
      <c r="H40" s="493">
        <v>45936</v>
      </c>
      <c r="I40" s="25"/>
      <c r="J40" s="100" t="s">
        <v>2544</v>
      </c>
      <c r="K40" s="494"/>
      <c r="L40" s="495"/>
      <c r="M40" s="496"/>
      <c r="N40" s="497"/>
      <c r="O40" s="498"/>
      <c r="P40" s="499"/>
      <c r="Q40" s="500">
        <v>45937</v>
      </c>
      <c r="R40" s="148">
        <f t="shared" si="0"/>
        <v>1</v>
      </c>
      <c r="S40" s="101" t="s">
        <v>1312</v>
      </c>
      <c r="T40" s="69"/>
    </row>
    <row r="41" spans="1:20" ht="43.2" x14ac:dyDescent="0.3">
      <c r="A41" s="98">
        <f t="shared" si="2"/>
        <v>38</v>
      </c>
      <c r="B41" s="506">
        <v>1550</v>
      </c>
      <c r="C41" s="492">
        <v>45936</v>
      </c>
      <c r="D41" s="543">
        <v>119862743</v>
      </c>
      <c r="E41" s="271" t="s">
        <v>4025</v>
      </c>
      <c r="F41" s="200" t="s">
        <v>49</v>
      </c>
      <c r="G41" s="221" t="s">
        <v>8</v>
      </c>
      <c r="H41" s="493">
        <v>45936</v>
      </c>
      <c r="I41" s="25"/>
      <c r="J41" s="100" t="s">
        <v>266</v>
      </c>
      <c r="K41" s="494"/>
      <c r="L41" s="495"/>
      <c r="M41" s="496"/>
      <c r="N41" s="497"/>
      <c r="O41" s="498"/>
      <c r="P41" s="499"/>
      <c r="Q41" s="539">
        <v>45936</v>
      </c>
      <c r="R41" s="148">
        <f t="shared" si="0"/>
        <v>0</v>
      </c>
      <c r="S41" s="101" t="s">
        <v>4670</v>
      </c>
      <c r="T41" s="69"/>
    </row>
    <row r="42" spans="1:20" ht="100.8" x14ac:dyDescent="0.3">
      <c r="A42" s="98">
        <f t="shared" si="2"/>
        <v>39</v>
      </c>
      <c r="B42" s="536">
        <v>1550</v>
      </c>
      <c r="C42" s="546">
        <v>45936</v>
      </c>
      <c r="D42" s="543">
        <v>99905256</v>
      </c>
      <c r="E42" s="270" t="s">
        <v>4671</v>
      </c>
      <c r="F42" s="200" t="s">
        <v>7</v>
      </c>
      <c r="G42" s="221" t="s">
        <v>6</v>
      </c>
      <c r="H42" s="493">
        <v>45936</v>
      </c>
      <c r="I42" s="25"/>
      <c r="J42" s="100" t="s">
        <v>2547</v>
      </c>
      <c r="K42" s="494" t="s">
        <v>393</v>
      </c>
      <c r="L42" s="636">
        <v>45936</v>
      </c>
      <c r="M42" s="496"/>
      <c r="N42" s="497"/>
      <c r="O42" s="498"/>
      <c r="P42" s="499"/>
      <c r="Q42" s="539">
        <v>45963</v>
      </c>
      <c r="R42" s="148">
        <f t="shared" si="0"/>
        <v>27</v>
      </c>
      <c r="S42" s="101" t="s">
        <v>1811</v>
      </c>
      <c r="T42" s="69"/>
    </row>
    <row r="43" spans="1:20" ht="28.8" x14ac:dyDescent="0.3">
      <c r="A43" s="98">
        <f t="shared" si="2"/>
        <v>40</v>
      </c>
      <c r="B43" s="536">
        <v>1550</v>
      </c>
      <c r="C43" s="546">
        <v>45936</v>
      </c>
      <c r="D43" s="36">
        <v>28418352</v>
      </c>
      <c r="E43" s="635" t="s">
        <v>4672</v>
      </c>
      <c r="F43" s="384" t="s">
        <v>1</v>
      </c>
      <c r="G43" s="221" t="s">
        <v>4</v>
      </c>
      <c r="H43" s="493">
        <v>45936</v>
      </c>
      <c r="I43" s="25"/>
      <c r="J43" s="100" t="s">
        <v>2544</v>
      </c>
      <c r="K43" s="494"/>
      <c r="L43" s="495"/>
      <c r="M43" s="496"/>
      <c r="N43" s="497"/>
      <c r="O43" s="498"/>
      <c r="P43" s="499"/>
      <c r="Q43" s="539">
        <v>45957</v>
      </c>
      <c r="R43" s="148">
        <f t="shared" si="0"/>
        <v>21</v>
      </c>
      <c r="S43" s="101"/>
      <c r="T43" s="69"/>
    </row>
    <row r="44" spans="1:20" ht="28.8" x14ac:dyDescent="0.3">
      <c r="A44" s="98">
        <f t="shared" si="2"/>
        <v>41</v>
      </c>
      <c r="B44" s="536">
        <v>1550</v>
      </c>
      <c r="C44" s="546">
        <v>45936</v>
      </c>
      <c r="D44" s="662">
        <v>300585497</v>
      </c>
      <c r="E44" s="263" t="s">
        <v>4673</v>
      </c>
      <c r="F44" s="101" t="s">
        <v>1</v>
      </c>
      <c r="G44" s="221" t="s">
        <v>4</v>
      </c>
      <c r="H44" s="493">
        <v>45936</v>
      </c>
      <c r="I44" s="25">
        <v>10000322846</v>
      </c>
      <c r="J44" s="100" t="s">
        <v>2306</v>
      </c>
      <c r="K44" s="494"/>
      <c r="L44" s="495"/>
      <c r="M44" s="496"/>
      <c r="N44" s="497"/>
      <c r="O44" s="498"/>
      <c r="P44" s="499"/>
      <c r="Q44" s="539">
        <v>45939</v>
      </c>
      <c r="R44" s="148">
        <f t="shared" si="0"/>
        <v>3</v>
      </c>
      <c r="S44" s="101" t="s">
        <v>2974</v>
      </c>
      <c r="T44" s="69"/>
    </row>
    <row r="45" spans="1:20" ht="28.8" x14ac:dyDescent="0.3">
      <c r="A45" s="98">
        <f t="shared" si="2"/>
        <v>42</v>
      </c>
      <c r="B45" s="536">
        <v>1550</v>
      </c>
      <c r="C45" s="546">
        <v>45936</v>
      </c>
      <c r="D45" s="543">
        <v>67140106</v>
      </c>
      <c r="E45" s="264" t="s">
        <v>4674</v>
      </c>
      <c r="F45" s="101" t="s">
        <v>32</v>
      </c>
      <c r="G45" s="221" t="s">
        <v>4</v>
      </c>
      <c r="H45" s="493">
        <v>45936</v>
      </c>
      <c r="I45" s="25"/>
      <c r="J45" s="742" t="s">
        <v>253</v>
      </c>
      <c r="K45" s="494"/>
      <c r="L45" s="495"/>
      <c r="M45" s="496"/>
      <c r="N45" s="497"/>
      <c r="O45" s="498"/>
      <c r="P45" s="499"/>
      <c r="Q45" s="539">
        <v>45939</v>
      </c>
      <c r="R45" s="148">
        <f t="shared" si="0"/>
        <v>3</v>
      </c>
      <c r="S45" s="101" t="s">
        <v>3047</v>
      </c>
      <c r="T45" s="69"/>
    </row>
    <row r="46" spans="1:20" ht="57" customHeight="1" x14ac:dyDescent="0.3">
      <c r="A46" s="98">
        <f t="shared" si="2"/>
        <v>43</v>
      </c>
      <c r="B46" s="678" t="s">
        <v>301</v>
      </c>
      <c r="C46" s="546">
        <v>45936</v>
      </c>
      <c r="D46" s="543">
        <v>120682028</v>
      </c>
      <c r="E46" s="290" t="s">
        <v>4675</v>
      </c>
      <c r="F46" s="182" t="s">
        <v>1</v>
      </c>
      <c r="G46" s="421" t="s">
        <v>10</v>
      </c>
      <c r="H46" s="493">
        <v>45936</v>
      </c>
      <c r="I46" s="561"/>
      <c r="J46" s="100" t="s">
        <v>99</v>
      </c>
      <c r="K46" s="494"/>
      <c r="L46" s="495"/>
      <c r="M46" s="496"/>
      <c r="N46" s="497"/>
      <c r="O46" s="498"/>
      <c r="P46" s="499"/>
      <c r="Q46" s="539">
        <v>45994</v>
      </c>
      <c r="R46" s="148">
        <f t="shared" si="0"/>
        <v>58</v>
      </c>
      <c r="S46" s="101" t="s">
        <v>1172</v>
      </c>
      <c r="T46" s="315" t="s">
        <v>4676</v>
      </c>
    </row>
    <row r="47" spans="1:20" ht="59.25" customHeight="1" x14ac:dyDescent="0.3">
      <c r="A47" s="98">
        <f t="shared" si="2"/>
        <v>44</v>
      </c>
      <c r="B47" s="219" t="s">
        <v>80</v>
      </c>
      <c r="C47" s="650">
        <v>45937</v>
      </c>
      <c r="D47" s="219"/>
      <c r="E47" s="254" t="s">
        <v>4677</v>
      </c>
      <c r="F47" s="111" t="s">
        <v>21</v>
      </c>
      <c r="G47" s="127" t="s">
        <v>8</v>
      </c>
      <c r="H47" s="568">
        <v>45937</v>
      </c>
      <c r="I47" s="681"/>
      <c r="J47" s="100" t="s">
        <v>99</v>
      </c>
      <c r="K47" s="494"/>
      <c r="L47" s="669"/>
      <c r="M47" s="552"/>
      <c r="N47" s="497"/>
      <c r="O47" s="498"/>
      <c r="P47" s="499"/>
      <c r="Q47" s="501">
        <v>45940</v>
      </c>
      <c r="R47" s="148">
        <f t="shared" si="0"/>
        <v>3</v>
      </c>
      <c r="S47" s="101" t="s">
        <v>4678</v>
      </c>
      <c r="T47" s="315" t="s">
        <v>4679</v>
      </c>
    </row>
    <row r="48" spans="1:20" ht="72" x14ac:dyDescent="0.3">
      <c r="A48" s="98">
        <f t="shared" si="2"/>
        <v>45</v>
      </c>
      <c r="B48" s="111">
        <v>1550</v>
      </c>
      <c r="C48" s="512">
        <v>45937</v>
      </c>
      <c r="D48" s="219">
        <v>120688298</v>
      </c>
      <c r="E48" s="290" t="s">
        <v>4680</v>
      </c>
      <c r="F48" s="111" t="s">
        <v>1</v>
      </c>
      <c r="G48" s="127" t="s">
        <v>6</v>
      </c>
      <c r="H48" s="680">
        <v>45937</v>
      </c>
      <c r="I48" s="125"/>
      <c r="J48" s="413" t="s">
        <v>2367</v>
      </c>
      <c r="K48" s="494"/>
      <c r="L48" s="495"/>
      <c r="M48" s="496"/>
      <c r="N48" s="497"/>
      <c r="O48" s="498"/>
      <c r="P48" s="499"/>
      <c r="Q48" s="539">
        <v>45939</v>
      </c>
      <c r="R48" s="148">
        <f t="shared" si="0"/>
        <v>2</v>
      </c>
      <c r="S48" s="101" t="s">
        <v>2597</v>
      </c>
      <c r="T48" s="69"/>
    </row>
    <row r="49" spans="1:20" ht="72" x14ac:dyDescent="0.3">
      <c r="A49" s="98">
        <f t="shared" si="2"/>
        <v>46</v>
      </c>
      <c r="B49" s="111">
        <v>1550</v>
      </c>
      <c r="C49" s="512">
        <v>45937</v>
      </c>
      <c r="D49" s="617" t="s">
        <v>4681</v>
      </c>
      <c r="E49" s="686" t="s">
        <v>4682</v>
      </c>
      <c r="F49" s="150" t="s">
        <v>12</v>
      </c>
      <c r="G49" s="127" t="s">
        <v>6</v>
      </c>
      <c r="H49" s="568">
        <v>45937</v>
      </c>
      <c r="I49" s="610"/>
      <c r="J49" s="100" t="s">
        <v>159</v>
      </c>
      <c r="K49" s="494"/>
      <c r="L49" s="495"/>
      <c r="M49" s="496"/>
      <c r="N49" s="497"/>
      <c r="O49" s="498"/>
      <c r="P49" s="499"/>
      <c r="Q49" s="501">
        <v>45937</v>
      </c>
      <c r="R49" s="148">
        <f t="shared" si="0"/>
        <v>0</v>
      </c>
      <c r="S49" s="101" t="s">
        <v>2597</v>
      </c>
      <c r="T49" s="69"/>
    </row>
    <row r="50" spans="1:20" ht="28.8" x14ac:dyDescent="0.3">
      <c r="A50" s="98">
        <f t="shared" si="2"/>
        <v>47</v>
      </c>
      <c r="B50" s="583">
        <v>1550</v>
      </c>
      <c r="C50" s="573">
        <v>45937</v>
      </c>
      <c r="D50" s="219">
        <v>84835753</v>
      </c>
      <c r="E50" s="254" t="s">
        <v>4683</v>
      </c>
      <c r="F50" s="111" t="s">
        <v>12</v>
      </c>
      <c r="G50" s="172" t="s">
        <v>4</v>
      </c>
      <c r="H50" s="493">
        <v>45937</v>
      </c>
      <c r="I50" s="689"/>
      <c r="J50" s="100" t="s">
        <v>159</v>
      </c>
      <c r="K50" s="494"/>
      <c r="L50" s="495"/>
      <c r="M50" s="496"/>
      <c r="N50" s="497"/>
      <c r="O50" s="498"/>
      <c r="P50" s="499"/>
      <c r="Q50" s="539">
        <v>45939</v>
      </c>
      <c r="R50" s="148">
        <f t="shared" si="0"/>
        <v>2</v>
      </c>
      <c r="S50" s="101" t="s">
        <v>3378</v>
      </c>
      <c r="T50" s="69"/>
    </row>
    <row r="51" spans="1:20" ht="28.8" x14ac:dyDescent="0.3">
      <c r="A51" s="98">
        <f t="shared" si="2"/>
        <v>48</v>
      </c>
      <c r="B51" s="491" t="s">
        <v>80</v>
      </c>
      <c r="C51" s="492">
        <v>45937</v>
      </c>
      <c r="D51" s="219">
        <v>80243533</v>
      </c>
      <c r="E51" s="175" t="s">
        <v>4684</v>
      </c>
      <c r="F51" s="111" t="s">
        <v>32</v>
      </c>
      <c r="G51" s="221" t="s">
        <v>8</v>
      </c>
      <c r="H51" s="493">
        <v>45937</v>
      </c>
      <c r="I51" s="25">
        <v>10000322796</v>
      </c>
      <c r="J51" s="100" t="s">
        <v>106</v>
      </c>
      <c r="K51" s="494"/>
      <c r="L51" s="495"/>
      <c r="M51" s="496"/>
      <c r="N51" s="497"/>
      <c r="O51" s="498"/>
      <c r="P51" s="499"/>
      <c r="Q51" s="539">
        <v>45943</v>
      </c>
      <c r="R51" s="148">
        <f t="shared" si="0"/>
        <v>6</v>
      </c>
      <c r="S51" s="101" t="s">
        <v>4685</v>
      </c>
      <c r="T51" s="69" t="s">
        <v>4686</v>
      </c>
    </row>
    <row r="52" spans="1:20" ht="28.8" x14ac:dyDescent="0.3">
      <c r="A52" s="98">
        <f t="shared" si="2"/>
        <v>49</v>
      </c>
      <c r="B52" s="491">
        <v>1550</v>
      </c>
      <c r="C52" s="556">
        <v>45937</v>
      </c>
      <c r="D52" s="219">
        <v>5658276</v>
      </c>
      <c r="E52" s="175" t="s">
        <v>4687</v>
      </c>
      <c r="F52" s="111" t="s">
        <v>3</v>
      </c>
      <c r="G52" s="221" t="s">
        <v>4</v>
      </c>
      <c r="H52" s="493">
        <v>45937</v>
      </c>
      <c r="I52" s="655">
        <v>10000323144</v>
      </c>
      <c r="J52" s="100" t="s">
        <v>82</v>
      </c>
      <c r="K52" s="494"/>
      <c r="L52" s="495"/>
      <c r="M52" s="496"/>
      <c r="N52" s="497"/>
      <c r="O52" s="498"/>
      <c r="P52" s="499"/>
      <c r="Q52" s="501">
        <v>45951</v>
      </c>
      <c r="R52" s="148">
        <f t="shared" si="0"/>
        <v>14</v>
      </c>
      <c r="S52" s="101" t="s">
        <v>3049</v>
      </c>
      <c r="T52" s="69"/>
    </row>
    <row r="53" spans="1:20" ht="86.4" x14ac:dyDescent="0.3">
      <c r="A53" s="98">
        <f t="shared" si="2"/>
        <v>50</v>
      </c>
      <c r="B53" s="683" t="s">
        <v>301</v>
      </c>
      <c r="C53" s="556">
        <v>45937</v>
      </c>
      <c r="D53" s="654">
        <v>5436877</v>
      </c>
      <c r="E53" s="293" t="s">
        <v>4688</v>
      </c>
      <c r="F53" s="101" t="s">
        <v>17</v>
      </c>
      <c r="G53" s="221" t="s">
        <v>10</v>
      </c>
      <c r="H53" s="493">
        <v>45937</v>
      </c>
      <c r="I53" s="25"/>
      <c r="J53" s="100" t="s">
        <v>82</v>
      </c>
      <c r="K53" s="494"/>
      <c r="L53" s="636"/>
      <c r="M53" s="496"/>
      <c r="N53" s="497"/>
      <c r="O53" s="498"/>
      <c r="P53" s="499"/>
      <c r="Q53" s="501">
        <v>46010</v>
      </c>
      <c r="R53" s="148">
        <f t="shared" si="0"/>
        <v>73</v>
      </c>
      <c r="S53" s="101" t="s">
        <v>214</v>
      </c>
      <c r="T53" s="69"/>
    </row>
    <row r="54" spans="1:20" ht="129.6" x14ac:dyDescent="0.3">
      <c r="A54" s="98">
        <f t="shared" si="2"/>
        <v>51</v>
      </c>
      <c r="B54" s="683" t="s">
        <v>301</v>
      </c>
      <c r="C54" s="556">
        <v>45937</v>
      </c>
      <c r="D54" s="685">
        <v>88007936</v>
      </c>
      <c r="E54" s="293" t="s">
        <v>4689</v>
      </c>
      <c r="F54" s="385" t="s">
        <v>17</v>
      </c>
      <c r="G54" s="221" t="s">
        <v>10</v>
      </c>
      <c r="H54" s="493">
        <v>45937</v>
      </c>
      <c r="I54" s="655"/>
      <c r="J54" s="100" t="s">
        <v>82</v>
      </c>
      <c r="K54" s="494"/>
      <c r="L54" s="495"/>
      <c r="M54" s="496"/>
      <c r="N54" s="497"/>
      <c r="O54" s="498"/>
      <c r="P54" s="499"/>
      <c r="Q54" s="501">
        <v>46010</v>
      </c>
      <c r="R54" s="148">
        <f t="shared" si="0"/>
        <v>73</v>
      </c>
      <c r="S54" s="101" t="s">
        <v>214</v>
      </c>
      <c r="T54" s="671"/>
    </row>
    <row r="55" spans="1:20" ht="74.25" customHeight="1" x14ac:dyDescent="0.3">
      <c r="A55" s="98">
        <f t="shared" si="2"/>
        <v>52</v>
      </c>
      <c r="B55" s="683" t="s">
        <v>301</v>
      </c>
      <c r="C55" s="556">
        <v>45937</v>
      </c>
      <c r="D55" s="219">
        <v>120510006</v>
      </c>
      <c r="E55" s="684" t="s">
        <v>4690</v>
      </c>
      <c r="F55" s="101" t="s">
        <v>1</v>
      </c>
      <c r="G55" s="221" t="s">
        <v>10</v>
      </c>
      <c r="H55" s="493">
        <v>45937</v>
      </c>
      <c r="I55" s="25"/>
      <c r="J55" s="100" t="s">
        <v>2544</v>
      </c>
      <c r="K55" s="494"/>
      <c r="L55" s="495"/>
      <c r="M55" s="496"/>
      <c r="N55" s="497"/>
      <c r="O55" s="498"/>
      <c r="P55" s="499"/>
      <c r="Q55" s="501">
        <v>45939</v>
      </c>
      <c r="R55" s="148">
        <f t="shared" si="0"/>
        <v>2</v>
      </c>
      <c r="S55" s="101" t="s">
        <v>214</v>
      </c>
      <c r="T55" s="69"/>
    </row>
    <row r="56" spans="1:20" ht="43.2" x14ac:dyDescent="0.3">
      <c r="A56" s="98">
        <f t="shared" si="2"/>
        <v>53</v>
      </c>
      <c r="B56" s="683" t="s">
        <v>80</v>
      </c>
      <c r="C56" s="556">
        <v>45937</v>
      </c>
      <c r="D56" s="662" t="s">
        <v>4691</v>
      </c>
      <c r="E56" s="212" t="s">
        <v>4692</v>
      </c>
      <c r="F56" s="101" t="s">
        <v>25</v>
      </c>
      <c r="G56" s="221" t="s">
        <v>10</v>
      </c>
      <c r="H56" s="493">
        <v>45937</v>
      </c>
      <c r="I56" s="25">
        <v>10000323102</v>
      </c>
      <c r="J56" s="100" t="s">
        <v>135</v>
      </c>
      <c r="K56" s="494"/>
      <c r="L56" s="495"/>
      <c r="M56" s="496"/>
      <c r="N56" s="497"/>
      <c r="O56" s="498"/>
      <c r="P56" s="499"/>
      <c r="Q56" s="501">
        <v>45946</v>
      </c>
      <c r="R56" s="148">
        <f t="shared" si="0"/>
        <v>9</v>
      </c>
      <c r="S56" s="101" t="s">
        <v>1319</v>
      </c>
      <c r="T56" s="315" t="s">
        <v>4642</v>
      </c>
    </row>
    <row r="57" spans="1:20" ht="57.6" x14ac:dyDescent="0.3">
      <c r="A57" s="98">
        <f t="shared" si="2"/>
        <v>54</v>
      </c>
      <c r="B57" s="724" t="s">
        <v>301</v>
      </c>
      <c r="C57" s="556">
        <v>45937</v>
      </c>
      <c r="D57" s="687">
        <v>75895528</v>
      </c>
      <c r="E57" s="661" t="s">
        <v>4693</v>
      </c>
      <c r="F57" s="101" t="s">
        <v>32</v>
      </c>
      <c r="G57" s="221" t="s">
        <v>10</v>
      </c>
      <c r="H57" s="493">
        <v>45937</v>
      </c>
      <c r="I57" s="25"/>
      <c r="J57" s="100" t="s">
        <v>106</v>
      </c>
      <c r="K57" s="494"/>
      <c r="L57" s="495"/>
      <c r="M57" s="496"/>
      <c r="N57" s="497"/>
      <c r="O57" s="498"/>
      <c r="P57" s="499"/>
      <c r="Q57" s="501">
        <v>45944</v>
      </c>
      <c r="R57" s="148">
        <f t="shared" si="0"/>
        <v>7</v>
      </c>
      <c r="S57" s="101" t="s">
        <v>214</v>
      </c>
      <c r="T57" s="69"/>
    </row>
    <row r="58" spans="1:20" ht="41.25" customHeight="1" x14ac:dyDescent="0.3">
      <c r="A58" s="98">
        <f t="shared" si="2"/>
        <v>55</v>
      </c>
      <c r="B58" s="111">
        <v>1550</v>
      </c>
      <c r="C58" s="512">
        <v>45938</v>
      </c>
      <c r="D58" s="675">
        <v>110665104</v>
      </c>
      <c r="E58" s="175" t="s">
        <v>4694</v>
      </c>
      <c r="F58" s="101" t="s">
        <v>7</v>
      </c>
      <c r="G58" s="221" t="s">
        <v>6</v>
      </c>
      <c r="H58" s="493">
        <v>45938</v>
      </c>
      <c r="I58" s="25"/>
      <c r="J58" s="100" t="s">
        <v>2411</v>
      </c>
      <c r="K58" s="494"/>
      <c r="L58" s="495"/>
      <c r="M58" s="496"/>
      <c r="N58" s="497"/>
      <c r="O58" s="498"/>
      <c r="P58" s="499"/>
      <c r="Q58" s="500">
        <v>45941</v>
      </c>
      <c r="R58" s="148">
        <f t="shared" si="0"/>
        <v>3</v>
      </c>
      <c r="S58" s="101" t="s">
        <v>1811</v>
      </c>
      <c r="T58" s="69"/>
    </row>
    <row r="59" spans="1:20" ht="28.8" x14ac:dyDescent="0.3">
      <c r="A59" s="98">
        <f t="shared" si="2"/>
        <v>56</v>
      </c>
      <c r="B59" s="111">
        <v>1550</v>
      </c>
      <c r="C59" s="512">
        <v>45938</v>
      </c>
      <c r="D59" s="675">
        <v>44676689</v>
      </c>
      <c r="E59" s="175" t="s">
        <v>4695</v>
      </c>
      <c r="F59" s="182" t="s">
        <v>1</v>
      </c>
      <c r="G59" s="221" t="s">
        <v>4</v>
      </c>
      <c r="H59" s="493">
        <v>45938</v>
      </c>
      <c r="I59" s="25"/>
      <c r="J59" s="100" t="s">
        <v>2352</v>
      </c>
      <c r="K59" s="494"/>
      <c r="L59" s="495"/>
      <c r="M59" s="496"/>
      <c r="N59" s="497"/>
      <c r="O59" s="498"/>
      <c r="P59" s="499"/>
      <c r="Q59" s="539">
        <v>45938</v>
      </c>
      <c r="R59" s="148">
        <f t="shared" si="0"/>
        <v>0</v>
      </c>
      <c r="S59" s="101" t="s">
        <v>2974</v>
      </c>
      <c r="T59" s="167"/>
    </row>
    <row r="60" spans="1:20" ht="28.8" x14ac:dyDescent="0.3">
      <c r="A60" s="98">
        <f t="shared" si="2"/>
        <v>57</v>
      </c>
      <c r="B60" s="111">
        <v>1550</v>
      </c>
      <c r="C60" s="512">
        <v>45938</v>
      </c>
      <c r="D60" s="675">
        <v>8479224</v>
      </c>
      <c r="E60" s="293" t="s">
        <v>4696</v>
      </c>
      <c r="F60" s="179" t="s">
        <v>17</v>
      </c>
      <c r="G60" s="221" t="s">
        <v>4</v>
      </c>
      <c r="H60" s="493">
        <v>45938</v>
      </c>
      <c r="I60" s="25"/>
      <c r="J60" s="100" t="s">
        <v>82</v>
      </c>
      <c r="K60" s="494"/>
      <c r="L60" s="495"/>
      <c r="M60" s="496"/>
      <c r="N60" s="497"/>
      <c r="O60" s="498"/>
      <c r="P60" s="499"/>
      <c r="Q60" s="501">
        <v>46014</v>
      </c>
      <c r="R60" s="148">
        <f t="shared" si="0"/>
        <v>76</v>
      </c>
      <c r="S60" s="101" t="s">
        <v>2974</v>
      </c>
      <c r="T60" s="69"/>
    </row>
    <row r="61" spans="1:20" ht="43.2" x14ac:dyDescent="0.3">
      <c r="A61" s="98">
        <f t="shared" si="2"/>
        <v>58</v>
      </c>
      <c r="B61" s="150" t="s">
        <v>301</v>
      </c>
      <c r="C61" s="606">
        <v>45938</v>
      </c>
      <c r="D61" s="725">
        <v>120222973</v>
      </c>
      <c r="E61" s="294" t="s">
        <v>4697</v>
      </c>
      <c r="F61" s="182" t="s">
        <v>49</v>
      </c>
      <c r="G61" s="221" t="s">
        <v>6</v>
      </c>
      <c r="H61" s="493">
        <v>45938</v>
      </c>
      <c r="I61" s="25"/>
      <c r="J61" s="100" t="s">
        <v>266</v>
      </c>
      <c r="K61" s="494"/>
      <c r="L61" s="495"/>
      <c r="M61" s="496"/>
      <c r="N61" s="497"/>
      <c r="O61" s="498"/>
      <c r="P61" s="499"/>
      <c r="Q61" s="501">
        <v>45938</v>
      </c>
      <c r="R61" s="148">
        <f t="shared" si="0"/>
        <v>0</v>
      </c>
      <c r="S61" s="101" t="s">
        <v>4685</v>
      </c>
      <c r="T61" s="69"/>
    </row>
    <row r="62" spans="1:20" ht="57.6" x14ac:dyDescent="0.3">
      <c r="A62" s="98">
        <f t="shared" si="2"/>
        <v>59</v>
      </c>
      <c r="B62" s="111">
        <v>1550</v>
      </c>
      <c r="C62" s="512">
        <v>45938</v>
      </c>
      <c r="D62" s="219"/>
      <c r="E62" s="175" t="s">
        <v>4698</v>
      </c>
      <c r="F62" s="111" t="s">
        <v>1314</v>
      </c>
      <c r="G62" s="221" t="s">
        <v>4</v>
      </c>
      <c r="H62" s="493">
        <v>45938</v>
      </c>
      <c r="I62" s="25"/>
      <c r="J62" s="100" t="s">
        <v>99</v>
      </c>
      <c r="K62" s="494"/>
      <c r="L62" s="495"/>
      <c r="M62" s="496"/>
      <c r="N62" s="497"/>
      <c r="O62" s="498"/>
      <c r="P62" s="499"/>
      <c r="Q62" s="501">
        <v>45938</v>
      </c>
      <c r="R62" s="148">
        <f t="shared" si="0"/>
        <v>0</v>
      </c>
      <c r="S62" s="101" t="s">
        <v>720</v>
      </c>
      <c r="T62" s="201"/>
    </row>
    <row r="63" spans="1:20" ht="28.8" x14ac:dyDescent="0.3">
      <c r="A63" s="98">
        <f t="shared" si="2"/>
        <v>60</v>
      </c>
      <c r="B63" s="111">
        <v>1550</v>
      </c>
      <c r="C63" s="512">
        <v>45938</v>
      </c>
      <c r="D63" s="219">
        <v>110542649</v>
      </c>
      <c r="E63" s="175" t="s">
        <v>4699</v>
      </c>
      <c r="F63" s="111" t="s">
        <v>1</v>
      </c>
      <c r="G63" s="221" t="s">
        <v>4</v>
      </c>
      <c r="H63" s="493">
        <v>45938</v>
      </c>
      <c r="I63" s="25"/>
      <c r="J63" s="100" t="s">
        <v>3709</v>
      </c>
      <c r="K63" s="494"/>
      <c r="L63" s="495"/>
      <c r="M63" s="496"/>
      <c r="N63" s="497"/>
      <c r="O63" s="498"/>
      <c r="P63" s="499"/>
      <c r="Q63" s="501">
        <v>45939</v>
      </c>
      <c r="R63" s="148">
        <f t="shared" si="0"/>
        <v>1</v>
      </c>
      <c r="S63" s="101" t="s">
        <v>3047</v>
      </c>
      <c r="T63" s="69"/>
    </row>
    <row r="64" spans="1:20" ht="57.6" x14ac:dyDescent="0.3">
      <c r="A64" s="98">
        <f t="shared" si="2"/>
        <v>61</v>
      </c>
      <c r="B64" s="111">
        <v>1550</v>
      </c>
      <c r="C64" s="512">
        <v>45938</v>
      </c>
      <c r="D64" s="219"/>
      <c r="E64" s="36" t="s">
        <v>4700</v>
      </c>
      <c r="F64" s="111" t="s">
        <v>1314</v>
      </c>
      <c r="G64" s="221" t="s">
        <v>4</v>
      </c>
      <c r="H64" s="493">
        <v>45938</v>
      </c>
      <c r="I64" s="25"/>
      <c r="J64" s="100" t="s">
        <v>99</v>
      </c>
      <c r="K64" s="494"/>
      <c r="L64" s="495"/>
      <c r="M64" s="496"/>
      <c r="N64" s="497"/>
      <c r="O64" s="498"/>
      <c r="P64" s="499"/>
      <c r="Q64" s="501">
        <v>45938</v>
      </c>
      <c r="R64" s="148">
        <f t="shared" si="0"/>
        <v>0</v>
      </c>
      <c r="S64" s="101" t="s">
        <v>720</v>
      </c>
      <c r="T64" s="69"/>
    </row>
    <row r="65" spans="1:20" ht="28.8" x14ac:dyDescent="0.3">
      <c r="A65" s="98">
        <f t="shared" si="2"/>
        <v>62</v>
      </c>
      <c r="B65" s="554">
        <v>1550</v>
      </c>
      <c r="C65" s="656">
        <v>45938</v>
      </c>
      <c r="D65" s="662">
        <v>110326598</v>
      </c>
      <c r="E65" s="661" t="s">
        <v>4701</v>
      </c>
      <c r="F65" s="101" t="s">
        <v>1</v>
      </c>
      <c r="G65" s="221" t="s">
        <v>8</v>
      </c>
      <c r="H65" s="493">
        <v>45938</v>
      </c>
      <c r="I65" s="25"/>
      <c r="J65" s="100" t="s">
        <v>2367</v>
      </c>
      <c r="K65" s="494"/>
      <c r="L65" s="495"/>
      <c r="M65" s="496"/>
      <c r="N65" s="497"/>
      <c r="O65" s="498"/>
      <c r="P65" s="499"/>
      <c r="Q65" s="501">
        <v>45939</v>
      </c>
      <c r="R65" s="148">
        <f t="shared" si="0"/>
        <v>1</v>
      </c>
      <c r="S65" s="101" t="s">
        <v>3952</v>
      </c>
      <c r="T65" s="69"/>
    </row>
    <row r="66" spans="1:20" ht="28.8" x14ac:dyDescent="0.3">
      <c r="A66" s="98">
        <f t="shared" si="2"/>
        <v>63</v>
      </c>
      <c r="B66" s="506">
        <v>1550</v>
      </c>
      <c r="C66" s="512">
        <v>45938</v>
      </c>
      <c r="D66" s="662">
        <v>36062405</v>
      </c>
      <c r="E66" s="175" t="s">
        <v>4702</v>
      </c>
      <c r="F66" s="101" t="s">
        <v>1</v>
      </c>
      <c r="G66" s="221" t="s">
        <v>8</v>
      </c>
      <c r="H66" s="493">
        <v>45938</v>
      </c>
      <c r="I66" s="25"/>
      <c r="J66" s="100" t="s">
        <v>2544</v>
      </c>
      <c r="K66" s="494"/>
      <c r="L66" s="495"/>
      <c r="M66" s="496"/>
      <c r="N66" s="497"/>
      <c r="O66" s="498"/>
      <c r="P66" s="499"/>
      <c r="Q66" s="501">
        <v>45941</v>
      </c>
      <c r="R66" s="148">
        <f t="shared" si="0"/>
        <v>3</v>
      </c>
      <c r="S66" s="101" t="s">
        <v>3931</v>
      </c>
      <c r="T66" s="69"/>
    </row>
    <row r="67" spans="1:20" ht="33" customHeight="1" x14ac:dyDescent="0.3">
      <c r="A67" s="98">
        <f t="shared" si="2"/>
        <v>64</v>
      </c>
      <c r="B67" s="506" t="s">
        <v>80</v>
      </c>
      <c r="C67" s="512">
        <v>45938</v>
      </c>
      <c r="D67" s="675">
        <v>83359931</v>
      </c>
      <c r="E67" s="175" t="s">
        <v>4703</v>
      </c>
      <c r="F67" s="101" t="s">
        <v>48</v>
      </c>
      <c r="G67" s="221" t="s">
        <v>10</v>
      </c>
      <c r="H67" s="493">
        <v>45938</v>
      </c>
      <c r="I67" s="25"/>
      <c r="J67" s="100" t="s">
        <v>99</v>
      </c>
      <c r="K67" s="494"/>
      <c r="L67" s="495"/>
      <c r="M67" s="496"/>
      <c r="N67" s="497"/>
      <c r="O67" s="498"/>
      <c r="P67" s="499"/>
      <c r="Q67" s="501">
        <v>45940</v>
      </c>
      <c r="R67" s="148">
        <f t="shared" si="0"/>
        <v>2</v>
      </c>
      <c r="S67" s="101" t="s">
        <v>1319</v>
      </c>
      <c r="T67" s="167"/>
    </row>
    <row r="68" spans="1:20" ht="38.25" customHeight="1" x14ac:dyDescent="0.3">
      <c r="A68" s="98">
        <f t="shared" si="2"/>
        <v>65</v>
      </c>
      <c r="B68" s="506" t="s">
        <v>301</v>
      </c>
      <c r="C68" s="512">
        <v>45938</v>
      </c>
      <c r="D68" s="219" t="s">
        <v>4704</v>
      </c>
      <c r="E68" s="175" t="s">
        <v>4705</v>
      </c>
      <c r="F68" s="101" t="s">
        <v>1</v>
      </c>
      <c r="G68" s="221" t="s">
        <v>10</v>
      </c>
      <c r="H68" s="493">
        <v>45938</v>
      </c>
      <c r="I68" s="25"/>
      <c r="J68" s="100" t="s">
        <v>2352</v>
      </c>
      <c r="K68" s="494"/>
      <c r="L68" s="495"/>
      <c r="M68" s="496"/>
      <c r="N68" s="497"/>
      <c r="O68" s="498"/>
      <c r="P68" s="499"/>
      <c r="Q68" s="501">
        <v>45878</v>
      </c>
      <c r="R68" s="148">
        <f t="shared" ref="R68:R120" si="3">Q68-H68</f>
        <v>-60</v>
      </c>
      <c r="S68" s="101" t="s">
        <v>214</v>
      </c>
      <c r="T68" s="167"/>
    </row>
    <row r="69" spans="1:20" ht="28.8" x14ac:dyDescent="0.3">
      <c r="A69" s="98">
        <f t="shared" ref="A69:A77" si="4">A68+1</f>
        <v>66</v>
      </c>
      <c r="B69" s="660">
        <v>1550</v>
      </c>
      <c r="C69" s="512">
        <v>45938</v>
      </c>
      <c r="D69" s="219">
        <v>66067162</v>
      </c>
      <c r="E69" s="175" t="s">
        <v>4706</v>
      </c>
      <c r="F69" s="386" t="s">
        <v>1</v>
      </c>
      <c r="G69" s="112" t="s">
        <v>4</v>
      </c>
      <c r="H69" s="493">
        <v>45938</v>
      </c>
      <c r="I69" s="25"/>
      <c r="J69" s="100" t="s">
        <v>3709</v>
      </c>
      <c r="K69" s="494"/>
      <c r="L69" s="495"/>
      <c r="M69" s="496"/>
      <c r="N69" s="497"/>
      <c r="O69" s="498"/>
      <c r="P69" s="499"/>
      <c r="Q69" s="501">
        <v>45939</v>
      </c>
      <c r="R69" s="148">
        <f t="shared" si="3"/>
        <v>1</v>
      </c>
      <c r="S69" s="101" t="s">
        <v>3086</v>
      </c>
      <c r="T69" s="315"/>
    </row>
    <row r="70" spans="1:20" ht="27" customHeight="1" x14ac:dyDescent="0.3">
      <c r="A70" s="98">
        <f t="shared" si="4"/>
        <v>67</v>
      </c>
      <c r="B70" s="506" t="s">
        <v>301</v>
      </c>
      <c r="C70" s="512">
        <v>45938</v>
      </c>
      <c r="D70" s="219">
        <v>15898091</v>
      </c>
      <c r="E70" s="212" t="s">
        <v>4707</v>
      </c>
      <c r="F70" s="386" t="s">
        <v>23</v>
      </c>
      <c r="G70" s="112" t="s">
        <v>10</v>
      </c>
      <c r="H70" s="493">
        <v>45938</v>
      </c>
      <c r="I70" s="341"/>
      <c r="J70" s="100" t="s">
        <v>135</v>
      </c>
      <c r="K70" s="494"/>
      <c r="L70" s="495"/>
      <c r="M70" s="496"/>
      <c r="N70" s="497"/>
      <c r="O70" s="498"/>
      <c r="P70" s="499"/>
      <c r="Q70" s="501">
        <v>45938</v>
      </c>
      <c r="R70" s="148">
        <f t="shared" si="3"/>
        <v>0</v>
      </c>
      <c r="S70" s="101" t="s">
        <v>214</v>
      </c>
      <c r="T70" s="69"/>
    </row>
    <row r="71" spans="1:20" ht="28.8" x14ac:dyDescent="0.3">
      <c r="A71" s="98">
        <f t="shared" si="4"/>
        <v>68</v>
      </c>
      <c r="B71" s="506">
        <v>1550</v>
      </c>
      <c r="C71" s="492">
        <v>45939</v>
      </c>
      <c r="D71" s="543"/>
      <c r="E71" s="212" t="s">
        <v>4708</v>
      </c>
      <c r="F71" s="386" t="s">
        <v>21</v>
      </c>
      <c r="G71" s="112" t="s">
        <v>4</v>
      </c>
      <c r="H71" s="493">
        <v>45939</v>
      </c>
      <c r="I71" s="341"/>
      <c r="J71" s="100" t="s">
        <v>2544</v>
      </c>
      <c r="K71" s="494"/>
      <c r="L71" s="495"/>
      <c r="M71" s="496"/>
      <c r="N71" s="497"/>
      <c r="O71" s="498"/>
      <c r="P71" s="499"/>
      <c r="Q71" s="501">
        <v>45943</v>
      </c>
      <c r="R71" s="148">
        <f t="shared" si="3"/>
        <v>4</v>
      </c>
      <c r="S71" s="101" t="s">
        <v>3096</v>
      </c>
      <c r="T71" s="69"/>
    </row>
    <row r="72" spans="1:20" ht="72" x14ac:dyDescent="0.3">
      <c r="A72" s="98">
        <f t="shared" si="4"/>
        <v>69</v>
      </c>
      <c r="B72" s="506" t="s">
        <v>80</v>
      </c>
      <c r="C72" s="512">
        <v>45939</v>
      </c>
      <c r="D72" s="135">
        <v>2342855</v>
      </c>
      <c r="E72" s="175" t="s">
        <v>4709</v>
      </c>
      <c r="F72" s="386" t="s">
        <v>38</v>
      </c>
      <c r="G72" s="112" t="s">
        <v>6</v>
      </c>
      <c r="H72" s="493">
        <v>45939</v>
      </c>
      <c r="I72" s="125"/>
      <c r="J72" s="100" t="s">
        <v>253</v>
      </c>
      <c r="K72" s="494"/>
      <c r="L72" s="495"/>
      <c r="M72" s="496"/>
      <c r="N72" s="497"/>
      <c r="O72" s="498"/>
      <c r="P72" s="499"/>
      <c r="Q72" s="501">
        <v>45939</v>
      </c>
      <c r="R72" s="148">
        <f t="shared" si="3"/>
        <v>0</v>
      </c>
      <c r="S72" s="101" t="s">
        <v>2597</v>
      </c>
      <c r="T72" s="167" t="s">
        <v>4710</v>
      </c>
    </row>
    <row r="73" spans="1:20" ht="86.4" x14ac:dyDescent="0.3">
      <c r="A73" s="98">
        <f t="shared" si="4"/>
        <v>70</v>
      </c>
      <c r="B73" s="506" t="s">
        <v>80</v>
      </c>
      <c r="C73" s="512">
        <v>45939</v>
      </c>
      <c r="D73" s="135">
        <v>2342855</v>
      </c>
      <c r="E73" s="175" t="s">
        <v>4711</v>
      </c>
      <c r="F73" s="386" t="s">
        <v>38</v>
      </c>
      <c r="G73" s="112" t="s">
        <v>6</v>
      </c>
      <c r="H73" s="493">
        <v>45939</v>
      </c>
      <c r="I73" s="125"/>
      <c r="J73" s="100" t="s">
        <v>253</v>
      </c>
      <c r="K73" s="494"/>
      <c r="L73" s="495"/>
      <c r="M73" s="496"/>
      <c r="N73" s="497"/>
      <c r="O73" s="498"/>
      <c r="P73" s="499"/>
      <c r="Q73" s="501">
        <v>45952</v>
      </c>
      <c r="R73" s="148">
        <f t="shared" si="3"/>
        <v>13</v>
      </c>
      <c r="S73" s="101" t="s">
        <v>2597</v>
      </c>
      <c r="T73" s="167" t="s">
        <v>4712</v>
      </c>
    </row>
    <row r="74" spans="1:20" ht="28.8" x14ac:dyDescent="0.3">
      <c r="A74" s="98">
        <f t="shared" si="4"/>
        <v>71</v>
      </c>
      <c r="B74" s="506">
        <v>1550</v>
      </c>
      <c r="C74" s="512">
        <v>45939</v>
      </c>
      <c r="D74" s="135">
        <v>40208419</v>
      </c>
      <c r="E74" s="175" t="s">
        <v>4713</v>
      </c>
      <c r="F74" s="386" t="s">
        <v>23</v>
      </c>
      <c r="G74" s="112" t="s">
        <v>8</v>
      </c>
      <c r="H74" s="493">
        <v>45939</v>
      </c>
      <c r="I74" s="341"/>
      <c r="J74" s="100" t="s">
        <v>99</v>
      </c>
      <c r="K74" s="494"/>
      <c r="L74" s="495"/>
      <c r="M74" s="496"/>
      <c r="N74" s="497"/>
      <c r="O74" s="498"/>
      <c r="P74" s="499"/>
      <c r="Q74" s="501">
        <v>45954</v>
      </c>
      <c r="R74" s="148">
        <f t="shared" si="3"/>
        <v>15</v>
      </c>
      <c r="S74" s="101" t="s">
        <v>3952</v>
      </c>
      <c r="T74" s="69" t="s">
        <v>4714</v>
      </c>
    </row>
    <row r="75" spans="1:20" ht="28.8" x14ac:dyDescent="0.3">
      <c r="A75" s="98">
        <f t="shared" si="4"/>
        <v>72</v>
      </c>
      <c r="B75" s="506">
        <v>1550</v>
      </c>
      <c r="C75" s="512">
        <v>45939</v>
      </c>
      <c r="D75" s="135">
        <v>9613412</v>
      </c>
      <c r="E75" s="175" t="s">
        <v>4715</v>
      </c>
      <c r="F75" s="386" t="s">
        <v>23</v>
      </c>
      <c r="G75" s="112" t="s">
        <v>8</v>
      </c>
      <c r="H75" s="493">
        <v>45939</v>
      </c>
      <c r="I75" s="125">
        <v>10000323613</v>
      </c>
      <c r="J75" s="100" t="s">
        <v>99</v>
      </c>
      <c r="K75" s="494"/>
      <c r="L75" s="495"/>
      <c r="M75" s="496"/>
      <c r="N75" s="497"/>
      <c r="O75" s="498"/>
      <c r="P75" s="499"/>
      <c r="Q75" s="501">
        <v>45954</v>
      </c>
      <c r="R75" s="148">
        <f t="shared" si="3"/>
        <v>15</v>
      </c>
      <c r="S75" s="101" t="s">
        <v>3952</v>
      </c>
      <c r="T75" s="69"/>
    </row>
    <row r="76" spans="1:20" ht="57.6" x14ac:dyDescent="0.3">
      <c r="A76" s="98">
        <f t="shared" si="4"/>
        <v>73</v>
      </c>
      <c r="B76" s="506" t="s">
        <v>301</v>
      </c>
      <c r="C76" s="512">
        <v>45939</v>
      </c>
      <c r="D76" s="135"/>
      <c r="E76" s="175" t="s">
        <v>4716</v>
      </c>
      <c r="F76" s="386" t="s">
        <v>1314</v>
      </c>
      <c r="G76" s="112" t="s">
        <v>6</v>
      </c>
      <c r="H76" s="493">
        <v>45939</v>
      </c>
      <c r="I76" s="341"/>
      <c r="J76" s="100" t="s">
        <v>99</v>
      </c>
      <c r="K76" s="507"/>
      <c r="L76" s="508"/>
      <c r="M76" s="365"/>
      <c r="N76" s="509"/>
      <c r="O76" s="510"/>
      <c r="P76" s="511"/>
      <c r="Q76" s="501">
        <v>45940</v>
      </c>
      <c r="R76" s="148">
        <f t="shared" si="3"/>
        <v>1</v>
      </c>
      <c r="S76" s="101" t="s">
        <v>1860</v>
      </c>
      <c r="T76" s="167"/>
    </row>
    <row r="77" spans="1:20" ht="28.8" x14ac:dyDescent="0.3">
      <c r="A77" s="98">
        <f t="shared" si="4"/>
        <v>74</v>
      </c>
      <c r="B77" s="506">
        <v>1550</v>
      </c>
      <c r="C77" s="512">
        <v>45939</v>
      </c>
      <c r="D77" s="135">
        <v>27760685</v>
      </c>
      <c r="E77" s="175" t="s">
        <v>4717</v>
      </c>
      <c r="F77" s="386" t="s">
        <v>7</v>
      </c>
      <c r="G77" s="112" t="s">
        <v>8</v>
      </c>
      <c r="H77" s="493">
        <v>45939</v>
      </c>
      <c r="I77" s="341"/>
      <c r="J77" s="100" t="s">
        <v>2536</v>
      </c>
      <c r="K77" s="494"/>
      <c r="L77" s="495"/>
      <c r="M77" s="496"/>
      <c r="N77" s="497"/>
      <c r="O77" s="498"/>
      <c r="P77" s="499"/>
      <c r="Q77" s="501">
        <v>45940</v>
      </c>
      <c r="R77" s="148">
        <f t="shared" si="3"/>
        <v>1</v>
      </c>
      <c r="S77" s="101" t="s">
        <v>3952</v>
      </c>
      <c r="T77" s="69"/>
    </row>
    <row r="78" spans="1:20" ht="86.4" x14ac:dyDescent="0.3">
      <c r="A78" s="98">
        <f>A87+1</f>
        <v>76</v>
      </c>
      <c r="B78" s="506" t="s">
        <v>301</v>
      </c>
      <c r="C78" s="512">
        <v>45939</v>
      </c>
      <c r="D78" s="682">
        <v>93409796</v>
      </c>
      <c r="E78" s="175" t="s">
        <v>4718</v>
      </c>
      <c r="F78" s="386" t="s">
        <v>7</v>
      </c>
      <c r="G78" s="112" t="s">
        <v>6</v>
      </c>
      <c r="H78" s="493">
        <v>45939</v>
      </c>
      <c r="I78" s="341"/>
      <c r="J78" s="100" t="s">
        <v>2306</v>
      </c>
      <c r="K78" s="494"/>
      <c r="L78" s="495"/>
      <c r="M78" s="496"/>
      <c r="N78" s="497"/>
      <c r="O78" s="498"/>
      <c r="P78" s="499"/>
      <c r="Q78" s="501">
        <v>45940</v>
      </c>
      <c r="R78" s="148">
        <f t="shared" si="3"/>
        <v>1</v>
      </c>
      <c r="S78" s="101" t="s">
        <v>1312</v>
      </c>
      <c r="T78" s="69"/>
    </row>
    <row r="79" spans="1:20" ht="66.75" customHeight="1" x14ac:dyDescent="0.3">
      <c r="A79" s="98">
        <f t="shared" ref="A79:A86" si="5">A78+1</f>
        <v>77</v>
      </c>
      <c r="B79" s="506" t="s">
        <v>301</v>
      </c>
      <c r="C79" s="512">
        <v>45939</v>
      </c>
      <c r="D79" s="135">
        <v>26352222</v>
      </c>
      <c r="E79" s="175" t="s">
        <v>4719</v>
      </c>
      <c r="F79" s="386" t="s">
        <v>7</v>
      </c>
      <c r="G79" s="112" t="s">
        <v>10</v>
      </c>
      <c r="H79" s="493">
        <v>45939</v>
      </c>
      <c r="I79" s="341"/>
      <c r="J79" s="100" t="s">
        <v>2513</v>
      </c>
      <c r="K79" s="494"/>
      <c r="L79" s="495"/>
      <c r="M79" s="496"/>
      <c r="N79" s="497"/>
      <c r="O79" s="498"/>
      <c r="P79" s="499"/>
      <c r="Q79" s="501">
        <v>45940</v>
      </c>
      <c r="R79" s="148">
        <f t="shared" si="3"/>
        <v>1</v>
      </c>
      <c r="S79" s="101" t="s">
        <v>214</v>
      </c>
      <c r="T79" s="69"/>
    </row>
    <row r="80" spans="1:20" ht="63" customHeight="1" x14ac:dyDescent="0.3">
      <c r="A80" s="98">
        <f t="shared" si="5"/>
        <v>78</v>
      </c>
      <c r="B80" s="553" t="s">
        <v>80</v>
      </c>
      <c r="C80" s="512">
        <v>45939</v>
      </c>
      <c r="D80" s="135">
        <v>120400596</v>
      </c>
      <c r="E80" s="212" t="s">
        <v>4720</v>
      </c>
      <c r="F80" s="101" t="s">
        <v>1</v>
      </c>
      <c r="G80" s="112" t="s">
        <v>10</v>
      </c>
      <c r="H80" s="493">
        <v>45939</v>
      </c>
      <c r="I80" s="555"/>
      <c r="J80" s="102" t="s">
        <v>2579</v>
      </c>
      <c r="K80" s="494"/>
      <c r="L80" s="495"/>
      <c r="M80" s="496"/>
      <c r="N80" s="497"/>
      <c r="O80" s="498"/>
      <c r="P80" s="499"/>
      <c r="Q80" s="501">
        <v>45968</v>
      </c>
      <c r="R80" s="148">
        <f t="shared" si="3"/>
        <v>29</v>
      </c>
      <c r="S80" s="101" t="s">
        <v>1319</v>
      </c>
      <c r="T80" s="69"/>
    </row>
    <row r="81" spans="1:20" ht="54" customHeight="1" x14ac:dyDescent="0.3">
      <c r="A81" s="98">
        <f t="shared" si="5"/>
        <v>79</v>
      </c>
      <c r="B81" s="553" t="s">
        <v>80</v>
      </c>
      <c r="C81" s="512">
        <v>45939</v>
      </c>
      <c r="D81" s="135">
        <v>7085605</v>
      </c>
      <c r="E81" s="212" t="s">
        <v>4721</v>
      </c>
      <c r="F81" s="385" t="s">
        <v>17</v>
      </c>
      <c r="G81" s="112" t="s">
        <v>10</v>
      </c>
      <c r="H81" s="493">
        <v>45939</v>
      </c>
      <c r="I81" s="517"/>
      <c r="J81" s="100" t="s">
        <v>82</v>
      </c>
      <c r="K81" s="507"/>
      <c r="L81" s="508"/>
      <c r="M81" s="365"/>
      <c r="N81" s="509"/>
      <c r="O81" s="510"/>
      <c r="P81" s="511"/>
      <c r="Q81" s="501">
        <v>46010</v>
      </c>
      <c r="R81" s="148">
        <f t="shared" si="3"/>
        <v>71</v>
      </c>
      <c r="S81" s="101" t="s">
        <v>1319</v>
      </c>
      <c r="T81" s="167"/>
    </row>
    <row r="82" spans="1:20" ht="57.6" x14ac:dyDescent="0.3">
      <c r="A82" s="98">
        <f t="shared" si="5"/>
        <v>80</v>
      </c>
      <c r="B82" s="553" t="s">
        <v>80</v>
      </c>
      <c r="C82" s="512">
        <v>45939</v>
      </c>
      <c r="D82" s="135">
        <v>18361382</v>
      </c>
      <c r="E82" s="212" t="s">
        <v>4722</v>
      </c>
      <c r="F82" s="101" t="s">
        <v>17</v>
      </c>
      <c r="G82" s="112" t="s">
        <v>10</v>
      </c>
      <c r="H82" s="493">
        <v>45939</v>
      </c>
      <c r="I82" s="25"/>
      <c r="J82" s="100" t="s">
        <v>82</v>
      </c>
      <c r="K82" s="494"/>
      <c r="L82" s="495"/>
      <c r="M82" s="496"/>
      <c r="N82" s="497"/>
      <c r="O82" s="498"/>
      <c r="P82" s="499"/>
      <c r="Q82" s="501">
        <v>46010</v>
      </c>
      <c r="R82" s="148">
        <f t="shared" si="3"/>
        <v>71</v>
      </c>
      <c r="S82" s="101" t="s">
        <v>1319</v>
      </c>
      <c r="T82" s="69"/>
    </row>
    <row r="83" spans="1:20" ht="57.6" x14ac:dyDescent="0.3">
      <c r="A83" s="98">
        <f t="shared" si="5"/>
        <v>81</v>
      </c>
      <c r="B83" s="491">
        <v>1550</v>
      </c>
      <c r="C83" s="492">
        <v>45939</v>
      </c>
      <c r="D83" s="135">
        <v>15898091</v>
      </c>
      <c r="E83" s="175" t="s">
        <v>4723</v>
      </c>
      <c r="F83" s="101" t="s">
        <v>32</v>
      </c>
      <c r="G83" s="112" t="s">
        <v>6</v>
      </c>
      <c r="H83" s="493">
        <v>45940</v>
      </c>
      <c r="I83" s="25"/>
      <c r="J83" s="100" t="s">
        <v>106</v>
      </c>
      <c r="K83" s="494"/>
      <c r="L83" s="495"/>
      <c r="M83" s="496"/>
      <c r="N83" s="497"/>
      <c r="O83" s="498"/>
      <c r="P83" s="499"/>
      <c r="Q83" s="500">
        <v>45944</v>
      </c>
      <c r="R83" s="148">
        <f t="shared" si="3"/>
        <v>4</v>
      </c>
      <c r="S83" s="101" t="s">
        <v>2597</v>
      </c>
      <c r="T83" s="69"/>
    </row>
    <row r="84" spans="1:20" ht="72" x14ac:dyDescent="0.3">
      <c r="A84" s="98">
        <f t="shared" si="5"/>
        <v>82</v>
      </c>
      <c r="B84" s="491" t="s">
        <v>301</v>
      </c>
      <c r="C84" s="556">
        <v>45940</v>
      </c>
      <c r="D84" s="135">
        <v>101735235</v>
      </c>
      <c r="E84" s="270" t="s">
        <v>4724</v>
      </c>
      <c r="F84" s="101" t="s">
        <v>17</v>
      </c>
      <c r="G84" s="112" t="s">
        <v>6</v>
      </c>
      <c r="H84" s="493">
        <v>45940</v>
      </c>
      <c r="I84" s="25"/>
      <c r="J84" s="100" t="s">
        <v>82</v>
      </c>
      <c r="K84" s="494"/>
      <c r="L84" s="495"/>
      <c r="M84" s="496"/>
      <c r="N84" s="497"/>
      <c r="O84" s="498"/>
      <c r="P84" s="499"/>
      <c r="Q84" s="500">
        <v>46010</v>
      </c>
      <c r="R84" s="148">
        <f t="shared" si="3"/>
        <v>70</v>
      </c>
      <c r="S84" s="101" t="s">
        <v>1312</v>
      </c>
      <c r="T84" s="69"/>
    </row>
    <row r="85" spans="1:20" ht="28.8" x14ac:dyDescent="0.3">
      <c r="A85" s="98">
        <f t="shared" si="5"/>
        <v>83</v>
      </c>
      <c r="B85" s="491">
        <v>1550</v>
      </c>
      <c r="C85" s="492">
        <v>45940</v>
      </c>
      <c r="D85" s="135">
        <v>120686368</v>
      </c>
      <c r="E85" s="212" t="s">
        <v>4725</v>
      </c>
      <c r="F85" s="101" t="s">
        <v>1</v>
      </c>
      <c r="G85" s="112" t="s">
        <v>4</v>
      </c>
      <c r="H85" s="493">
        <v>45940</v>
      </c>
      <c r="I85" s="25"/>
      <c r="J85" s="100" t="s">
        <v>2352</v>
      </c>
      <c r="K85" s="494"/>
      <c r="L85" s="495"/>
      <c r="M85" s="496"/>
      <c r="N85" s="497"/>
      <c r="O85" s="498"/>
      <c r="P85" s="499"/>
      <c r="Q85" s="500">
        <v>45944</v>
      </c>
      <c r="R85" s="148">
        <f t="shared" si="3"/>
        <v>4</v>
      </c>
      <c r="S85" s="101" t="s">
        <v>2974</v>
      </c>
      <c r="T85" s="69"/>
    </row>
    <row r="86" spans="1:20" ht="43.2" x14ac:dyDescent="0.3">
      <c r="A86" s="98">
        <f t="shared" si="5"/>
        <v>84</v>
      </c>
      <c r="B86" s="491">
        <v>1550</v>
      </c>
      <c r="C86" s="347">
        <v>45940</v>
      </c>
      <c r="D86" s="135">
        <v>94385718</v>
      </c>
      <c r="E86" s="212" t="s">
        <v>4726</v>
      </c>
      <c r="F86" s="386" t="s">
        <v>3</v>
      </c>
      <c r="G86" s="112" t="s">
        <v>8</v>
      </c>
      <c r="H86" s="493">
        <v>45940</v>
      </c>
      <c r="I86" s="341"/>
      <c r="J86" s="100" t="s">
        <v>82</v>
      </c>
      <c r="K86" s="494"/>
      <c r="L86" s="495"/>
      <c r="M86" s="496"/>
      <c r="N86" s="497"/>
      <c r="O86" s="498"/>
      <c r="P86" s="499"/>
      <c r="Q86" s="501">
        <v>45943</v>
      </c>
      <c r="R86" s="148">
        <f t="shared" si="3"/>
        <v>3</v>
      </c>
      <c r="S86" s="101" t="s">
        <v>4727</v>
      </c>
      <c r="T86" s="167"/>
    </row>
    <row r="87" spans="1:20" ht="28.8" x14ac:dyDescent="0.3">
      <c r="A87" s="98">
        <f>A77+1</f>
        <v>75</v>
      </c>
      <c r="B87" s="491">
        <v>1550</v>
      </c>
      <c r="C87" s="347">
        <v>45938</v>
      </c>
      <c r="D87" s="135">
        <v>47843829</v>
      </c>
      <c r="E87" s="212" t="s">
        <v>4728</v>
      </c>
      <c r="F87" s="386" t="s">
        <v>7</v>
      </c>
      <c r="G87" s="112" t="s">
        <v>4</v>
      </c>
      <c r="H87" s="493">
        <v>45940</v>
      </c>
      <c r="I87" s="341"/>
      <c r="J87" s="100" t="s">
        <v>2513</v>
      </c>
      <c r="K87" s="494"/>
      <c r="L87" s="495"/>
      <c r="M87" s="496"/>
      <c r="N87" s="497"/>
      <c r="O87" s="498"/>
      <c r="P87" s="499"/>
      <c r="Q87" s="501">
        <v>45943</v>
      </c>
      <c r="R87" s="148">
        <f t="shared" si="3"/>
        <v>3</v>
      </c>
      <c r="S87" s="101" t="s">
        <v>2974</v>
      </c>
      <c r="T87" s="69"/>
    </row>
    <row r="88" spans="1:20" ht="28.8" x14ac:dyDescent="0.3">
      <c r="A88" s="98">
        <f>A86+1</f>
        <v>85</v>
      </c>
      <c r="B88" s="491">
        <v>1550</v>
      </c>
      <c r="C88" s="502">
        <v>45940</v>
      </c>
      <c r="D88" s="135">
        <v>108364364</v>
      </c>
      <c r="E88" s="212" t="s">
        <v>4492</v>
      </c>
      <c r="F88" s="101" t="s">
        <v>1</v>
      </c>
      <c r="G88" s="112" t="s">
        <v>8</v>
      </c>
      <c r="H88" s="493">
        <v>45940</v>
      </c>
      <c r="I88" s="503"/>
      <c r="J88" s="100" t="s">
        <v>3180</v>
      </c>
      <c r="K88" s="494"/>
      <c r="L88" s="495"/>
      <c r="M88" s="496"/>
      <c r="N88" s="497"/>
      <c r="O88" s="498"/>
      <c r="P88" s="499"/>
      <c r="Q88" s="500">
        <v>45980</v>
      </c>
      <c r="R88" s="148">
        <f t="shared" si="3"/>
        <v>40</v>
      </c>
      <c r="S88" s="101" t="s">
        <v>4026</v>
      </c>
      <c r="T88" s="69"/>
    </row>
    <row r="89" spans="1:20" ht="100.8" x14ac:dyDescent="0.3">
      <c r="A89" s="98">
        <f t="shared" ref="A89:A120" si="6">A88+1</f>
        <v>86</v>
      </c>
      <c r="B89" s="491" t="s">
        <v>301</v>
      </c>
      <c r="C89" s="282">
        <v>45940</v>
      </c>
      <c r="D89" s="135">
        <v>6569080</v>
      </c>
      <c r="E89" s="212" t="s">
        <v>4729</v>
      </c>
      <c r="F89" s="101" t="s">
        <v>1</v>
      </c>
      <c r="G89" s="376" t="s">
        <v>6</v>
      </c>
      <c r="H89" s="493">
        <v>45940</v>
      </c>
      <c r="I89" s="341"/>
      <c r="J89" s="100" t="s">
        <v>99</v>
      </c>
      <c r="K89" s="494"/>
      <c r="L89" s="495"/>
      <c r="M89" s="496"/>
      <c r="N89" s="497"/>
      <c r="O89" s="498"/>
      <c r="P89" s="499"/>
      <c r="Q89" s="500">
        <v>45946</v>
      </c>
      <c r="R89" s="148">
        <f t="shared" si="3"/>
        <v>6</v>
      </c>
      <c r="S89" s="101" t="s">
        <v>1312</v>
      </c>
      <c r="T89" s="69"/>
    </row>
    <row r="90" spans="1:20" ht="59.25" customHeight="1" x14ac:dyDescent="0.3">
      <c r="A90" s="98">
        <f t="shared" si="6"/>
        <v>87</v>
      </c>
      <c r="B90" s="491" t="s">
        <v>80</v>
      </c>
      <c r="C90" s="282">
        <v>45940</v>
      </c>
      <c r="D90" s="135">
        <v>67034683</v>
      </c>
      <c r="E90" s="212" t="s">
        <v>4730</v>
      </c>
      <c r="F90" s="101" t="s">
        <v>7</v>
      </c>
      <c r="G90" s="376" t="s">
        <v>10</v>
      </c>
      <c r="H90" s="493">
        <v>45940</v>
      </c>
      <c r="I90" s="341"/>
      <c r="J90" s="100" t="s">
        <v>99</v>
      </c>
      <c r="K90" s="494"/>
      <c r="L90" s="495"/>
      <c r="M90" s="496"/>
      <c r="N90" s="497"/>
      <c r="O90" s="498"/>
      <c r="P90" s="499"/>
      <c r="Q90" s="500">
        <v>45940</v>
      </c>
      <c r="R90" s="148">
        <f t="shared" si="3"/>
        <v>0</v>
      </c>
      <c r="S90" s="101" t="s">
        <v>1319</v>
      </c>
      <c r="T90" s="69"/>
    </row>
    <row r="91" spans="1:20" ht="57.6" x14ac:dyDescent="0.3">
      <c r="A91" s="98">
        <f t="shared" si="6"/>
        <v>88</v>
      </c>
      <c r="B91" s="491" t="s">
        <v>80</v>
      </c>
      <c r="C91" s="282">
        <v>45940</v>
      </c>
      <c r="D91" s="135">
        <v>58231625</v>
      </c>
      <c r="E91" s="212" t="s">
        <v>4731</v>
      </c>
      <c r="F91" s="101" t="s">
        <v>23</v>
      </c>
      <c r="G91" s="376" t="s">
        <v>10</v>
      </c>
      <c r="H91" s="493">
        <v>45940</v>
      </c>
      <c r="I91" s="341"/>
      <c r="J91" s="100" t="s">
        <v>135</v>
      </c>
      <c r="K91" s="494"/>
      <c r="L91" s="495"/>
      <c r="M91" s="496"/>
      <c r="N91" s="497"/>
      <c r="O91" s="498"/>
      <c r="P91" s="499"/>
      <c r="Q91" s="500">
        <v>45940</v>
      </c>
      <c r="R91" s="148">
        <f t="shared" si="3"/>
        <v>0</v>
      </c>
      <c r="S91" s="101" t="s">
        <v>1319</v>
      </c>
      <c r="T91" s="69"/>
    </row>
    <row r="92" spans="1:20" ht="43.2" x14ac:dyDescent="0.3">
      <c r="A92" s="98">
        <f t="shared" si="6"/>
        <v>89</v>
      </c>
      <c r="B92" s="491">
        <v>1550</v>
      </c>
      <c r="C92" s="282">
        <v>45941</v>
      </c>
      <c r="D92" s="135">
        <v>26478447</v>
      </c>
      <c r="E92" s="212" t="s">
        <v>4732</v>
      </c>
      <c r="F92" s="386" t="s">
        <v>3</v>
      </c>
      <c r="G92" s="112" t="s">
        <v>6</v>
      </c>
      <c r="H92" s="493">
        <v>45941</v>
      </c>
      <c r="I92" s="341"/>
      <c r="J92" s="100" t="s">
        <v>82</v>
      </c>
      <c r="K92" s="494"/>
      <c r="L92" s="495"/>
      <c r="M92" s="496"/>
      <c r="N92" s="497"/>
      <c r="O92" s="498"/>
      <c r="P92" s="499"/>
      <c r="Q92" s="501">
        <v>45943</v>
      </c>
      <c r="R92" s="148">
        <f t="shared" si="3"/>
        <v>2</v>
      </c>
      <c r="S92" s="101" t="s">
        <v>3692</v>
      </c>
      <c r="T92" s="69"/>
    </row>
    <row r="93" spans="1:20" ht="28.8" x14ac:dyDescent="0.3">
      <c r="A93" s="98">
        <f t="shared" si="6"/>
        <v>90</v>
      </c>
      <c r="B93" s="491">
        <v>1550</v>
      </c>
      <c r="C93" s="282">
        <v>45943</v>
      </c>
      <c r="D93" s="135">
        <v>33778302</v>
      </c>
      <c r="E93" s="212" t="s">
        <v>4733</v>
      </c>
      <c r="F93" s="101" t="s">
        <v>3</v>
      </c>
      <c r="G93" s="376" t="s">
        <v>4</v>
      </c>
      <c r="H93" s="493">
        <v>45943</v>
      </c>
      <c r="I93" s="341"/>
      <c r="J93" s="100" t="s">
        <v>82</v>
      </c>
      <c r="K93" s="494"/>
      <c r="L93" s="637"/>
      <c r="M93" s="496"/>
      <c r="N93" s="497"/>
      <c r="O93" s="498"/>
      <c r="P93" s="499"/>
      <c r="Q93" s="500">
        <v>45952</v>
      </c>
      <c r="R93" s="148">
        <f t="shared" si="3"/>
        <v>9</v>
      </c>
      <c r="S93" s="101" t="s">
        <v>3830</v>
      </c>
      <c r="T93" s="69"/>
    </row>
    <row r="94" spans="1:20" ht="57.6" x14ac:dyDescent="0.3">
      <c r="A94" s="98">
        <f t="shared" si="6"/>
        <v>91</v>
      </c>
      <c r="B94" s="491" t="s">
        <v>301</v>
      </c>
      <c r="C94" s="502">
        <v>45943</v>
      </c>
      <c r="D94" s="135"/>
      <c r="E94" s="212" t="s">
        <v>4734</v>
      </c>
      <c r="F94" s="101" t="s">
        <v>1314</v>
      </c>
      <c r="G94" s="112" t="s">
        <v>6</v>
      </c>
      <c r="H94" s="493">
        <v>45943</v>
      </c>
      <c r="I94" s="25"/>
      <c r="J94" s="100" t="s">
        <v>99</v>
      </c>
      <c r="K94" s="494"/>
      <c r="L94" s="637"/>
      <c r="M94" s="496"/>
      <c r="N94" s="497"/>
      <c r="O94" s="498"/>
      <c r="P94" s="499"/>
      <c r="Q94" s="500">
        <v>45943</v>
      </c>
      <c r="R94" s="148">
        <f t="shared" si="3"/>
        <v>0</v>
      </c>
      <c r="S94" s="101" t="s">
        <v>1312</v>
      </c>
      <c r="T94" s="69"/>
    </row>
    <row r="95" spans="1:20" ht="57.6" x14ac:dyDescent="0.3">
      <c r="A95" s="98">
        <f t="shared" si="6"/>
        <v>92</v>
      </c>
      <c r="B95" s="506" t="s">
        <v>301</v>
      </c>
      <c r="C95" s="492">
        <v>45943</v>
      </c>
      <c r="D95" s="135">
        <v>119862646</v>
      </c>
      <c r="E95" s="212" t="s">
        <v>4735</v>
      </c>
      <c r="F95" s="101" t="s">
        <v>1</v>
      </c>
      <c r="G95" s="112" t="s">
        <v>6</v>
      </c>
      <c r="H95" s="493">
        <v>45943</v>
      </c>
      <c r="I95" s="25"/>
      <c r="J95" s="100" t="s">
        <v>2513</v>
      </c>
      <c r="K95" s="494"/>
      <c r="L95" s="495"/>
      <c r="M95" s="496"/>
      <c r="N95" s="497"/>
      <c r="O95" s="498"/>
      <c r="P95" s="499"/>
      <c r="Q95" s="500">
        <v>45944</v>
      </c>
      <c r="R95" s="148">
        <f t="shared" si="3"/>
        <v>1</v>
      </c>
      <c r="S95" s="101" t="s">
        <v>1312</v>
      </c>
      <c r="T95" s="69"/>
    </row>
    <row r="96" spans="1:20" ht="43.2" x14ac:dyDescent="0.3">
      <c r="A96" s="98">
        <f t="shared" si="6"/>
        <v>93</v>
      </c>
      <c r="B96" s="506">
        <v>1550</v>
      </c>
      <c r="C96" s="492">
        <v>45943</v>
      </c>
      <c r="D96" s="135">
        <v>68906048</v>
      </c>
      <c r="E96" s="212" t="s">
        <v>4736</v>
      </c>
      <c r="F96" s="101" t="s">
        <v>33</v>
      </c>
      <c r="G96" s="221" t="s">
        <v>6</v>
      </c>
      <c r="H96" s="493">
        <v>45943</v>
      </c>
      <c r="I96" s="25"/>
      <c r="J96" s="100" t="s">
        <v>99</v>
      </c>
      <c r="K96" s="494"/>
      <c r="L96" s="495"/>
      <c r="M96" s="496"/>
      <c r="N96" s="497"/>
      <c r="O96" s="498"/>
      <c r="P96" s="499"/>
      <c r="Q96" s="500">
        <v>45943</v>
      </c>
      <c r="R96" s="148">
        <f t="shared" si="3"/>
        <v>0</v>
      </c>
      <c r="S96" s="101" t="s">
        <v>1893</v>
      </c>
      <c r="T96" s="69"/>
    </row>
    <row r="97" spans="1:20" ht="28.8" x14ac:dyDescent="0.3">
      <c r="A97" s="98">
        <f t="shared" si="6"/>
        <v>94</v>
      </c>
      <c r="B97" s="506">
        <v>1550</v>
      </c>
      <c r="C97" s="492">
        <v>45943</v>
      </c>
      <c r="D97" s="135">
        <v>68804172</v>
      </c>
      <c r="E97" s="212" t="s">
        <v>3345</v>
      </c>
      <c r="F97" s="101" t="s">
        <v>3</v>
      </c>
      <c r="G97" s="221" t="s">
        <v>4</v>
      </c>
      <c r="H97" s="493">
        <v>45943</v>
      </c>
      <c r="I97" s="25"/>
      <c r="J97" s="100" t="s">
        <v>82</v>
      </c>
      <c r="K97" s="507"/>
      <c r="L97" s="508"/>
      <c r="M97" s="365"/>
      <c r="N97" s="509"/>
      <c r="O97" s="510"/>
      <c r="P97" s="511"/>
      <c r="Q97" s="500">
        <v>45952</v>
      </c>
      <c r="R97" s="148">
        <f t="shared" si="3"/>
        <v>9</v>
      </c>
      <c r="S97" s="101" t="s">
        <v>3899</v>
      </c>
      <c r="T97" s="167"/>
    </row>
    <row r="98" spans="1:20" ht="100.8" x14ac:dyDescent="0.3">
      <c r="A98" s="98">
        <f t="shared" si="6"/>
        <v>95</v>
      </c>
      <c r="B98" s="506">
        <v>1550</v>
      </c>
      <c r="C98" s="556">
        <v>45943</v>
      </c>
      <c r="D98" s="135">
        <v>99556375</v>
      </c>
      <c r="E98" s="661" t="s">
        <v>4737</v>
      </c>
      <c r="F98" s="420" t="s">
        <v>7</v>
      </c>
      <c r="G98" s="221" t="s">
        <v>6</v>
      </c>
      <c r="H98" s="493">
        <v>45943</v>
      </c>
      <c r="I98" s="341"/>
      <c r="J98" s="100" t="s">
        <v>2306</v>
      </c>
      <c r="K98" s="507"/>
      <c r="L98" s="508"/>
      <c r="M98" s="365"/>
      <c r="N98" s="509"/>
      <c r="O98" s="510"/>
      <c r="P98" s="511"/>
      <c r="Q98" s="500">
        <v>45944</v>
      </c>
      <c r="R98" s="148">
        <f t="shared" si="3"/>
        <v>1</v>
      </c>
      <c r="S98" s="101" t="s">
        <v>2808</v>
      </c>
      <c r="T98" s="167"/>
    </row>
    <row r="99" spans="1:20" ht="43.2" x14ac:dyDescent="0.3">
      <c r="A99" s="98">
        <f t="shared" si="6"/>
        <v>96</v>
      </c>
      <c r="B99" s="660" t="s">
        <v>301</v>
      </c>
      <c r="C99" s="512">
        <v>45943</v>
      </c>
      <c r="D99" s="135">
        <v>12682098</v>
      </c>
      <c r="E99" s="175" t="s">
        <v>4738</v>
      </c>
      <c r="F99" s="111" t="s">
        <v>7</v>
      </c>
      <c r="G99" s="221" t="s">
        <v>8</v>
      </c>
      <c r="H99" s="493">
        <v>45943</v>
      </c>
      <c r="I99" s="341"/>
      <c r="J99" s="100" t="s">
        <v>99</v>
      </c>
      <c r="K99" s="226" t="s">
        <v>262</v>
      </c>
      <c r="L99" s="580">
        <v>45943</v>
      </c>
      <c r="M99" s="365" t="s">
        <v>1357</v>
      </c>
      <c r="N99" s="509"/>
      <c r="O99" s="510"/>
      <c r="P99" s="511"/>
      <c r="Q99" s="500">
        <v>45959</v>
      </c>
      <c r="R99" s="148">
        <f t="shared" si="3"/>
        <v>16</v>
      </c>
      <c r="S99" s="101" t="s">
        <v>4739</v>
      </c>
      <c r="T99" s="167"/>
    </row>
    <row r="100" spans="1:20" ht="28.8" x14ac:dyDescent="0.3">
      <c r="A100" s="98">
        <f t="shared" si="6"/>
        <v>97</v>
      </c>
      <c r="B100" s="660">
        <v>1550</v>
      </c>
      <c r="C100" s="512">
        <v>45944</v>
      </c>
      <c r="D100" s="135">
        <v>93194331</v>
      </c>
      <c r="E100" s="688" t="s">
        <v>4740</v>
      </c>
      <c r="F100" s="111" t="s">
        <v>1</v>
      </c>
      <c r="G100" s="221" t="s">
        <v>4</v>
      </c>
      <c r="H100" s="493">
        <v>45944</v>
      </c>
      <c r="I100" s="25"/>
      <c r="J100" s="100" t="s">
        <v>2544</v>
      </c>
      <c r="K100" s="494"/>
      <c r="L100" s="495"/>
      <c r="M100" s="496"/>
      <c r="N100" s="497"/>
      <c r="O100" s="498"/>
      <c r="P100" s="499"/>
      <c r="Q100" s="500">
        <v>45952</v>
      </c>
      <c r="R100" s="148">
        <f t="shared" si="3"/>
        <v>8</v>
      </c>
      <c r="S100" s="101"/>
      <c r="T100" s="69"/>
    </row>
    <row r="101" spans="1:20" ht="43.2" x14ac:dyDescent="0.3">
      <c r="A101" s="98">
        <f t="shared" si="6"/>
        <v>98</v>
      </c>
      <c r="B101" s="660">
        <v>1550</v>
      </c>
      <c r="C101" s="512">
        <v>45944</v>
      </c>
      <c r="D101" s="135">
        <v>44800460</v>
      </c>
      <c r="E101" s="294" t="s">
        <v>4741</v>
      </c>
      <c r="F101" s="111" t="s">
        <v>48</v>
      </c>
      <c r="G101" s="221" t="s">
        <v>6</v>
      </c>
      <c r="H101" s="493">
        <v>45944</v>
      </c>
      <c r="I101" s="25"/>
      <c r="J101" s="100" t="s">
        <v>99</v>
      </c>
      <c r="K101" s="494" t="s">
        <v>393</v>
      </c>
      <c r="L101" s="636">
        <v>45944</v>
      </c>
      <c r="M101" s="496" t="s">
        <v>1357</v>
      </c>
      <c r="N101" s="497"/>
      <c r="O101" s="498"/>
      <c r="P101" s="499"/>
      <c r="Q101" s="500">
        <v>45947</v>
      </c>
      <c r="R101" s="148">
        <f t="shared" si="3"/>
        <v>3</v>
      </c>
      <c r="S101" s="101" t="s">
        <v>2747</v>
      </c>
      <c r="T101" s="69"/>
    </row>
    <row r="102" spans="1:20" ht="57.6" x14ac:dyDescent="0.3">
      <c r="A102" s="98">
        <f t="shared" si="6"/>
        <v>99</v>
      </c>
      <c r="B102" s="660" t="s">
        <v>301</v>
      </c>
      <c r="C102" s="512">
        <v>45944</v>
      </c>
      <c r="D102" s="135">
        <v>26352222</v>
      </c>
      <c r="E102" s="175" t="s">
        <v>4742</v>
      </c>
      <c r="F102" s="111" t="s">
        <v>7</v>
      </c>
      <c r="G102" s="221" t="s">
        <v>8</v>
      </c>
      <c r="H102" s="493">
        <v>45944</v>
      </c>
      <c r="I102" s="25"/>
      <c r="J102" s="100" t="s">
        <v>2513</v>
      </c>
      <c r="K102" s="494"/>
      <c r="L102" s="495"/>
      <c r="M102" s="496"/>
      <c r="N102" s="497"/>
      <c r="O102" s="498"/>
      <c r="P102" s="499"/>
      <c r="Q102" s="500">
        <v>45947</v>
      </c>
      <c r="R102" s="148">
        <f t="shared" si="3"/>
        <v>3</v>
      </c>
      <c r="S102" s="101" t="s">
        <v>4739</v>
      </c>
      <c r="T102" s="69"/>
    </row>
    <row r="103" spans="1:20" ht="72" x14ac:dyDescent="0.3">
      <c r="A103" s="98">
        <f t="shared" si="6"/>
        <v>100</v>
      </c>
      <c r="B103" s="506">
        <v>1550</v>
      </c>
      <c r="C103" s="573">
        <v>45944</v>
      </c>
      <c r="D103" s="135">
        <v>15472329</v>
      </c>
      <c r="E103" s="212" t="s">
        <v>4743</v>
      </c>
      <c r="F103" s="386" t="s">
        <v>1</v>
      </c>
      <c r="G103" s="112" t="s">
        <v>6</v>
      </c>
      <c r="H103" s="493">
        <v>45944</v>
      </c>
      <c r="I103" s="341"/>
      <c r="J103" s="100" t="s">
        <v>2352</v>
      </c>
      <c r="K103" s="494"/>
      <c r="L103" s="495"/>
      <c r="M103" s="496"/>
      <c r="N103" s="497"/>
      <c r="O103" s="498"/>
      <c r="P103" s="499"/>
      <c r="Q103" s="501">
        <v>45947</v>
      </c>
      <c r="R103" s="148">
        <f t="shared" si="3"/>
        <v>3</v>
      </c>
      <c r="S103" s="101" t="s">
        <v>2747</v>
      </c>
      <c r="T103" s="69"/>
    </row>
    <row r="104" spans="1:20" ht="28.8" x14ac:dyDescent="0.3">
      <c r="A104" s="98">
        <f t="shared" si="6"/>
        <v>101</v>
      </c>
      <c r="B104" s="506">
        <v>1550</v>
      </c>
      <c r="C104" s="492">
        <v>45944</v>
      </c>
      <c r="D104" s="135">
        <v>100085148</v>
      </c>
      <c r="E104" s="212" t="s">
        <v>4744</v>
      </c>
      <c r="F104" s="386" t="s">
        <v>4208</v>
      </c>
      <c r="G104" s="112" t="s">
        <v>6</v>
      </c>
      <c r="H104" s="493">
        <v>45944</v>
      </c>
      <c r="I104" s="341"/>
      <c r="J104" s="100" t="s">
        <v>253</v>
      </c>
      <c r="K104" s="494"/>
      <c r="L104" s="495"/>
      <c r="M104" s="496"/>
      <c r="N104" s="497"/>
      <c r="O104" s="498"/>
      <c r="P104" s="499"/>
      <c r="Q104" s="501">
        <v>45944</v>
      </c>
      <c r="R104" s="148">
        <f t="shared" si="3"/>
        <v>0</v>
      </c>
      <c r="S104" s="101" t="s">
        <v>1934</v>
      </c>
      <c r="T104" s="167"/>
    </row>
    <row r="105" spans="1:20" ht="43.2" x14ac:dyDescent="0.3">
      <c r="A105" s="98">
        <f t="shared" si="6"/>
        <v>102</v>
      </c>
      <c r="B105" s="506">
        <v>1550</v>
      </c>
      <c r="C105" s="492">
        <v>45944</v>
      </c>
      <c r="D105" s="135">
        <v>83184864</v>
      </c>
      <c r="E105" s="212" t="s">
        <v>4745</v>
      </c>
      <c r="F105" s="386" t="s">
        <v>50</v>
      </c>
      <c r="G105" s="112" t="s">
        <v>4</v>
      </c>
      <c r="H105" s="493">
        <v>45944</v>
      </c>
      <c r="I105" s="341"/>
      <c r="J105" s="100" t="s">
        <v>22</v>
      </c>
      <c r="K105" s="494" t="s">
        <v>262</v>
      </c>
      <c r="L105" s="495"/>
      <c r="M105" s="496"/>
      <c r="N105" s="497"/>
      <c r="O105" s="498"/>
      <c r="P105" s="499"/>
      <c r="Q105" s="501">
        <v>45945</v>
      </c>
      <c r="R105" s="148">
        <f t="shared" si="3"/>
        <v>1</v>
      </c>
      <c r="S105" s="101" t="s">
        <v>4</v>
      </c>
      <c r="T105" s="69"/>
    </row>
    <row r="106" spans="1:20" ht="57.6" x14ac:dyDescent="0.3">
      <c r="A106" s="98">
        <f t="shared" si="6"/>
        <v>103</v>
      </c>
      <c r="B106" s="506">
        <v>1550</v>
      </c>
      <c r="C106" s="492">
        <v>45944</v>
      </c>
      <c r="D106" s="135" t="s">
        <v>4746</v>
      </c>
      <c r="E106" s="212" t="s">
        <v>4747</v>
      </c>
      <c r="F106" s="386" t="s">
        <v>39</v>
      </c>
      <c r="G106" s="112" t="s">
        <v>6</v>
      </c>
      <c r="H106" s="493">
        <v>45944</v>
      </c>
      <c r="I106" s="341"/>
      <c r="J106" s="100" t="s">
        <v>22</v>
      </c>
      <c r="K106" s="494"/>
      <c r="L106" s="495"/>
      <c r="M106" s="496"/>
      <c r="N106" s="497"/>
      <c r="O106" s="498"/>
      <c r="P106" s="499"/>
      <c r="Q106" s="501">
        <v>45945</v>
      </c>
      <c r="R106" s="148">
        <f t="shared" si="3"/>
        <v>1</v>
      </c>
      <c r="S106" s="101" t="s">
        <v>2808</v>
      </c>
      <c r="T106" s="69"/>
    </row>
    <row r="107" spans="1:20" ht="43.2" x14ac:dyDescent="0.3">
      <c r="A107" s="98">
        <f t="shared" si="6"/>
        <v>104</v>
      </c>
      <c r="B107" s="506">
        <v>1550</v>
      </c>
      <c r="C107" s="492">
        <v>45944</v>
      </c>
      <c r="D107" s="726">
        <v>36281344</v>
      </c>
      <c r="E107" s="212" t="s">
        <v>4748</v>
      </c>
      <c r="F107" s="101" t="s">
        <v>48</v>
      </c>
      <c r="G107" s="112" t="s">
        <v>4</v>
      </c>
      <c r="H107" s="493">
        <v>45945</v>
      </c>
      <c r="I107" s="25"/>
      <c r="J107" s="100" t="s">
        <v>99</v>
      </c>
      <c r="K107" s="494"/>
      <c r="L107" s="495"/>
      <c r="M107" s="496"/>
      <c r="N107" s="497"/>
      <c r="O107" s="498"/>
      <c r="P107" s="499"/>
      <c r="Q107" s="500">
        <v>45957</v>
      </c>
      <c r="R107" s="148">
        <f t="shared" si="3"/>
        <v>12</v>
      </c>
      <c r="S107" s="101" t="s">
        <v>1319</v>
      </c>
      <c r="T107" s="69"/>
    </row>
    <row r="108" spans="1:20" ht="43.2" x14ac:dyDescent="0.3">
      <c r="A108" s="98">
        <f t="shared" si="6"/>
        <v>105</v>
      </c>
      <c r="B108" s="506" t="s">
        <v>301</v>
      </c>
      <c r="C108" s="492">
        <v>45944</v>
      </c>
      <c r="D108" s="135">
        <v>120697475</v>
      </c>
      <c r="E108" s="212" t="s">
        <v>4401</v>
      </c>
      <c r="F108" s="386" t="s">
        <v>23</v>
      </c>
      <c r="G108" s="112" t="s">
        <v>8</v>
      </c>
      <c r="H108" s="493">
        <v>45944</v>
      </c>
      <c r="I108" s="341"/>
      <c r="J108" s="100" t="s">
        <v>135</v>
      </c>
      <c r="K108" s="494"/>
      <c r="L108" s="495"/>
      <c r="M108" s="496"/>
      <c r="N108" s="497"/>
      <c r="O108" s="498"/>
      <c r="P108" s="499"/>
      <c r="Q108" s="501">
        <v>45944</v>
      </c>
      <c r="R108" s="148">
        <f t="shared" si="3"/>
        <v>0</v>
      </c>
      <c r="S108" s="101" t="s">
        <v>4739</v>
      </c>
      <c r="T108" s="69"/>
    </row>
    <row r="109" spans="1:20" ht="28.8" x14ac:dyDescent="0.3">
      <c r="A109" s="98">
        <f t="shared" si="6"/>
        <v>106</v>
      </c>
      <c r="B109" s="506">
        <v>1550</v>
      </c>
      <c r="C109" s="492">
        <v>45944</v>
      </c>
      <c r="D109" s="135">
        <v>4869737</v>
      </c>
      <c r="E109" s="212" t="s">
        <v>4749</v>
      </c>
      <c r="F109" s="101" t="s">
        <v>7</v>
      </c>
      <c r="G109" s="112" t="s">
        <v>4</v>
      </c>
      <c r="H109" s="493">
        <v>45944</v>
      </c>
      <c r="I109" s="25"/>
      <c r="J109" s="100" t="s">
        <v>2513</v>
      </c>
      <c r="K109" s="494"/>
      <c r="L109" s="495"/>
      <c r="M109" s="496"/>
      <c r="N109" s="497"/>
      <c r="O109" s="498"/>
      <c r="P109" s="499"/>
      <c r="Q109" s="500">
        <v>45958</v>
      </c>
      <c r="R109" s="148">
        <f t="shared" si="3"/>
        <v>14</v>
      </c>
      <c r="S109" s="101" t="s">
        <v>3020</v>
      </c>
      <c r="T109" s="69"/>
    </row>
    <row r="110" spans="1:20" ht="28.8" x14ac:dyDescent="0.3">
      <c r="A110" s="98">
        <f t="shared" si="6"/>
        <v>107</v>
      </c>
      <c r="B110" s="506">
        <v>1550</v>
      </c>
      <c r="C110" s="492">
        <v>45944</v>
      </c>
      <c r="D110" s="135">
        <v>7501056</v>
      </c>
      <c r="E110" s="212" t="s">
        <v>4750</v>
      </c>
      <c r="F110" s="101" t="s">
        <v>3</v>
      </c>
      <c r="G110" s="112" t="s">
        <v>8</v>
      </c>
      <c r="H110" s="493">
        <v>45944</v>
      </c>
      <c r="I110" s="655">
        <v>10000324595</v>
      </c>
      <c r="J110" s="100" t="s">
        <v>82</v>
      </c>
      <c r="K110" s="494"/>
      <c r="L110" s="495"/>
      <c r="M110" s="496"/>
      <c r="N110" s="497"/>
      <c r="O110" s="498"/>
      <c r="P110" s="499"/>
      <c r="Q110" s="500">
        <v>45947</v>
      </c>
      <c r="R110" s="148">
        <f t="shared" si="3"/>
        <v>3</v>
      </c>
      <c r="S110" s="101" t="s">
        <v>270</v>
      </c>
      <c r="T110" s="69" t="s">
        <v>4751</v>
      </c>
    </row>
    <row r="111" spans="1:20" x14ac:dyDescent="0.3">
      <c r="A111" s="98">
        <f t="shared" si="6"/>
        <v>108</v>
      </c>
      <c r="B111" s="506">
        <v>1550</v>
      </c>
      <c r="C111" s="492">
        <v>45944</v>
      </c>
      <c r="D111" s="135">
        <v>103012729</v>
      </c>
      <c r="E111" s="212" t="s">
        <v>4752</v>
      </c>
      <c r="F111" s="101" t="s">
        <v>3</v>
      </c>
      <c r="G111" s="112" t="s">
        <v>4</v>
      </c>
      <c r="H111" s="493">
        <v>45944</v>
      </c>
      <c r="I111" s="25"/>
      <c r="J111" s="100" t="s">
        <v>2306</v>
      </c>
      <c r="K111" s="494"/>
      <c r="L111" s="495"/>
      <c r="M111" s="496"/>
      <c r="N111" s="497"/>
      <c r="O111" s="498"/>
      <c r="P111" s="499"/>
      <c r="Q111" s="500">
        <v>45946</v>
      </c>
      <c r="R111" s="148">
        <f t="shared" si="3"/>
        <v>2</v>
      </c>
      <c r="S111" s="101" t="s">
        <v>720</v>
      </c>
      <c r="T111" s="315"/>
    </row>
    <row r="112" spans="1:20" ht="28.8" x14ac:dyDescent="0.3">
      <c r="A112" s="98">
        <f t="shared" si="6"/>
        <v>109</v>
      </c>
      <c r="B112" s="506">
        <v>1550</v>
      </c>
      <c r="C112" s="492">
        <v>45945</v>
      </c>
      <c r="D112" s="135">
        <v>4413008</v>
      </c>
      <c r="E112" s="212" t="s">
        <v>4753</v>
      </c>
      <c r="F112" s="101" t="s">
        <v>12</v>
      </c>
      <c r="G112" s="112" t="s">
        <v>8</v>
      </c>
      <c r="H112" s="493">
        <v>45945</v>
      </c>
      <c r="I112" s="25"/>
      <c r="J112" s="100" t="s">
        <v>159</v>
      </c>
      <c r="K112" s="494"/>
      <c r="L112" s="495"/>
      <c r="M112" s="496"/>
      <c r="N112" s="497"/>
      <c r="O112" s="498"/>
      <c r="P112" s="499"/>
      <c r="Q112" s="500">
        <v>45945</v>
      </c>
      <c r="R112" s="148">
        <f t="shared" si="3"/>
        <v>0</v>
      </c>
      <c r="S112" s="101" t="s">
        <v>3418</v>
      </c>
      <c r="T112" s="69"/>
    </row>
    <row r="113" spans="1:20" ht="43.2" x14ac:dyDescent="0.3">
      <c r="A113" s="98">
        <f t="shared" si="6"/>
        <v>110</v>
      </c>
      <c r="B113" s="506">
        <v>1550</v>
      </c>
      <c r="C113" s="492">
        <v>45945</v>
      </c>
      <c r="D113" s="135"/>
      <c r="E113" s="212" t="s">
        <v>4754</v>
      </c>
      <c r="F113" s="101" t="s">
        <v>9</v>
      </c>
      <c r="G113" s="112" t="s">
        <v>6</v>
      </c>
      <c r="H113" s="493">
        <v>45945</v>
      </c>
      <c r="I113" s="25"/>
      <c r="J113" s="100" t="s">
        <v>2765</v>
      </c>
      <c r="K113" s="494"/>
      <c r="L113" s="495"/>
      <c r="M113" s="496"/>
      <c r="N113" s="497"/>
      <c r="O113" s="498"/>
      <c r="P113" s="499"/>
      <c r="Q113" s="500">
        <v>45945</v>
      </c>
      <c r="R113" s="148">
        <f t="shared" si="3"/>
        <v>0</v>
      </c>
      <c r="S113" s="101" t="s">
        <v>2974</v>
      </c>
      <c r="T113" s="69"/>
    </row>
    <row r="114" spans="1:20" ht="172.8" x14ac:dyDescent="0.3">
      <c r="A114" s="98">
        <f t="shared" si="6"/>
        <v>111</v>
      </c>
      <c r="B114" s="506">
        <v>1550</v>
      </c>
      <c r="C114" s="492">
        <v>45945</v>
      </c>
      <c r="D114" s="135">
        <v>120608979</v>
      </c>
      <c r="E114" s="212" t="s">
        <v>4755</v>
      </c>
      <c r="F114" s="101" t="s">
        <v>38</v>
      </c>
      <c r="G114" s="112" t="s">
        <v>6</v>
      </c>
      <c r="H114" s="493">
        <v>45945</v>
      </c>
      <c r="I114" s="25"/>
      <c r="J114" s="100" t="s">
        <v>253</v>
      </c>
      <c r="K114" s="494"/>
      <c r="L114" s="495"/>
      <c r="M114" s="496"/>
      <c r="N114" s="497"/>
      <c r="O114" s="498"/>
      <c r="P114" s="499"/>
      <c r="Q114" s="500">
        <v>45953</v>
      </c>
      <c r="R114" s="148">
        <f t="shared" si="3"/>
        <v>8</v>
      </c>
      <c r="S114" s="101" t="s">
        <v>2597</v>
      </c>
      <c r="T114" s="69" t="s">
        <v>4756</v>
      </c>
    </row>
    <row r="115" spans="1:20" ht="57.6" x14ac:dyDescent="0.3">
      <c r="A115" s="98">
        <f t="shared" si="6"/>
        <v>112</v>
      </c>
      <c r="B115" s="506">
        <v>1550</v>
      </c>
      <c r="C115" s="492">
        <v>45945</v>
      </c>
      <c r="D115" s="135">
        <v>55074723</v>
      </c>
      <c r="E115" s="212" t="s">
        <v>4757</v>
      </c>
      <c r="F115" s="344" t="s">
        <v>39</v>
      </c>
      <c r="G115" s="112" t="s">
        <v>8</v>
      </c>
      <c r="H115" s="493">
        <v>45945</v>
      </c>
      <c r="I115" s="25"/>
      <c r="J115" s="100" t="s">
        <v>22</v>
      </c>
      <c r="K115" s="507"/>
      <c r="L115" s="508"/>
      <c r="M115" s="365"/>
      <c r="N115" s="509"/>
      <c r="O115" s="510"/>
      <c r="P115" s="511"/>
      <c r="Q115" s="500">
        <v>45945</v>
      </c>
      <c r="R115" s="148">
        <f t="shared" si="3"/>
        <v>0</v>
      </c>
      <c r="S115" s="101" t="s">
        <v>4727</v>
      </c>
      <c r="T115" s="167"/>
    </row>
    <row r="116" spans="1:20" ht="57.6" x14ac:dyDescent="0.3">
      <c r="A116" s="98">
        <f t="shared" si="6"/>
        <v>113</v>
      </c>
      <c r="B116" s="506" t="s">
        <v>301</v>
      </c>
      <c r="C116" s="492">
        <v>45945</v>
      </c>
      <c r="D116" s="135"/>
      <c r="E116" s="212" t="s">
        <v>4758</v>
      </c>
      <c r="F116" s="101" t="s">
        <v>1314</v>
      </c>
      <c r="G116" s="112" t="s">
        <v>6</v>
      </c>
      <c r="H116" s="493">
        <v>45945</v>
      </c>
      <c r="I116" s="25"/>
      <c r="J116" s="100" t="s">
        <v>99</v>
      </c>
      <c r="K116" s="494"/>
      <c r="L116" s="495"/>
      <c r="M116" s="496"/>
      <c r="N116" s="497"/>
      <c r="O116" s="498"/>
      <c r="P116" s="499"/>
      <c r="Q116" s="500">
        <v>45947</v>
      </c>
      <c r="R116" s="148">
        <f t="shared" si="3"/>
        <v>2</v>
      </c>
      <c r="S116" s="101" t="s">
        <v>1312</v>
      </c>
      <c r="T116" s="315"/>
    </row>
    <row r="117" spans="1:20" ht="28.8" x14ac:dyDescent="0.3">
      <c r="A117" s="98">
        <f t="shared" si="6"/>
        <v>114</v>
      </c>
      <c r="B117" s="506">
        <v>1550</v>
      </c>
      <c r="C117" s="492">
        <v>45946</v>
      </c>
      <c r="D117" s="135">
        <v>28739019</v>
      </c>
      <c r="E117" s="212" t="s">
        <v>4759</v>
      </c>
      <c r="F117" s="101" t="s">
        <v>33</v>
      </c>
      <c r="G117" s="112" t="s">
        <v>8</v>
      </c>
      <c r="H117" s="493">
        <v>45946</v>
      </c>
      <c r="I117" s="25"/>
      <c r="J117" s="100" t="s">
        <v>99</v>
      </c>
      <c r="K117" s="507"/>
      <c r="L117" s="508"/>
      <c r="M117" s="365"/>
      <c r="N117" s="509"/>
      <c r="O117" s="510"/>
      <c r="P117" s="511"/>
      <c r="Q117" s="500">
        <v>45946</v>
      </c>
      <c r="R117" s="148">
        <f t="shared" si="3"/>
        <v>0</v>
      </c>
      <c r="S117" s="101" t="s">
        <v>3146</v>
      </c>
      <c r="T117" s="69"/>
    </row>
    <row r="118" spans="1:20" ht="115.2" x14ac:dyDescent="0.3">
      <c r="A118" s="98">
        <f t="shared" si="6"/>
        <v>115</v>
      </c>
      <c r="B118" s="506">
        <v>1550</v>
      </c>
      <c r="C118" s="492">
        <v>45946</v>
      </c>
      <c r="D118" s="135">
        <v>120445468</v>
      </c>
      <c r="E118" s="212" t="s">
        <v>4760</v>
      </c>
      <c r="F118" s="101" t="s">
        <v>1</v>
      </c>
      <c r="G118" s="112" t="s">
        <v>6</v>
      </c>
      <c r="H118" s="493">
        <v>45946</v>
      </c>
      <c r="I118" s="25"/>
      <c r="J118" s="100" t="s">
        <v>2544</v>
      </c>
      <c r="K118" s="494"/>
      <c r="L118" s="495"/>
      <c r="M118" s="496"/>
      <c r="N118" s="497"/>
      <c r="O118" s="498"/>
      <c r="P118" s="499"/>
      <c r="Q118" s="500">
        <v>45946</v>
      </c>
      <c r="R118" s="148">
        <f t="shared" si="3"/>
        <v>0</v>
      </c>
      <c r="S118" s="101" t="s">
        <v>1860</v>
      </c>
      <c r="T118" s="69"/>
    </row>
    <row r="119" spans="1:20" ht="43.2" x14ac:dyDescent="0.3">
      <c r="A119" s="98">
        <f t="shared" si="6"/>
        <v>116</v>
      </c>
      <c r="B119" s="506">
        <v>1550</v>
      </c>
      <c r="C119" s="492">
        <v>45945</v>
      </c>
      <c r="D119" s="135">
        <v>97276642</v>
      </c>
      <c r="E119" s="212" t="s">
        <v>4761</v>
      </c>
      <c r="F119" s="101" t="s">
        <v>1</v>
      </c>
      <c r="G119" s="112" t="s">
        <v>6</v>
      </c>
      <c r="H119" s="493">
        <v>45946</v>
      </c>
      <c r="I119" s="25"/>
      <c r="J119" s="100" t="s">
        <v>99</v>
      </c>
      <c r="K119" s="494" t="s">
        <v>393</v>
      </c>
      <c r="L119" s="636">
        <v>45945</v>
      </c>
      <c r="M119" s="496" t="s">
        <v>1357</v>
      </c>
      <c r="N119" s="497"/>
      <c r="O119" s="498"/>
      <c r="P119" s="499"/>
      <c r="Q119" s="500">
        <v>45952</v>
      </c>
      <c r="R119" s="148">
        <f t="shared" si="3"/>
        <v>6</v>
      </c>
      <c r="S119" s="101" t="s">
        <v>6</v>
      </c>
      <c r="T119" s="69" t="s">
        <v>4762</v>
      </c>
    </row>
    <row r="120" spans="1:20" ht="43.2" x14ac:dyDescent="0.3">
      <c r="A120" s="98">
        <f t="shared" si="6"/>
        <v>117</v>
      </c>
      <c r="B120" s="506">
        <v>1550</v>
      </c>
      <c r="C120" s="492">
        <v>45946</v>
      </c>
      <c r="D120" s="135">
        <v>120696932</v>
      </c>
      <c r="E120" s="212" t="s">
        <v>4763</v>
      </c>
      <c r="F120" s="101" t="s">
        <v>1</v>
      </c>
      <c r="G120" s="112" t="s">
        <v>6</v>
      </c>
      <c r="H120" s="493">
        <v>45946</v>
      </c>
      <c r="I120" s="25"/>
      <c r="J120" s="100" t="s">
        <v>2352</v>
      </c>
      <c r="K120" s="494"/>
      <c r="L120" s="495"/>
      <c r="M120" s="496"/>
      <c r="N120" s="497"/>
      <c r="O120" s="498"/>
      <c r="P120" s="499"/>
      <c r="Q120" s="500">
        <v>45947</v>
      </c>
      <c r="R120" s="148">
        <f t="shared" si="3"/>
        <v>1</v>
      </c>
      <c r="S120" s="101" t="s">
        <v>1860</v>
      </c>
      <c r="T120" s="359"/>
    </row>
    <row r="121" spans="1:20" ht="72" x14ac:dyDescent="0.3">
      <c r="A121" s="98">
        <f t="shared" ref="A121:A152" si="7">A120+1</f>
        <v>118</v>
      </c>
      <c r="B121" s="506">
        <v>1550</v>
      </c>
      <c r="C121" s="492">
        <v>45946</v>
      </c>
      <c r="D121" s="135">
        <v>62647199</v>
      </c>
      <c r="E121" s="212" t="s">
        <v>4764</v>
      </c>
      <c r="F121" s="101" t="s">
        <v>14</v>
      </c>
      <c r="G121" s="112" t="s">
        <v>6</v>
      </c>
      <c r="H121" s="493">
        <v>45946</v>
      </c>
      <c r="I121" s="25"/>
      <c r="J121" s="100" t="s">
        <v>253</v>
      </c>
      <c r="K121" s="494"/>
      <c r="L121" s="495"/>
      <c r="M121" s="496"/>
      <c r="N121" s="497"/>
      <c r="O121" s="498"/>
      <c r="P121" s="499"/>
      <c r="Q121" s="500">
        <v>45947</v>
      </c>
      <c r="R121" s="148">
        <f t="shared" ref="R121:R152" si="8">Q121-H121</f>
        <v>1</v>
      </c>
      <c r="S121" s="101" t="s">
        <v>2597</v>
      </c>
      <c r="T121" s="69"/>
    </row>
    <row r="122" spans="1:20" ht="28.8" x14ac:dyDescent="0.3">
      <c r="A122" s="98">
        <f t="shared" si="7"/>
        <v>119</v>
      </c>
      <c r="B122" s="506" t="s">
        <v>301</v>
      </c>
      <c r="C122" s="492">
        <v>45946</v>
      </c>
      <c r="D122" s="135">
        <v>114314314</v>
      </c>
      <c r="E122" s="212" t="s">
        <v>4765</v>
      </c>
      <c r="F122" s="101" t="s">
        <v>23</v>
      </c>
      <c r="G122" s="112" t="s">
        <v>8</v>
      </c>
      <c r="H122" s="493">
        <v>45946</v>
      </c>
      <c r="I122" s="655">
        <v>10000324946</v>
      </c>
      <c r="J122" s="100" t="s">
        <v>135</v>
      </c>
      <c r="K122" s="494"/>
      <c r="L122" s="495"/>
      <c r="M122" s="496"/>
      <c r="N122" s="497"/>
      <c r="O122" s="498"/>
      <c r="P122" s="499"/>
      <c r="Q122" s="500">
        <v>45946</v>
      </c>
      <c r="R122" s="148">
        <f t="shared" si="8"/>
        <v>0</v>
      </c>
      <c r="S122" s="101" t="s">
        <v>4739</v>
      </c>
      <c r="T122" s="69"/>
    </row>
    <row r="123" spans="1:20" ht="28.8" x14ac:dyDescent="0.3">
      <c r="A123" s="98">
        <f t="shared" si="7"/>
        <v>120</v>
      </c>
      <c r="B123" s="506">
        <v>1550</v>
      </c>
      <c r="C123" s="492">
        <v>45946</v>
      </c>
      <c r="D123" s="96" t="s">
        <v>4766</v>
      </c>
      <c r="E123" s="212" t="s">
        <v>4767</v>
      </c>
      <c r="F123" s="344" t="s">
        <v>3</v>
      </c>
      <c r="G123" s="112" t="s">
        <v>8</v>
      </c>
      <c r="H123" s="493">
        <v>45946</v>
      </c>
      <c r="I123" s="655">
        <v>10000325261</v>
      </c>
      <c r="J123" s="100" t="s">
        <v>82</v>
      </c>
      <c r="K123" s="494"/>
      <c r="L123" s="495"/>
      <c r="M123" s="496"/>
      <c r="N123" s="497"/>
      <c r="O123" s="498"/>
      <c r="P123" s="499"/>
      <c r="Q123" s="500">
        <v>45966</v>
      </c>
      <c r="R123" s="148">
        <f t="shared" si="8"/>
        <v>20</v>
      </c>
      <c r="S123" s="101" t="s">
        <v>4678</v>
      </c>
      <c r="T123" s="69"/>
    </row>
    <row r="124" spans="1:20" ht="28.8" x14ac:dyDescent="0.3">
      <c r="A124" s="98">
        <f t="shared" si="7"/>
        <v>121</v>
      </c>
      <c r="B124" s="506">
        <v>1550</v>
      </c>
      <c r="C124" s="492">
        <v>45946</v>
      </c>
      <c r="D124" s="135">
        <v>120679426</v>
      </c>
      <c r="E124" t="s">
        <v>4768</v>
      </c>
      <c r="F124" s="101" t="s">
        <v>1</v>
      </c>
      <c r="G124" s="112" t="s">
        <v>4</v>
      </c>
      <c r="H124" s="493">
        <v>45946</v>
      </c>
      <c r="I124" s="25"/>
      <c r="J124" s="100"/>
      <c r="K124" s="494"/>
      <c r="L124" s="495"/>
      <c r="M124" s="496"/>
      <c r="N124" s="497"/>
      <c r="O124" s="498"/>
      <c r="P124" s="499"/>
      <c r="Q124" s="500">
        <v>45946</v>
      </c>
      <c r="R124" s="148">
        <f t="shared" si="8"/>
        <v>0</v>
      </c>
      <c r="S124" s="101"/>
      <c r="T124" s="69"/>
    </row>
    <row r="125" spans="1:20" ht="28.8" x14ac:dyDescent="0.3">
      <c r="A125" s="98">
        <f t="shared" si="7"/>
        <v>122</v>
      </c>
      <c r="B125" s="506">
        <v>1550</v>
      </c>
      <c r="C125" s="492">
        <v>45946</v>
      </c>
      <c r="D125" s="135">
        <v>120682486</v>
      </c>
      <c r="E125" s="212" t="s">
        <v>4769</v>
      </c>
      <c r="F125" s="101" t="s">
        <v>1</v>
      </c>
      <c r="G125" s="112" t="s">
        <v>4</v>
      </c>
      <c r="H125" s="493">
        <v>45946</v>
      </c>
      <c r="I125" s="25"/>
      <c r="J125" s="107" t="s">
        <v>2352</v>
      </c>
      <c r="K125" s="494"/>
      <c r="L125" s="495"/>
      <c r="M125" s="496"/>
      <c r="N125" s="497"/>
      <c r="O125" s="498"/>
      <c r="P125" s="499"/>
      <c r="Q125" s="500">
        <v>45946</v>
      </c>
      <c r="R125" s="148">
        <f t="shared" si="8"/>
        <v>0</v>
      </c>
      <c r="S125" s="101" t="s">
        <v>3899</v>
      </c>
      <c r="T125" s="69"/>
    </row>
    <row r="126" spans="1:20" ht="28.8" x14ac:dyDescent="0.3">
      <c r="A126" s="98">
        <f t="shared" si="7"/>
        <v>123</v>
      </c>
      <c r="B126" s="506">
        <v>1550</v>
      </c>
      <c r="C126" s="492">
        <v>45946</v>
      </c>
      <c r="D126" s="135">
        <v>97675911</v>
      </c>
      <c r="E126" s="212" t="s">
        <v>4770</v>
      </c>
      <c r="F126" s="101" t="s">
        <v>23</v>
      </c>
      <c r="G126" s="112" t="s">
        <v>6</v>
      </c>
      <c r="H126" s="493">
        <v>45946</v>
      </c>
      <c r="I126" s="25"/>
      <c r="J126" s="100" t="s">
        <v>135</v>
      </c>
      <c r="K126" s="494"/>
      <c r="L126" s="495"/>
      <c r="M126" s="496"/>
      <c r="N126" s="497"/>
      <c r="O126" s="498"/>
      <c r="P126" s="499"/>
      <c r="Q126" s="500">
        <v>45946</v>
      </c>
      <c r="R126" s="148">
        <f t="shared" si="8"/>
        <v>0</v>
      </c>
      <c r="S126" s="633" t="s">
        <v>3378</v>
      </c>
      <c r="T126" s="69"/>
    </row>
    <row r="127" spans="1:20" ht="57.6" x14ac:dyDescent="0.3">
      <c r="A127" s="98">
        <f t="shared" si="7"/>
        <v>124</v>
      </c>
      <c r="B127" s="506" t="s">
        <v>301</v>
      </c>
      <c r="C127" s="492">
        <v>45946</v>
      </c>
      <c r="D127" s="135">
        <v>107995735</v>
      </c>
      <c r="E127" s="212" t="s">
        <v>4771</v>
      </c>
      <c r="F127" s="101" t="s">
        <v>7</v>
      </c>
      <c r="G127" s="112" t="s">
        <v>6</v>
      </c>
      <c r="H127" s="493">
        <v>45946</v>
      </c>
      <c r="I127" s="655"/>
      <c r="J127" s="100" t="s">
        <v>2513</v>
      </c>
      <c r="K127" s="494"/>
      <c r="L127" s="637"/>
      <c r="M127" s="496"/>
      <c r="N127" s="497"/>
      <c r="O127" s="498"/>
      <c r="P127" s="499"/>
      <c r="Q127" s="500">
        <v>45947</v>
      </c>
      <c r="R127" s="148">
        <f t="shared" si="8"/>
        <v>1</v>
      </c>
      <c r="S127" s="633" t="s">
        <v>1312</v>
      </c>
      <c r="T127" s="69"/>
    </row>
    <row r="128" spans="1:20" ht="39.75" customHeight="1" x14ac:dyDescent="0.3">
      <c r="A128" s="98">
        <f t="shared" si="7"/>
        <v>125</v>
      </c>
      <c r="B128" s="506">
        <v>1550</v>
      </c>
      <c r="C128" s="492">
        <v>45946</v>
      </c>
      <c r="D128" s="135">
        <v>16345282</v>
      </c>
      <c r="E128" s="212" t="s">
        <v>4772</v>
      </c>
      <c r="F128" s="101" t="s">
        <v>3</v>
      </c>
      <c r="G128" s="112" t="s">
        <v>4</v>
      </c>
      <c r="H128" s="493">
        <v>45946</v>
      </c>
      <c r="I128" s="25"/>
      <c r="J128" s="100" t="s">
        <v>82</v>
      </c>
      <c r="K128" s="494"/>
      <c r="L128" s="495"/>
      <c r="M128" s="496"/>
      <c r="N128" s="497"/>
      <c r="O128" s="498"/>
      <c r="P128" s="499"/>
      <c r="Q128" s="500">
        <v>45952</v>
      </c>
      <c r="R128" s="148">
        <f t="shared" si="8"/>
        <v>6</v>
      </c>
      <c r="S128" s="633" t="s">
        <v>3899</v>
      </c>
      <c r="T128" s="167"/>
    </row>
    <row r="129" spans="1:20" ht="28.8" x14ac:dyDescent="0.3">
      <c r="A129" s="98">
        <f t="shared" si="7"/>
        <v>126</v>
      </c>
      <c r="B129" s="506">
        <v>1550</v>
      </c>
      <c r="C129" s="492">
        <v>45946</v>
      </c>
      <c r="D129" s="135">
        <v>309991870</v>
      </c>
      <c r="E129" s="212" t="s">
        <v>4773</v>
      </c>
      <c r="F129" s="101" t="s">
        <v>3</v>
      </c>
      <c r="G129" s="112" t="s">
        <v>4</v>
      </c>
      <c r="H129" s="493">
        <v>45946</v>
      </c>
      <c r="I129" s="25"/>
      <c r="J129" s="100" t="s">
        <v>82</v>
      </c>
      <c r="K129" s="494"/>
      <c r="L129" s="495"/>
      <c r="M129" s="496"/>
      <c r="N129" s="497"/>
      <c r="O129" s="498"/>
      <c r="P129" s="499"/>
      <c r="Q129" s="500">
        <v>45957</v>
      </c>
      <c r="R129" s="148">
        <f t="shared" si="8"/>
        <v>11</v>
      </c>
      <c r="S129" s="633" t="s">
        <v>3468</v>
      </c>
      <c r="T129" s="69"/>
    </row>
    <row r="130" spans="1:20" ht="57.6" x14ac:dyDescent="0.3">
      <c r="A130" s="98">
        <f t="shared" si="7"/>
        <v>127</v>
      </c>
      <c r="B130" s="506">
        <v>1550</v>
      </c>
      <c r="C130" s="492">
        <v>45946</v>
      </c>
      <c r="D130" s="135">
        <v>120525119</v>
      </c>
      <c r="E130" s="212" t="s">
        <v>4774</v>
      </c>
      <c r="F130" s="101" t="s">
        <v>1314</v>
      </c>
      <c r="G130" s="112" t="s">
        <v>8</v>
      </c>
      <c r="H130" s="493">
        <v>45946</v>
      </c>
      <c r="I130" s="25"/>
      <c r="J130" s="727" t="s">
        <v>99</v>
      </c>
      <c r="K130" s="494"/>
      <c r="L130" s="495"/>
      <c r="M130" s="496"/>
      <c r="N130" s="497"/>
      <c r="O130" s="498"/>
      <c r="P130" s="499"/>
      <c r="Q130" s="500">
        <v>45947</v>
      </c>
      <c r="R130" s="148">
        <f t="shared" si="8"/>
        <v>1</v>
      </c>
      <c r="S130" s="633" t="s">
        <v>160</v>
      </c>
      <c r="T130" s="121"/>
    </row>
    <row r="131" spans="1:20" ht="28.8" x14ac:dyDescent="0.3">
      <c r="A131" s="98">
        <f t="shared" si="7"/>
        <v>128</v>
      </c>
      <c r="B131" s="506" t="s">
        <v>301</v>
      </c>
      <c r="C131" s="492">
        <v>45946</v>
      </c>
      <c r="D131" s="135">
        <v>15613577</v>
      </c>
      <c r="E131" s="212" t="s">
        <v>4492</v>
      </c>
      <c r="F131" s="101" t="s">
        <v>1</v>
      </c>
      <c r="G131" s="112" t="s">
        <v>8</v>
      </c>
      <c r="H131" s="493">
        <v>45946</v>
      </c>
      <c r="I131" s="25"/>
      <c r="J131" s="100" t="s">
        <v>2367</v>
      </c>
      <c r="K131" s="494"/>
      <c r="L131" s="495"/>
      <c r="M131" s="496"/>
      <c r="N131" s="497"/>
      <c r="O131" s="498"/>
      <c r="P131" s="499"/>
      <c r="Q131" s="500">
        <v>45951</v>
      </c>
      <c r="R131" s="148">
        <f t="shared" si="8"/>
        <v>5</v>
      </c>
      <c r="S131" s="633" t="s">
        <v>4775</v>
      </c>
      <c r="T131" s="315"/>
    </row>
    <row r="132" spans="1:20" ht="43.2" x14ac:dyDescent="0.3">
      <c r="A132" s="98">
        <f t="shared" si="7"/>
        <v>129</v>
      </c>
      <c r="B132" s="506">
        <v>1550</v>
      </c>
      <c r="C132" s="492">
        <v>45947</v>
      </c>
      <c r="D132" s="135"/>
      <c r="E132" s="212" t="s">
        <v>4776</v>
      </c>
      <c r="F132" s="344" t="s">
        <v>21</v>
      </c>
      <c r="G132" s="112" t="s">
        <v>8</v>
      </c>
      <c r="H132" s="493">
        <v>45947</v>
      </c>
      <c r="I132" s="25"/>
      <c r="J132" s="100" t="s">
        <v>2544</v>
      </c>
      <c r="K132" s="557"/>
      <c r="L132" s="495"/>
      <c r="M132" s="496"/>
      <c r="N132" s="497"/>
      <c r="O132" s="498"/>
      <c r="P132" s="499"/>
      <c r="Q132" s="500">
        <v>45957</v>
      </c>
      <c r="R132" s="148">
        <f t="shared" si="8"/>
        <v>10</v>
      </c>
      <c r="S132" s="633" t="s">
        <v>3931</v>
      </c>
      <c r="T132" s="167"/>
    </row>
    <row r="133" spans="1:20" ht="28.8" x14ac:dyDescent="0.3">
      <c r="A133" s="98">
        <f t="shared" si="7"/>
        <v>130</v>
      </c>
      <c r="B133" s="506">
        <v>1550</v>
      </c>
      <c r="C133" s="492">
        <v>45947</v>
      </c>
      <c r="D133" s="135">
        <v>105796379</v>
      </c>
      <c r="E133" s="212" t="s">
        <v>4777</v>
      </c>
      <c r="F133" s="344" t="s">
        <v>12</v>
      </c>
      <c r="G133" s="112" t="s">
        <v>8</v>
      </c>
      <c r="H133" s="493">
        <v>45947</v>
      </c>
      <c r="I133" s="25"/>
      <c r="J133" s="100" t="s">
        <v>159</v>
      </c>
      <c r="K133" s="557"/>
      <c r="L133" s="495"/>
      <c r="M133" s="496"/>
      <c r="N133" s="497"/>
      <c r="O133" s="498"/>
      <c r="P133" s="499"/>
      <c r="Q133" s="500">
        <v>45947</v>
      </c>
      <c r="R133" s="148">
        <f t="shared" si="8"/>
        <v>0</v>
      </c>
      <c r="S133" s="633" t="s">
        <v>151</v>
      </c>
      <c r="T133" s="69"/>
    </row>
    <row r="134" spans="1:20" ht="43.2" x14ac:dyDescent="0.3">
      <c r="A134" s="98">
        <f t="shared" si="7"/>
        <v>131</v>
      </c>
      <c r="B134" s="506">
        <v>1550</v>
      </c>
      <c r="C134" s="492">
        <v>45947</v>
      </c>
      <c r="D134" s="135">
        <v>113258666</v>
      </c>
      <c r="E134" s="212" t="s">
        <v>4778</v>
      </c>
      <c r="F134" s="344" t="s">
        <v>17</v>
      </c>
      <c r="G134" s="112" t="s">
        <v>6</v>
      </c>
      <c r="H134" s="493">
        <v>45947</v>
      </c>
      <c r="I134" s="25"/>
      <c r="J134" s="100" t="s">
        <v>82</v>
      </c>
      <c r="K134" s="557"/>
      <c r="L134" s="508"/>
      <c r="M134" s="365"/>
      <c r="N134" s="509"/>
      <c r="O134" s="510"/>
      <c r="P134" s="511"/>
      <c r="Q134" s="500">
        <v>46010</v>
      </c>
      <c r="R134" s="148">
        <f t="shared" si="8"/>
        <v>63</v>
      </c>
      <c r="S134" s="633" t="s">
        <v>2597</v>
      </c>
      <c r="T134" s="167"/>
    </row>
    <row r="135" spans="1:20" ht="57.6" x14ac:dyDescent="0.3">
      <c r="A135" s="98">
        <f t="shared" si="7"/>
        <v>132</v>
      </c>
      <c r="B135" s="506" t="s">
        <v>1044</v>
      </c>
      <c r="C135" s="492">
        <v>45947</v>
      </c>
      <c r="D135" s="135">
        <v>89242122</v>
      </c>
      <c r="E135" s="212" t="s">
        <v>4779</v>
      </c>
      <c r="F135" s="344" t="s">
        <v>39</v>
      </c>
      <c r="G135" s="112" t="s">
        <v>4</v>
      </c>
      <c r="H135" s="493">
        <v>45947</v>
      </c>
      <c r="I135" s="25"/>
      <c r="J135" s="742" t="s">
        <v>99</v>
      </c>
      <c r="K135" s="557" t="s">
        <v>262</v>
      </c>
      <c r="L135" s="495"/>
      <c r="M135" s="496"/>
      <c r="N135" s="497"/>
      <c r="O135" s="498"/>
      <c r="P135" s="499"/>
      <c r="Q135" s="500">
        <v>45959</v>
      </c>
      <c r="R135" s="148">
        <f t="shared" si="8"/>
        <v>12</v>
      </c>
      <c r="S135" s="633" t="s">
        <v>3468</v>
      </c>
      <c r="T135" s="167" t="s">
        <v>4780</v>
      </c>
    </row>
    <row r="136" spans="1:20" ht="100.8" x14ac:dyDescent="0.3">
      <c r="A136" s="98">
        <f t="shared" si="7"/>
        <v>133</v>
      </c>
      <c r="B136" s="506">
        <v>1550</v>
      </c>
      <c r="C136" s="492">
        <v>45947</v>
      </c>
      <c r="D136" s="135">
        <v>109371712</v>
      </c>
      <c r="E136" s="212" t="s">
        <v>4781</v>
      </c>
      <c r="F136" s="344" t="s">
        <v>4261</v>
      </c>
      <c r="G136" s="112" t="s">
        <v>6</v>
      </c>
      <c r="H136" s="493">
        <v>45947</v>
      </c>
      <c r="I136" s="25">
        <v>10000325137</v>
      </c>
      <c r="J136" s="100" t="s">
        <v>135</v>
      </c>
      <c r="K136" s="558"/>
      <c r="L136" s="508"/>
      <c r="M136" s="365"/>
      <c r="N136" s="509"/>
      <c r="O136" s="510"/>
      <c r="P136" s="511"/>
      <c r="Q136" s="500">
        <v>45947</v>
      </c>
      <c r="R136" s="148">
        <f t="shared" si="8"/>
        <v>0</v>
      </c>
      <c r="S136" s="633" t="s">
        <v>2597</v>
      </c>
      <c r="T136" s="344"/>
    </row>
    <row r="137" spans="1:20" ht="58.5" customHeight="1" x14ac:dyDescent="0.3">
      <c r="A137" s="98">
        <f t="shared" si="7"/>
        <v>134</v>
      </c>
      <c r="B137" s="506">
        <v>1550</v>
      </c>
      <c r="C137" s="492">
        <v>45947</v>
      </c>
      <c r="D137" s="135">
        <v>114958777</v>
      </c>
      <c r="E137" s="212" t="s">
        <v>4773</v>
      </c>
      <c r="F137" s="344" t="s">
        <v>3</v>
      </c>
      <c r="G137" s="112" t="s">
        <v>4</v>
      </c>
      <c r="H137" s="493">
        <v>45947</v>
      </c>
      <c r="I137" s="25"/>
      <c r="J137" s="100" t="s">
        <v>82</v>
      </c>
      <c r="K137" s="626"/>
      <c r="L137" s="508"/>
      <c r="M137" s="365"/>
      <c r="N137" s="509"/>
      <c r="O137" s="510"/>
      <c r="P137" s="511"/>
      <c r="Q137" s="500">
        <v>45954</v>
      </c>
      <c r="R137" s="148">
        <f t="shared" si="8"/>
        <v>7</v>
      </c>
      <c r="S137" s="633" t="s">
        <v>3830</v>
      </c>
      <c r="T137" s="69"/>
    </row>
    <row r="138" spans="1:20" ht="43.2" x14ac:dyDescent="0.3">
      <c r="A138" s="98">
        <f t="shared" si="7"/>
        <v>135</v>
      </c>
      <c r="B138" s="506">
        <v>1550</v>
      </c>
      <c r="C138" s="492">
        <v>45947</v>
      </c>
      <c r="D138" s="135"/>
      <c r="E138" s="212" t="s">
        <v>4782</v>
      </c>
      <c r="F138" s="344" t="s">
        <v>21</v>
      </c>
      <c r="G138" s="112" t="s">
        <v>8</v>
      </c>
      <c r="H138" s="493">
        <v>45947</v>
      </c>
      <c r="I138" s="25"/>
      <c r="J138" s="100" t="s">
        <v>4783</v>
      </c>
      <c r="K138" s="558"/>
      <c r="L138" s="508"/>
      <c r="M138" s="365"/>
      <c r="N138" s="509"/>
      <c r="O138" s="510"/>
      <c r="P138" s="511"/>
      <c r="Q138" s="500">
        <v>45953</v>
      </c>
      <c r="R138" s="148">
        <f t="shared" si="8"/>
        <v>6</v>
      </c>
      <c r="S138" s="633" t="s">
        <v>3841</v>
      </c>
      <c r="T138" s="69"/>
    </row>
    <row r="139" spans="1:20" ht="28.8" x14ac:dyDescent="0.3">
      <c r="A139" s="98">
        <f t="shared" si="7"/>
        <v>136</v>
      </c>
      <c r="B139" s="506">
        <v>1550</v>
      </c>
      <c r="C139" s="492">
        <v>45947</v>
      </c>
      <c r="D139" s="135">
        <v>111517362</v>
      </c>
      <c r="E139" s="212" t="s">
        <v>4492</v>
      </c>
      <c r="F139" s="344" t="s">
        <v>1</v>
      </c>
      <c r="G139" s="112" t="s">
        <v>8</v>
      </c>
      <c r="H139" s="493">
        <v>45947</v>
      </c>
      <c r="I139" s="25"/>
      <c r="J139" s="100" t="s">
        <v>2513</v>
      </c>
      <c r="K139" s="494"/>
      <c r="L139" s="495"/>
      <c r="M139" s="496"/>
      <c r="N139" s="497"/>
      <c r="O139" s="498"/>
      <c r="P139" s="499"/>
      <c r="Q139" s="500">
        <v>45947</v>
      </c>
      <c r="R139" s="148">
        <f t="shared" si="8"/>
        <v>0</v>
      </c>
      <c r="S139" s="633" t="s">
        <v>3952</v>
      </c>
      <c r="T139" s="69"/>
    </row>
    <row r="140" spans="1:20" ht="28.8" x14ac:dyDescent="0.3">
      <c r="A140" s="98">
        <f t="shared" si="7"/>
        <v>137</v>
      </c>
      <c r="B140" s="506">
        <v>1550</v>
      </c>
      <c r="C140" s="492">
        <v>45947</v>
      </c>
      <c r="D140" s="135">
        <v>71262237</v>
      </c>
      <c r="E140" s="212" t="s">
        <v>3723</v>
      </c>
      <c r="F140" s="344" t="s">
        <v>1</v>
      </c>
      <c r="G140" s="112" t="s">
        <v>8</v>
      </c>
      <c r="H140" s="493">
        <v>45947</v>
      </c>
      <c r="I140" s="25"/>
      <c r="J140" s="100" t="s">
        <v>2271</v>
      </c>
      <c r="K140" s="558"/>
      <c r="L140" s="508"/>
      <c r="M140" s="365"/>
      <c r="N140" s="509"/>
      <c r="O140" s="510"/>
      <c r="P140" s="511"/>
      <c r="Q140" s="500">
        <v>45951</v>
      </c>
      <c r="R140" s="148">
        <f t="shared" si="8"/>
        <v>4</v>
      </c>
      <c r="S140" s="633" t="s">
        <v>3952</v>
      </c>
      <c r="T140" s="69"/>
    </row>
    <row r="141" spans="1:20" ht="28.8" x14ac:dyDescent="0.3">
      <c r="A141" s="98">
        <f t="shared" si="7"/>
        <v>138</v>
      </c>
      <c r="B141" s="195">
        <v>1550</v>
      </c>
      <c r="C141" s="603">
        <v>45947</v>
      </c>
      <c r="D141" s="135">
        <v>120014335</v>
      </c>
      <c r="E141" s="270" t="s">
        <v>4784</v>
      </c>
      <c r="F141" s="344" t="s">
        <v>1</v>
      </c>
      <c r="G141" s="112" t="s">
        <v>4</v>
      </c>
      <c r="H141" s="493">
        <v>45947</v>
      </c>
      <c r="I141" s="25"/>
      <c r="J141" s="100" t="s">
        <v>2544</v>
      </c>
      <c r="K141" s="558"/>
      <c r="L141" s="508"/>
      <c r="M141" s="365"/>
      <c r="N141" s="509"/>
      <c r="O141" s="510"/>
      <c r="P141" s="511"/>
      <c r="Q141" s="500">
        <v>45952</v>
      </c>
      <c r="R141" s="148">
        <f t="shared" si="8"/>
        <v>5</v>
      </c>
      <c r="S141" s="633" t="s">
        <v>2974</v>
      </c>
      <c r="T141" s="69"/>
    </row>
    <row r="142" spans="1:20" ht="28.8" x14ac:dyDescent="0.3">
      <c r="A142" s="98">
        <f t="shared" si="7"/>
        <v>139</v>
      </c>
      <c r="B142" s="506">
        <v>1550</v>
      </c>
      <c r="C142" s="492">
        <v>45947</v>
      </c>
      <c r="D142" s="135">
        <v>8257698</v>
      </c>
      <c r="E142" s="212" t="s">
        <v>4785</v>
      </c>
      <c r="F142" s="344" t="s">
        <v>12</v>
      </c>
      <c r="G142" s="112" t="s">
        <v>8</v>
      </c>
      <c r="H142" s="493">
        <v>45947</v>
      </c>
      <c r="I142" s="25"/>
      <c r="J142" s="100" t="s">
        <v>159</v>
      </c>
      <c r="K142" s="558"/>
      <c r="L142" s="508"/>
      <c r="M142" s="365"/>
      <c r="N142" s="509"/>
      <c r="O142" s="510"/>
      <c r="P142" s="511"/>
      <c r="Q142" s="500">
        <v>45952</v>
      </c>
      <c r="R142" s="148">
        <f t="shared" si="8"/>
        <v>5</v>
      </c>
      <c r="S142" s="633" t="s">
        <v>4678</v>
      </c>
      <c r="T142" s="69"/>
    </row>
    <row r="143" spans="1:20" ht="43.2" x14ac:dyDescent="0.3">
      <c r="A143" s="98">
        <f t="shared" si="7"/>
        <v>140</v>
      </c>
      <c r="B143" s="506">
        <v>1550</v>
      </c>
      <c r="C143" s="492">
        <v>45947</v>
      </c>
      <c r="D143" s="135"/>
      <c r="E143" s="212" t="s">
        <v>4786</v>
      </c>
      <c r="F143" s="344" t="s">
        <v>21</v>
      </c>
      <c r="G143" s="112" t="s">
        <v>8</v>
      </c>
      <c r="H143" s="493">
        <v>45947</v>
      </c>
      <c r="I143" s="25"/>
      <c r="J143" s="107" t="s">
        <v>2579</v>
      </c>
      <c r="K143" s="558"/>
      <c r="L143" s="508"/>
      <c r="M143" s="365"/>
      <c r="N143" s="509"/>
      <c r="O143" s="510"/>
      <c r="P143" s="511"/>
      <c r="Q143" s="500">
        <v>45947</v>
      </c>
      <c r="R143" s="148">
        <f t="shared" si="8"/>
        <v>0</v>
      </c>
      <c r="S143" s="633" t="s">
        <v>3931</v>
      </c>
      <c r="T143" s="69"/>
    </row>
    <row r="144" spans="1:20" ht="43.2" x14ac:dyDescent="0.3">
      <c r="A144" s="98">
        <f t="shared" si="7"/>
        <v>141</v>
      </c>
      <c r="B144" s="506">
        <v>1550</v>
      </c>
      <c r="C144" s="492">
        <v>45947</v>
      </c>
      <c r="D144" s="135">
        <v>11834196</v>
      </c>
      <c r="E144" s="212" t="s">
        <v>4787</v>
      </c>
      <c r="F144" s="344" t="s">
        <v>3</v>
      </c>
      <c r="G144" s="112" t="s">
        <v>8</v>
      </c>
      <c r="H144" s="493">
        <v>45947</v>
      </c>
      <c r="I144" s="25"/>
      <c r="J144" s="100" t="s">
        <v>82</v>
      </c>
      <c r="K144" s="558"/>
      <c r="L144" s="508"/>
      <c r="M144" s="365"/>
      <c r="N144" s="509"/>
      <c r="O144" s="510"/>
      <c r="P144" s="511"/>
      <c r="Q144" s="500">
        <v>45951</v>
      </c>
      <c r="R144" s="148">
        <f t="shared" si="8"/>
        <v>4</v>
      </c>
      <c r="S144" s="633" t="s">
        <v>4678</v>
      </c>
      <c r="T144" s="167"/>
    </row>
    <row r="145" spans="1:20" ht="28.8" x14ac:dyDescent="0.3">
      <c r="A145" s="98">
        <f t="shared" si="7"/>
        <v>142</v>
      </c>
      <c r="B145" s="506">
        <v>1550</v>
      </c>
      <c r="C145" s="492">
        <v>45947</v>
      </c>
      <c r="D145" s="135">
        <v>98209760</v>
      </c>
      <c r="E145" s="212" t="s">
        <v>4788</v>
      </c>
      <c r="F145" s="344" t="s">
        <v>3</v>
      </c>
      <c r="G145" s="112" t="s">
        <v>8</v>
      </c>
      <c r="H145" s="493">
        <v>45947</v>
      </c>
      <c r="I145" s="25"/>
      <c r="J145" s="100" t="s">
        <v>82</v>
      </c>
      <c r="K145" s="494"/>
      <c r="L145" s="495"/>
      <c r="M145" s="496"/>
      <c r="N145" s="497"/>
      <c r="O145" s="498"/>
      <c r="P145" s="499"/>
      <c r="Q145" s="500">
        <v>45952</v>
      </c>
      <c r="R145" s="148">
        <f t="shared" si="8"/>
        <v>5</v>
      </c>
      <c r="S145" s="633" t="s">
        <v>4678</v>
      </c>
      <c r="T145" s="69"/>
    </row>
    <row r="146" spans="1:20" ht="28.8" x14ac:dyDescent="0.3">
      <c r="A146" s="98">
        <f t="shared" si="7"/>
        <v>143</v>
      </c>
      <c r="B146" s="506" t="s">
        <v>1044</v>
      </c>
      <c r="C146" s="492">
        <v>45948</v>
      </c>
      <c r="D146" s="135">
        <v>55415415</v>
      </c>
      <c r="E146" s="212" t="s">
        <v>4789</v>
      </c>
      <c r="F146" s="344" t="s">
        <v>17</v>
      </c>
      <c r="G146" s="112" t="s">
        <v>4</v>
      </c>
      <c r="H146" s="493">
        <v>45948</v>
      </c>
      <c r="I146" s="25"/>
      <c r="J146" s="100" t="s">
        <v>82</v>
      </c>
      <c r="K146" s="507"/>
      <c r="L146" s="508"/>
      <c r="M146" s="365"/>
      <c r="N146" s="509"/>
      <c r="O146" s="510"/>
      <c r="P146" s="511"/>
      <c r="Q146" s="500">
        <v>46010</v>
      </c>
      <c r="R146" s="148">
        <f t="shared" si="8"/>
        <v>62</v>
      </c>
      <c r="S146" s="633" t="s">
        <v>4</v>
      </c>
      <c r="T146" s="167"/>
    </row>
    <row r="147" spans="1:20" ht="28.8" x14ac:dyDescent="0.3">
      <c r="A147" s="98">
        <f t="shared" si="7"/>
        <v>144</v>
      </c>
      <c r="B147" s="506" t="s">
        <v>1044</v>
      </c>
      <c r="C147" s="492">
        <v>45948</v>
      </c>
      <c r="D147" s="135">
        <v>120676311</v>
      </c>
      <c r="E147" s="270" t="s">
        <v>4790</v>
      </c>
      <c r="F147" s="344" t="s">
        <v>1</v>
      </c>
      <c r="G147" s="112" t="s">
        <v>4</v>
      </c>
      <c r="H147" s="493">
        <v>45948</v>
      </c>
      <c r="I147" s="25"/>
      <c r="J147" s="107" t="s">
        <v>4791</v>
      </c>
      <c r="K147" s="507"/>
      <c r="L147" s="508"/>
      <c r="M147" s="365"/>
      <c r="N147" s="509"/>
      <c r="O147" s="510"/>
      <c r="P147" s="511"/>
      <c r="Q147" s="500">
        <v>45954</v>
      </c>
      <c r="R147" s="148">
        <f t="shared" si="8"/>
        <v>6</v>
      </c>
      <c r="S147" s="633" t="s">
        <v>4</v>
      </c>
      <c r="T147" s="167"/>
    </row>
    <row r="148" spans="1:20" ht="28.8" x14ac:dyDescent="0.3">
      <c r="A148" s="98">
        <f t="shared" si="7"/>
        <v>145</v>
      </c>
      <c r="B148" s="506">
        <v>1550</v>
      </c>
      <c r="C148" s="492">
        <v>45951</v>
      </c>
      <c r="D148" s="135">
        <v>113344333</v>
      </c>
      <c r="E148" s="270" t="s">
        <v>4792</v>
      </c>
      <c r="F148" s="344" t="s">
        <v>7</v>
      </c>
      <c r="G148" s="112" t="s">
        <v>4</v>
      </c>
      <c r="H148" s="493">
        <v>45951</v>
      </c>
      <c r="I148" s="25"/>
      <c r="J148" s="107" t="s">
        <v>2432</v>
      </c>
      <c r="K148" s="494"/>
      <c r="L148" s="495"/>
      <c r="M148" s="496"/>
      <c r="N148" s="497"/>
      <c r="O148" s="498"/>
      <c r="P148" s="499"/>
      <c r="Q148" s="500">
        <v>45951</v>
      </c>
      <c r="R148" s="148">
        <f t="shared" si="8"/>
        <v>0</v>
      </c>
      <c r="S148" s="633" t="s">
        <v>2974</v>
      </c>
      <c r="T148" s="69"/>
    </row>
    <row r="149" spans="1:20" ht="28.8" x14ac:dyDescent="0.3">
      <c r="A149" s="98">
        <f t="shared" si="7"/>
        <v>146</v>
      </c>
      <c r="B149" s="506">
        <v>1550</v>
      </c>
      <c r="C149" s="492">
        <v>45949</v>
      </c>
      <c r="D149" s="135">
        <v>102829357</v>
      </c>
      <c r="E149" s="270" t="s">
        <v>4793</v>
      </c>
      <c r="F149" s="344" t="s">
        <v>23</v>
      </c>
      <c r="G149" s="112" t="s">
        <v>4</v>
      </c>
      <c r="H149" s="493">
        <v>45949</v>
      </c>
      <c r="I149" s="25"/>
      <c r="J149" s="107" t="s">
        <v>135</v>
      </c>
      <c r="K149" s="507"/>
      <c r="L149" s="508"/>
      <c r="M149" s="365"/>
      <c r="N149" s="509"/>
      <c r="O149" s="510"/>
      <c r="P149" s="511"/>
      <c r="Q149" s="500">
        <v>45951</v>
      </c>
      <c r="R149" s="148">
        <f t="shared" si="8"/>
        <v>2</v>
      </c>
      <c r="S149" s="633" t="s">
        <v>4775</v>
      </c>
      <c r="T149" s="69"/>
    </row>
    <row r="150" spans="1:20" ht="28.8" x14ac:dyDescent="0.45">
      <c r="A150" s="98">
        <f t="shared" si="7"/>
        <v>147</v>
      </c>
      <c r="B150" s="506">
        <v>1550</v>
      </c>
      <c r="C150" s="492">
        <v>45949</v>
      </c>
      <c r="D150" s="135">
        <v>120199653</v>
      </c>
      <c r="E150" s="270" t="s">
        <v>4794</v>
      </c>
      <c r="F150" s="344" t="s">
        <v>1</v>
      </c>
      <c r="G150" s="112" t="s">
        <v>4</v>
      </c>
      <c r="H150" s="493">
        <v>45949</v>
      </c>
      <c r="I150" s="25"/>
      <c r="J150" s="100" t="s">
        <v>99</v>
      </c>
      <c r="K150" s="494"/>
      <c r="L150" s="692"/>
      <c r="M150" s="496"/>
      <c r="N150" s="497"/>
      <c r="O150" s="498"/>
      <c r="P150" s="499"/>
      <c r="Q150" s="500">
        <v>45952</v>
      </c>
      <c r="R150" s="148">
        <f t="shared" si="8"/>
        <v>3</v>
      </c>
      <c r="S150" s="633" t="s">
        <v>151</v>
      </c>
      <c r="T150" s="69"/>
    </row>
    <row r="151" spans="1:20" ht="72" x14ac:dyDescent="0.3">
      <c r="A151" s="98">
        <f t="shared" si="7"/>
        <v>148</v>
      </c>
      <c r="B151" s="506">
        <v>1550</v>
      </c>
      <c r="C151" s="492">
        <v>45951</v>
      </c>
      <c r="D151" s="135">
        <v>66757193</v>
      </c>
      <c r="E151" s="270" t="s">
        <v>4795</v>
      </c>
      <c r="F151" s="344" t="s">
        <v>3</v>
      </c>
      <c r="G151" s="112" t="s">
        <v>6</v>
      </c>
      <c r="H151" s="493">
        <v>45951</v>
      </c>
      <c r="I151" s="25">
        <v>10000325472</v>
      </c>
      <c r="J151" s="107" t="s">
        <v>82</v>
      </c>
      <c r="K151" s="494"/>
      <c r="L151" s="495"/>
      <c r="M151" s="496"/>
      <c r="N151" s="497"/>
      <c r="O151" s="498"/>
      <c r="P151" s="499"/>
      <c r="Q151" s="500">
        <v>45979</v>
      </c>
      <c r="R151" s="148">
        <f t="shared" si="8"/>
        <v>28</v>
      </c>
      <c r="S151" s="633" t="s">
        <v>2597</v>
      </c>
      <c r="T151" s="69"/>
    </row>
    <row r="152" spans="1:20" ht="28.8" x14ac:dyDescent="0.3">
      <c r="A152" s="98">
        <f t="shared" si="7"/>
        <v>149</v>
      </c>
      <c r="B152" s="506">
        <v>1550</v>
      </c>
      <c r="C152" s="492">
        <v>45951</v>
      </c>
      <c r="D152" s="135">
        <v>53000501</v>
      </c>
      <c r="E152" s="270" t="s">
        <v>4796</v>
      </c>
      <c r="F152" s="344" t="s">
        <v>3</v>
      </c>
      <c r="G152" s="112" t="s">
        <v>4</v>
      </c>
      <c r="H152" s="493">
        <v>45951</v>
      </c>
      <c r="I152" s="25"/>
      <c r="J152" s="100" t="s">
        <v>82</v>
      </c>
      <c r="K152" s="494"/>
      <c r="L152" s="495"/>
      <c r="M152" s="496"/>
      <c r="N152" s="497"/>
      <c r="O152" s="498"/>
      <c r="P152" s="499"/>
      <c r="Q152" s="500">
        <v>45952</v>
      </c>
      <c r="R152" s="148">
        <f t="shared" si="8"/>
        <v>1</v>
      </c>
      <c r="S152" s="633" t="s">
        <v>720</v>
      </c>
      <c r="T152" s="315"/>
    </row>
    <row r="153" spans="1:20" ht="28.8" x14ac:dyDescent="0.3">
      <c r="A153" s="98">
        <f t="shared" ref="A153:A184" si="9">A152+1</f>
        <v>150</v>
      </c>
      <c r="B153" s="506">
        <v>1550</v>
      </c>
      <c r="C153" s="492">
        <v>45951</v>
      </c>
      <c r="D153" s="135">
        <v>6103294</v>
      </c>
      <c r="E153" s="635" t="s">
        <v>4797</v>
      </c>
      <c r="F153" s="344" t="s">
        <v>1</v>
      </c>
      <c r="G153" s="112" t="s">
        <v>4</v>
      </c>
      <c r="H153" s="493">
        <v>45951</v>
      </c>
      <c r="I153" s="25"/>
      <c r="J153" s="413" t="s">
        <v>2367</v>
      </c>
      <c r="K153" s="494"/>
      <c r="L153" s="495"/>
      <c r="M153" s="496"/>
      <c r="N153" s="497"/>
      <c r="O153" s="498"/>
      <c r="P153" s="499"/>
      <c r="Q153" s="500">
        <v>45951</v>
      </c>
      <c r="R153" s="148">
        <f t="shared" ref="R153:R184" si="10">Q153-H153</f>
        <v>0</v>
      </c>
      <c r="S153" s="633" t="s">
        <v>151</v>
      </c>
      <c r="T153" s="69"/>
    </row>
    <row r="154" spans="1:20" ht="28.8" x14ac:dyDescent="0.3">
      <c r="A154" s="98">
        <f t="shared" si="9"/>
        <v>151</v>
      </c>
      <c r="B154" s="506">
        <v>1550</v>
      </c>
      <c r="C154" s="492">
        <v>45951</v>
      </c>
      <c r="D154" s="135">
        <v>57698031</v>
      </c>
      <c r="E154" s="635" t="s">
        <v>4798</v>
      </c>
      <c r="F154" s="344" t="s">
        <v>3</v>
      </c>
      <c r="G154" s="112" t="s">
        <v>4</v>
      </c>
      <c r="H154" s="493">
        <v>45951</v>
      </c>
      <c r="I154" s="25"/>
      <c r="J154" s="107" t="s">
        <v>3385</v>
      </c>
      <c r="K154" s="494"/>
      <c r="L154" s="495"/>
      <c r="M154" s="496"/>
      <c r="N154" s="497"/>
      <c r="O154" s="498"/>
      <c r="P154" s="499"/>
      <c r="Q154" s="500">
        <v>45951</v>
      </c>
      <c r="R154" s="148">
        <f t="shared" si="10"/>
        <v>0</v>
      </c>
      <c r="S154" s="633" t="s">
        <v>151</v>
      </c>
      <c r="T154" s="69"/>
    </row>
    <row r="155" spans="1:20" ht="28.8" x14ac:dyDescent="0.3">
      <c r="A155" s="98">
        <f t="shared" si="9"/>
        <v>152</v>
      </c>
      <c r="B155" s="506">
        <v>1550</v>
      </c>
      <c r="C155" s="492">
        <v>45951</v>
      </c>
      <c r="D155" s="135"/>
      <c r="E155" s="270" t="s">
        <v>4799</v>
      </c>
      <c r="F155" s="344" t="s">
        <v>21</v>
      </c>
      <c r="G155" s="112" t="s">
        <v>4</v>
      </c>
      <c r="H155" s="493">
        <v>45951</v>
      </c>
      <c r="I155" s="25"/>
      <c r="J155" s="413" t="s">
        <v>2367</v>
      </c>
      <c r="K155" s="494"/>
      <c r="L155" s="495"/>
      <c r="M155" s="496"/>
      <c r="N155" s="497"/>
      <c r="O155" s="498"/>
      <c r="P155" s="499"/>
      <c r="Q155" s="500">
        <v>45954</v>
      </c>
      <c r="R155" s="148">
        <f t="shared" si="10"/>
        <v>3</v>
      </c>
      <c r="S155" s="633" t="s">
        <v>4800</v>
      </c>
      <c r="T155" s="315"/>
    </row>
    <row r="156" spans="1:20" x14ac:dyDescent="0.3">
      <c r="A156" s="98">
        <f t="shared" si="9"/>
        <v>153</v>
      </c>
      <c r="B156" s="506">
        <v>1550</v>
      </c>
      <c r="C156" s="492">
        <v>45951</v>
      </c>
      <c r="D156" s="135">
        <v>33906971</v>
      </c>
      <c r="E156" s="270" t="s">
        <v>4801</v>
      </c>
      <c r="F156" s="344" t="s">
        <v>3</v>
      </c>
      <c r="G156" s="112" t="s">
        <v>4</v>
      </c>
      <c r="H156" s="493">
        <v>45951</v>
      </c>
      <c r="I156" s="25"/>
      <c r="J156" s="107" t="s">
        <v>22</v>
      </c>
      <c r="K156" s="494"/>
      <c r="L156" s="495"/>
      <c r="M156" s="496"/>
      <c r="N156" s="497"/>
      <c r="O156" s="498"/>
      <c r="P156" s="499"/>
      <c r="Q156" s="500">
        <v>45951</v>
      </c>
      <c r="R156" s="148">
        <f t="shared" si="10"/>
        <v>0</v>
      </c>
      <c r="S156" s="633" t="s">
        <v>720</v>
      </c>
      <c r="T156" s="167"/>
    </row>
    <row r="157" spans="1:20" x14ac:dyDescent="0.3">
      <c r="A157" s="98">
        <f t="shared" si="9"/>
        <v>154</v>
      </c>
      <c r="B157" s="506">
        <v>1550</v>
      </c>
      <c r="C157" s="492">
        <v>45951</v>
      </c>
      <c r="D157" s="135">
        <v>22945741</v>
      </c>
      <c r="E157" s="270" t="s">
        <v>4802</v>
      </c>
      <c r="F157" s="344" t="s">
        <v>3</v>
      </c>
      <c r="G157" s="112" t="s">
        <v>4</v>
      </c>
      <c r="H157" s="493">
        <v>45951</v>
      </c>
      <c r="I157" s="25"/>
      <c r="J157" s="107" t="s">
        <v>22</v>
      </c>
      <c r="K157" s="494"/>
      <c r="L157" s="495"/>
      <c r="M157" s="496"/>
      <c r="N157" s="497"/>
      <c r="O157" s="498"/>
      <c r="P157" s="499"/>
      <c r="Q157" s="500">
        <v>45951</v>
      </c>
      <c r="R157" s="148">
        <f t="shared" si="10"/>
        <v>0</v>
      </c>
      <c r="S157" s="633" t="s">
        <v>720</v>
      </c>
      <c r="T157" s="167"/>
    </row>
    <row r="158" spans="1:20" ht="72" x14ac:dyDescent="0.3">
      <c r="A158" s="98">
        <f t="shared" si="9"/>
        <v>155</v>
      </c>
      <c r="B158" s="506">
        <v>1550</v>
      </c>
      <c r="C158" s="492">
        <v>45951</v>
      </c>
      <c r="D158" s="135">
        <v>97334405</v>
      </c>
      <c r="E158" s="270" t="s">
        <v>4803</v>
      </c>
      <c r="F158" s="344" t="s">
        <v>3</v>
      </c>
      <c r="G158" s="112" t="s">
        <v>10</v>
      </c>
      <c r="H158" s="493">
        <v>45951</v>
      </c>
      <c r="I158" s="25">
        <v>10000325677</v>
      </c>
      <c r="J158" s="100" t="s">
        <v>82</v>
      </c>
      <c r="K158" s="494"/>
      <c r="L158" s="495"/>
      <c r="M158" s="496"/>
      <c r="N158" s="497"/>
      <c r="O158" s="498"/>
      <c r="P158" s="499"/>
      <c r="Q158" s="500">
        <v>45980</v>
      </c>
      <c r="R158" s="148">
        <f t="shared" si="10"/>
        <v>29</v>
      </c>
      <c r="S158" s="633" t="s">
        <v>214</v>
      </c>
      <c r="T158" s="167" t="s">
        <v>4804</v>
      </c>
    </row>
    <row r="159" spans="1:20" ht="86.4" x14ac:dyDescent="0.3">
      <c r="A159" s="98">
        <f t="shared" si="9"/>
        <v>156</v>
      </c>
      <c r="B159" s="506">
        <v>1550</v>
      </c>
      <c r="C159" s="492">
        <v>45951</v>
      </c>
      <c r="D159" s="135">
        <v>100005365</v>
      </c>
      <c r="E159" s="270" t="s">
        <v>4805</v>
      </c>
      <c r="F159" s="344" t="s">
        <v>12</v>
      </c>
      <c r="G159" s="112" t="s">
        <v>10</v>
      </c>
      <c r="H159" s="493">
        <v>45951</v>
      </c>
      <c r="I159" s="25"/>
      <c r="J159" s="742" t="s">
        <v>159</v>
      </c>
      <c r="K159" s="494"/>
      <c r="L159" s="495"/>
      <c r="M159" s="496"/>
      <c r="N159" s="497"/>
      <c r="O159" s="498"/>
      <c r="P159" s="499"/>
      <c r="Q159" s="500">
        <v>45952</v>
      </c>
      <c r="R159" s="148">
        <f t="shared" si="10"/>
        <v>1</v>
      </c>
      <c r="S159" s="633" t="s">
        <v>2209</v>
      </c>
      <c r="T159" s="167"/>
    </row>
    <row r="160" spans="1:20" ht="57.6" x14ac:dyDescent="0.3">
      <c r="A160" s="98">
        <f t="shared" si="9"/>
        <v>157</v>
      </c>
      <c r="B160" s="506">
        <v>1550</v>
      </c>
      <c r="C160" s="492">
        <v>45951</v>
      </c>
      <c r="D160" s="135">
        <v>4795792</v>
      </c>
      <c r="E160" s="270" t="s">
        <v>4806</v>
      </c>
      <c r="F160" s="344" t="s">
        <v>60</v>
      </c>
      <c r="G160" s="112" t="s">
        <v>10</v>
      </c>
      <c r="H160" s="493">
        <v>45951</v>
      </c>
      <c r="I160" s="25"/>
      <c r="J160" s="100" t="s">
        <v>2765</v>
      </c>
      <c r="K160" s="494"/>
      <c r="L160" s="495"/>
      <c r="M160" s="496"/>
      <c r="N160" s="497"/>
      <c r="O160" s="498"/>
      <c r="P160" s="499"/>
      <c r="Q160" s="500">
        <v>45954</v>
      </c>
      <c r="R160" s="148">
        <f t="shared" si="10"/>
        <v>3</v>
      </c>
      <c r="S160" s="633" t="s">
        <v>1835</v>
      </c>
      <c r="T160" s="69"/>
    </row>
    <row r="161" spans="1:20" ht="28.8" x14ac:dyDescent="0.3">
      <c r="A161" s="98">
        <f t="shared" si="9"/>
        <v>158</v>
      </c>
      <c r="B161" s="506" t="s">
        <v>1044</v>
      </c>
      <c r="C161" s="492">
        <v>45952</v>
      </c>
      <c r="D161" s="135"/>
      <c r="E161" s="264" t="s">
        <v>4807</v>
      </c>
      <c r="F161" s="344" t="s">
        <v>21</v>
      </c>
      <c r="G161" s="112" t="s">
        <v>4</v>
      </c>
      <c r="H161" s="493">
        <v>45952</v>
      </c>
      <c r="I161" s="25">
        <v>10000325771</v>
      </c>
      <c r="J161" s="100" t="s">
        <v>99</v>
      </c>
      <c r="K161" s="494"/>
      <c r="L161" s="495"/>
      <c r="M161" s="496"/>
      <c r="N161" s="497"/>
      <c r="O161" s="498"/>
      <c r="P161" s="499"/>
      <c r="Q161" s="500">
        <v>45953</v>
      </c>
      <c r="R161" s="148">
        <f t="shared" si="10"/>
        <v>1</v>
      </c>
      <c r="S161" s="633" t="s">
        <v>4</v>
      </c>
      <c r="T161" s="69"/>
    </row>
    <row r="162" spans="1:20" ht="72" x14ac:dyDescent="0.3">
      <c r="A162" s="98">
        <f t="shared" si="9"/>
        <v>159</v>
      </c>
      <c r="B162" s="553">
        <v>1550</v>
      </c>
      <c r="C162" s="556">
        <v>45952</v>
      </c>
      <c r="D162" s="135"/>
      <c r="E162" s="290" t="s">
        <v>4808</v>
      </c>
      <c r="F162" s="416" t="s">
        <v>21</v>
      </c>
      <c r="G162" s="417" t="s">
        <v>6</v>
      </c>
      <c r="H162" s="560">
        <v>45952</v>
      </c>
      <c r="I162" s="561"/>
      <c r="J162" s="100" t="s">
        <v>99</v>
      </c>
      <c r="K162" s="562"/>
      <c r="L162" s="563"/>
      <c r="M162" s="496"/>
      <c r="N162" s="497"/>
      <c r="O162" s="498"/>
      <c r="P162" s="499"/>
      <c r="Q162" s="500">
        <v>45958</v>
      </c>
      <c r="R162" s="148">
        <f t="shared" si="10"/>
        <v>6</v>
      </c>
      <c r="S162" s="633" t="s">
        <v>1893</v>
      </c>
      <c r="T162" s="69"/>
    </row>
    <row r="163" spans="1:20" ht="57" customHeight="1" x14ac:dyDescent="0.3">
      <c r="A163" s="98">
        <f t="shared" si="9"/>
        <v>160</v>
      </c>
      <c r="B163" s="111">
        <v>1550</v>
      </c>
      <c r="C163" s="512">
        <v>45952</v>
      </c>
      <c r="D163" s="219">
        <v>332673847</v>
      </c>
      <c r="E163" s="254" t="s">
        <v>4809</v>
      </c>
      <c r="F163" s="111" t="s">
        <v>3</v>
      </c>
      <c r="G163" s="125" t="s">
        <v>4</v>
      </c>
      <c r="H163" s="568">
        <v>45952</v>
      </c>
      <c r="I163" s="341"/>
      <c r="J163" s="100" t="s">
        <v>82</v>
      </c>
      <c r="K163" s="569"/>
      <c r="L163" s="570"/>
      <c r="M163" s="665"/>
      <c r="N163" s="497"/>
      <c r="O163" s="498"/>
      <c r="P163" s="499"/>
      <c r="Q163" s="500">
        <v>45952</v>
      </c>
      <c r="R163" s="148">
        <f t="shared" si="10"/>
        <v>0</v>
      </c>
      <c r="S163" s="633" t="s">
        <v>151</v>
      </c>
      <c r="T163" s="69"/>
    </row>
    <row r="164" spans="1:20" ht="158.4" x14ac:dyDescent="0.3">
      <c r="A164" s="98">
        <f t="shared" si="9"/>
        <v>161</v>
      </c>
      <c r="B164" s="111" t="s">
        <v>301</v>
      </c>
      <c r="C164" s="512">
        <v>45952</v>
      </c>
      <c r="D164" s="219">
        <v>104859083</v>
      </c>
      <c r="E164" s="254" t="s">
        <v>4810</v>
      </c>
      <c r="F164" s="111" t="s">
        <v>1</v>
      </c>
      <c r="G164" s="125" t="s">
        <v>6</v>
      </c>
      <c r="H164" s="568">
        <v>45952</v>
      </c>
      <c r="I164" s="341"/>
      <c r="J164" s="125" t="s">
        <v>2352</v>
      </c>
      <c r="K164" s="569"/>
      <c r="L164" s="570"/>
      <c r="M164" s="666"/>
      <c r="N164" s="565"/>
      <c r="O164" s="566"/>
      <c r="P164" s="567"/>
      <c r="Q164" s="500">
        <v>45959</v>
      </c>
      <c r="R164" s="148">
        <f t="shared" si="10"/>
        <v>7</v>
      </c>
      <c r="S164" s="633" t="s">
        <v>3905</v>
      </c>
      <c r="T164" s="69"/>
    </row>
    <row r="165" spans="1:20" ht="86.4" x14ac:dyDescent="0.3">
      <c r="A165" s="98">
        <f t="shared" si="9"/>
        <v>162</v>
      </c>
      <c r="B165" s="111" t="s">
        <v>301</v>
      </c>
      <c r="C165" s="512">
        <v>45952</v>
      </c>
      <c r="D165" s="219">
        <v>13331574</v>
      </c>
      <c r="E165" s="733" t="s">
        <v>4811</v>
      </c>
      <c r="F165" s="405" t="s">
        <v>25</v>
      </c>
      <c r="G165" s="125" t="s">
        <v>6</v>
      </c>
      <c r="H165" s="568">
        <v>45952</v>
      </c>
      <c r="I165" s="341"/>
      <c r="J165" s="125" t="s">
        <v>22</v>
      </c>
      <c r="K165" s="569"/>
      <c r="L165" s="570"/>
      <c r="M165" s="667"/>
      <c r="N165" s="571"/>
      <c r="O165" s="572"/>
      <c r="P165" s="572"/>
      <c r="Q165" s="500">
        <v>45952</v>
      </c>
      <c r="R165" s="148">
        <f t="shared" si="10"/>
        <v>0</v>
      </c>
      <c r="S165" s="633" t="s">
        <v>1312</v>
      </c>
      <c r="T165" s="257"/>
    </row>
    <row r="166" spans="1:20" ht="86.4" x14ac:dyDescent="0.3">
      <c r="A166" s="98">
        <f t="shared" si="9"/>
        <v>163</v>
      </c>
      <c r="B166" s="111" t="s">
        <v>1044</v>
      </c>
      <c r="C166" s="512">
        <v>45952</v>
      </c>
      <c r="D166" s="219">
        <v>954454</v>
      </c>
      <c r="E166" s="109" t="s">
        <v>4812</v>
      </c>
      <c r="F166" s="111" t="s">
        <v>38</v>
      </c>
      <c r="G166" s="125" t="s">
        <v>6</v>
      </c>
      <c r="H166" s="568">
        <v>45952</v>
      </c>
      <c r="I166" s="341"/>
      <c r="J166" s="100" t="s">
        <v>253</v>
      </c>
      <c r="K166" s="569"/>
      <c r="L166" s="570"/>
      <c r="M166" s="515"/>
      <c r="N166" s="577"/>
      <c r="O166" s="578"/>
      <c r="P166" s="579"/>
      <c r="Q166" s="500">
        <v>45952</v>
      </c>
      <c r="R166" s="148">
        <f t="shared" si="10"/>
        <v>0</v>
      </c>
      <c r="S166" s="633" t="s">
        <v>2597</v>
      </c>
      <c r="T166" s="69"/>
    </row>
    <row r="167" spans="1:20" ht="57.6" x14ac:dyDescent="0.3">
      <c r="A167" s="98">
        <f t="shared" si="9"/>
        <v>164</v>
      </c>
      <c r="B167" s="554" t="s">
        <v>80</v>
      </c>
      <c r="C167" s="512">
        <v>45952</v>
      </c>
      <c r="D167" s="219"/>
      <c r="E167" s="109" t="s">
        <v>4813</v>
      </c>
      <c r="F167" s="111" t="s">
        <v>1314</v>
      </c>
      <c r="G167" s="125" t="s">
        <v>6</v>
      </c>
      <c r="H167" s="568">
        <v>45952</v>
      </c>
      <c r="I167" s="341"/>
      <c r="J167" s="100" t="s">
        <v>99</v>
      </c>
      <c r="K167" s="569"/>
      <c r="L167" s="570"/>
      <c r="M167" s="665"/>
      <c r="N167" s="497"/>
      <c r="O167" s="498"/>
      <c r="P167" s="499"/>
      <c r="Q167" s="500">
        <v>45952</v>
      </c>
      <c r="R167" s="148">
        <f t="shared" si="10"/>
        <v>0</v>
      </c>
      <c r="S167" s="633" t="s">
        <v>2747</v>
      </c>
      <c r="T167" s="69"/>
    </row>
    <row r="168" spans="1:20" ht="86.4" x14ac:dyDescent="0.3">
      <c r="A168" s="98">
        <f t="shared" si="9"/>
        <v>165</v>
      </c>
      <c r="B168" s="554" t="s">
        <v>80</v>
      </c>
      <c r="C168" s="573">
        <v>45952</v>
      </c>
      <c r="D168" s="369">
        <v>22923047</v>
      </c>
      <c r="E168" s="277" t="s">
        <v>4814</v>
      </c>
      <c r="F168" s="101" t="s">
        <v>4208</v>
      </c>
      <c r="G168" s="81" t="s">
        <v>6</v>
      </c>
      <c r="H168" s="493">
        <v>45952</v>
      </c>
      <c r="I168" s="555"/>
      <c r="J168" s="100" t="s">
        <v>253</v>
      </c>
      <c r="K168" s="574"/>
      <c r="L168" s="575"/>
      <c r="M168" s="496"/>
      <c r="N168" s="497"/>
      <c r="O168" s="498"/>
      <c r="P168" s="499"/>
      <c r="Q168" s="500">
        <v>45957</v>
      </c>
      <c r="R168" s="148">
        <f t="shared" si="10"/>
        <v>5</v>
      </c>
      <c r="S168" s="633" t="s">
        <v>2747</v>
      </c>
      <c r="T168" s="69"/>
    </row>
    <row r="169" spans="1:20" ht="57.6" x14ac:dyDescent="0.3">
      <c r="A169" s="98">
        <f t="shared" si="9"/>
        <v>166</v>
      </c>
      <c r="B169" s="554" t="s">
        <v>80</v>
      </c>
      <c r="C169" s="492">
        <v>45952</v>
      </c>
      <c r="D169" s="369">
        <v>104901713</v>
      </c>
      <c r="E169" s="270" t="s">
        <v>4815</v>
      </c>
      <c r="F169" s="111" t="s">
        <v>17</v>
      </c>
      <c r="G169" s="125" t="s">
        <v>6</v>
      </c>
      <c r="H169" s="568">
        <v>45952</v>
      </c>
      <c r="I169" s="341"/>
      <c r="J169" s="125" t="s">
        <v>82</v>
      </c>
      <c r="K169" s="569"/>
      <c r="L169" s="570"/>
      <c r="M169" s="665"/>
      <c r="N169" s="497"/>
      <c r="O169" s="498"/>
      <c r="P169" s="499"/>
      <c r="Q169" s="500">
        <v>46010</v>
      </c>
      <c r="R169" s="148">
        <f t="shared" si="10"/>
        <v>58</v>
      </c>
      <c r="S169" s="633" t="s">
        <v>2747</v>
      </c>
      <c r="T169" s="69"/>
    </row>
    <row r="170" spans="1:20" ht="39" customHeight="1" x14ac:dyDescent="0.3">
      <c r="A170" s="98">
        <f t="shared" si="9"/>
        <v>167</v>
      </c>
      <c r="B170" s="506">
        <v>1550</v>
      </c>
      <c r="C170" s="492">
        <v>45952</v>
      </c>
      <c r="D170" s="369"/>
      <c r="E170" s="254" t="s">
        <v>4816</v>
      </c>
      <c r="F170" s="344" t="s">
        <v>21</v>
      </c>
      <c r="G170" s="112" t="s">
        <v>10</v>
      </c>
      <c r="H170" s="568">
        <v>45952</v>
      </c>
      <c r="I170" s="25"/>
      <c r="J170" s="107" t="s">
        <v>2513</v>
      </c>
      <c r="K170" s="494"/>
      <c r="L170" s="636"/>
      <c r="M170" s="496"/>
      <c r="N170" s="497"/>
      <c r="O170" s="498"/>
      <c r="P170" s="499"/>
      <c r="Q170" s="500">
        <v>45959</v>
      </c>
      <c r="R170" s="148">
        <f t="shared" si="10"/>
        <v>7</v>
      </c>
      <c r="S170" s="633" t="s">
        <v>1172</v>
      </c>
      <c r="T170" s="69"/>
    </row>
    <row r="171" spans="1:20" ht="58.5" customHeight="1" x14ac:dyDescent="0.3">
      <c r="A171" s="98">
        <f t="shared" si="9"/>
        <v>168</v>
      </c>
      <c r="B171" s="506">
        <v>1550</v>
      </c>
      <c r="C171" s="492">
        <v>45952</v>
      </c>
      <c r="D171" s="537">
        <v>89752732</v>
      </c>
      <c r="E171" s="254" t="s">
        <v>4817</v>
      </c>
      <c r="F171" s="416" t="s">
        <v>1</v>
      </c>
      <c r="G171" s="112" t="s">
        <v>10</v>
      </c>
      <c r="H171" s="568">
        <v>45952</v>
      </c>
      <c r="I171" s="561"/>
      <c r="J171" s="489" t="s">
        <v>2352</v>
      </c>
      <c r="K171" s="562"/>
      <c r="L171" s="563"/>
      <c r="M171" s="564"/>
      <c r="N171" s="565"/>
      <c r="O171" s="566"/>
      <c r="P171" s="567"/>
      <c r="Q171" s="500">
        <v>45954</v>
      </c>
      <c r="R171" s="148">
        <f t="shared" si="10"/>
        <v>2</v>
      </c>
      <c r="S171" s="633" t="s">
        <v>1870</v>
      </c>
      <c r="T171" s="69"/>
    </row>
    <row r="172" spans="1:20" ht="36.75" customHeight="1" x14ac:dyDescent="0.3">
      <c r="A172" s="98">
        <f t="shared" si="9"/>
        <v>169</v>
      </c>
      <c r="B172" s="553" t="s">
        <v>1044</v>
      </c>
      <c r="C172" s="492">
        <v>45952</v>
      </c>
      <c r="D172" s="219">
        <v>61465631</v>
      </c>
      <c r="E172" s="254" t="s">
        <v>4818</v>
      </c>
      <c r="F172" s="111" t="s">
        <v>32</v>
      </c>
      <c r="G172" s="112" t="s">
        <v>10</v>
      </c>
      <c r="H172" s="568">
        <v>45952</v>
      </c>
      <c r="I172" s="341"/>
      <c r="J172" s="125" t="s">
        <v>106</v>
      </c>
      <c r="K172" s="569"/>
      <c r="L172" s="570"/>
      <c r="M172" s="570"/>
      <c r="N172" s="571"/>
      <c r="O172" s="572"/>
      <c r="P172" s="572"/>
      <c r="Q172" s="500">
        <v>45953</v>
      </c>
      <c r="R172" s="148">
        <f t="shared" si="10"/>
        <v>1</v>
      </c>
      <c r="S172" s="633" t="s">
        <v>214</v>
      </c>
      <c r="T172" s="167"/>
    </row>
    <row r="173" spans="1:20" ht="62.25" customHeight="1" x14ac:dyDescent="0.3">
      <c r="A173" s="98">
        <f t="shared" si="9"/>
        <v>170</v>
      </c>
      <c r="B173" s="111">
        <v>1550</v>
      </c>
      <c r="C173" s="492">
        <v>45952</v>
      </c>
      <c r="D173" s="219">
        <v>26947412</v>
      </c>
      <c r="E173" s="254" t="s">
        <v>4819</v>
      </c>
      <c r="F173" s="111" t="s">
        <v>1</v>
      </c>
      <c r="G173" s="112" t="s">
        <v>10</v>
      </c>
      <c r="H173" s="568">
        <v>45952</v>
      </c>
      <c r="I173" s="341"/>
      <c r="J173" s="125" t="s">
        <v>2306</v>
      </c>
      <c r="K173" s="569"/>
      <c r="L173" s="570"/>
      <c r="M173" s="570"/>
      <c r="N173" s="571"/>
      <c r="O173" s="572"/>
      <c r="P173" s="572"/>
      <c r="Q173" s="500">
        <v>45953</v>
      </c>
      <c r="R173" s="148">
        <f t="shared" si="10"/>
        <v>1</v>
      </c>
      <c r="S173" s="633" t="s">
        <v>1806</v>
      </c>
      <c r="T173" s="167"/>
    </row>
    <row r="174" spans="1:20" ht="39.75" customHeight="1" x14ac:dyDescent="0.3">
      <c r="A174" s="98">
        <f t="shared" si="9"/>
        <v>171</v>
      </c>
      <c r="B174" s="554">
        <v>1550</v>
      </c>
      <c r="C174" s="492">
        <v>45952</v>
      </c>
      <c r="D174" s="369"/>
      <c r="E174" s="254" t="s">
        <v>4820</v>
      </c>
      <c r="F174" s="101" t="s">
        <v>21</v>
      </c>
      <c r="G174" s="112" t="s">
        <v>10</v>
      </c>
      <c r="H174" s="568">
        <v>45952</v>
      </c>
      <c r="I174" s="555"/>
      <c r="J174" s="100" t="s">
        <v>99</v>
      </c>
      <c r="K174" s="574"/>
      <c r="L174" s="575"/>
      <c r="M174" s="576"/>
      <c r="N174" s="577"/>
      <c r="O174" s="578"/>
      <c r="P174" s="579"/>
      <c r="Q174" s="500">
        <v>45957</v>
      </c>
      <c r="R174" s="148">
        <f t="shared" si="10"/>
        <v>5</v>
      </c>
      <c r="S174" s="633" t="s">
        <v>1172</v>
      </c>
      <c r="T174" s="69"/>
    </row>
    <row r="175" spans="1:20" ht="28.8" x14ac:dyDescent="0.3">
      <c r="A175" s="98">
        <f t="shared" si="9"/>
        <v>172</v>
      </c>
      <c r="B175" s="506" t="s">
        <v>1044</v>
      </c>
      <c r="C175" s="492">
        <v>45952</v>
      </c>
      <c r="D175">
        <v>88468321</v>
      </c>
      <c r="E175" s="264" t="s">
        <v>4821</v>
      </c>
      <c r="F175" s="101" t="s">
        <v>12</v>
      </c>
      <c r="G175" s="81" t="s">
        <v>4</v>
      </c>
      <c r="H175" s="493">
        <v>45952</v>
      </c>
      <c r="I175" s="555"/>
      <c r="J175" s="742" t="s">
        <v>159</v>
      </c>
      <c r="K175" s="574"/>
      <c r="L175" s="575"/>
      <c r="M175" s="576"/>
      <c r="N175" s="577"/>
      <c r="O175" s="578"/>
      <c r="P175" s="579"/>
      <c r="Q175" s="500">
        <v>45953</v>
      </c>
      <c r="R175" s="148">
        <f t="shared" si="10"/>
        <v>1</v>
      </c>
      <c r="S175" s="633" t="s">
        <v>4</v>
      </c>
      <c r="T175" s="69"/>
    </row>
    <row r="176" spans="1:20" ht="72" x14ac:dyDescent="0.3">
      <c r="A176" s="98">
        <f t="shared" si="9"/>
        <v>173</v>
      </c>
      <c r="B176" s="553">
        <v>1550</v>
      </c>
      <c r="C176" s="492">
        <v>45952</v>
      </c>
      <c r="D176" s="537" t="s">
        <v>4822</v>
      </c>
      <c r="E176" s="254" t="s">
        <v>4823</v>
      </c>
      <c r="F176" s="416" t="s">
        <v>12</v>
      </c>
      <c r="G176" s="112" t="s">
        <v>10</v>
      </c>
      <c r="H176" s="568">
        <v>45952</v>
      </c>
      <c r="I176" s="25"/>
      <c r="J176" s="100" t="s">
        <v>159</v>
      </c>
      <c r="K176" s="494"/>
      <c r="L176" s="637"/>
      <c r="M176" s="496"/>
      <c r="N176" s="497"/>
      <c r="O176" s="498"/>
      <c r="P176" s="499"/>
      <c r="Q176" s="500">
        <v>45960</v>
      </c>
      <c r="R176" s="148">
        <f t="shared" si="10"/>
        <v>8</v>
      </c>
      <c r="S176" s="633" t="s">
        <v>2209</v>
      </c>
      <c r="T176" s="167"/>
    </row>
    <row r="177" spans="1:20" ht="43.2" x14ac:dyDescent="0.3">
      <c r="A177" s="98">
        <f t="shared" si="9"/>
        <v>174</v>
      </c>
      <c r="B177" s="111" t="s">
        <v>1044</v>
      </c>
      <c r="C177" s="512">
        <v>45953</v>
      </c>
      <c r="D177" s="219">
        <v>56355157</v>
      </c>
      <c r="E177" s="254" t="s">
        <v>4824</v>
      </c>
      <c r="F177" s="111" t="s">
        <v>1</v>
      </c>
      <c r="G177" s="125" t="s">
        <v>4</v>
      </c>
      <c r="H177" s="599">
        <v>45953</v>
      </c>
      <c r="I177" s="25"/>
      <c r="J177" s="100" t="s">
        <v>99</v>
      </c>
      <c r="K177" s="494"/>
      <c r="L177" s="495"/>
      <c r="M177" s="496"/>
      <c r="N177" s="497"/>
      <c r="O177" s="498"/>
      <c r="P177" s="499"/>
      <c r="Q177" s="500">
        <v>45965</v>
      </c>
      <c r="R177" s="148">
        <f t="shared" si="10"/>
        <v>12</v>
      </c>
      <c r="S177" s="633" t="s">
        <v>4</v>
      </c>
      <c r="T177" s="167"/>
    </row>
    <row r="178" spans="1:20" ht="43.2" x14ac:dyDescent="0.3">
      <c r="A178" s="98">
        <f t="shared" si="9"/>
        <v>175</v>
      </c>
      <c r="B178" s="111" t="s">
        <v>1826</v>
      </c>
      <c r="C178" s="512">
        <v>45953</v>
      </c>
      <c r="D178" s="219">
        <v>48835501</v>
      </c>
      <c r="E178" s="254" t="s">
        <v>4825</v>
      </c>
      <c r="F178" s="101" t="s">
        <v>26</v>
      </c>
      <c r="G178" s="81" t="s">
        <v>4</v>
      </c>
      <c r="H178" s="493">
        <v>45953</v>
      </c>
      <c r="I178" s="555"/>
      <c r="J178" s="107" t="s">
        <v>4826</v>
      </c>
      <c r="K178" s="574"/>
      <c r="L178" s="575"/>
      <c r="M178" s="576"/>
      <c r="N178" s="577"/>
      <c r="O178" s="578"/>
      <c r="P178" s="579"/>
      <c r="Q178" s="500">
        <v>45953</v>
      </c>
      <c r="R178" s="148">
        <f t="shared" si="10"/>
        <v>0</v>
      </c>
      <c r="S178" s="633" t="s">
        <v>151</v>
      </c>
      <c r="T178" s="167"/>
    </row>
    <row r="179" spans="1:20" ht="57.6" x14ac:dyDescent="0.3">
      <c r="A179" s="98">
        <f t="shared" si="9"/>
        <v>176</v>
      </c>
      <c r="B179" s="111" t="s">
        <v>80</v>
      </c>
      <c r="C179" s="512">
        <v>45953</v>
      </c>
      <c r="D179" s="219"/>
      <c r="E179" s="254" t="s">
        <v>4827</v>
      </c>
      <c r="F179" s="101" t="s">
        <v>9</v>
      </c>
      <c r="G179" s="81" t="s">
        <v>6</v>
      </c>
      <c r="H179" s="493">
        <v>45953</v>
      </c>
      <c r="I179" s="555"/>
      <c r="J179" s="100" t="s">
        <v>2765</v>
      </c>
      <c r="K179" s="574"/>
      <c r="L179" s="575"/>
      <c r="M179" s="576"/>
      <c r="N179" s="577"/>
      <c r="O179" s="578"/>
      <c r="P179" s="579"/>
      <c r="Q179" s="500">
        <v>45953</v>
      </c>
      <c r="R179" s="148">
        <f t="shared" si="10"/>
        <v>0</v>
      </c>
      <c r="S179" s="633" t="s">
        <v>2747</v>
      </c>
      <c r="T179" s="167"/>
    </row>
    <row r="180" spans="1:20" ht="72" x14ac:dyDescent="0.3">
      <c r="A180" s="98">
        <f t="shared" si="9"/>
        <v>177</v>
      </c>
      <c r="B180" s="111" t="s">
        <v>301</v>
      </c>
      <c r="C180" s="512">
        <v>45953</v>
      </c>
      <c r="D180" s="219">
        <v>70175985</v>
      </c>
      <c r="E180" s="734" t="s">
        <v>4828</v>
      </c>
      <c r="F180" s="405" t="s">
        <v>25</v>
      </c>
      <c r="G180" s="125" t="s">
        <v>6</v>
      </c>
      <c r="H180" s="599">
        <v>45953</v>
      </c>
      <c r="I180" s="25"/>
      <c r="J180" s="107" t="s">
        <v>22</v>
      </c>
      <c r="K180" s="494"/>
      <c r="L180" s="495"/>
      <c r="M180" s="496"/>
      <c r="N180" s="497"/>
      <c r="O180" s="498"/>
      <c r="P180" s="499"/>
      <c r="Q180" s="500">
        <v>45954</v>
      </c>
      <c r="R180" s="148">
        <f t="shared" si="10"/>
        <v>1</v>
      </c>
      <c r="S180" s="633" t="s">
        <v>1312</v>
      </c>
      <c r="T180" s="167"/>
    </row>
    <row r="181" spans="1:20" ht="28.8" x14ac:dyDescent="0.3">
      <c r="A181" s="98">
        <f t="shared" si="9"/>
        <v>178</v>
      </c>
      <c r="B181" s="111">
        <v>1550</v>
      </c>
      <c r="C181" s="512">
        <v>45953</v>
      </c>
      <c r="D181" s="219">
        <v>82409765</v>
      </c>
      <c r="E181" s="254" t="s">
        <v>4829</v>
      </c>
      <c r="F181" s="111" t="s">
        <v>1</v>
      </c>
      <c r="G181" s="125" t="s">
        <v>4</v>
      </c>
      <c r="H181" s="599">
        <v>45953</v>
      </c>
      <c r="I181" s="25"/>
      <c r="J181" s="107" t="s">
        <v>2352</v>
      </c>
      <c r="K181" s="494"/>
      <c r="L181" s="495"/>
      <c r="M181" s="496"/>
      <c r="N181" s="497"/>
      <c r="O181" s="498"/>
      <c r="P181" s="499"/>
      <c r="Q181" s="500">
        <v>45954</v>
      </c>
      <c r="R181" s="148">
        <f t="shared" si="10"/>
        <v>1</v>
      </c>
      <c r="S181" s="633" t="s">
        <v>4</v>
      </c>
      <c r="T181" s="167"/>
    </row>
    <row r="182" spans="1:20" ht="28.8" x14ac:dyDescent="0.3">
      <c r="A182" s="98">
        <f t="shared" si="9"/>
        <v>179</v>
      </c>
      <c r="B182" s="554">
        <v>1550</v>
      </c>
      <c r="C182" s="573">
        <v>45953</v>
      </c>
      <c r="D182" s="219">
        <v>106608207</v>
      </c>
      <c r="E182" s="264" t="s">
        <v>4830</v>
      </c>
      <c r="F182" s="101" t="s">
        <v>7</v>
      </c>
      <c r="G182" s="81" t="s">
        <v>4</v>
      </c>
      <c r="H182" s="493">
        <v>45953</v>
      </c>
      <c r="I182" s="25"/>
      <c r="J182" s="107" t="s">
        <v>2513</v>
      </c>
      <c r="K182" s="494"/>
      <c r="L182" s="495"/>
      <c r="M182" s="496"/>
      <c r="N182" s="497"/>
      <c r="O182" s="498"/>
      <c r="P182" s="499"/>
      <c r="Q182" s="500">
        <v>45968</v>
      </c>
      <c r="R182" s="148">
        <f t="shared" si="10"/>
        <v>15</v>
      </c>
      <c r="S182" s="633" t="s">
        <v>2970</v>
      </c>
      <c r="T182" s="69"/>
    </row>
    <row r="183" spans="1:20" x14ac:dyDescent="0.3">
      <c r="A183" s="98">
        <f t="shared" si="9"/>
        <v>180</v>
      </c>
      <c r="B183" s="506">
        <v>1550</v>
      </c>
      <c r="C183" s="492">
        <v>45953</v>
      </c>
      <c r="D183" s="617">
        <v>315746270</v>
      </c>
      <c r="E183" s="290" t="s">
        <v>4831</v>
      </c>
      <c r="F183" s="416" t="s">
        <v>3</v>
      </c>
      <c r="G183" s="112" t="s">
        <v>4</v>
      </c>
      <c r="H183" s="493">
        <v>45953</v>
      </c>
      <c r="I183" s="25"/>
      <c r="J183" s="107" t="s">
        <v>22</v>
      </c>
      <c r="K183" s="494"/>
      <c r="L183" s="495"/>
      <c r="M183" s="496"/>
      <c r="N183" s="497"/>
      <c r="O183" s="498"/>
      <c r="P183" s="499"/>
      <c r="Q183" s="500">
        <v>45953</v>
      </c>
      <c r="R183" s="148">
        <f t="shared" si="10"/>
        <v>0</v>
      </c>
      <c r="S183" s="633" t="s">
        <v>720</v>
      </c>
      <c r="T183" s="167"/>
    </row>
    <row r="184" spans="1:20" ht="28.8" x14ac:dyDescent="0.3">
      <c r="A184" s="98">
        <f t="shared" si="9"/>
        <v>181</v>
      </c>
      <c r="B184" s="506">
        <v>1550</v>
      </c>
      <c r="C184" s="492">
        <v>45953</v>
      </c>
      <c r="D184" s="219"/>
      <c r="E184" s="175" t="s">
        <v>4832</v>
      </c>
      <c r="F184" s="111" t="s">
        <v>21</v>
      </c>
      <c r="G184" s="112" t="s">
        <v>4</v>
      </c>
      <c r="H184" s="493">
        <v>45953</v>
      </c>
      <c r="I184" s="25"/>
      <c r="J184" s="413" t="s">
        <v>2367</v>
      </c>
      <c r="K184" s="494"/>
      <c r="L184" s="495"/>
      <c r="M184" s="496"/>
      <c r="N184" s="497"/>
      <c r="O184" s="498"/>
      <c r="P184" s="499"/>
      <c r="Q184" s="500">
        <v>45954</v>
      </c>
      <c r="R184" s="148">
        <f t="shared" si="10"/>
        <v>1</v>
      </c>
      <c r="S184" s="633" t="s">
        <v>4833</v>
      </c>
      <c r="T184" s="69"/>
    </row>
    <row r="185" spans="1:20" ht="28.8" x14ac:dyDescent="0.3">
      <c r="A185" s="98">
        <f t="shared" ref="A185:A216" si="11">A184+1</f>
        <v>182</v>
      </c>
      <c r="B185" s="506" t="s">
        <v>80</v>
      </c>
      <c r="C185" s="492">
        <v>45953</v>
      </c>
      <c r="D185" s="219">
        <v>99436051</v>
      </c>
      <c r="E185" s="254" t="s">
        <v>4834</v>
      </c>
      <c r="F185" s="111" t="s">
        <v>17</v>
      </c>
      <c r="G185" s="112" t="s">
        <v>6</v>
      </c>
      <c r="H185" s="493">
        <v>45953</v>
      </c>
      <c r="I185" s="25"/>
      <c r="J185" s="107" t="s">
        <v>82</v>
      </c>
      <c r="K185" s="494"/>
      <c r="L185" s="495"/>
      <c r="M185" s="496"/>
      <c r="N185" s="497"/>
      <c r="O185" s="498"/>
      <c r="P185" s="499"/>
      <c r="Q185" s="500">
        <v>46013</v>
      </c>
      <c r="R185" s="148">
        <f t="shared" ref="R185:R216" si="12">Q185-H185</f>
        <v>60</v>
      </c>
      <c r="S185" s="633" t="s">
        <v>2747</v>
      </c>
      <c r="T185" s="69"/>
    </row>
    <row r="186" spans="1:20" ht="42.75" customHeight="1" x14ac:dyDescent="0.3">
      <c r="A186" s="98">
        <f t="shared" si="11"/>
        <v>183</v>
      </c>
      <c r="B186" s="506">
        <v>1550</v>
      </c>
      <c r="C186" s="492">
        <v>45953</v>
      </c>
      <c r="D186" s="219">
        <v>83077588</v>
      </c>
      <c r="E186" s="254" t="s">
        <v>4835</v>
      </c>
      <c r="F186" s="111" t="s">
        <v>19</v>
      </c>
      <c r="G186" s="112" t="s">
        <v>10</v>
      </c>
      <c r="H186" s="493">
        <v>45953</v>
      </c>
      <c r="I186" s="25"/>
      <c r="J186" s="742" t="s">
        <v>159</v>
      </c>
      <c r="K186" s="494"/>
      <c r="L186" s="495"/>
      <c r="M186" s="496"/>
      <c r="N186" s="497"/>
      <c r="O186" s="498"/>
      <c r="P186" s="499"/>
      <c r="Q186" s="500">
        <v>45953</v>
      </c>
      <c r="R186" s="148">
        <f t="shared" si="12"/>
        <v>0</v>
      </c>
      <c r="S186" s="633" t="s">
        <v>1780</v>
      </c>
      <c r="T186" s="69"/>
    </row>
    <row r="187" spans="1:20" ht="39" customHeight="1" x14ac:dyDescent="0.3">
      <c r="A187" s="98">
        <f t="shared" si="11"/>
        <v>184</v>
      </c>
      <c r="B187" s="506">
        <v>1550</v>
      </c>
      <c r="C187" s="492">
        <v>45953</v>
      </c>
      <c r="D187" s="219"/>
      <c r="E187" s="254" t="s">
        <v>4836</v>
      </c>
      <c r="F187" s="111" t="s">
        <v>21</v>
      </c>
      <c r="G187" s="112" t="s">
        <v>10</v>
      </c>
      <c r="H187" s="493">
        <v>45953</v>
      </c>
      <c r="I187" s="25"/>
      <c r="J187" s="100" t="s">
        <v>99</v>
      </c>
      <c r="K187" s="494"/>
      <c r="L187" s="495"/>
      <c r="M187" s="496"/>
      <c r="N187" s="497"/>
      <c r="O187" s="498"/>
      <c r="P187" s="499"/>
      <c r="Q187" s="500">
        <v>45958</v>
      </c>
      <c r="R187" s="148">
        <f t="shared" si="12"/>
        <v>5</v>
      </c>
      <c r="S187" s="633" t="s">
        <v>1172</v>
      </c>
      <c r="T187" s="69"/>
    </row>
    <row r="188" spans="1:20" ht="28.8" x14ac:dyDescent="0.3">
      <c r="A188" s="98">
        <f t="shared" si="11"/>
        <v>185</v>
      </c>
      <c r="B188" s="506">
        <v>1550</v>
      </c>
      <c r="C188" s="492">
        <v>45954</v>
      </c>
      <c r="D188" s="219">
        <v>120708027</v>
      </c>
      <c r="E188" s="36" t="s">
        <v>4837</v>
      </c>
      <c r="F188" s="111" t="s">
        <v>1</v>
      </c>
      <c r="G188" s="112" t="s">
        <v>4</v>
      </c>
      <c r="H188" s="493">
        <v>45954</v>
      </c>
      <c r="I188" s="25"/>
      <c r="J188" s="107" t="s">
        <v>2352</v>
      </c>
      <c r="K188" s="494"/>
      <c r="L188" s="495"/>
      <c r="M188" s="496"/>
      <c r="N188" s="497"/>
      <c r="O188" s="498"/>
      <c r="P188" s="499"/>
      <c r="Q188" s="500">
        <v>45954</v>
      </c>
      <c r="R188" s="148">
        <f t="shared" si="12"/>
        <v>0</v>
      </c>
      <c r="S188" s="633" t="s">
        <v>720</v>
      </c>
      <c r="T188" s="69"/>
    </row>
    <row r="189" spans="1:20" ht="28.8" x14ac:dyDescent="0.3">
      <c r="A189" s="98">
        <f t="shared" si="11"/>
        <v>186</v>
      </c>
      <c r="B189" s="506">
        <v>1550</v>
      </c>
      <c r="C189" s="492">
        <v>45954</v>
      </c>
      <c r="D189" s="219">
        <v>74420623</v>
      </c>
      <c r="E189" s="254" t="s">
        <v>4838</v>
      </c>
      <c r="F189" s="111" t="s">
        <v>1</v>
      </c>
      <c r="G189" s="112" t="s">
        <v>4</v>
      </c>
      <c r="H189" s="493">
        <v>45954</v>
      </c>
      <c r="I189" s="25"/>
      <c r="J189" s="107" t="s">
        <v>2271</v>
      </c>
      <c r="K189" s="494"/>
      <c r="L189" s="495"/>
      <c r="M189" s="496"/>
      <c r="N189" s="497"/>
      <c r="O189" s="498"/>
      <c r="P189" s="499"/>
      <c r="Q189" s="500">
        <v>45954</v>
      </c>
      <c r="R189" s="148">
        <f t="shared" si="12"/>
        <v>0</v>
      </c>
      <c r="S189" s="633" t="s">
        <v>151</v>
      </c>
      <c r="T189" s="69"/>
    </row>
    <row r="190" spans="1:20" ht="28.8" x14ac:dyDescent="0.3">
      <c r="A190" s="98">
        <f t="shared" si="11"/>
        <v>187</v>
      </c>
      <c r="B190" s="506">
        <v>1550</v>
      </c>
      <c r="C190" s="492">
        <v>45954</v>
      </c>
      <c r="D190" s="219">
        <v>92238998</v>
      </c>
      <c r="E190" s="254" t="s">
        <v>4839</v>
      </c>
      <c r="F190" s="111" t="s">
        <v>1</v>
      </c>
      <c r="G190" s="112" t="s">
        <v>4</v>
      </c>
      <c r="H190" s="493">
        <v>45954</v>
      </c>
      <c r="I190" s="25"/>
      <c r="J190" s="107" t="s">
        <v>2306</v>
      </c>
      <c r="K190" s="494"/>
      <c r="L190" s="495"/>
      <c r="M190" s="496"/>
      <c r="N190" s="497"/>
      <c r="O190" s="498"/>
      <c r="P190" s="499"/>
      <c r="Q190" s="500">
        <v>45954</v>
      </c>
      <c r="R190" s="148">
        <f t="shared" si="12"/>
        <v>0</v>
      </c>
      <c r="S190" s="633" t="s">
        <v>3783</v>
      </c>
      <c r="T190" s="69"/>
    </row>
    <row r="191" spans="1:20" ht="28.8" x14ac:dyDescent="0.3">
      <c r="A191" s="98">
        <f t="shared" si="11"/>
        <v>188</v>
      </c>
      <c r="B191" s="506">
        <v>1550</v>
      </c>
      <c r="C191" s="492">
        <v>45954</v>
      </c>
      <c r="D191" s="219">
        <v>1531492</v>
      </c>
      <c r="E191" s="254" t="s">
        <v>4840</v>
      </c>
      <c r="F191" s="111" t="s">
        <v>57</v>
      </c>
      <c r="G191" s="112" t="s">
        <v>4</v>
      </c>
      <c r="H191" s="493">
        <v>45954</v>
      </c>
      <c r="I191" s="25"/>
      <c r="J191" s="100" t="s">
        <v>253</v>
      </c>
      <c r="K191" s="507"/>
      <c r="L191" s="508"/>
      <c r="M191" s="365"/>
      <c r="N191" s="509"/>
      <c r="O191" s="510"/>
      <c r="P191" s="511"/>
      <c r="Q191" s="500">
        <v>45954</v>
      </c>
      <c r="R191" s="148">
        <f t="shared" si="12"/>
        <v>0</v>
      </c>
      <c r="S191" s="633" t="s">
        <v>720</v>
      </c>
      <c r="T191" s="167"/>
    </row>
    <row r="192" spans="1:20" ht="28.8" x14ac:dyDescent="0.3">
      <c r="A192" s="98">
        <f t="shared" si="11"/>
        <v>189</v>
      </c>
      <c r="B192" s="506">
        <v>1550</v>
      </c>
      <c r="C192" s="492">
        <v>45954</v>
      </c>
      <c r="D192" s="664"/>
      <c r="E192" s="277" t="s">
        <v>4841</v>
      </c>
      <c r="F192" s="101" t="s">
        <v>21</v>
      </c>
      <c r="G192" s="112" t="s">
        <v>4</v>
      </c>
      <c r="H192" s="493">
        <v>45954</v>
      </c>
      <c r="I192" s="25"/>
      <c r="J192" s="107" t="s">
        <v>3180</v>
      </c>
      <c r="K192" s="507"/>
      <c r="L192" s="508"/>
      <c r="M192" s="365"/>
      <c r="N192" s="509"/>
      <c r="O192" s="510"/>
      <c r="P192" s="511"/>
      <c r="Q192" s="500">
        <v>45964</v>
      </c>
      <c r="R192" s="148">
        <f t="shared" si="12"/>
        <v>10</v>
      </c>
      <c r="S192" s="633" t="s">
        <v>3047</v>
      </c>
      <c r="T192" s="167"/>
    </row>
    <row r="193" spans="1:20" ht="36" customHeight="1" x14ac:dyDescent="0.3">
      <c r="A193" s="98">
        <f t="shared" si="11"/>
        <v>190</v>
      </c>
      <c r="B193" s="506">
        <v>1550</v>
      </c>
      <c r="C193" s="492">
        <v>45954</v>
      </c>
      <c r="D193" s="219">
        <v>64903583</v>
      </c>
      <c r="E193" s="254" t="s">
        <v>4842</v>
      </c>
      <c r="F193" s="344" t="s">
        <v>12</v>
      </c>
      <c r="G193" s="112" t="s">
        <v>10</v>
      </c>
      <c r="H193" s="493">
        <v>45954</v>
      </c>
      <c r="I193" s="25"/>
      <c r="J193" s="107" t="s">
        <v>159</v>
      </c>
      <c r="K193" s="494"/>
      <c r="L193" s="495"/>
      <c r="M193" s="496"/>
      <c r="N193" s="497"/>
      <c r="O193" s="498"/>
      <c r="P193" s="499"/>
      <c r="Q193" s="500">
        <v>45980</v>
      </c>
      <c r="R193" s="148">
        <f t="shared" si="12"/>
        <v>26</v>
      </c>
      <c r="S193" s="633" t="s">
        <v>2209</v>
      </c>
      <c r="T193" s="167"/>
    </row>
    <row r="194" spans="1:20" ht="55.5" customHeight="1" x14ac:dyDescent="0.3">
      <c r="A194" s="98">
        <f t="shared" si="11"/>
        <v>191</v>
      </c>
      <c r="B194" s="506">
        <v>1550</v>
      </c>
      <c r="C194" s="492">
        <v>45954</v>
      </c>
      <c r="D194" s="219">
        <v>120701642</v>
      </c>
      <c r="E194" s="254" t="s">
        <v>4843</v>
      </c>
      <c r="F194" s="344" t="s">
        <v>1</v>
      </c>
      <c r="G194" s="112" t="s">
        <v>10</v>
      </c>
      <c r="H194" s="493">
        <v>45954</v>
      </c>
      <c r="I194" s="25"/>
      <c r="J194" s="107" t="s">
        <v>2352</v>
      </c>
      <c r="K194" s="494"/>
      <c r="L194" s="495"/>
      <c r="M194" s="496"/>
      <c r="N194" s="497"/>
      <c r="O194" s="498"/>
      <c r="P194" s="499"/>
      <c r="Q194" s="500">
        <v>45954</v>
      </c>
      <c r="R194" s="148">
        <f t="shared" si="12"/>
        <v>0</v>
      </c>
      <c r="S194" s="633" t="s">
        <v>85</v>
      </c>
      <c r="T194" s="167"/>
    </row>
    <row r="195" spans="1:20" ht="43.2" x14ac:dyDescent="0.3">
      <c r="A195" s="98">
        <f t="shared" si="11"/>
        <v>192</v>
      </c>
      <c r="B195" s="506" t="s">
        <v>1044</v>
      </c>
      <c r="C195" s="492">
        <v>45957</v>
      </c>
      <c r="D195" s="219">
        <v>345012186</v>
      </c>
      <c r="E195" s="270" t="s">
        <v>4844</v>
      </c>
      <c r="F195" s="344" t="s">
        <v>48</v>
      </c>
      <c r="G195" s="112" t="s">
        <v>4</v>
      </c>
      <c r="H195" s="493">
        <v>45957</v>
      </c>
      <c r="I195" s="25"/>
      <c r="J195" s="732" t="s">
        <v>3095</v>
      </c>
      <c r="K195" s="507"/>
      <c r="L195" s="508"/>
      <c r="M195" s="365"/>
      <c r="N195" s="509"/>
      <c r="O195" s="510"/>
      <c r="P195" s="511"/>
      <c r="Q195" s="500">
        <v>45973</v>
      </c>
      <c r="R195" s="148">
        <f t="shared" si="12"/>
        <v>16</v>
      </c>
      <c r="S195" s="633" t="s">
        <v>1569</v>
      </c>
      <c r="T195" s="167"/>
    </row>
    <row r="196" spans="1:20" ht="28.8" x14ac:dyDescent="0.3">
      <c r="A196" s="98">
        <f t="shared" si="11"/>
        <v>193</v>
      </c>
      <c r="B196" s="506">
        <v>1550</v>
      </c>
      <c r="C196" s="492">
        <v>45957</v>
      </c>
      <c r="D196" s="219"/>
      <c r="E196" s="270" t="s">
        <v>4845</v>
      </c>
      <c r="F196" s="344" t="s">
        <v>21</v>
      </c>
      <c r="G196" s="112" t="s">
        <v>4</v>
      </c>
      <c r="H196" s="493">
        <v>45957</v>
      </c>
      <c r="I196" s="25"/>
      <c r="J196" s="107" t="s">
        <v>2506</v>
      </c>
      <c r="K196" s="507"/>
      <c r="L196" s="508"/>
      <c r="M196" s="365"/>
      <c r="N196" s="509"/>
      <c r="O196" s="510"/>
      <c r="P196" s="511"/>
      <c r="Q196" s="500">
        <v>45957</v>
      </c>
      <c r="R196" s="148">
        <f t="shared" si="12"/>
        <v>0</v>
      </c>
      <c r="S196" s="633" t="s">
        <v>151</v>
      </c>
      <c r="T196" s="167"/>
    </row>
    <row r="197" spans="1:20" ht="28.8" x14ac:dyDescent="0.3">
      <c r="A197" s="98">
        <f t="shared" si="11"/>
        <v>194</v>
      </c>
      <c r="B197" s="506" t="s">
        <v>80</v>
      </c>
      <c r="C197" s="492">
        <v>45957</v>
      </c>
      <c r="D197" s="219">
        <v>111148316</v>
      </c>
      <c r="E197" s="270" t="s">
        <v>4846</v>
      </c>
      <c r="F197" s="344" t="s">
        <v>17</v>
      </c>
      <c r="G197" s="112" t="s">
        <v>6</v>
      </c>
      <c r="H197" s="493">
        <v>45957</v>
      </c>
      <c r="I197" s="25"/>
      <c r="J197" s="107" t="s">
        <v>82</v>
      </c>
      <c r="K197" s="507"/>
      <c r="L197" s="508"/>
      <c r="M197" s="365"/>
      <c r="N197" s="509"/>
      <c r="O197" s="510"/>
      <c r="P197" s="511"/>
      <c r="Q197" s="500">
        <v>46013</v>
      </c>
      <c r="R197" s="148">
        <f t="shared" si="12"/>
        <v>56</v>
      </c>
      <c r="S197" s="633" t="s">
        <v>2747</v>
      </c>
      <c r="T197" s="69"/>
    </row>
    <row r="198" spans="1:20" ht="43.2" x14ac:dyDescent="0.3">
      <c r="A198" s="98">
        <f t="shared" si="11"/>
        <v>195</v>
      </c>
      <c r="B198" s="506" t="s">
        <v>1826</v>
      </c>
      <c r="C198" s="492">
        <v>45957</v>
      </c>
      <c r="D198" s="219"/>
      <c r="E198" s="270" t="s">
        <v>4847</v>
      </c>
      <c r="F198" s="344" t="s">
        <v>25</v>
      </c>
      <c r="G198" s="112" t="s">
        <v>4</v>
      </c>
      <c r="H198" s="493">
        <v>45957</v>
      </c>
      <c r="I198" s="25"/>
      <c r="J198" s="107" t="s">
        <v>22</v>
      </c>
      <c r="K198" s="226"/>
      <c r="L198" s="580"/>
      <c r="M198" s="228"/>
      <c r="N198" s="509"/>
      <c r="O198" s="510"/>
      <c r="P198" s="511"/>
      <c r="Q198" s="500">
        <v>45957</v>
      </c>
      <c r="R198" s="148">
        <f t="shared" si="12"/>
        <v>0</v>
      </c>
      <c r="S198" s="633" t="s">
        <v>720</v>
      </c>
      <c r="T198" s="69"/>
    </row>
    <row r="199" spans="1:20" x14ac:dyDescent="0.3">
      <c r="A199" s="98">
        <f t="shared" si="11"/>
        <v>196</v>
      </c>
      <c r="B199" s="506">
        <v>1550</v>
      </c>
      <c r="C199" s="492">
        <v>45957</v>
      </c>
      <c r="D199" s="219">
        <v>14985446</v>
      </c>
      <c r="E199" s="270" t="s">
        <v>4848</v>
      </c>
      <c r="F199" s="344" t="s">
        <v>23</v>
      </c>
      <c r="G199" s="112" t="s">
        <v>6</v>
      </c>
      <c r="H199" s="493">
        <v>45957</v>
      </c>
      <c r="I199" s="25"/>
      <c r="J199" s="107" t="s">
        <v>135</v>
      </c>
      <c r="K199" s="226"/>
      <c r="L199" s="580"/>
      <c r="M199" s="228"/>
      <c r="N199" s="509"/>
      <c r="O199" s="510"/>
      <c r="P199" s="511"/>
      <c r="Q199" s="500">
        <v>45957</v>
      </c>
      <c r="R199" s="148">
        <f t="shared" si="12"/>
        <v>0</v>
      </c>
      <c r="S199" s="633" t="s">
        <v>1811</v>
      </c>
      <c r="T199" s="69"/>
    </row>
    <row r="200" spans="1:20" ht="28.8" x14ac:dyDescent="0.3">
      <c r="A200" s="98">
        <f t="shared" si="11"/>
        <v>197</v>
      </c>
      <c r="B200" s="506" t="s">
        <v>80</v>
      </c>
      <c r="C200" s="492">
        <v>45957</v>
      </c>
      <c r="D200" s="219">
        <v>114027145</v>
      </c>
      <c r="E200" s="270" t="s">
        <v>4849</v>
      </c>
      <c r="F200" s="344" t="s">
        <v>32</v>
      </c>
      <c r="G200" s="112" t="s">
        <v>4</v>
      </c>
      <c r="H200" s="493">
        <v>45957</v>
      </c>
      <c r="I200" s="25"/>
      <c r="J200" s="107" t="s">
        <v>106</v>
      </c>
      <c r="K200" s="226"/>
      <c r="L200" s="580"/>
      <c r="M200" s="228"/>
      <c r="N200" s="509"/>
      <c r="O200" s="510"/>
      <c r="P200" s="511"/>
      <c r="Q200" s="500">
        <v>45958</v>
      </c>
      <c r="R200" s="148">
        <f t="shared" si="12"/>
        <v>1</v>
      </c>
      <c r="S200" s="633" t="s">
        <v>4</v>
      </c>
      <c r="T200" s="69"/>
    </row>
    <row r="201" spans="1:20" ht="47.25" customHeight="1" x14ac:dyDescent="0.3">
      <c r="A201" s="98">
        <f t="shared" si="11"/>
        <v>198</v>
      </c>
      <c r="B201" s="506">
        <v>1550</v>
      </c>
      <c r="C201" s="492">
        <v>45957</v>
      </c>
      <c r="D201" s="219">
        <v>110932552</v>
      </c>
      <c r="E201" s="270" t="s">
        <v>4850</v>
      </c>
      <c r="F201" s="344" t="s">
        <v>17</v>
      </c>
      <c r="G201" s="112" t="s">
        <v>10</v>
      </c>
      <c r="H201" s="493">
        <v>45957</v>
      </c>
      <c r="I201" s="25"/>
      <c r="J201" s="107" t="s">
        <v>82</v>
      </c>
      <c r="K201" s="507"/>
      <c r="L201" s="508"/>
      <c r="M201" s="365"/>
      <c r="N201" s="509"/>
      <c r="O201" s="510"/>
      <c r="P201" s="511"/>
      <c r="Q201" s="500">
        <v>46013</v>
      </c>
      <c r="R201" s="148">
        <f t="shared" si="12"/>
        <v>56</v>
      </c>
      <c r="S201" s="633" t="s">
        <v>85</v>
      </c>
      <c r="T201" s="167"/>
    </row>
    <row r="202" spans="1:20" ht="37.5" customHeight="1" x14ac:dyDescent="0.3">
      <c r="A202" s="98">
        <f t="shared" si="11"/>
        <v>199</v>
      </c>
      <c r="B202" s="506">
        <v>1550</v>
      </c>
      <c r="C202" s="492">
        <v>45957</v>
      </c>
      <c r="D202" s="219">
        <v>5972906</v>
      </c>
      <c r="E202" s="270" t="s">
        <v>4851</v>
      </c>
      <c r="F202" s="344" t="s">
        <v>1</v>
      </c>
      <c r="G202" s="112" t="s">
        <v>10</v>
      </c>
      <c r="H202" s="493">
        <v>45957</v>
      </c>
      <c r="I202" s="25"/>
      <c r="J202" s="107" t="s">
        <v>2432</v>
      </c>
      <c r="K202" s="494"/>
      <c r="L202" s="669"/>
      <c r="M202" s="552"/>
      <c r="N202" s="497"/>
      <c r="O202" s="498"/>
      <c r="P202" s="499"/>
      <c r="Q202" s="500">
        <v>45958</v>
      </c>
      <c r="R202" s="148">
        <f t="shared" si="12"/>
        <v>1</v>
      </c>
      <c r="S202" s="633" t="s">
        <v>2716</v>
      </c>
      <c r="T202" s="69"/>
    </row>
    <row r="203" spans="1:20" ht="45" customHeight="1" x14ac:dyDescent="0.3">
      <c r="A203" s="98">
        <f t="shared" si="11"/>
        <v>200</v>
      </c>
      <c r="B203" s="506">
        <v>1550</v>
      </c>
      <c r="C203" s="492">
        <v>45957</v>
      </c>
      <c r="D203" s="219">
        <v>4580486</v>
      </c>
      <c r="E203" s="270" t="s">
        <v>4852</v>
      </c>
      <c r="F203" s="344" t="s">
        <v>1</v>
      </c>
      <c r="G203" s="112" t="s">
        <v>10</v>
      </c>
      <c r="H203" s="493">
        <v>45957</v>
      </c>
      <c r="I203" s="25"/>
      <c r="J203" s="107" t="s">
        <v>2352</v>
      </c>
      <c r="K203" s="494"/>
      <c r="L203" s="636"/>
      <c r="M203" s="496"/>
      <c r="N203" s="497"/>
      <c r="O203" s="498"/>
      <c r="P203" s="499"/>
      <c r="Q203" s="500">
        <v>45957</v>
      </c>
      <c r="R203" s="148">
        <f t="shared" si="12"/>
        <v>0</v>
      </c>
      <c r="S203" s="633" t="s">
        <v>1806</v>
      </c>
      <c r="T203" s="69"/>
    </row>
    <row r="204" spans="1:20" ht="48" customHeight="1" x14ac:dyDescent="0.3">
      <c r="A204" s="98">
        <f t="shared" si="11"/>
        <v>201</v>
      </c>
      <c r="B204" s="506">
        <v>1550</v>
      </c>
      <c r="C204" s="492">
        <v>45957</v>
      </c>
      <c r="D204" s="219">
        <v>305525972</v>
      </c>
      <c r="E204" s="270" t="s">
        <v>4853</v>
      </c>
      <c r="F204" s="344" t="s">
        <v>1</v>
      </c>
      <c r="G204" s="112" t="s">
        <v>10</v>
      </c>
      <c r="H204" s="493">
        <v>45957</v>
      </c>
      <c r="I204" s="25"/>
      <c r="J204" s="107" t="s">
        <v>2513</v>
      </c>
      <c r="K204" s="494"/>
      <c r="L204" s="495"/>
      <c r="M204" s="496"/>
      <c r="N204" s="497"/>
      <c r="O204" s="498"/>
      <c r="P204" s="499"/>
      <c r="Q204" s="500">
        <v>45959</v>
      </c>
      <c r="R204" s="148">
        <f t="shared" si="12"/>
        <v>2</v>
      </c>
      <c r="S204" s="633" t="s">
        <v>214</v>
      </c>
      <c r="T204" s="69"/>
    </row>
    <row r="205" spans="1:20" ht="42.75" customHeight="1" x14ac:dyDescent="0.3">
      <c r="A205" s="98">
        <f t="shared" si="11"/>
        <v>202</v>
      </c>
      <c r="B205" s="506">
        <v>1550</v>
      </c>
      <c r="C205" s="492">
        <v>45957</v>
      </c>
      <c r="D205" s="219">
        <v>6667570</v>
      </c>
      <c r="E205" s="270" t="s">
        <v>4854</v>
      </c>
      <c r="F205" s="344" t="s">
        <v>12</v>
      </c>
      <c r="G205" s="112" t="s">
        <v>10</v>
      </c>
      <c r="H205" s="493">
        <v>45957</v>
      </c>
      <c r="I205" s="25"/>
      <c r="J205" s="107" t="s">
        <v>159</v>
      </c>
      <c r="K205" s="494"/>
      <c r="L205" s="495"/>
      <c r="M205" s="496"/>
      <c r="N205" s="497"/>
      <c r="O205" s="498"/>
      <c r="P205" s="499"/>
      <c r="Q205" s="500">
        <v>45959</v>
      </c>
      <c r="R205" s="148">
        <f t="shared" si="12"/>
        <v>2</v>
      </c>
      <c r="S205" s="633" t="s">
        <v>1870</v>
      </c>
      <c r="T205" s="69"/>
    </row>
    <row r="206" spans="1:20" ht="57.6" x14ac:dyDescent="0.3">
      <c r="A206" s="98">
        <f t="shared" si="11"/>
        <v>203</v>
      </c>
      <c r="B206" s="506">
        <v>1550</v>
      </c>
      <c r="C206" s="492">
        <v>45958</v>
      </c>
      <c r="D206" s="219">
        <v>59692502</v>
      </c>
      <c r="E206" s="263" t="s">
        <v>4855</v>
      </c>
      <c r="F206" s="344" t="s">
        <v>39</v>
      </c>
      <c r="G206" s="112" t="s">
        <v>4</v>
      </c>
      <c r="H206" s="493">
        <v>45958</v>
      </c>
      <c r="I206" s="25"/>
      <c r="J206" s="107" t="s">
        <v>22</v>
      </c>
      <c r="K206" s="494"/>
      <c r="L206" s="495"/>
      <c r="M206" s="496"/>
      <c r="N206" s="497"/>
      <c r="O206" s="498"/>
      <c r="P206" s="499"/>
      <c r="Q206" s="500">
        <v>45980</v>
      </c>
      <c r="R206" s="148">
        <f t="shared" si="12"/>
        <v>22</v>
      </c>
      <c r="S206" s="633" t="s">
        <v>4</v>
      </c>
      <c r="T206" s="69"/>
    </row>
    <row r="207" spans="1:20" ht="100.8" x14ac:dyDescent="0.3">
      <c r="A207" s="98">
        <f t="shared" si="11"/>
        <v>204</v>
      </c>
      <c r="B207" s="506" t="s">
        <v>301</v>
      </c>
      <c r="C207" s="492">
        <v>45958</v>
      </c>
      <c r="D207" s="219">
        <v>6821626</v>
      </c>
      <c r="E207" s="270" t="s">
        <v>4856</v>
      </c>
      <c r="F207" s="344" t="s">
        <v>7</v>
      </c>
      <c r="G207" s="112" t="s">
        <v>6</v>
      </c>
      <c r="H207" s="493">
        <v>45958</v>
      </c>
      <c r="I207" s="25"/>
      <c r="J207" s="107" t="s">
        <v>3948</v>
      </c>
      <c r="K207" s="494"/>
      <c r="L207" s="495"/>
      <c r="M207" s="496"/>
      <c r="N207" s="497"/>
      <c r="O207" s="498"/>
      <c r="P207" s="499"/>
      <c r="Q207" s="500">
        <v>45960</v>
      </c>
      <c r="R207" s="148">
        <f t="shared" si="12"/>
        <v>2</v>
      </c>
      <c r="S207" s="633" t="s">
        <v>6</v>
      </c>
      <c r="T207" s="57"/>
    </row>
    <row r="208" spans="1:20" ht="28.8" x14ac:dyDescent="0.3">
      <c r="A208" s="98">
        <f t="shared" si="11"/>
        <v>205</v>
      </c>
      <c r="B208" s="506">
        <v>1550</v>
      </c>
      <c r="C208" s="492">
        <v>45958</v>
      </c>
      <c r="D208" s="219">
        <v>42477689</v>
      </c>
      <c r="E208" s="264" t="s">
        <v>4857</v>
      </c>
      <c r="F208" s="344" t="s">
        <v>7</v>
      </c>
      <c r="G208" s="112" t="s">
        <v>4</v>
      </c>
      <c r="H208" s="493">
        <v>45958</v>
      </c>
      <c r="I208" s="25"/>
      <c r="J208" s="107" t="s">
        <v>2513</v>
      </c>
      <c r="K208" s="494"/>
      <c r="L208" s="495"/>
      <c r="M208" s="496"/>
      <c r="N208" s="497"/>
      <c r="O208" s="498"/>
      <c r="P208" s="499"/>
      <c r="Q208" s="500">
        <v>45958</v>
      </c>
      <c r="R208" s="148">
        <f t="shared" si="12"/>
        <v>0</v>
      </c>
      <c r="S208" s="633" t="s">
        <v>4</v>
      </c>
      <c r="T208" s="57"/>
    </row>
    <row r="209" spans="1:20" ht="28.8" x14ac:dyDescent="0.3">
      <c r="A209" s="98">
        <f t="shared" si="11"/>
        <v>206</v>
      </c>
      <c r="B209" s="506" t="s">
        <v>80</v>
      </c>
      <c r="C209" s="492">
        <v>45958</v>
      </c>
      <c r="D209" s="82">
        <v>13761846</v>
      </c>
      <c r="E209" s="270" t="s">
        <v>4858</v>
      </c>
      <c r="F209" s="344" t="s">
        <v>23</v>
      </c>
      <c r="G209" s="112" t="s">
        <v>6</v>
      </c>
      <c r="H209" s="493">
        <v>45958</v>
      </c>
      <c r="I209" s="25"/>
      <c r="J209" s="107" t="s">
        <v>99</v>
      </c>
      <c r="K209" s="494"/>
      <c r="L209" s="495"/>
      <c r="M209" s="496"/>
      <c r="N209" s="497"/>
      <c r="O209" s="498"/>
      <c r="P209" s="499"/>
      <c r="Q209" s="500">
        <v>45965</v>
      </c>
      <c r="R209" s="148">
        <f t="shared" si="12"/>
        <v>7</v>
      </c>
      <c r="S209" s="633" t="s">
        <v>2747</v>
      </c>
      <c r="T209" s="201" t="s">
        <v>4859</v>
      </c>
    </row>
    <row r="210" spans="1:20" ht="72" x14ac:dyDescent="0.3">
      <c r="A210" s="98">
        <f t="shared" si="11"/>
        <v>207</v>
      </c>
      <c r="B210" s="506" t="s">
        <v>80</v>
      </c>
      <c r="C210" s="492">
        <v>45958</v>
      </c>
      <c r="D210" s="219">
        <v>115153721</v>
      </c>
      <c r="E210" s="270" t="s">
        <v>4860</v>
      </c>
      <c r="F210" s="344" t="s">
        <v>1</v>
      </c>
      <c r="G210" s="112" t="s">
        <v>6</v>
      </c>
      <c r="H210" s="493">
        <v>45958</v>
      </c>
      <c r="I210" s="25"/>
      <c r="J210" s="107" t="s">
        <v>2352</v>
      </c>
      <c r="K210" s="513"/>
      <c r="L210" s="514"/>
      <c r="M210" s="515"/>
      <c r="N210" s="31"/>
      <c r="O210" s="53"/>
      <c r="P210" s="55"/>
      <c r="Q210" s="500">
        <v>45972</v>
      </c>
      <c r="R210" s="148">
        <f t="shared" si="12"/>
        <v>14</v>
      </c>
      <c r="S210" s="633" t="s">
        <v>2747</v>
      </c>
      <c r="T210" s="257"/>
    </row>
    <row r="211" spans="1:20" ht="42.75" customHeight="1" x14ac:dyDescent="0.3">
      <c r="A211" s="98">
        <f t="shared" si="11"/>
        <v>208</v>
      </c>
      <c r="B211" s="506" t="s">
        <v>80</v>
      </c>
      <c r="C211" s="492">
        <v>45958</v>
      </c>
      <c r="D211" s="219">
        <v>55916791</v>
      </c>
      <c r="E211" s="270" t="s">
        <v>4861</v>
      </c>
      <c r="F211" s="344"/>
      <c r="G211" s="112" t="s">
        <v>10</v>
      </c>
      <c r="H211" s="493">
        <v>45958</v>
      </c>
      <c r="I211" s="25"/>
      <c r="J211" s="107" t="s">
        <v>99</v>
      </c>
      <c r="K211" s="494"/>
      <c r="L211" s="495"/>
      <c r="M211" s="496"/>
      <c r="N211" s="497"/>
      <c r="O211" s="498"/>
      <c r="P211" s="499"/>
      <c r="Q211" s="500">
        <v>45960</v>
      </c>
      <c r="R211" s="148">
        <f t="shared" si="12"/>
        <v>2</v>
      </c>
      <c r="S211" s="633" t="s">
        <v>1319</v>
      </c>
      <c r="T211" s="57" t="s">
        <v>4862</v>
      </c>
    </row>
    <row r="212" spans="1:20" ht="43.2" x14ac:dyDescent="0.3">
      <c r="A212" s="98">
        <f t="shared" si="11"/>
        <v>209</v>
      </c>
      <c r="B212" s="506">
        <v>1550</v>
      </c>
      <c r="C212" s="492">
        <v>45958</v>
      </c>
      <c r="D212" s="219">
        <v>4213300</v>
      </c>
      <c r="E212" s="270" t="s">
        <v>4863</v>
      </c>
      <c r="F212" s="344" t="s">
        <v>23</v>
      </c>
      <c r="G212" s="112" t="s">
        <v>10</v>
      </c>
      <c r="H212" s="493">
        <v>45958</v>
      </c>
      <c r="I212" s="25"/>
      <c r="J212" s="107" t="s">
        <v>135</v>
      </c>
      <c r="K212" s="494"/>
      <c r="L212" s="495"/>
      <c r="M212" s="496"/>
      <c r="N212" s="497"/>
      <c r="O212" s="498"/>
      <c r="P212" s="499"/>
      <c r="Q212" s="500">
        <v>45958</v>
      </c>
      <c r="R212" s="148">
        <f t="shared" si="12"/>
        <v>0</v>
      </c>
      <c r="S212" s="633" t="s">
        <v>85</v>
      </c>
      <c r="T212" s="57"/>
    </row>
    <row r="213" spans="1:20" ht="93" customHeight="1" x14ac:dyDescent="0.3">
      <c r="A213" s="98">
        <f t="shared" si="11"/>
        <v>210</v>
      </c>
      <c r="B213" s="506">
        <v>1550</v>
      </c>
      <c r="C213" s="492">
        <v>45958</v>
      </c>
      <c r="D213" s="219"/>
      <c r="E213" s="270" t="s">
        <v>4864</v>
      </c>
      <c r="F213" s="344" t="s">
        <v>21</v>
      </c>
      <c r="G213" s="112" t="s">
        <v>10</v>
      </c>
      <c r="H213" s="493">
        <v>45958</v>
      </c>
      <c r="I213" s="25"/>
      <c r="J213" s="107" t="s">
        <v>2432</v>
      </c>
      <c r="K213" s="494"/>
      <c r="L213" s="495"/>
      <c r="M213" s="496"/>
      <c r="N213" s="497"/>
      <c r="O213" s="498"/>
      <c r="P213" s="499"/>
      <c r="Q213" s="500">
        <v>45958</v>
      </c>
      <c r="R213" s="148">
        <f t="shared" si="12"/>
        <v>0</v>
      </c>
      <c r="S213" s="633" t="s">
        <v>1806</v>
      </c>
      <c r="T213" s="201"/>
    </row>
    <row r="214" spans="1:20" ht="28.8" x14ac:dyDescent="0.3">
      <c r="A214" s="98">
        <f t="shared" si="11"/>
        <v>211</v>
      </c>
      <c r="B214" s="506">
        <v>1550</v>
      </c>
      <c r="C214" s="492">
        <v>45959</v>
      </c>
      <c r="D214" s="219">
        <v>91547377</v>
      </c>
      <c r="E214" s="270" t="s">
        <v>4865</v>
      </c>
      <c r="F214" s="344" t="s">
        <v>32</v>
      </c>
      <c r="G214" s="112" t="s">
        <v>4</v>
      </c>
      <c r="H214" s="493">
        <v>45959</v>
      </c>
      <c r="I214" s="25"/>
      <c r="J214" s="107" t="s">
        <v>106</v>
      </c>
      <c r="K214" s="518"/>
      <c r="L214" s="613"/>
      <c r="M214" s="691"/>
      <c r="N214" s="520"/>
      <c r="O214" s="520"/>
      <c r="P214" s="521"/>
      <c r="Q214" s="500">
        <v>45960</v>
      </c>
      <c r="R214" s="148">
        <f t="shared" si="12"/>
        <v>1</v>
      </c>
      <c r="S214" s="633" t="s">
        <v>1806</v>
      </c>
      <c r="T214" s="201"/>
    </row>
    <row r="215" spans="1:20" ht="28.8" x14ac:dyDescent="0.3">
      <c r="A215" s="98">
        <f t="shared" si="11"/>
        <v>212</v>
      </c>
      <c r="B215" s="506">
        <v>1550</v>
      </c>
      <c r="C215" s="492">
        <v>45959</v>
      </c>
      <c r="D215" s="219">
        <v>120624524</v>
      </c>
      <c r="E215" s="270" t="s">
        <v>4866</v>
      </c>
      <c r="F215" s="344" t="s">
        <v>1</v>
      </c>
      <c r="G215" s="112" t="s">
        <v>4</v>
      </c>
      <c r="H215" s="493">
        <v>45959</v>
      </c>
      <c r="I215" s="25"/>
      <c r="J215" s="107" t="s">
        <v>4867</v>
      </c>
      <c r="K215" s="518"/>
      <c r="L215" s="518"/>
      <c r="M215" s="519"/>
      <c r="N215" s="520"/>
      <c r="O215" s="520"/>
      <c r="P215" s="521"/>
      <c r="Q215" s="500">
        <v>45972</v>
      </c>
      <c r="R215" s="148">
        <f t="shared" si="12"/>
        <v>13</v>
      </c>
      <c r="S215" s="633" t="s">
        <v>4</v>
      </c>
      <c r="T215" s="201"/>
    </row>
    <row r="216" spans="1:20" x14ac:dyDescent="0.3">
      <c r="A216" s="98">
        <f t="shared" si="11"/>
        <v>213</v>
      </c>
      <c r="B216" s="506">
        <v>1550</v>
      </c>
      <c r="C216" s="492">
        <v>45959</v>
      </c>
      <c r="D216" s="219">
        <v>89718739</v>
      </c>
      <c r="E216" s="270" t="s">
        <v>4868</v>
      </c>
      <c r="F216" s="344" t="s">
        <v>14</v>
      </c>
      <c r="G216" s="112" t="s">
        <v>4</v>
      </c>
      <c r="H216" s="493">
        <v>45959</v>
      </c>
      <c r="I216" s="25"/>
      <c r="J216" s="107" t="s">
        <v>1357</v>
      </c>
      <c r="K216" s="518"/>
      <c r="L216" s="518"/>
      <c r="M216" s="519"/>
      <c r="N216" s="520"/>
      <c r="O216" s="520"/>
      <c r="P216" s="521"/>
      <c r="Q216" s="500">
        <v>45960</v>
      </c>
      <c r="R216" s="148">
        <f t="shared" si="12"/>
        <v>1</v>
      </c>
      <c r="S216" s="633" t="s">
        <v>4</v>
      </c>
      <c r="T216" s="201"/>
    </row>
    <row r="217" spans="1:20" ht="28.8" x14ac:dyDescent="0.3">
      <c r="A217" s="98">
        <f t="shared" ref="A217:A235" si="13">A216+1</f>
        <v>214</v>
      </c>
      <c r="B217" s="506" t="s">
        <v>80</v>
      </c>
      <c r="C217" s="492">
        <v>45959</v>
      </c>
      <c r="D217" s="219"/>
      <c r="E217" s="270" t="s">
        <v>4869</v>
      </c>
      <c r="F217" s="344" t="s">
        <v>3</v>
      </c>
      <c r="G217" s="112" t="s">
        <v>4</v>
      </c>
      <c r="H217" s="493">
        <v>45959</v>
      </c>
      <c r="I217" s="25">
        <v>10000327222</v>
      </c>
      <c r="J217" s="107" t="s">
        <v>4870</v>
      </c>
      <c r="K217" s="518"/>
      <c r="L217" s="518"/>
      <c r="M217" s="519"/>
      <c r="N217" s="520"/>
      <c r="O217" s="520"/>
      <c r="P217" s="521"/>
      <c r="Q217" s="500">
        <v>45965</v>
      </c>
      <c r="R217" s="148">
        <f t="shared" ref="R217:R235" si="14">Q217-H217</f>
        <v>6</v>
      </c>
      <c r="S217" s="633" t="s">
        <v>4</v>
      </c>
      <c r="T217" s="201"/>
    </row>
    <row r="218" spans="1:20" ht="57.6" x14ac:dyDescent="0.3">
      <c r="A218" s="98">
        <f t="shared" si="13"/>
        <v>215</v>
      </c>
      <c r="B218" s="506" t="s">
        <v>301</v>
      </c>
      <c r="C218" s="492">
        <v>45959</v>
      </c>
      <c r="D218" s="219">
        <v>102210373</v>
      </c>
      <c r="E218" s="270" t="s">
        <v>4871</v>
      </c>
      <c r="F218" s="344" t="s">
        <v>1</v>
      </c>
      <c r="G218" s="112" t="s">
        <v>6</v>
      </c>
      <c r="H218" s="493">
        <v>45959</v>
      </c>
      <c r="I218" s="655"/>
      <c r="J218" s="107" t="s">
        <v>4872</v>
      </c>
      <c r="K218" s="518"/>
      <c r="L218" s="518"/>
      <c r="M218" s="519"/>
      <c r="N218" s="520"/>
      <c r="O218" s="520"/>
      <c r="P218" s="521"/>
      <c r="Q218" s="500">
        <v>45966</v>
      </c>
      <c r="R218" s="148">
        <f t="shared" si="14"/>
        <v>7</v>
      </c>
      <c r="S218" s="633" t="s">
        <v>6</v>
      </c>
      <c r="T218" s="201"/>
    </row>
    <row r="219" spans="1:20" ht="28.8" x14ac:dyDescent="0.45">
      <c r="A219" s="98">
        <f t="shared" si="13"/>
        <v>216</v>
      </c>
      <c r="B219" s="506">
        <v>1550</v>
      </c>
      <c r="C219" s="492">
        <v>45959</v>
      </c>
      <c r="D219" s="219">
        <v>120682028</v>
      </c>
      <c r="E219" s="270" t="s">
        <v>4873</v>
      </c>
      <c r="F219" s="344" t="s">
        <v>7</v>
      </c>
      <c r="G219" s="112" t="s">
        <v>4</v>
      </c>
      <c r="H219" s="493">
        <v>45959</v>
      </c>
      <c r="I219" s="25"/>
      <c r="J219" s="107" t="s">
        <v>2306</v>
      </c>
      <c r="K219" s="518"/>
      <c r="L219" s="518"/>
      <c r="M219" s="519"/>
      <c r="N219" s="692"/>
      <c r="O219" s="520"/>
      <c r="P219" s="521"/>
      <c r="Q219" s="500">
        <v>45960</v>
      </c>
      <c r="R219" s="148">
        <f t="shared" si="14"/>
        <v>1</v>
      </c>
      <c r="S219" s="633" t="s">
        <v>3899</v>
      </c>
      <c r="T219" s="201"/>
    </row>
    <row r="220" spans="1:20" ht="43.2" x14ac:dyDescent="0.3">
      <c r="A220" s="98">
        <f t="shared" si="13"/>
        <v>217</v>
      </c>
      <c r="B220" s="506" t="s">
        <v>80</v>
      </c>
      <c r="C220" s="492">
        <v>45959</v>
      </c>
      <c r="D220" s="219">
        <v>1292986</v>
      </c>
      <c r="E220" s="270" t="s">
        <v>4874</v>
      </c>
      <c r="F220" s="344" t="s">
        <v>36</v>
      </c>
      <c r="G220" s="112" t="s">
        <v>6</v>
      </c>
      <c r="H220" s="493">
        <v>45959</v>
      </c>
      <c r="I220" s="25"/>
      <c r="J220" s="107" t="s">
        <v>159</v>
      </c>
      <c r="K220" s="518"/>
      <c r="L220" s="518"/>
      <c r="M220" s="519"/>
      <c r="N220" s="520"/>
      <c r="O220" s="520"/>
      <c r="P220" s="521"/>
      <c r="Q220" s="500">
        <v>45964</v>
      </c>
      <c r="R220" s="148">
        <f t="shared" si="14"/>
        <v>5</v>
      </c>
      <c r="S220" s="633" t="s">
        <v>2747</v>
      </c>
      <c r="T220" s="201"/>
    </row>
    <row r="221" spans="1:20" ht="28.8" x14ac:dyDescent="0.3">
      <c r="A221" s="98">
        <f t="shared" si="13"/>
        <v>218</v>
      </c>
      <c r="B221" s="506" t="s">
        <v>80</v>
      </c>
      <c r="C221" s="492">
        <v>45959</v>
      </c>
      <c r="D221" s="219">
        <v>120695774</v>
      </c>
      <c r="E221" s="270" t="s">
        <v>4875</v>
      </c>
      <c r="F221" s="344" t="s">
        <v>1</v>
      </c>
      <c r="G221" s="112" t="s">
        <v>6</v>
      </c>
      <c r="H221" s="493">
        <v>45959</v>
      </c>
      <c r="I221" s="25"/>
      <c r="J221" s="107" t="s">
        <v>2352</v>
      </c>
      <c r="K221" s="518"/>
      <c r="L221" s="518"/>
      <c r="M221" s="519"/>
      <c r="N221" s="520"/>
      <c r="O221" s="520"/>
      <c r="P221" s="521"/>
      <c r="Q221" s="500">
        <v>45967</v>
      </c>
      <c r="R221" s="148">
        <f t="shared" si="14"/>
        <v>8</v>
      </c>
      <c r="S221" s="633" t="s">
        <v>2747</v>
      </c>
      <c r="T221" s="201"/>
    </row>
    <row r="222" spans="1:20" ht="43.2" x14ac:dyDescent="0.3">
      <c r="A222" s="98">
        <f t="shared" si="13"/>
        <v>219</v>
      </c>
      <c r="B222" s="506" t="s">
        <v>80</v>
      </c>
      <c r="C222" s="492">
        <v>45959</v>
      </c>
      <c r="D222" s="219">
        <v>20008074</v>
      </c>
      <c r="E222" s="270" t="s">
        <v>4876</v>
      </c>
      <c r="F222" s="344" t="s">
        <v>12</v>
      </c>
      <c r="G222" s="112" t="s">
        <v>6</v>
      </c>
      <c r="H222" s="493">
        <v>45959</v>
      </c>
      <c r="I222" s="25"/>
      <c r="J222" s="107" t="s">
        <v>159</v>
      </c>
      <c r="K222" s="518"/>
      <c r="L222" s="518"/>
      <c r="M222" s="519"/>
      <c r="N222" s="520"/>
      <c r="O222" s="520"/>
      <c r="P222" s="521"/>
      <c r="Q222" s="500">
        <v>45964</v>
      </c>
      <c r="R222" s="148">
        <f t="shared" si="14"/>
        <v>5</v>
      </c>
      <c r="S222" s="633" t="s">
        <v>2747</v>
      </c>
      <c r="T222" s="201"/>
    </row>
    <row r="223" spans="1:20" ht="28.8" x14ac:dyDescent="0.3">
      <c r="A223" s="98">
        <f t="shared" si="13"/>
        <v>220</v>
      </c>
      <c r="B223" s="506" t="s">
        <v>80</v>
      </c>
      <c r="C223" s="492">
        <v>45959</v>
      </c>
      <c r="D223" s="219">
        <v>6792510</v>
      </c>
      <c r="E223" s="270" t="s">
        <v>4877</v>
      </c>
      <c r="F223" s="344" t="s">
        <v>44</v>
      </c>
      <c r="G223" s="112" t="s">
        <v>4</v>
      </c>
      <c r="H223" s="493">
        <v>45959</v>
      </c>
      <c r="I223" s="25"/>
      <c r="J223" s="107" t="s">
        <v>2352</v>
      </c>
      <c r="K223" s="518"/>
      <c r="L223" s="518"/>
      <c r="M223" s="519"/>
      <c r="N223" s="520"/>
      <c r="O223" s="520"/>
      <c r="P223" s="521"/>
      <c r="Q223" s="500">
        <v>46008</v>
      </c>
      <c r="R223" s="148">
        <f t="shared" si="14"/>
        <v>49</v>
      </c>
      <c r="S223" s="633" t="s">
        <v>4</v>
      </c>
      <c r="T223" s="201"/>
    </row>
    <row r="224" spans="1:20" ht="115.2" x14ac:dyDescent="0.3">
      <c r="A224" s="98">
        <f t="shared" si="13"/>
        <v>221</v>
      </c>
      <c r="B224" s="506" t="s">
        <v>1044</v>
      </c>
      <c r="C224" s="492">
        <v>45959</v>
      </c>
      <c r="D224" s="219">
        <v>110544560</v>
      </c>
      <c r="E224" s="270" t="s">
        <v>4878</v>
      </c>
      <c r="F224" s="344" t="s">
        <v>45</v>
      </c>
      <c r="G224" s="112" t="s">
        <v>6</v>
      </c>
      <c r="H224" s="493">
        <v>45959</v>
      </c>
      <c r="I224" s="25"/>
      <c r="J224" s="107" t="s">
        <v>1357</v>
      </c>
      <c r="K224" s="518"/>
      <c r="L224" s="518"/>
      <c r="M224" s="519"/>
      <c r="N224" s="520"/>
      <c r="O224" s="520"/>
      <c r="P224" s="521"/>
      <c r="Q224" s="500">
        <v>45959</v>
      </c>
      <c r="R224" s="148">
        <f t="shared" si="14"/>
        <v>0</v>
      </c>
      <c r="S224" s="633" t="s">
        <v>2597</v>
      </c>
      <c r="T224" s="201" t="s">
        <v>4879</v>
      </c>
    </row>
    <row r="225" spans="1:20" ht="57.6" x14ac:dyDescent="0.3">
      <c r="A225" s="98">
        <f t="shared" si="13"/>
        <v>222</v>
      </c>
      <c r="B225" s="553" t="s">
        <v>80</v>
      </c>
      <c r="C225" s="556">
        <v>45959</v>
      </c>
      <c r="D225" s="617">
        <v>8359709</v>
      </c>
      <c r="E225" s="270" t="s">
        <v>4880</v>
      </c>
      <c r="F225" s="416" t="s">
        <v>45</v>
      </c>
      <c r="G225" s="178" t="s">
        <v>6</v>
      </c>
      <c r="H225" s="560">
        <v>45959</v>
      </c>
      <c r="I225" s="561"/>
      <c r="J225" s="489" t="s">
        <v>1357</v>
      </c>
      <c r="K225" s="744"/>
      <c r="L225" s="744"/>
      <c r="M225" s="745"/>
      <c r="N225" s="746"/>
      <c r="O225" s="746"/>
      <c r="P225" s="747"/>
      <c r="Q225" s="500">
        <v>45960</v>
      </c>
      <c r="R225" s="148">
        <f t="shared" si="14"/>
        <v>1</v>
      </c>
      <c r="S225" s="748" t="s">
        <v>2597</v>
      </c>
      <c r="T225" s="57"/>
    </row>
    <row r="226" spans="1:20" ht="43.2" x14ac:dyDescent="0.3">
      <c r="A226" s="98">
        <f t="shared" si="13"/>
        <v>223</v>
      </c>
      <c r="B226" s="111" t="s">
        <v>80</v>
      </c>
      <c r="C226" s="512">
        <v>45959</v>
      </c>
      <c r="D226" s="219">
        <v>73337811</v>
      </c>
      <c r="E226" s="109" t="s">
        <v>4881</v>
      </c>
      <c r="F226" s="111" t="s">
        <v>38</v>
      </c>
      <c r="G226" s="125" t="s">
        <v>6</v>
      </c>
      <c r="H226" s="568">
        <v>45959</v>
      </c>
      <c r="I226" s="341"/>
      <c r="J226" s="125" t="s">
        <v>1357</v>
      </c>
      <c r="K226" s="569"/>
      <c r="L226" s="570"/>
      <c r="M226" s="570"/>
      <c r="N226" s="571"/>
      <c r="O226" s="572"/>
      <c r="P226" s="572"/>
      <c r="Q226" s="512">
        <v>45960</v>
      </c>
      <c r="R226" s="148">
        <f t="shared" si="14"/>
        <v>1</v>
      </c>
      <c r="S226" s="126" t="s">
        <v>2597</v>
      </c>
      <c r="T226" s="57"/>
    </row>
    <row r="227" spans="1:20" ht="49.5" customHeight="1" x14ac:dyDescent="0.3">
      <c r="A227" s="98">
        <f t="shared" si="13"/>
        <v>224</v>
      </c>
      <c r="B227" s="111">
        <v>1550</v>
      </c>
      <c r="C227" s="512">
        <v>45959</v>
      </c>
      <c r="D227" s="219">
        <v>120644568</v>
      </c>
      <c r="E227" s="109" t="s">
        <v>4882</v>
      </c>
      <c r="F227" s="111" t="s">
        <v>1</v>
      </c>
      <c r="G227" s="127" t="s">
        <v>10</v>
      </c>
      <c r="H227" s="568">
        <v>45959</v>
      </c>
      <c r="I227" s="341"/>
      <c r="J227" s="125" t="s">
        <v>2352</v>
      </c>
      <c r="K227" s="608"/>
      <c r="L227" s="608"/>
      <c r="M227" s="608"/>
      <c r="N227" s="743"/>
      <c r="O227" s="743"/>
      <c r="P227" s="743"/>
      <c r="Q227" s="512">
        <v>45959</v>
      </c>
      <c r="R227" s="148">
        <f t="shared" si="14"/>
        <v>0</v>
      </c>
      <c r="S227" s="126" t="s">
        <v>1870</v>
      </c>
      <c r="T227" s="201"/>
    </row>
    <row r="228" spans="1:20" ht="43.2" x14ac:dyDescent="0.3">
      <c r="A228" s="98">
        <f t="shared" si="13"/>
        <v>225</v>
      </c>
      <c r="B228" s="111" t="s">
        <v>301</v>
      </c>
      <c r="C228" s="512">
        <v>45959</v>
      </c>
      <c r="D228" s="219">
        <v>86676180</v>
      </c>
      <c r="E228" s="688" t="s">
        <v>4883</v>
      </c>
      <c r="F228" s="405" t="s">
        <v>25</v>
      </c>
      <c r="G228" s="127" t="s">
        <v>6</v>
      </c>
      <c r="H228" s="568">
        <v>45960</v>
      </c>
      <c r="I228" s="341"/>
      <c r="J228" s="125" t="s">
        <v>22</v>
      </c>
      <c r="K228" s="569"/>
      <c r="L228" s="570"/>
      <c r="M228" s="570"/>
      <c r="N228" s="571"/>
      <c r="O228" s="572"/>
      <c r="P228" s="572"/>
      <c r="Q228" s="512">
        <v>45960</v>
      </c>
      <c r="R228" s="148">
        <f t="shared" si="14"/>
        <v>0</v>
      </c>
      <c r="S228" s="126" t="s">
        <v>1811</v>
      </c>
      <c r="T228" s="57" t="s">
        <v>4884</v>
      </c>
    </row>
    <row r="229" spans="1:20" ht="28.8" x14ac:dyDescent="0.3">
      <c r="A229" s="98">
        <f t="shared" si="13"/>
        <v>226</v>
      </c>
      <c r="B229" s="554">
        <v>1550</v>
      </c>
      <c r="C229" s="573">
        <v>45960</v>
      </c>
      <c r="D229" s="664">
        <v>98068245</v>
      </c>
      <c r="E229" s="277" t="s">
        <v>4885</v>
      </c>
      <c r="F229" s="101" t="s">
        <v>33</v>
      </c>
      <c r="G229" s="81" t="s">
        <v>4</v>
      </c>
      <c r="H229" s="493">
        <v>45960</v>
      </c>
      <c r="I229" s="555"/>
      <c r="J229" s="107" t="s">
        <v>1357</v>
      </c>
      <c r="K229" s="574"/>
      <c r="L229" s="575"/>
      <c r="M229" s="576"/>
      <c r="N229" s="577"/>
      <c r="O229" s="578"/>
      <c r="P229" s="579"/>
      <c r="Q229" s="516">
        <v>45967</v>
      </c>
      <c r="R229" s="148">
        <f t="shared" si="14"/>
        <v>7</v>
      </c>
      <c r="S229" s="634" t="s">
        <v>4</v>
      </c>
      <c r="T229" s="57"/>
    </row>
    <row r="230" spans="1:20" ht="28.8" x14ac:dyDescent="0.3">
      <c r="A230" s="98">
        <f t="shared" si="13"/>
        <v>227</v>
      </c>
      <c r="B230" s="506">
        <v>1550</v>
      </c>
      <c r="C230" s="492">
        <v>45960</v>
      </c>
      <c r="D230" s="219">
        <v>93897685</v>
      </c>
      <c r="E230" s="270" t="s">
        <v>4886</v>
      </c>
      <c r="F230" s="344" t="s">
        <v>7</v>
      </c>
      <c r="G230" s="172" t="s">
        <v>4</v>
      </c>
      <c r="H230" s="493">
        <v>45960</v>
      </c>
      <c r="I230" s="25"/>
      <c r="J230" s="107" t="s">
        <v>2513</v>
      </c>
      <c r="K230" s="513"/>
      <c r="L230" s="514"/>
      <c r="M230" s="515"/>
      <c r="N230" s="31"/>
      <c r="O230" s="53"/>
      <c r="P230" s="55"/>
      <c r="Q230" s="516">
        <v>45991</v>
      </c>
      <c r="R230" s="148">
        <f t="shared" si="14"/>
        <v>31</v>
      </c>
      <c r="S230" s="633" t="s">
        <v>720</v>
      </c>
      <c r="T230" s="201"/>
    </row>
    <row r="231" spans="1:20" ht="72" x14ac:dyDescent="0.3">
      <c r="A231" s="98">
        <f t="shared" si="13"/>
        <v>228</v>
      </c>
      <c r="B231" s="554" t="s">
        <v>301</v>
      </c>
      <c r="C231" s="516">
        <v>45960</v>
      </c>
      <c r="D231" s="219"/>
      <c r="E231" s="270" t="s">
        <v>4887</v>
      </c>
      <c r="F231" s="378" t="s">
        <v>21</v>
      </c>
      <c r="G231" s="221" t="s">
        <v>6</v>
      </c>
      <c r="H231" s="493">
        <v>45960</v>
      </c>
      <c r="I231" s="503"/>
      <c r="J231" s="107" t="s">
        <v>2317</v>
      </c>
      <c r="K231" s="518"/>
      <c r="L231" s="518"/>
      <c r="M231" s="519"/>
      <c r="N231" s="520"/>
      <c r="O231" s="520"/>
      <c r="P231" s="521"/>
      <c r="Q231" s="346">
        <v>45960</v>
      </c>
      <c r="R231" s="148">
        <f t="shared" si="14"/>
        <v>0</v>
      </c>
      <c r="S231" s="633" t="s">
        <v>4888</v>
      </c>
      <c r="T231" s="57"/>
    </row>
    <row r="232" spans="1:20" ht="57.6" x14ac:dyDescent="0.3">
      <c r="A232" s="98">
        <f t="shared" si="13"/>
        <v>229</v>
      </c>
      <c r="B232" s="554" t="s">
        <v>301</v>
      </c>
      <c r="C232" s="516">
        <v>45960</v>
      </c>
      <c r="D232" s="219">
        <v>95915419</v>
      </c>
      <c r="E232" s="270" t="s">
        <v>4889</v>
      </c>
      <c r="F232" s="378" t="s">
        <v>3</v>
      </c>
      <c r="G232" s="221" t="s">
        <v>6</v>
      </c>
      <c r="H232" s="493">
        <v>45960</v>
      </c>
      <c r="I232" s="503"/>
      <c r="J232" s="107" t="s">
        <v>82</v>
      </c>
      <c r="K232" s="518"/>
      <c r="L232" s="518"/>
      <c r="M232" s="519"/>
      <c r="N232" s="520"/>
      <c r="O232" s="520"/>
      <c r="P232" s="521"/>
      <c r="Q232" s="346">
        <v>45961</v>
      </c>
      <c r="R232" s="148">
        <f t="shared" si="14"/>
        <v>1</v>
      </c>
      <c r="S232" s="633" t="s">
        <v>4888</v>
      </c>
      <c r="T232" s="57"/>
    </row>
    <row r="233" spans="1:20" ht="28.8" x14ac:dyDescent="0.3">
      <c r="A233" s="98">
        <f t="shared" si="13"/>
        <v>230</v>
      </c>
      <c r="B233" s="554" t="s">
        <v>80</v>
      </c>
      <c r="C233" s="516">
        <v>45960</v>
      </c>
      <c r="D233" s="219">
        <v>2551179</v>
      </c>
      <c r="E233" s="271" t="s">
        <v>4890</v>
      </c>
      <c r="F233" s="378" t="s">
        <v>38</v>
      </c>
      <c r="G233" s="221" t="s">
        <v>6</v>
      </c>
      <c r="H233" s="493">
        <v>45960</v>
      </c>
      <c r="I233" s="25"/>
      <c r="J233" s="107" t="s">
        <v>1357</v>
      </c>
      <c r="K233" s="518"/>
      <c r="L233" s="518"/>
      <c r="M233" s="519"/>
      <c r="N233" s="520"/>
      <c r="O233" s="520"/>
      <c r="P233" s="521"/>
      <c r="Q233" s="346">
        <v>45960</v>
      </c>
      <c r="R233" s="148">
        <f t="shared" si="14"/>
        <v>0</v>
      </c>
      <c r="S233" s="633" t="s">
        <v>2597</v>
      </c>
      <c r="T233" s="201"/>
    </row>
    <row r="234" spans="1:20" ht="28.8" x14ac:dyDescent="0.3">
      <c r="A234" s="98">
        <f t="shared" si="13"/>
        <v>231</v>
      </c>
      <c r="B234" s="554">
        <v>1550</v>
      </c>
      <c r="C234" s="516">
        <v>45960</v>
      </c>
      <c r="D234" s="219">
        <v>99432579</v>
      </c>
      <c r="E234" s="270" t="s">
        <v>4891</v>
      </c>
      <c r="F234" s="378" t="s">
        <v>7</v>
      </c>
      <c r="G234" s="221" t="s">
        <v>4</v>
      </c>
      <c r="H234" s="493">
        <v>45960</v>
      </c>
      <c r="I234" s="503"/>
      <c r="J234" s="107" t="s">
        <v>2536</v>
      </c>
      <c r="K234" s="513"/>
      <c r="L234" s="582"/>
      <c r="M234" s="515"/>
      <c r="N234" s="31"/>
      <c r="O234" s="53"/>
      <c r="P234" s="55"/>
      <c r="Q234" s="346">
        <v>45960</v>
      </c>
      <c r="R234" s="148">
        <f t="shared" si="14"/>
        <v>0</v>
      </c>
      <c r="S234" s="633" t="s">
        <v>3899</v>
      </c>
      <c r="T234" s="57"/>
    </row>
    <row r="235" spans="1:20" ht="57.6" x14ac:dyDescent="0.3">
      <c r="A235" s="98">
        <f t="shared" si="13"/>
        <v>232</v>
      </c>
      <c r="B235" s="554">
        <v>1550</v>
      </c>
      <c r="C235" s="516">
        <v>45960</v>
      </c>
      <c r="D235" s="219" t="s">
        <v>4892</v>
      </c>
      <c r="E235" s="270" t="s">
        <v>4893</v>
      </c>
      <c r="F235" s="378" t="s">
        <v>1</v>
      </c>
      <c r="G235" s="221" t="s">
        <v>6</v>
      </c>
      <c r="H235" s="493">
        <v>45960</v>
      </c>
      <c r="I235" s="503"/>
      <c r="J235" s="107" t="s">
        <v>2310</v>
      </c>
      <c r="K235" s="518"/>
      <c r="L235" s="518"/>
      <c r="M235" s="519"/>
      <c r="N235" s="520"/>
      <c r="O235" s="520"/>
      <c r="P235" s="521"/>
      <c r="Q235" s="346">
        <v>45964</v>
      </c>
      <c r="R235" s="148">
        <f t="shared" si="14"/>
        <v>4</v>
      </c>
      <c r="S235" s="633" t="s">
        <v>1811</v>
      </c>
      <c r="T235" s="57"/>
    </row>
  </sheetData>
  <autoFilter ref="A3:T235" xr:uid="{8229C560-213C-454F-A06E-B5ADA3BBEA85}"/>
  <mergeCells count="1">
    <mergeCell ref="B1:T1"/>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23433396-6BDB-4026-8517-4361BA0FFBB7}">
          <x14:formula1>
            <xm:f>'Conceptos de Tipificación'!$E$4:$E$7</xm:f>
          </x14:formula1>
          <xm:sqref>G4:G235</xm:sqref>
        </x14:dataValidation>
        <x14:dataValidation type="list" allowBlank="1" showInputMessage="1" showErrorMessage="1" xr:uid="{0AC5CC93-A821-49FE-8E05-CBC22F65A9D2}">
          <x14:formula1>
            <xm:f>'Conceptos de Tipificación'!$A$3:$A$57</xm:f>
          </x14:formula1>
          <xm:sqref>F4:F235</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B3DB3-2374-4B41-994B-0D6738ED7C48}">
  <sheetPr>
    <tabColor rgb="FFFFC000"/>
  </sheetPr>
  <dimension ref="A1:T249"/>
  <sheetViews>
    <sheetView topLeftCell="A3" workbookViewId="0">
      <pane xSplit="7" ySplit="1" topLeftCell="H250" activePane="bottomRight" state="frozen"/>
      <selection pane="topRight"/>
      <selection pane="bottomLeft"/>
      <selection pane="bottomRight" activeCell="A250" sqref="A250:XFD250"/>
    </sheetView>
  </sheetViews>
  <sheetFormatPr baseColWidth="10" defaultColWidth="9.109375" defaultRowHeight="14.4" x14ac:dyDescent="0.3"/>
  <cols>
    <col min="1" max="1" width="7.5546875" customWidth="1"/>
    <col min="2" max="2" width="12.33203125" customWidth="1"/>
    <col min="3" max="3" width="10.88671875" customWidth="1"/>
    <col min="4" max="4" width="11.33203125" customWidth="1"/>
    <col min="5" max="5" width="36.109375" customWidth="1"/>
    <col min="6" max="6" width="14.88671875" style="386" customWidth="1"/>
    <col min="7" max="9" width="13.44140625" customWidth="1"/>
    <col min="10" max="10" width="22.5546875" customWidth="1"/>
    <col min="11" max="16" width="13.44140625" customWidth="1"/>
    <col min="17" max="18" width="12.5546875" customWidth="1"/>
    <col min="19" max="19" width="15.44140625" customWidth="1"/>
    <col min="20" max="20" width="18.109375" customWidth="1"/>
    <col min="21" max="21" width="12.5546875" customWidth="1"/>
  </cols>
  <sheetData>
    <row r="1" spans="1:20" x14ac:dyDescent="0.3">
      <c r="A1" s="24"/>
      <c r="B1" s="857" t="s">
        <v>2268</v>
      </c>
      <c r="C1" s="857"/>
      <c r="D1" s="857"/>
      <c r="E1" s="857"/>
      <c r="F1" s="857"/>
      <c r="G1" s="857"/>
      <c r="H1" s="857"/>
      <c r="I1" s="857"/>
      <c r="J1" s="857"/>
      <c r="K1" s="857"/>
      <c r="L1" s="857"/>
      <c r="M1" s="857"/>
      <c r="N1" s="857"/>
      <c r="O1" s="857"/>
      <c r="P1" s="857"/>
      <c r="Q1" s="857"/>
      <c r="R1" s="857"/>
      <c r="S1" s="857"/>
      <c r="T1" s="857"/>
    </row>
    <row r="2" spans="1:20" x14ac:dyDescent="0.3">
      <c r="A2" s="24"/>
      <c r="B2" s="319"/>
      <c r="C2" s="319"/>
      <c r="D2" s="319"/>
      <c r="E2" s="319"/>
      <c r="F2" s="319"/>
      <c r="G2" s="319"/>
      <c r="H2" s="319"/>
      <c r="I2" s="319"/>
      <c r="J2" s="319"/>
      <c r="K2" s="319"/>
      <c r="L2" s="319"/>
      <c r="M2" s="319"/>
      <c r="N2" s="319"/>
      <c r="O2" s="319"/>
      <c r="P2" s="319"/>
      <c r="Q2" s="319"/>
      <c r="R2" s="319"/>
      <c r="S2" s="319"/>
      <c r="T2" s="319"/>
    </row>
    <row r="3" spans="1:20" ht="43.2" x14ac:dyDescent="0.3">
      <c r="A3" s="24"/>
      <c r="B3" s="320" t="s">
        <v>66</v>
      </c>
      <c r="C3" s="321" t="s">
        <v>67</v>
      </c>
      <c r="D3" s="322" t="s">
        <v>2269</v>
      </c>
      <c r="E3" s="389" t="s">
        <v>68</v>
      </c>
      <c r="F3" s="370" t="s">
        <v>69</v>
      </c>
      <c r="G3" s="324" t="s">
        <v>70</v>
      </c>
      <c r="H3" s="325" t="s">
        <v>71</v>
      </c>
      <c r="I3" s="326" t="s">
        <v>72</v>
      </c>
      <c r="J3" s="327" t="s">
        <v>73</v>
      </c>
      <c r="K3" s="328" t="s">
        <v>74</v>
      </c>
      <c r="L3" s="325" t="s">
        <v>71</v>
      </c>
      <c r="M3" s="327" t="s">
        <v>73</v>
      </c>
      <c r="N3" s="328" t="s">
        <v>75</v>
      </c>
      <c r="O3" s="325" t="s">
        <v>71</v>
      </c>
      <c r="P3" s="327" t="s">
        <v>73</v>
      </c>
      <c r="Q3" s="329" t="s">
        <v>76</v>
      </c>
      <c r="R3" s="323" t="s">
        <v>77</v>
      </c>
      <c r="S3" s="323" t="s">
        <v>78</v>
      </c>
      <c r="T3" s="321" t="s">
        <v>79</v>
      </c>
    </row>
    <row r="4" spans="1:20" ht="28.8" x14ac:dyDescent="0.3">
      <c r="A4" s="98">
        <f>1+1</f>
        <v>2</v>
      </c>
      <c r="B4" s="522" t="s">
        <v>301</v>
      </c>
      <c r="C4" s="523">
        <v>45964</v>
      </c>
      <c r="D4" s="537">
        <v>289535735</v>
      </c>
      <c r="E4" s="270" t="s">
        <v>4894</v>
      </c>
      <c r="F4" s="200" t="s">
        <v>23</v>
      </c>
      <c r="G4" s="221" t="s">
        <v>6</v>
      </c>
      <c r="H4" s="493">
        <v>45964</v>
      </c>
      <c r="I4" s="25"/>
      <c r="J4" s="100" t="s">
        <v>135</v>
      </c>
      <c r="K4" s="494"/>
      <c r="L4" s="495"/>
      <c r="M4" s="496"/>
      <c r="N4" s="497"/>
      <c r="O4" s="498"/>
      <c r="P4" s="499"/>
      <c r="Q4" s="529">
        <v>45965</v>
      </c>
      <c r="R4" s="148">
        <f>Q4-H4</f>
        <v>1</v>
      </c>
      <c r="S4" s="200" t="s">
        <v>2747</v>
      </c>
      <c r="T4" s="629"/>
    </row>
    <row r="5" spans="1:20" ht="57.6" x14ac:dyDescent="0.3">
      <c r="A5" s="98">
        <f t="shared" ref="A5:A36" si="0">A4+1</f>
        <v>3</v>
      </c>
      <c r="B5" s="522">
        <v>1550</v>
      </c>
      <c r="C5" s="523">
        <v>45964</v>
      </c>
      <c r="D5" s="36">
        <v>101550286</v>
      </c>
      <c r="E5" s="635" t="s">
        <v>4895</v>
      </c>
      <c r="F5" s="200" t="s">
        <v>1</v>
      </c>
      <c r="G5" s="221" t="s">
        <v>6</v>
      </c>
      <c r="H5" s="493">
        <v>45964</v>
      </c>
      <c r="I5" s="25"/>
      <c r="J5" s="100" t="s">
        <v>4896</v>
      </c>
      <c r="K5" s="494"/>
      <c r="L5" s="495"/>
      <c r="M5" s="496"/>
      <c r="N5" s="497"/>
      <c r="O5" s="498"/>
      <c r="P5" s="499"/>
      <c r="Q5" s="529">
        <v>45964</v>
      </c>
      <c r="R5" s="148">
        <f t="shared" ref="R5:R68" si="1">Q5-H5</f>
        <v>0</v>
      </c>
      <c r="S5" s="200" t="s">
        <v>720</v>
      </c>
      <c r="T5" s="535"/>
    </row>
    <row r="6" spans="1:20" ht="28.8" x14ac:dyDescent="0.3">
      <c r="A6" s="98">
        <f t="shared" si="0"/>
        <v>4</v>
      </c>
      <c r="B6" s="536" t="s">
        <v>301</v>
      </c>
      <c r="C6" s="523">
        <v>45964</v>
      </c>
      <c r="D6" s="630">
        <v>365477540</v>
      </c>
      <c r="E6" s="308" t="s">
        <v>4897</v>
      </c>
      <c r="F6" s="200" t="s">
        <v>23</v>
      </c>
      <c r="G6" s="221" t="s">
        <v>6</v>
      </c>
      <c r="H6" s="493">
        <v>45964</v>
      </c>
      <c r="I6" s="25"/>
      <c r="J6" s="100" t="s">
        <v>135</v>
      </c>
      <c r="K6" s="494"/>
      <c r="L6" s="495"/>
      <c r="M6" s="496"/>
      <c r="N6" s="497"/>
      <c r="O6" s="498"/>
      <c r="P6" s="499"/>
      <c r="Q6" s="539">
        <v>45964</v>
      </c>
      <c r="R6" s="148">
        <f t="shared" si="1"/>
        <v>0</v>
      </c>
      <c r="S6" s="200" t="s">
        <v>2747</v>
      </c>
      <c r="T6" s="535"/>
    </row>
    <row r="7" spans="1:20" ht="43.2" x14ac:dyDescent="0.3">
      <c r="A7" s="98">
        <f t="shared" si="0"/>
        <v>5</v>
      </c>
      <c r="B7" s="536" t="s">
        <v>1044</v>
      </c>
      <c r="C7" s="652">
        <v>45964</v>
      </c>
      <c r="D7" s="36">
        <v>109626338</v>
      </c>
      <c r="E7" s="275" t="s">
        <v>4748</v>
      </c>
      <c r="F7" s="653" t="s">
        <v>48</v>
      </c>
      <c r="G7" s="221" t="s">
        <v>4</v>
      </c>
      <c r="H7" s="493">
        <v>45964</v>
      </c>
      <c r="I7" s="25"/>
      <c r="J7" s="100" t="s">
        <v>99</v>
      </c>
      <c r="K7" s="494"/>
      <c r="L7" s="495"/>
      <c r="M7" s="496"/>
      <c r="N7" s="497"/>
      <c r="O7" s="498"/>
      <c r="P7" s="499"/>
      <c r="Q7" s="529">
        <v>45973</v>
      </c>
      <c r="R7" s="148">
        <f t="shared" si="1"/>
        <v>9</v>
      </c>
      <c r="S7" s="200" t="s">
        <v>1569</v>
      </c>
      <c r="T7" s="540"/>
    </row>
    <row r="8" spans="1:20" ht="57.6" x14ac:dyDescent="0.3">
      <c r="A8" s="98">
        <f t="shared" si="0"/>
        <v>6</v>
      </c>
      <c r="B8" s="651">
        <v>1550</v>
      </c>
      <c r="C8" s="650">
        <v>45964</v>
      </c>
      <c r="D8" s="219">
        <v>80131131</v>
      </c>
      <c r="E8" s="109" t="s">
        <v>4898</v>
      </c>
      <c r="F8" s="219" t="s">
        <v>37</v>
      </c>
      <c r="G8" s="221" t="s">
        <v>4</v>
      </c>
      <c r="H8" s="493">
        <v>45964</v>
      </c>
      <c r="I8" s="25"/>
      <c r="J8" s="100" t="s">
        <v>3180</v>
      </c>
      <c r="K8" s="494"/>
      <c r="L8" s="495"/>
      <c r="M8" s="496"/>
      <c r="N8" s="497"/>
      <c r="O8" s="498"/>
      <c r="P8" s="499"/>
      <c r="Q8" s="529">
        <v>45966</v>
      </c>
      <c r="R8" s="148">
        <f t="shared" si="1"/>
        <v>2</v>
      </c>
      <c r="S8" s="200" t="s">
        <v>2974</v>
      </c>
      <c r="T8" s="535"/>
    </row>
    <row r="9" spans="1:20" ht="57.6" x14ac:dyDescent="0.3">
      <c r="A9" s="98">
        <f t="shared" si="0"/>
        <v>7</v>
      </c>
      <c r="B9" s="651">
        <v>1550</v>
      </c>
      <c r="C9" s="650">
        <v>45964</v>
      </c>
      <c r="D9" s="123"/>
      <c r="E9" s="175" t="s">
        <v>4899</v>
      </c>
      <c r="F9" s="219" t="s">
        <v>21</v>
      </c>
      <c r="G9" s="221" t="s">
        <v>6</v>
      </c>
      <c r="H9" s="493">
        <v>45964</v>
      </c>
      <c r="I9" s="25"/>
      <c r="J9" s="100" t="s">
        <v>2513</v>
      </c>
      <c r="K9" s="494"/>
      <c r="L9" s="495"/>
      <c r="M9" s="496"/>
      <c r="N9" s="497"/>
      <c r="O9" s="498"/>
      <c r="P9" s="499"/>
      <c r="Q9" s="539">
        <v>45967</v>
      </c>
      <c r="R9" s="148">
        <f t="shared" si="1"/>
        <v>3</v>
      </c>
      <c r="S9" s="200" t="s">
        <v>2808</v>
      </c>
      <c r="T9" s="315"/>
    </row>
    <row r="10" spans="1:20" ht="57.6" x14ac:dyDescent="0.3">
      <c r="A10" s="98">
        <f t="shared" si="0"/>
        <v>8</v>
      </c>
      <c r="B10" s="651" t="s">
        <v>301</v>
      </c>
      <c r="C10" s="650">
        <v>45964</v>
      </c>
      <c r="D10" s="63">
        <v>82771294</v>
      </c>
      <c r="E10" s="254" t="s">
        <v>4900</v>
      </c>
      <c r="F10" s="219" t="s">
        <v>3</v>
      </c>
      <c r="G10" s="221" t="s">
        <v>6</v>
      </c>
      <c r="H10" s="493">
        <v>45964</v>
      </c>
      <c r="I10" s="25">
        <v>10000327899</v>
      </c>
      <c r="J10" s="100" t="s">
        <v>82</v>
      </c>
      <c r="K10" s="494"/>
      <c r="L10" s="495"/>
      <c r="M10" s="496"/>
      <c r="N10" s="497"/>
      <c r="O10" s="498"/>
      <c r="P10" s="499"/>
      <c r="Q10" s="539">
        <v>45989</v>
      </c>
      <c r="R10" s="148">
        <f t="shared" si="1"/>
        <v>25</v>
      </c>
      <c r="S10" s="200" t="s">
        <v>3783</v>
      </c>
      <c r="T10" s="315"/>
    </row>
    <row r="11" spans="1:20" ht="53.25" customHeight="1" x14ac:dyDescent="0.3">
      <c r="A11" s="98">
        <f t="shared" si="0"/>
        <v>9</v>
      </c>
      <c r="B11" s="651" t="s">
        <v>1044</v>
      </c>
      <c r="C11" s="650">
        <v>45964</v>
      </c>
      <c r="D11" s="63">
        <v>105895199</v>
      </c>
      <c r="E11" s="254" t="s">
        <v>4901</v>
      </c>
      <c r="F11" s="219" t="s">
        <v>45</v>
      </c>
      <c r="G11" s="221" t="s">
        <v>6</v>
      </c>
      <c r="H11" s="493">
        <v>45964</v>
      </c>
      <c r="I11" s="25"/>
      <c r="J11" s="100" t="s">
        <v>4902</v>
      </c>
      <c r="K11" s="494"/>
      <c r="L11" s="495"/>
      <c r="M11" s="496"/>
      <c r="N11" s="497"/>
      <c r="O11" s="498"/>
      <c r="P11" s="499"/>
      <c r="Q11" s="539">
        <v>45974</v>
      </c>
      <c r="R11" s="148">
        <f t="shared" si="1"/>
        <v>10</v>
      </c>
      <c r="S11" s="200" t="s">
        <v>2597</v>
      </c>
      <c r="T11" s="535" t="s">
        <v>4903</v>
      </c>
    </row>
    <row r="12" spans="1:20" ht="58.5" customHeight="1" x14ac:dyDescent="0.3">
      <c r="A12" s="98">
        <f t="shared" si="0"/>
        <v>10</v>
      </c>
      <c r="B12" s="536" t="s">
        <v>1044</v>
      </c>
      <c r="C12" s="650">
        <v>45964</v>
      </c>
      <c r="D12">
        <v>79475981</v>
      </c>
      <c r="E12" s="254" t="s">
        <v>4904</v>
      </c>
      <c r="F12" s="200" t="s">
        <v>45</v>
      </c>
      <c r="G12" s="221" t="s">
        <v>6</v>
      </c>
      <c r="H12" s="493">
        <v>45964</v>
      </c>
      <c r="I12" s="25"/>
      <c r="J12" s="100" t="s">
        <v>4902</v>
      </c>
      <c r="K12" s="494"/>
      <c r="L12" s="495"/>
      <c r="M12" s="496"/>
      <c r="N12" s="497"/>
      <c r="O12" s="498"/>
      <c r="P12" s="499"/>
      <c r="Q12" s="539">
        <v>45973</v>
      </c>
      <c r="R12" s="148">
        <f t="shared" si="1"/>
        <v>9</v>
      </c>
      <c r="S12" s="200" t="s">
        <v>2597</v>
      </c>
      <c r="T12" s="535" t="s">
        <v>4905</v>
      </c>
    </row>
    <row r="13" spans="1:20" ht="31.5" customHeight="1" x14ac:dyDescent="0.3">
      <c r="A13" s="98">
        <f t="shared" si="0"/>
        <v>11</v>
      </c>
      <c r="B13" s="651" t="s">
        <v>301</v>
      </c>
      <c r="C13" s="650">
        <v>45964</v>
      </c>
      <c r="D13" s="541">
        <v>88750795</v>
      </c>
      <c r="E13" s="254" t="s">
        <v>4906</v>
      </c>
      <c r="F13" s="219" t="s">
        <v>23</v>
      </c>
      <c r="G13" s="221" t="s">
        <v>10</v>
      </c>
      <c r="H13" s="493">
        <v>45964</v>
      </c>
      <c r="I13" s="25"/>
      <c r="J13" s="100" t="s">
        <v>135</v>
      </c>
      <c r="K13" s="494"/>
      <c r="L13" s="495"/>
      <c r="M13" s="496"/>
      <c r="N13" s="497"/>
      <c r="O13" s="498"/>
      <c r="P13" s="499"/>
      <c r="Q13" s="539">
        <v>45964</v>
      </c>
      <c r="R13" s="148">
        <f t="shared" si="1"/>
        <v>0</v>
      </c>
      <c r="S13" s="200" t="s">
        <v>1870</v>
      </c>
      <c r="T13" s="315"/>
    </row>
    <row r="14" spans="1:20" ht="43.2" x14ac:dyDescent="0.3">
      <c r="A14" s="98">
        <f t="shared" si="0"/>
        <v>12</v>
      </c>
      <c r="B14" s="651" t="s">
        <v>301</v>
      </c>
      <c r="C14" s="650">
        <v>45964</v>
      </c>
      <c r="D14" s="541">
        <v>99099926</v>
      </c>
      <c r="E14" s="270" t="s">
        <v>4907</v>
      </c>
      <c r="F14" s="219" t="s">
        <v>23</v>
      </c>
      <c r="G14" s="221" t="s">
        <v>10</v>
      </c>
      <c r="H14" s="493">
        <v>45964</v>
      </c>
      <c r="I14" s="25"/>
      <c r="J14" s="100" t="s">
        <v>135</v>
      </c>
      <c r="K14" s="494"/>
      <c r="L14" s="495"/>
      <c r="M14" s="496"/>
      <c r="N14" s="497"/>
      <c r="O14" s="498"/>
      <c r="P14" s="499"/>
      <c r="Q14" s="539">
        <v>45964</v>
      </c>
      <c r="R14" s="148">
        <f t="shared" si="1"/>
        <v>0</v>
      </c>
      <c r="S14" s="200" t="s">
        <v>1172</v>
      </c>
      <c r="T14" s="315"/>
    </row>
    <row r="15" spans="1:20" ht="43.2" x14ac:dyDescent="0.3">
      <c r="A15" s="98">
        <f t="shared" si="0"/>
        <v>13</v>
      </c>
      <c r="B15" s="651">
        <v>1550</v>
      </c>
      <c r="C15" s="650">
        <v>45964</v>
      </c>
      <c r="D15" s="541">
        <v>341261289</v>
      </c>
      <c r="E15" s="308" t="s">
        <v>4908</v>
      </c>
      <c r="F15" s="219" t="s">
        <v>23</v>
      </c>
      <c r="G15" s="221" t="s">
        <v>10</v>
      </c>
      <c r="H15" s="493">
        <v>45964</v>
      </c>
      <c r="I15" s="25"/>
      <c r="J15" s="100" t="s">
        <v>135</v>
      </c>
      <c r="K15" s="494"/>
      <c r="L15" s="495"/>
      <c r="M15" s="496"/>
      <c r="N15" s="497"/>
      <c r="O15" s="498"/>
      <c r="P15" s="499"/>
      <c r="Q15" s="539">
        <v>45964</v>
      </c>
      <c r="R15" s="148">
        <f t="shared" si="1"/>
        <v>0</v>
      </c>
      <c r="S15" s="200" t="s">
        <v>1835</v>
      </c>
      <c r="T15" s="315"/>
    </row>
    <row r="16" spans="1:20" ht="43.2" x14ac:dyDescent="0.3">
      <c r="A16" s="98">
        <f t="shared" si="0"/>
        <v>14</v>
      </c>
      <c r="B16" s="651" t="s">
        <v>301</v>
      </c>
      <c r="C16" s="650">
        <v>45964</v>
      </c>
      <c r="D16" s="541">
        <v>44052642</v>
      </c>
      <c r="E16" s="270" t="s">
        <v>4909</v>
      </c>
      <c r="F16" s="219" t="s">
        <v>23</v>
      </c>
      <c r="G16" s="221" t="s">
        <v>10</v>
      </c>
      <c r="H16" s="493">
        <v>45964</v>
      </c>
      <c r="I16" s="25"/>
      <c r="J16" s="100" t="s">
        <v>135</v>
      </c>
      <c r="K16" s="494"/>
      <c r="L16" s="495"/>
      <c r="M16" s="496"/>
      <c r="N16" s="497"/>
      <c r="O16" s="498"/>
      <c r="P16" s="499"/>
      <c r="Q16" s="539">
        <v>45964</v>
      </c>
      <c r="R16" s="148">
        <f t="shared" si="1"/>
        <v>0</v>
      </c>
      <c r="S16" s="200" t="s">
        <v>1870</v>
      </c>
      <c r="T16" s="315"/>
    </row>
    <row r="17" spans="1:20" ht="43.2" x14ac:dyDescent="0.3">
      <c r="A17" s="98">
        <f t="shared" si="0"/>
        <v>15</v>
      </c>
      <c r="B17" s="651">
        <v>1550</v>
      </c>
      <c r="C17" s="650">
        <v>45964</v>
      </c>
      <c r="D17" s="541">
        <v>17748496</v>
      </c>
      <c r="E17" s="270" t="s">
        <v>4910</v>
      </c>
      <c r="F17" s="219" t="s">
        <v>23</v>
      </c>
      <c r="G17" s="221" t="s">
        <v>10</v>
      </c>
      <c r="H17" s="493">
        <v>45964</v>
      </c>
      <c r="I17" s="25"/>
      <c r="J17" s="100" t="s">
        <v>135</v>
      </c>
      <c r="K17" s="494"/>
      <c r="L17" s="495"/>
      <c r="M17" s="496"/>
      <c r="N17" s="497"/>
      <c r="O17" s="498"/>
      <c r="P17" s="499"/>
      <c r="Q17" s="539">
        <v>45964</v>
      </c>
      <c r="R17" s="148">
        <f t="shared" si="1"/>
        <v>0</v>
      </c>
      <c r="S17" s="200" t="s">
        <v>1806</v>
      </c>
      <c r="T17" s="535"/>
    </row>
    <row r="18" spans="1:20" ht="43.2" x14ac:dyDescent="0.3">
      <c r="A18" s="98">
        <f t="shared" si="0"/>
        <v>16</v>
      </c>
      <c r="B18" s="651">
        <v>1550</v>
      </c>
      <c r="C18" s="650">
        <v>45964</v>
      </c>
      <c r="D18" s="541">
        <v>120687380</v>
      </c>
      <c r="E18" s="308" t="s">
        <v>4911</v>
      </c>
      <c r="F18" s="219" t="s">
        <v>23</v>
      </c>
      <c r="G18" s="221" t="s">
        <v>10</v>
      </c>
      <c r="H18" s="493">
        <v>45964</v>
      </c>
      <c r="I18" s="25"/>
      <c r="J18" s="100" t="s">
        <v>135</v>
      </c>
      <c r="K18" s="494"/>
      <c r="L18" s="495"/>
      <c r="M18" s="496"/>
      <c r="N18" s="497"/>
      <c r="O18" s="498"/>
      <c r="P18" s="499"/>
      <c r="Q18" s="539">
        <v>45964</v>
      </c>
      <c r="R18" s="148">
        <f t="shared" si="1"/>
        <v>0</v>
      </c>
      <c r="S18" s="200" t="s">
        <v>1411</v>
      </c>
      <c r="T18" s="535"/>
    </row>
    <row r="19" spans="1:20" ht="43.2" x14ac:dyDescent="0.3">
      <c r="A19" s="98">
        <f t="shared" si="0"/>
        <v>17</v>
      </c>
      <c r="B19" s="651">
        <v>1550</v>
      </c>
      <c r="C19" s="650">
        <v>45964</v>
      </c>
      <c r="D19" s="541">
        <v>120136619</v>
      </c>
      <c r="E19" s="308" t="s">
        <v>4912</v>
      </c>
      <c r="F19" s="219" t="s">
        <v>23</v>
      </c>
      <c r="G19" s="221" t="s">
        <v>10</v>
      </c>
      <c r="H19" s="493">
        <v>45964</v>
      </c>
      <c r="I19" s="25"/>
      <c r="J19" s="100" t="s">
        <v>135</v>
      </c>
      <c r="K19" s="494"/>
      <c r="L19" s="495"/>
      <c r="M19" s="496"/>
      <c r="N19" s="497"/>
      <c r="O19" s="498"/>
      <c r="P19" s="499"/>
      <c r="Q19" s="539">
        <v>45964</v>
      </c>
      <c r="R19" s="148">
        <f t="shared" si="1"/>
        <v>0</v>
      </c>
      <c r="S19" s="200" t="s">
        <v>1835</v>
      </c>
      <c r="T19" s="535"/>
    </row>
    <row r="20" spans="1:20" ht="43.2" x14ac:dyDescent="0.3">
      <c r="A20" s="98">
        <f t="shared" si="0"/>
        <v>18</v>
      </c>
      <c r="B20" s="651">
        <v>1550</v>
      </c>
      <c r="C20" s="650">
        <v>45964</v>
      </c>
      <c r="D20" s="541">
        <v>114498482</v>
      </c>
      <c r="E20" s="270" t="s">
        <v>4913</v>
      </c>
      <c r="F20" s="219" t="s">
        <v>23</v>
      </c>
      <c r="G20" s="221" t="s">
        <v>10</v>
      </c>
      <c r="H20" s="493">
        <v>45964</v>
      </c>
      <c r="I20" s="25"/>
      <c r="J20" s="100" t="s">
        <v>135</v>
      </c>
      <c r="K20" s="494"/>
      <c r="L20" s="495"/>
      <c r="M20" s="496"/>
      <c r="N20" s="497"/>
      <c r="O20" s="498"/>
      <c r="P20" s="499"/>
      <c r="Q20" s="539">
        <v>45964</v>
      </c>
      <c r="R20" s="148">
        <f t="shared" si="1"/>
        <v>0</v>
      </c>
      <c r="S20" s="200" t="s">
        <v>85</v>
      </c>
      <c r="T20" s="542"/>
    </row>
    <row r="21" spans="1:20" ht="43.2" x14ac:dyDescent="0.3">
      <c r="A21" s="98">
        <f t="shared" si="0"/>
        <v>19</v>
      </c>
      <c r="B21" s="651" t="s">
        <v>80</v>
      </c>
      <c r="C21" s="650">
        <v>45964</v>
      </c>
      <c r="D21" s="543">
        <v>42363977</v>
      </c>
      <c r="E21" s="270" t="s">
        <v>4914</v>
      </c>
      <c r="F21" s="219" t="s">
        <v>23</v>
      </c>
      <c r="G21" s="221" t="s">
        <v>10</v>
      </c>
      <c r="H21" s="493">
        <v>45964</v>
      </c>
      <c r="I21" s="25"/>
      <c r="J21" s="100" t="s">
        <v>135</v>
      </c>
      <c r="K21" s="494"/>
      <c r="L21" s="495"/>
      <c r="M21" s="496"/>
      <c r="N21" s="497"/>
      <c r="O21" s="498"/>
      <c r="P21" s="499"/>
      <c r="Q21" s="539">
        <v>45964</v>
      </c>
      <c r="R21" s="148">
        <f t="shared" si="1"/>
        <v>0</v>
      </c>
      <c r="S21" s="200" t="s">
        <v>4915</v>
      </c>
      <c r="T21" s="315"/>
    </row>
    <row r="22" spans="1:20" ht="43.2" x14ac:dyDescent="0.3">
      <c r="A22" s="98">
        <f t="shared" si="0"/>
        <v>20</v>
      </c>
      <c r="B22" s="651">
        <v>1550</v>
      </c>
      <c r="C22" s="650">
        <v>45964</v>
      </c>
      <c r="D22" s="543">
        <v>117704180</v>
      </c>
      <c r="E22" s="308" t="s">
        <v>4916</v>
      </c>
      <c r="F22" s="219" t="s">
        <v>23</v>
      </c>
      <c r="G22" s="221" t="s">
        <v>10</v>
      </c>
      <c r="H22" s="493">
        <v>45964</v>
      </c>
      <c r="I22" s="25"/>
      <c r="J22" s="100" t="s">
        <v>135</v>
      </c>
      <c r="K22" s="494"/>
      <c r="L22" s="495"/>
      <c r="M22" s="496"/>
      <c r="N22" s="497"/>
      <c r="O22" s="498"/>
      <c r="P22" s="499"/>
      <c r="Q22" s="539">
        <v>45964</v>
      </c>
      <c r="R22" s="148">
        <f t="shared" si="1"/>
        <v>0</v>
      </c>
      <c r="S22" s="200" t="s">
        <v>214</v>
      </c>
      <c r="T22" s="535"/>
    </row>
    <row r="23" spans="1:20" ht="39" customHeight="1" x14ac:dyDescent="0.3">
      <c r="A23" s="98">
        <f t="shared" si="0"/>
        <v>21</v>
      </c>
      <c r="B23" s="651">
        <v>1550</v>
      </c>
      <c r="C23" s="650">
        <v>45964</v>
      </c>
      <c r="D23" s="543">
        <v>97821780</v>
      </c>
      <c r="E23" s="308" t="s">
        <v>4917</v>
      </c>
      <c r="F23" s="219" t="s">
        <v>23</v>
      </c>
      <c r="G23" s="221" t="s">
        <v>10</v>
      </c>
      <c r="H23" s="493">
        <v>45964</v>
      </c>
      <c r="I23" s="25"/>
      <c r="J23" s="100" t="s">
        <v>135</v>
      </c>
      <c r="K23" s="494"/>
      <c r="L23" s="495"/>
      <c r="M23" s="496"/>
      <c r="N23" s="497"/>
      <c r="O23" s="498"/>
      <c r="P23" s="499"/>
      <c r="Q23" s="539">
        <v>45964</v>
      </c>
      <c r="R23" s="148">
        <f t="shared" si="1"/>
        <v>0</v>
      </c>
      <c r="S23" s="200" t="s">
        <v>1806</v>
      </c>
      <c r="T23" s="535"/>
    </row>
    <row r="24" spans="1:20" ht="43.2" x14ac:dyDescent="0.3">
      <c r="A24" s="98">
        <f t="shared" si="0"/>
        <v>22</v>
      </c>
      <c r="B24" s="651" t="s">
        <v>301</v>
      </c>
      <c r="C24" s="650">
        <v>45964</v>
      </c>
      <c r="D24" s="543">
        <v>23958634</v>
      </c>
      <c r="E24" s="270" t="s">
        <v>4918</v>
      </c>
      <c r="F24" s="219" t="s">
        <v>23</v>
      </c>
      <c r="G24" s="221" t="s">
        <v>10</v>
      </c>
      <c r="H24" s="493">
        <v>45964</v>
      </c>
      <c r="I24" s="25"/>
      <c r="J24" s="100" t="s">
        <v>135</v>
      </c>
      <c r="K24" s="494"/>
      <c r="L24" s="495"/>
      <c r="M24" s="496"/>
      <c r="N24" s="497"/>
      <c r="O24" s="498"/>
      <c r="P24" s="499"/>
      <c r="Q24" s="539">
        <v>45964</v>
      </c>
      <c r="R24" s="148">
        <f t="shared" si="1"/>
        <v>0</v>
      </c>
      <c r="S24" s="200" t="s">
        <v>1870</v>
      </c>
      <c r="T24" s="315"/>
    </row>
    <row r="25" spans="1:20" ht="61.5" customHeight="1" x14ac:dyDescent="0.3">
      <c r="A25" s="98">
        <f t="shared" si="0"/>
        <v>23</v>
      </c>
      <c r="B25" s="651">
        <v>1550</v>
      </c>
      <c r="C25" s="650">
        <v>45964</v>
      </c>
      <c r="D25" s="543">
        <v>289535735</v>
      </c>
      <c r="E25" s="270" t="s">
        <v>4919</v>
      </c>
      <c r="F25" s="219" t="s">
        <v>23</v>
      </c>
      <c r="G25" s="221" t="s">
        <v>10</v>
      </c>
      <c r="H25" s="493">
        <v>45964</v>
      </c>
      <c r="I25" s="25"/>
      <c r="J25" s="100" t="s">
        <v>135</v>
      </c>
      <c r="K25" s="494"/>
      <c r="L25" s="495"/>
      <c r="M25" s="496"/>
      <c r="N25" s="497"/>
      <c r="O25" s="498"/>
      <c r="P25" s="499"/>
      <c r="Q25" s="539">
        <v>45964</v>
      </c>
      <c r="R25" s="148">
        <f t="shared" si="1"/>
        <v>0</v>
      </c>
      <c r="S25" s="200" t="s">
        <v>214</v>
      </c>
      <c r="T25" s="315"/>
    </row>
    <row r="26" spans="1:20" ht="86.25" customHeight="1" x14ac:dyDescent="0.3">
      <c r="A26" s="98">
        <f t="shared" si="0"/>
        <v>24</v>
      </c>
      <c r="B26" s="651" t="s">
        <v>301</v>
      </c>
      <c r="C26" s="650">
        <v>45964</v>
      </c>
      <c r="D26" s="543"/>
      <c r="E26" s="270" t="s">
        <v>4920</v>
      </c>
      <c r="F26" s="200" t="s">
        <v>21</v>
      </c>
      <c r="G26" s="221" t="s">
        <v>10</v>
      </c>
      <c r="H26" s="493">
        <v>45964</v>
      </c>
      <c r="I26" s="25"/>
      <c r="J26" s="100" t="s">
        <v>2367</v>
      </c>
      <c r="K26" s="494"/>
      <c r="L26" s="495"/>
      <c r="M26" s="496"/>
      <c r="N26" s="497"/>
      <c r="O26" s="498"/>
      <c r="P26" s="499"/>
      <c r="Q26" s="539">
        <v>45971</v>
      </c>
      <c r="R26" s="148">
        <f t="shared" si="1"/>
        <v>7</v>
      </c>
      <c r="S26" s="200" t="s">
        <v>1870</v>
      </c>
      <c r="T26" s="535"/>
    </row>
    <row r="27" spans="1:20" ht="87" customHeight="1" x14ac:dyDescent="0.3">
      <c r="A27" s="98">
        <f t="shared" si="0"/>
        <v>25</v>
      </c>
      <c r="B27" s="651" t="s">
        <v>80</v>
      </c>
      <c r="C27" s="650">
        <v>45964</v>
      </c>
      <c r="D27" s="543">
        <v>47888040</v>
      </c>
      <c r="E27" s="270" t="s">
        <v>4921</v>
      </c>
      <c r="F27" s="200" t="s">
        <v>1</v>
      </c>
      <c r="G27" s="221" t="s">
        <v>10</v>
      </c>
      <c r="H27" s="493">
        <v>45964</v>
      </c>
      <c r="I27" s="25"/>
      <c r="J27" s="100" t="s">
        <v>2352</v>
      </c>
      <c r="K27" s="494"/>
      <c r="L27" s="495"/>
      <c r="M27" s="496"/>
      <c r="N27" s="497"/>
      <c r="O27" s="498"/>
      <c r="P27" s="499"/>
      <c r="Q27" s="539">
        <v>45965</v>
      </c>
      <c r="R27" s="148">
        <f t="shared" si="1"/>
        <v>1</v>
      </c>
      <c r="S27" s="200" t="s">
        <v>4915</v>
      </c>
      <c r="T27" s="766" t="s">
        <v>4922</v>
      </c>
    </row>
    <row r="28" spans="1:20" ht="28.8" x14ac:dyDescent="0.3">
      <c r="A28" s="98">
        <f t="shared" si="0"/>
        <v>26</v>
      </c>
      <c r="B28" s="536" t="s">
        <v>301</v>
      </c>
      <c r="C28" s="546">
        <v>45964</v>
      </c>
      <c r="D28" s="543">
        <v>120439883</v>
      </c>
      <c r="E28" s="270" t="s">
        <v>4923</v>
      </c>
      <c r="F28" s="200" t="s">
        <v>17</v>
      </c>
      <c r="G28" s="221" t="s">
        <v>6</v>
      </c>
      <c r="H28" s="493">
        <v>45964</v>
      </c>
      <c r="I28" s="25"/>
      <c r="J28" s="100" t="s">
        <v>82</v>
      </c>
      <c r="K28" s="494"/>
      <c r="L28" s="495"/>
      <c r="M28" s="496"/>
      <c r="N28" s="497"/>
      <c r="O28" s="498"/>
      <c r="P28" s="499"/>
      <c r="Q28" s="539">
        <v>46013</v>
      </c>
      <c r="R28" s="148">
        <f t="shared" si="1"/>
        <v>49</v>
      </c>
      <c r="S28" s="200" t="s">
        <v>3783</v>
      </c>
      <c r="T28" s="535"/>
    </row>
    <row r="29" spans="1:20" ht="28.8" x14ac:dyDescent="0.3">
      <c r="A29" s="98">
        <f t="shared" si="0"/>
        <v>27</v>
      </c>
      <c r="B29" s="536">
        <v>1550</v>
      </c>
      <c r="C29" s="546">
        <v>45964</v>
      </c>
      <c r="D29" s="543">
        <v>63812436</v>
      </c>
      <c r="E29" s="270" t="s">
        <v>4924</v>
      </c>
      <c r="F29" s="200" t="s">
        <v>23</v>
      </c>
      <c r="G29" s="221" t="s">
        <v>6</v>
      </c>
      <c r="H29" s="493">
        <v>45964</v>
      </c>
      <c r="I29" s="25"/>
      <c r="J29" s="100" t="s">
        <v>135</v>
      </c>
      <c r="K29" s="494"/>
      <c r="L29" s="495"/>
      <c r="M29" s="496"/>
      <c r="N29" s="497"/>
      <c r="O29" s="498"/>
      <c r="P29" s="499"/>
      <c r="Q29" s="539">
        <v>45964</v>
      </c>
      <c r="R29" s="148">
        <f t="shared" si="1"/>
        <v>0</v>
      </c>
      <c r="S29" s="200" t="s">
        <v>1893</v>
      </c>
      <c r="T29" s="315"/>
    </row>
    <row r="30" spans="1:20" ht="28.8" x14ac:dyDescent="0.3">
      <c r="A30" s="98">
        <f t="shared" si="0"/>
        <v>28</v>
      </c>
      <c r="B30" s="536">
        <v>1550</v>
      </c>
      <c r="C30" s="546">
        <v>45965</v>
      </c>
      <c r="D30" s="543">
        <v>117451428</v>
      </c>
      <c r="E30" s="270" t="s">
        <v>4925</v>
      </c>
      <c r="F30" s="200" t="s">
        <v>7</v>
      </c>
      <c r="G30" s="221" t="s">
        <v>4</v>
      </c>
      <c r="H30" s="493">
        <v>45965</v>
      </c>
      <c r="I30" s="25"/>
      <c r="J30" s="100" t="s">
        <v>2536</v>
      </c>
      <c r="K30" s="494"/>
      <c r="L30" s="495"/>
      <c r="M30" s="496"/>
      <c r="N30" s="497"/>
      <c r="O30" s="498"/>
      <c r="P30" s="499"/>
      <c r="Q30" s="539">
        <v>45980</v>
      </c>
      <c r="R30" s="148">
        <f t="shared" si="1"/>
        <v>15</v>
      </c>
      <c r="S30" s="200" t="s">
        <v>4926</v>
      </c>
      <c r="T30" s="315"/>
    </row>
    <row r="31" spans="1:20" ht="28.8" x14ac:dyDescent="0.3">
      <c r="A31" s="98">
        <f t="shared" si="0"/>
        <v>29</v>
      </c>
      <c r="B31" s="536">
        <v>1550</v>
      </c>
      <c r="C31" s="546">
        <v>45965</v>
      </c>
      <c r="D31" s="543">
        <v>12692050</v>
      </c>
      <c r="E31" s="270" t="s">
        <v>4927</v>
      </c>
      <c r="F31" s="200" t="s">
        <v>12</v>
      </c>
      <c r="G31" s="221" t="s">
        <v>4</v>
      </c>
      <c r="H31" s="493">
        <v>45965</v>
      </c>
      <c r="I31" s="25"/>
      <c r="J31" s="732" t="s">
        <v>3175</v>
      </c>
      <c r="K31" s="494"/>
      <c r="L31" s="495"/>
      <c r="M31" s="496"/>
      <c r="N31" s="497"/>
      <c r="O31" s="498"/>
      <c r="P31" s="499"/>
      <c r="Q31" s="539">
        <v>45985</v>
      </c>
      <c r="R31" s="148">
        <f t="shared" si="1"/>
        <v>20</v>
      </c>
      <c r="S31" s="200" t="s">
        <v>4063</v>
      </c>
      <c r="T31" s="535"/>
    </row>
    <row r="32" spans="1:20" ht="28.8" x14ac:dyDescent="0.3">
      <c r="A32" s="98">
        <f t="shared" si="0"/>
        <v>30</v>
      </c>
      <c r="B32" s="536">
        <v>1550</v>
      </c>
      <c r="C32" s="546">
        <v>45965</v>
      </c>
      <c r="D32" s="543">
        <v>120715406</v>
      </c>
      <c r="E32" s="270" t="s">
        <v>4928</v>
      </c>
      <c r="F32" s="200" t="s">
        <v>1</v>
      </c>
      <c r="G32" s="221" t="s">
        <v>4</v>
      </c>
      <c r="H32" s="493">
        <v>45965</v>
      </c>
      <c r="I32" s="25"/>
      <c r="J32" s="100" t="s">
        <v>3993</v>
      </c>
      <c r="K32" s="494"/>
      <c r="L32" s="495"/>
      <c r="M32" s="496"/>
      <c r="N32" s="497"/>
      <c r="O32" s="498"/>
      <c r="P32" s="499"/>
      <c r="Q32" s="539">
        <v>45966</v>
      </c>
      <c r="R32" s="148">
        <f t="shared" si="1"/>
        <v>1</v>
      </c>
      <c r="S32" s="200" t="s">
        <v>2970</v>
      </c>
      <c r="T32" s="315"/>
    </row>
    <row r="33" spans="1:20" ht="28.8" x14ac:dyDescent="0.3">
      <c r="A33" s="98">
        <f t="shared" si="0"/>
        <v>31</v>
      </c>
      <c r="B33" s="536">
        <v>1550</v>
      </c>
      <c r="C33" s="546">
        <v>45965</v>
      </c>
      <c r="D33">
        <v>32540256</v>
      </c>
      <c r="E33" s="270" t="s">
        <v>4929</v>
      </c>
      <c r="F33" s="200" t="s">
        <v>35</v>
      </c>
      <c r="G33" s="221" t="s">
        <v>4</v>
      </c>
      <c r="H33" s="493">
        <v>45965</v>
      </c>
      <c r="I33" s="25"/>
      <c r="J33" s="732" t="s">
        <v>3177</v>
      </c>
      <c r="K33" s="494"/>
      <c r="L33" s="495"/>
      <c r="M33" s="496"/>
      <c r="N33" s="497"/>
      <c r="O33" s="498"/>
      <c r="P33" s="499"/>
      <c r="Q33" s="539">
        <v>45973</v>
      </c>
      <c r="R33" s="148">
        <f t="shared" si="1"/>
        <v>8</v>
      </c>
      <c r="S33" s="200" t="s">
        <v>4063</v>
      </c>
      <c r="T33" s="315"/>
    </row>
    <row r="34" spans="1:20" ht="43.2" x14ac:dyDescent="0.3">
      <c r="A34" s="98">
        <f t="shared" si="0"/>
        <v>32</v>
      </c>
      <c r="B34" s="536">
        <v>1550</v>
      </c>
      <c r="C34" s="546">
        <v>45965</v>
      </c>
      <c r="D34" s="543">
        <v>57190151</v>
      </c>
      <c r="E34" s="270" t="s">
        <v>4930</v>
      </c>
      <c r="F34" s="200" t="s">
        <v>20</v>
      </c>
      <c r="G34" s="221" t="s">
        <v>4</v>
      </c>
      <c r="H34" s="493">
        <v>45965</v>
      </c>
      <c r="I34" s="25"/>
      <c r="J34" s="100" t="s">
        <v>82</v>
      </c>
      <c r="K34" s="494"/>
      <c r="L34" s="495"/>
      <c r="M34" s="496"/>
      <c r="N34" s="497"/>
      <c r="O34" s="498"/>
      <c r="P34" s="499"/>
      <c r="Q34" s="539">
        <v>45967</v>
      </c>
      <c r="R34" s="148">
        <f t="shared" si="1"/>
        <v>2</v>
      </c>
      <c r="S34" s="200" t="s">
        <v>4915</v>
      </c>
      <c r="T34" s="315"/>
    </row>
    <row r="35" spans="1:20" x14ac:dyDescent="0.3">
      <c r="A35" s="98">
        <f t="shared" si="0"/>
        <v>33</v>
      </c>
      <c r="B35" s="536">
        <v>1550</v>
      </c>
      <c r="C35" s="546">
        <v>45965</v>
      </c>
      <c r="D35" s="543">
        <v>18861342</v>
      </c>
      <c r="E35" s="270" t="s">
        <v>4931</v>
      </c>
      <c r="F35" s="200" t="s">
        <v>14</v>
      </c>
      <c r="G35" s="221" t="s">
        <v>4</v>
      </c>
      <c r="H35" s="493">
        <v>45965</v>
      </c>
      <c r="I35" s="655"/>
      <c r="J35" s="100" t="s">
        <v>4932</v>
      </c>
      <c r="K35" s="494"/>
      <c r="L35" s="495"/>
      <c r="M35" s="496"/>
      <c r="N35" s="497"/>
      <c r="O35" s="498"/>
      <c r="P35" s="499"/>
      <c r="Q35" s="539">
        <v>45972</v>
      </c>
      <c r="R35" s="148">
        <f t="shared" si="1"/>
        <v>7</v>
      </c>
      <c r="S35" s="200" t="s">
        <v>2597</v>
      </c>
      <c r="T35" s="315"/>
    </row>
    <row r="36" spans="1:20" ht="35.25" customHeight="1" x14ac:dyDescent="0.3">
      <c r="A36" s="98">
        <f t="shared" si="0"/>
        <v>34</v>
      </c>
      <c r="B36" s="536" t="s">
        <v>301</v>
      </c>
      <c r="C36" s="546">
        <v>45965</v>
      </c>
      <c r="D36" s="543">
        <v>33502757</v>
      </c>
      <c r="E36" s="270" t="s">
        <v>4933</v>
      </c>
      <c r="F36" s="384" t="s">
        <v>12</v>
      </c>
      <c r="G36" s="221" t="s">
        <v>10</v>
      </c>
      <c r="H36" s="493">
        <v>45965</v>
      </c>
      <c r="I36" s="655"/>
      <c r="J36" s="107" t="s">
        <v>159</v>
      </c>
      <c r="K36" s="494"/>
      <c r="L36" s="495"/>
      <c r="M36" s="496"/>
      <c r="N36" s="497"/>
      <c r="O36" s="498"/>
      <c r="P36" s="499"/>
      <c r="Q36" s="539">
        <v>45965</v>
      </c>
      <c r="R36" s="148">
        <f t="shared" si="1"/>
        <v>0</v>
      </c>
      <c r="S36" s="200" t="s">
        <v>1172</v>
      </c>
      <c r="T36" s="315"/>
    </row>
    <row r="37" spans="1:20" ht="28.8" x14ac:dyDescent="0.3">
      <c r="A37" s="98">
        <f t="shared" ref="A37:A72" si="2">A36+1</f>
        <v>35</v>
      </c>
      <c r="B37" s="536">
        <v>1550</v>
      </c>
      <c r="C37" s="546">
        <v>45966</v>
      </c>
      <c r="D37" s="543">
        <v>120695774</v>
      </c>
      <c r="E37" s="308" t="s">
        <v>4934</v>
      </c>
      <c r="F37" s="200" t="s">
        <v>1</v>
      </c>
      <c r="G37" s="221" t="s">
        <v>4</v>
      </c>
      <c r="H37" s="493">
        <v>45966</v>
      </c>
      <c r="I37" s="25"/>
      <c r="J37" s="100" t="s">
        <v>2352</v>
      </c>
      <c r="K37" s="494"/>
      <c r="L37" s="495"/>
      <c r="M37" s="496"/>
      <c r="N37" s="497"/>
      <c r="O37" s="498"/>
      <c r="P37" s="499"/>
      <c r="Q37" s="539">
        <v>45966</v>
      </c>
      <c r="R37" s="148">
        <f t="shared" si="1"/>
        <v>0</v>
      </c>
      <c r="S37" s="200" t="s">
        <v>4063</v>
      </c>
      <c r="T37" s="315"/>
    </row>
    <row r="38" spans="1:20" ht="28.8" x14ac:dyDescent="0.3">
      <c r="A38" s="98">
        <f t="shared" si="2"/>
        <v>36</v>
      </c>
      <c r="B38" s="506">
        <v>1550</v>
      </c>
      <c r="C38" s="546">
        <v>45966</v>
      </c>
      <c r="D38" s="543">
        <v>85922234</v>
      </c>
      <c r="E38" s="308" t="s">
        <v>4935</v>
      </c>
      <c r="F38" s="200" t="s">
        <v>3</v>
      </c>
      <c r="G38" s="221" t="s">
        <v>8</v>
      </c>
      <c r="H38" s="493">
        <v>45966</v>
      </c>
      <c r="I38" s="25"/>
      <c r="J38" s="100" t="s">
        <v>82</v>
      </c>
      <c r="K38" s="494"/>
      <c r="L38" s="495"/>
      <c r="M38" s="496"/>
      <c r="N38" s="497"/>
      <c r="O38" s="498"/>
      <c r="P38" s="499"/>
      <c r="Q38" s="539">
        <v>45966</v>
      </c>
      <c r="R38" s="148">
        <f t="shared" si="1"/>
        <v>0</v>
      </c>
      <c r="S38" s="200" t="s">
        <v>1411</v>
      </c>
      <c r="T38" s="315"/>
    </row>
    <row r="39" spans="1:20" ht="43.2" x14ac:dyDescent="0.3">
      <c r="A39" s="98">
        <f t="shared" si="2"/>
        <v>37</v>
      </c>
      <c r="B39" s="536">
        <v>1550</v>
      </c>
      <c r="C39" s="546">
        <v>45966</v>
      </c>
      <c r="D39" s="543">
        <v>2352567</v>
      </c>
      <c r="E39" s="270" t="s">
        <v>4936</v>
      </c>
      <c r="F39" s="200" t="s">
        <v>12</v>
      </c>
      <c r="G39" s="221" t="s">
        <v>4</v>
      </c>
      <c r="H39" s="493">
        <v>45966</v>
      </c>
      <c r="I39" s="25"/>
      <c r="J39" s="100" t="s">
        <v>159</v>
      </c>
      <c r="K39" s="494"/>
      <c r="L39" s="495"/>
      <c r="M39" s="496"/>
      <c r="N39" s="497"/>
      <c r="O39" s="498"/>
      <c r="P39" s="499"/>
      <c r="Q39" s="539">
        <v>45993</v>
      </c>
      <c r="R39" s="148">
        <f t="shared" si="1"/>
        <v>27</v>
      </c>
      <c r="S39" s="101" t="s">
        <v>4915</v>
      </c>
      <c r="T39" s="69"/>
    </row>
    <row r="40" spans="1:20" ht="57.6" x14ac:dyDescent="0.3">
      <c r="A40" s="98">
        <f t="shared" si="2"/>
        <v>38</v>
      </c>
      <c r="B40" s="506">
        <v>1550</v>
      </c>
      <c r="C40" s="492">
        <v>45966</v>
      </c>
      <c r="D40" s="543">
        <v>2455404</v>
      </c>
      <c r="E40" s="271" t="s">
        <v>4937</v>
      </c>
      <c r="F40" s="200" t="s">
        <v>5</v>
      </c>
      <c r="G40" s="221" t="s">
        <v>4</v>
      </c>
      <c r="H40" s="493">
        <v>45966</v>
      </c>
      <c r="I40" s="25"/>
      <c r="J40" s="100" t="s">
        <v>159</v>
      </c>
      <c r="K40" s="494"/>
      <c r="L40" s="495"/>
      <c r="M40" s="496"/>
      <c r="N40" s="497"/>
      <c r="O40" s="498"/>
      <c r="P40" s="499"/>
      <c r="Q40" s="500">
        <v>45966</v>
      </c>
      <c r="R40" s="148">
        <f t="shared" si="1"/>
        <v>0</v>
      </c>
      <c r="S40" s="101" t="s">
        <v>2597</v>
      </c>
      <c r="T40" s="69"/>
    </row>
    <row r="41" spans="1:20" ht="43.2" x14ac:dyDescent="0.3">
      <c r="A41" s="98">
        <f t="shared" si="2"/>
        <v>39</v>
      </c>
      <c r="B41" s="506" t="s">
        <v>1044</v>
      </c>
      <c r="C41" s="492">
        <v>45966</v>
      </c>
      <c r="D41" s="543">
        <v>116337885</v>
      </c>
      <c r="E41" s="271" t="s">
        <v>4938</v>
      </c>
      <c r="F41" s="200" t="s">
        <v>3</v>
      </c>
      <c r="G41" s="221" t="s">
        <v>4</v>
      </c>
      <c r="H41" s="493">
        <v>45966</v>
      </c>
      <c r="I41" s="25"/>
      <c r="J41" s="100" t="s">
        <v>106</v>
      </c>
      <c r="K41" s="494" t="s">
        <v>262</v>
      </c>
      <c r="L41" s="495"/>
      <c r="M41" s="496"/>
      <c r="N41" s="497"/>
      <c r="O41" s="498"/>
      <c r="P41" s="499"/>
      <c r="Q41" s="539">
        <v>45967</v>
      </c>
      <c r="R41" s="148">
        <f t="shared" si="1"/>
        <v>1</v>
      </c>
      <c r="S41" s="101" t="s">
        <v>4915</v>
      </c>
      <c r="T41" s="69"/>
    </row>
    <row r="42" spans="1:20" ht="28.8" x14ac:dyDescent="0.3">
      <c r="A42" s="98">
        <f t="shared" si="2"/>
        <v>40</v>
      </c>
      <c r="B42" s="536" t="s">
        <v>301</v>
      </c>
      <c r="C42" s="546">
        <v>45966</v>
      </c>
      <c r="D42" s="543">
        <v>95379703</v>
      </c>
      <c r="E42" s="270" t="s">
        <v>4130</v>
      </c>
      <c r="F42" s="200" t="s">
        <v>7</v>
      </c>
      <c r="G42" s="221" t="s">
        <v>8</v>
      </c>
      <c r="H42" s="493">
        <v>45966</v>
      </c>
      <c r="I42" s="25"/>
      <c r="J42" s="100" t="s">
        <v>4939</v>
      </c>
      <c r="K42" s="494"/>
      <c r="L42" s="636"/>
      <c r="M42" s="496"/>
      <c r="N42" s="497"/>
      <c r="O42" s="498"/>
      <c r="P42" s="499"/>
      <c r="Q42" s="539">
        <v>46007</v>
      </c>
      <c r="R42" s="148">
        <f t="shared" si="1"/>
        <v>41</v>
      </c>
      <c r="S42" s="101" t="s">
        <v>3952</v>
      </c>
      <c r="T42" s="69"/>
    </row>
    <row r="43" spans="1:20" ht="43.2" x14ac:dyDescent="0.3">
      <c r="A43" s="98">
        <f t="shared" si="2"/>
        <v>41</v>
      </c>
      <c r="B43" s="536" t="s">
        <v>1044</v>
      </c>
      <c r="C43" s="546">
        <v>45966</v>
      </c>
      <c r="D43" s="36">
        <v>5821096</v>
      </c>
      <c r="E43" s="635" t="s">
        <v>4131</v>
      </c>
      <c r="F43" s="384" t="s">
        <v>48</v>
      </c>
      <c r="G43" s="221" t="s">
        <v>4</v>
      </c>
      <c r="H43" s="493">
        <v>45966</v>
      </c>
      <c r="I43" s="25"/>
      <c r="J43" s="100" t="s">
        <v>159</v>
      </c>
      <c r="K43" s="494"/>
      <c r="L43" s="495"/>
      <c r="M43" s="496"/>
      <c r="N43" s="497"/>
      <c r="O43" s="498"/>
      <c r="P43" s="499"/>
      <c r="Q43" s="539">
        <v>45971</v>
      </c>
      <c r="R43" s="148">
        <f t="shared" si="1"/>
        <v>5</v>
      </c>
      <c r="S43" s="101" t="s">
        <v>4915</v>
      </c>
      <c r="T43" s="69" t="s">
        <v>4940</v>
      </c>
    </row>
    <row r="44" spans="1:20" ht="72" x14ac:dyDescent="0.3">
      <c r="A44" s="98">
        <f t="shared" si="2"/>
        <v>42</v>
      </c>
      <c r="B44" s="536">
        <v>1550</v>
      </c>
      <c r="C44" s="546">
        <v>45966</v>
      </c>
      <c r="D44" s="662">
        <v>120454327</v>
      </c>
      <c r="E44" s="263" t="s">
        <v>4941</v>
      </c>
      <c r="F44" s="101" t="s">
        <v>1</v>
      </c>
      <c r="G44" s="221" t="s">
        <v>6</v>
      </c>
      <c r="H44" s="493">
        <v>45966</v>
      </c>
      <c r="I44" s="25"/>
      <c r="J44" s="100" t="s">
        <v>2411</v>
      </c>
      <c r="K44" s="494"/>
      <c r="L44" s="495"/>
      <c r="M44" s="496"/>
      <c r="N44" s="497"/>
      <c r="O44" s="498"/>
      <c r="P44" s="499"/>
      <c r="Q44" s="539">
        <v>45968</v>
      </c>
      <c r="R44" s="148">
        <f t="shared" si="1"/>
        <v>2</v>
      </c>
      <c r="S44" s="101"/>
      <c r="T44" s="69"/>
    </row>
    <row r="45" spans="1:20" x14ac:dyDescent="0.3">
      <c r="A45" s="98">
        <f t="shared" si="2"/>
        <v>43</v>
      </c>
      <c r="B45" s="536">
        <v>1550</v>
      </c>
      <c r="C45" s="546">
        <v>45966</v>
      </c>
      <c r="D45" s="543">
        <v>78320542</v>
      </c>
      <c r="E45" s="264" t="s">
        <v>4942</v>
      </c>
      <c r="F45" s="101" t="s">
        <v>3</v>
      </c>
      <c r="G45" s="221" t="s">
        <v>4</v>
      </c>
      <c r="H45" s="493">
        <v>45966</v>
      </c>
      <c r="I45" s="25"/>
      <c r="J45" s="742" t="s">
        <v>2513</v>
      </c>
      <c r="K45" s="494"/>
      <c r="L45" s="495"/>
      <c r="M45" s="496"/>
      <c r="N45" s="497"/>
      <c r="O45" s="498"/>
      <c r="P45" s="499"/>
      <c r="Q45" s="539">
        <v>45967</v>
      </c>
      <c r="R45" s="148">
        <f t="shared" si="1"/>
        <v>1</v>
      </c>
      <c r="S45" s="101" t="s">
        <v>2974</v>
      </c>
      <c r="T45" s="69"/>
    </row>
    <row r="46" spans="1:20" ht="28.8" x14ac:dyDescent="0.3">
      <c r="A46" s="98">
        <f t="shared" si="2"/>
        <v>44</v>
      </c>
      <c r="B46" s="678">
        <v>1550</v>
      </c>
      <c r="C46" s="546">
        <v>45966</v>
      </c>
      <c r="D46" s="543"/>
      <c r="E46" s="290" t="s">
        <v>4943</v>
      </c>
      <c r="F46" s="182" t="s">
        <v>21</v>
      </c>
      <c r="G46" s="421" t="s">
        <v>4</v>
      </c>
      <c r="H46" s="493">
        <v>45966</v>
      </c>
      <c r="I46" s="561"/>
      <c r="J46" s="100" t="s">
        <v>3180</v>
      </c>
      <c r="K46" s="494"/>
      <c r="L46" s="495"/>
      <c r="M46" s="496"/>
      <c r="N46" s="497"/>
      <c r="O46" s="498"/>
      <c r="P46" s="499"/>
      <c r="Q46" s="539">
        <v>45966</v>
      </c>
      <c r="R46" s="148">
        <f t="shared" si="1"/>
        <v>0</v>
      </c>
      <c r="S46" s="101" t="s">
        <v>2974</v>
      </c>
      <c r="T46" s="315"/>
    </row>
    <row r="47" spans="1:20" ht="43.2" x14ac:dyDescent="0.3">
      <c r="A47" s="98">
        <f t="shared" si="2"/>
        <v>45</v>
      </c>
      <c r="B47" s="219" t="s">
        <v>301</v>
      </c>
      <c r="C47" s="650">
        <v>45966</v>
      </c>
      <c r="D47" s="219">
        <v>109758900</v>
      </c>
      <c r="E47" s="254" t="s">
        <v>4944</v>
      </c>
      <c r="F47" s="111" t="s">
        <v>26</v>
      </c>
      <c r="G47" s="127" t="s">
        <v>6</v>
      </c>
      <c r="H47" s="568">
        <v>45966</v>
      </c>
      <c r="I47" s="681"/>
      <c r="J47" s="100" t="s">
        <v>2271</v>
      </c>
      <c r="K47" s="494"/>
      <c r="L47" s="669"/>
      <c r="M47" s="552"/>
      <c r="N47" s="497"/>
      <c r="O47" s="498"/>
      <c r="P47" s="499"/>
      <c r="Q47" s="501">
        <v>45966</v>
      </c>
      <c r="R47" s="148">
        <f t="shared" si="1"/>
        <v>0</v>
      </c>
      <c r="S47" s="101" t="s">
        <v>2747</v>
      </c>
      <c r="T47" s="315"/>
    </row>
    <row r="48" spans="1:20" ht="28.8" x14ac:dyDescent="0.3">
      <c r="A48" s="98">
        <f t="shared" si="2"/>
        <v>46</v>
      </c>
      <c r="B48" s="111">
        <v>1550</v>
      </c>
      <c r="C48" s="512">
        <v>45966</v>
      </c>
      <c r="D48" s="219"/>
      <c r="E48" s="290" t="s">
        <v>4945</v>
      </c>
      <c r="F48" s="111" t="s">
        <v>44</v>
      </c>
      <c r="G48" s="127" t="s">
        <v>4</v>
      </c>
      <c r="H48" s="680">
        <v>45966</v>
      </c>
      <c r="I48" s="125"/>
      <c r="J48" s="413" t="s">
        <v>22</v>
      </c>
      <c r="K48" s="494"/>
      <c r="L48" s="495"/>
      <c r="M48" s="496"/>
      <c r="N48" s="497"/>
      <c r="O48" s="498"/>
      <c r="P48" s="499"/>
      <c r="Q48" s="539">
        <v>45975</v>
      </c>
      <c r="R48" s="148">
        <f t="shared" si="1"/>
        <v>9</v>
      </c>
      <c r="S48" s="101" t="s">
        <v>4</v>
      </c>
      <c r="T48" s="69"/>
    </row>
    <row r="49" spans="1:20" x14ac:dyDescent="0.3">
      <c r="A49" s="98">
        <f t="shared" si="2"/>
        <v>47</v>
      </c>
      <c r="B49" s="111">
        <v>1550</v>
      </c>
      <c r="C49" s="512">
        <v>45966</v>
      </c>
      <c r="D49" s="617">
        <v>25527703</v>
      </c>
      <c r="E49" s="686" t="s">
        <v>4946</v>
      </c>
      <c r="F49" s="150" t="s">
        <v>9</v>
      </c>
      <c r="G49" s="127" t="s">
        <v>4</v>
      </c>
      <c r="H49" s="568">
        <v>45966</v>
      </c>
      <c r="I49" s="610"/>
      <c r="J49" s="100" t="s">
        <v>2352</v>
      </c>
      <c r="K49" s="494"/>
      <c r="L49" s="495"/>
      <c r="M49" s="496"/>
      <c r="N49" s="497"/>
      <c r="O49" s="498"/>
      <c r="P49" s="499"/>
      <c r="Q49" s="501">
        <v>45968</v>
      </c>
      <c r="R49" s="148">
        <f t="shared" si="1"/>
        <v>2</v>
      </c>
      <c r="S49" s="101" t="s">
        <v>4926</v>
      </c>
      <c r="T49" s="69"/>
    </row>
    <row r="50" spans="1:20" ht="72" x14ac:dyDescent="0.3">
      <c r="A50" s="98">
        <f t="shared" si="2"/>
        <v>48</v>
      </c>
      <c r="B50" s="583" t="s">
        <v>301</v>
      </c>
      <c r="C50" s="573">
        <v>45966</v>
      </c>
      <c r="D50" s="219">
        <v>118616552</v>
      </c>
      <c r="E50" s="254" t="s">
        <v>4947</v>
      </c>
      <c r="F50" s="111" t="s">
        <v>1</v>
      </c>
      <c r="G50" s="172" t="s">
        <v>6</v>
      </c>
      <c r="H50" s="493">
        <v>45966</v>
      </c>
      <c r="I50" s="689"/>
      <c r="J50" s="100" t="s">
        <v>2352</v>
      </c>
      <c r="K50" s="494"/>
      <c r="L50" s="495"/>
      <c r="M50" s="496"/>
      <c r="N50" s="497"/>
      <c r="O50" s="498"/>
      <c r="P50" s="499"/>
      <c r="Q50" s="539">
        <v>45967</v>
      </c>
      <c r="R50" s="148">
        <f t="shared" si="1"/>
        <v>1</v>
      </c>
      <c r="S50" s="101" t="s">
        <v>2747</v>
      </c>
      <c r="T50" s="69"/>
    </row>
    <row r="51" spans="1:20" ht="72" x14ac:dyDescent="0.3">
      <c r="A51" s="98">
        <f t="shared" si="2"/>
        <v>49</v>
      </c>
      <c r="B51" s="491" t="s">
        <v>301</v>
      </c>
      <c r="C51" s="492">
        <v>45966</v>
      </c>
      <c r="D51" s="219"/>
      <c r="E51" s="175" t="s">
        <v>4948</v>
      </c>
      <c r="F51" s="111" t="s">
        <v>21</v>
      </c>
      <c r="G51" s="221" t="s">
        <v>6</v>
      </c>
      <c r="H51" s="493">
        <v>45966</v>
      </c>
      <c r="I51" s="25"/>
      <c r="J51" s="100" t="s">
        <v>2513</v>
      </c>
      <c r="K51" s="494"/>
      <c r="L51" s="495"/>
      <c r="M51" s="496"/>
      <c r="N51" s="497"/>
      <c r="O51" s="498"/>
      <c r="P51" s="499"/>
      <c r="Q51" s="539">
        <v>45967</v>
      </c>
      <c r="R51" s="148">
        <f t="shared" si="1"/>
        <v>1</v>
      </c>
      <c r="S51" s="101" t="s">
        <v>2747</v>
      </c>
      <c r="T51" s="69"/>
    </row>
    <row r="52" spans="1:20" ht="28.8" x14ac:dyDescent="0.3">
      <c r="A52" s="98">
        <f t="shared" si="2"/>
        <v>50</v>
      </c>
      <c r="B52" s="491">
        <v>1550</v>
      </c>
      <c r="C52" s="556">
        <v>45966</v>
      </c>
      <c r="D52" s="219">
        <v>120241412</v>
      </c>
      <c r="E52" s="175" t="s">
        <v>4949</v>
      </c>
      <c r="F52" s="111" t="s">
        <v>12</v>
      </c>
      <c r="G52" s="221" t="s">
        <v>6</v>
      </c>
      <c r="H52" s="493">
        <v>45966</v>
      </c>
      <c r="I52" s="655"/>
      <c r="J52" s="100" t="s">
        <v>159</v>
      </c>
      <c r="K52" s="494"/>
      <c r="L52" s="495"/>
      <c r="M52" s="496"/>
      <c r="N52" s="497"/>
      <c r="O52" s="498"/>
      <c r="P52" s="499"/>
      <c r="Q52" s="501">
        <v>45966</v>
      </c>
      <c r="R52" s="148">
        <f t="shared" si="1"/>
        <v>0</v>
      </c>
      <c r="S52" s="101" t="s">
        <v>2597</v>
      </c>
      <c r="T52" s="69"/>
    </row>
    <row r="53" spans="1:20" ht="57.6" x14ac:dyDescent="0.3">
      <c r="A53" s="98">
        <f t="shared" si="2"/>
        <v>51</v>
      </c>
      <c r="B53" s="683">
        <v>1550</v>
      </c>
      <c r="C53" s="556">
        <v>45966</v>
      </c>
      <c r="D53" s="654">
        <v>81820178</v>
      </c>
      <c r="E53" s="293" t="s">
        <v>4950</v>
      </c>
      <c r="F53" s="101" t="s">
        <v>5</v>
      </c>
      <c r="G53" s="221" t="s">
        <v>4</v>
      </c>
      <c r="H53" s="493">
        <v>45966</v>
      </c>
      <c r="I53" s="25"/>
      <c r="J53" s="100" t="s">
        <v>159</v>
      </c>
      <c r="K53" s="494"/>
      <c r="L53" s="636"/>
      <c r="M53" s="496"/>
      <c r="N53" s="497"/>
      <c r="O53" s="498"/>
      <c r="P53" s="499"/>
      <c r="Q53" s="501">
        <v>45967</v>
      </c>
      <c r="R53" s="148">
        <f t="shared" si="1"/>
        <v>1</v>
      </c>
      <c r="S53" s="101" t="s">
        <v>720</v>
      </c>
      <c r="T53" s="69"/>
    </row>
    <row r="54" spans="1:20" ht="28.8" x14ac:dyDescent="0.3">
      <c r="A54" s="98">
        <f t="shared" si="2"/>
        <v>52</v>
      </c>
      <c r="B54" s="683" t="s">
        <v>1826</v>
      </c>
      <c r="C54" s="556">
        <v>45966</v>
      </c>
      <c r="D54" s="685">
        <v>5765870</v>
      </c>
      <c r="E54" s="293" t="s">
        <v>4951</v>
      </c>
      <c r="F54" s="385" t="s">
        <v>12</v>
      </c>
      <c r="G54" s="221" t="s">
        <v>4</v>
      </c>
      <c r="H54" s="493">
        <v>45966</v>
      </c>
      <c r="I54" s="655"/>
      <c r="J54" s="100" t="s">
        <v>159</v>
      </c>
      <c r="K54" s="494"/>
      <c r="L54" s="495"/>
      <c r="M54" s="496"/>
      <c r="N54" s="497"/>
      <c r="O54" s="498"/>
      <c r="P54" s="499"/>
      <c r="Q54" s="501">
        <v>45979</v>
      </c>
      <c r="R54" s="148">
        <f t="shared" si="1"/>
        <v>13</v>
      </c>
      <c r="S54" s="101" t="s">
        <v>4926</v>
      </c>
      <c r="T54" s="671"/>
    </row>
    <row r="55" spans="1:20" ht="28.8" x14ac:dyDescent="0.3">
      <c r="A55" s="98">
        <f t="shared" si="2"/>
        <v>53</v>
      </c>
      <c r="B55" s="683">
        <v>1550</v>
      </c>
      <c r="C55" s="556">
        <v>45967</v>
      </c>
      <c r="D55" s="219">
        <v>2011190</v>
      </c>
      <c r="E55" s="684" t="s">
        <v>4952</v>
      </c>
      <c r="F55" s="101" t="s">
        <v>1</v>
      </c>
      <c r="G55" s="221" t="s">
        <v>8</v>
      </c>
      <c r="H55" s="493">
        <v>45967</v>
      </c>
      <c r="I55" s="25"/>
      <c r="J55" s="100"/>
      <c r="K55" s="494"/>
      <c r="L55" s="495"/>
      <c r="M55" s="496"/>
      <c r="N55" s="497"/>
      <c r="O55" s="498"/>
      <c r="P55" s="499"/>
      <c r="Q55" s="501">
        <v>45967</v>
      </c>
      <c r="R55" s="148">
        <f>Q55-H55</f>
        <v>0</v>
      </c>
      <c r="S55" s="101" t="s">
        <v>3146</v>
      </c>
      <c r="T55" s="69"/>
    </row>
    <row r="56" spans="1:20" x14ac:dyDescent="0.3">
      <c r="A56" s="98">
        <f t="shared" si="2"/>
        <v>54</v>
      </c>
      <c r="B56" s="683">
        <v>1550</v>
      </c>
      <c r="C56" s="556">
        <v>45967</v>
      </c>
      <c r="D56" s="662"/>
      <c r="E56" s="212" t="s">
        <v>4953</v>
      </c>
      <c r="F56" s="101" t="s">
        <v>40</v>
      </c>
      <c r="G56" s="221" t="s">
        <v>4</v>
      </c>
      <c r="H56" s="493">
        <v>45967</v>
      </c>
      <c r="I56" s="25"/>
      <c r="J56" s="100" t="s">
        <v>266</v>
      </c>
      <c r="K56" s="494" t="s">
        <v>393</v>
      </c>
      <c r="L56" s="495"/>
      <c r="M56" s="496"/>
      <c r="N56" s="497"/>
      <c r="O56" s="498"/>
      <c r="P56" s="499"/>
      <c r="Q56" s="501">
        <v>45968</v>
      </c>
      <c r="R56" s="148">
        <f t="shared" si="1"/>
        <v>1</v>
      </c>
      <c r="S56" s="101" t="s">
        <v>3086</v>
      </c>
      <c r="T56" s="315"/>
    </row>
    <row r="57" spans="1:20" ht="28.8" x14ac:dyDescent="0.3">
      <c r="A57" s="98">
        <f t="shared" si="2"/>
        <v>55</v>
      </c>
      <c r="B57" s="724">
        <v>1550</v>
      </c>
      <c r="C57" s="556">
        <v>45967</v>
      </c>
      <c r="D57" s="750">
        <v>24114987</v>
      </c>
      <c r="E57" s="661" t="s">
        <v>4954</v>
      </c>
      <c r="F57" s="101" t="s">
        <v>1</v>
      </c>
      <c r="G57" s="221" t="s">
        <v>4</v>
      </c>
      <c r="H57" s="493">
        <v>45967</v>
      </c>
      <c r="I57" s="25"/>
      <c r="J57" s="100" t="s">
        <v>2352</v>
      </c>
      <c r="K57" s="494"/>
      <c r="L57" s="495"/>
      <c r="M57" s="496"/>
      <c r="N57" s="497"/>
      <c r="O57" s="498"/>
      <c r="P57" s="499"/>
      <c r="Q57" s="501">
        <v>45978</v>
      </c>
      <c r="R57" s="148">
        <f t="shared" si="1"/>
        <v>11</v>
      </c>
      <c r="S57" s="101" t="s">
        <v>4926</v>
      </c>
      <c r="T57" s="69"/>
    </row>
    <row r="58" spans="1:20" ht="28.8" x14ac:dyDescent="0.3">
      <c r="A58" s="98">
        <f t="shared" si="2"/>
        <v>56</v>
      </c>
      <c r="B58" s="111">
        <v>1550</v>
      </c>
      <c r="C58" s="512">
        <v>45967</v>
      </c>
      <c r="D58" s="751">
        <v>26030063</v>
      </c>
      <c r="E58" s="175" t="s">
        <v>4492</v>
      </c>
      <c r="F58" s="101" t="s">
        <v>1</v>
      </c>
      <c r="G58" s="221" t="s">
        <v>8</v>
      </c>
      <c r="H58" s="493">
        <v>45967</v>
      </c>
      <c r="I58" s="25"/>
      <c r="J58" s="100" t="s">
        <v>4955</v>
      </c>
      <c r="K58" s="494"/>
      <c r="L58" s="495"/>
      <c r="M58" s="496"/>
      <c r="N58" s="497"/>
      <c r="O58" s="498"/>
      <c r="P58" s="499"/>
      <c r="Q58" s="500">
        <v>46010</v>
      </c>
      <c r="R58" s="148">
        <f t="shared" si="1"/>
        <v>43</v>
      </c>
      <c r="S58" s="101" t="s">
        <v>3841</v>
      </c>
      <c r="T58" s="69"/>
    </row>
    <row r="59" spans="1:20" ht="28.8" x14ac:dyDescent="0.3">
      <c r="A59" s="98">
        <f t="shared" si="2"/>
        <v>57</v>
      </c>
      <c r="B59" s="111">
        <v>1550</v>
      </c>
      <c r="C59" s="512">
        <v>45967</v>
      </c>
      <c r="D59" s="751">
        <v>68556756</v>
      </c>
      <c r="E59" s="175" t="s">
        <v>4956</v>
      </c>
      <c r="F59" s="182" t="s">
        <v>1</v>
      </c>
      <c r="G59" s="221" t="s">
        <v>8</v>
      </c>
      <c r="H59" s="493">
        <v>45967</v>
      </c>
      <c r="I59" s="25"/>
      <c r="J59" s="100" t="s">
        <v>4955</v>
      </c>
      <c r="K59" s="494" t="s">
        <v>262</v>
      </c>
      <c r="L59" s="495"/>
      <c r="M59" s="749">
        <v>45967</v>
      </c>
      <c r="N59" s="497"/>
      <c r="O59" s="498"/>
      <c r="P59" s="499"/>
      <c r="Q59" s="539">
        <v>45972</v>
      </c>
      <c r="R59" s="148">
        <f t="shared" si="1"/>
        <v>5</v>
      </c>
      <c r="S59" s="101" t="s">
        <v>3931</v>
      </c>
      <c r="T59" s="167"/>
    </row>
    <row r="60" spans="1:20" ht="43.2" x14ac:dyDescent="0.3">
      <c r="A60" s="98">
        <f t="shared" si="2"/>
        <v>58</v>
      </c>
      <c r="B60" s="111" t="s">
        <v>301</v>
      </c>
      <c r="C60" s="512">
        <v>45967</v>
      </c>
      <c r="D60" s="751">
        <v>77969332</v>
      </c>
      <c r="E60" s="175" t="s">
        <v>3935</v>
      </c>
      <c r="F60" s="179" t="s">
        <v>49</v>
      </c>
      <c r="G60" s="221" t="s">
        <v>6</v>
      </c>
      <c r="H60" s="493">
        <v>45967</v>
      </c>
      <c r="I60" s="25"/>
      <c r="J60" s="100" t="s">
        <v>266</v>
      </c>
      <c r="K60" s="494"/>
      <c r="L60" s="495"/>
      <c r="M60" s="496"/>
      <c r="N60" s="497"/>
      <c r="O60" s="498"/>
      <c r="P60" s="499"/>
      <c r="Q60" s="501">
        <v>45967</v>
      </c>
      <c r="R60" s="148">
        <f t="shared" si="1"/>
        <v>0</v>
      </c>
      <c r="S60" s="101" t="s">
        <v>3952</v>
      </c>
      <c r="T60" s="69"/>
    </row>
    <row r="61" spans="1:20" ht="43.2" x14ac:dyDescent="0.3">
      <c r="A61" s="98">
        <f t="shared" si="2"/>
        <v>59</v>
      </c>
      <c r="B61" s="150">
        <v>1550</v>
      </c>
      <c r="C61" s="606">
        <v>45967</v>
      </c>
      <c r="D61" s="752">
        <v>77424042</v>
      </c>
      <c r="E61" s="294" t="s">
        <v>4957</v>
      </c>
      <c r="F61" s="182" t="s">
        <v>1</v>
      </c>
      <c r="G61" s="221" t="s">
        <v>8</v>
      </c>
      <c r="H61" s="493">
        <v>45967</v>
      </c>
      <c r="I61" s="25"/>
      <c r="J61" s="100" t="s">
        <v>4955</v>
      </c>
      <c r="K61" s="494"/>
      <c r="L61" s="495"/>
      <c r="M61" s="496"/>
      <c r="N61" s="497"/>
      <c r="O61" s="498"/>
      <c r="P61" s="499"/>
      <c r="Q61" s="501">
        <v>45974</v>
      </c>
      <c r="R61" s="148">
        <f t="shared" si="1"/>
        <v>7</v>
      </c>
      <c r="S61" s="101" t="s">
        <v>4727</v>
      </c>
      <c r="T61" s="69"/>
    </row>
    <row r="62" spans="1:20" ht="57.6" x14ac:dyDescent="0.3">
      <c r="A62" s="98">
        <f t="shared" si="2"/>
        <v>60</v>
      </c>
      <c r="B62" s="111">
        <v>1550</v>
      </c>
      <c r="C62" s="512">
        <v>45967</v>
      </c>
      <c r="D62" s="219">
        <v>360255256</v>
      </c>
      <c r="E62" s="175" t="s">
        <v>4958</v>
      </c>
      <c r="F62" s="111" t="s">
        <v>12</v>
      </c>
      <c r="G62" s="221" t="s">
        <v>6</v>
      </c>
      <c r="H62" s="493">
        <v>45967</v>
      </c>
      <c r="I62" s="25"/>
      <c r="J62" s="100" t="s">
        <v>159</v>
      </c>
      <c r="K62" s="494"/>
      <c r="L62" s="495"/>
      <c r="M62" s="496"/>
      <c r="N62" s="497"/>
      <c r="O62" s="498"/>
      <c r="P62" s="499"/>
      <c r="Q62" s="501">
        <v>45967</v>
      </c>
      <c r="R62" s="148">
        <f t="shared" si="1"/>
        <v>0</v>
      </c>
      <c r="S62" s="101" t="s">
        <v>2597</v>
      </c>
      <c r="T62" s="201"/>
    </row>
    <row r="63" spans="1:20" ht="43.2" x14ac:dyDescent="0.3">
      <c r="A63" s="98">
        <f t="shared" si="2"/>
        <v>61</v>
      </c>
      <c r="B63" s="111">
        <v>1550</v>
      </c>
      <c r="C63" s="512">
        <v>45967</v>
      </c>
      <c r="D63" s="219">
        <v>3973735</v>
      </c>
      <c r="E63" s="175" t="s">
        <v>4959</v>
      </c>
      <c r="F63" s="111" t="s">
        <v>44</v>
      </c>
      <c r="G63" s="221" t="s">
        <v>4</v>
      </c>
      <c r="H63" s="493">
        <v>45967</v>
      </c>
      <c r="I63" s="25"/>
      <c r="J63" s="100" t="s">
        <v>22</v>
      </c>
      <c r="K63" s="494"/>
      <c r="L63" s="495"/>
      <c r="M63" s="496"/>
      <c r="N63" s="497"/>
      <c r="O63" s="498"/>
      <c r="P63" s="499"/>
      <c r="Q63" s="501">
        <v>45980</v>
      </c>
      <c r="R63" s="148">
        <f t="shared" si="1"/>
        <v>13</v>
      </c>
      <c r="S63" s="101" t="s">
        <v>2979</v>
      </c>
      <c r="T63" s="69"/>
    </row>
    <row r="64" spans="1:20" ht="28.8" x14ac:dyDescent="0.3">
      <c r="A64" s="98">
        <f t="shared" si="2"/>
        <v>62</v>
      </c>
      <c r="B64" s="111">
        <v>1550</v>
      </c>
      <c r="C64" s="512">
        <v>45967</v>
      </c>
      <c r="D64" s="219">
        <v>3355209</v>
      </c>
      <c r="E64" s="289" t="s">
        <v>4960</v>
      </c>
      <c r="F64" s="111" t="s">
        <v>14</v>
      </c>
      <c r="G64" s="221" t="s">
        <v>6</v>
      </c>
      <c r="H64" s="493">
        <v>45967</v>
      </c>
      <c r="I64" s="25"/>
      <c r="J64" s="732" t="s">
        <v>3177</v>
      </c>
      <c r="K64" s="494"/>
      <c r="L64" s="495"/>
      <c r="M64" s="496"/>
      <c r="N64" s="497"/>
      <c r="O64" s="498"/>
      <c r="P64" s="499"/>
      <c r="Q64" s="501">
        <v>45968</v>
      </c>
      <c r="R64" s="148">
        <f t="shared" si="1"/>
        <v>1</v>
      </c>
      <c r="S64" s="101" t="s">
        <v>1860</v>
      </c>
      <c r="T64" s="69"/>
    </row>
    <row r="65" spans="1:20" ht="57.6" x14ac:dyDescent="0.3">
      <c r="A65" s="98">
        <f t="shared" si="2"/>
        <v>63</v>
      </c>
      <c r="B65" s="554">
        <v>1550</v>
      </c>
      <c r="C65" s="656">
        <v>45967</v>
      </c>
      <c r="D65" s="662" t="s">
        <v>4961</v>
      </c>
      <c r="E65" s="661" t="s">
        <v>4962</v>
      </c>
      <c r="F65" s="101" t="s">
        <v>39</v>
      </c>
      <c r="G65" s="221" t="s">
        <v>8</v>
      </c>
      <c r="H65" s="493">
        <v>45967</v>
      </c>
      <c r="I65" s="25"/>
      <c r="J65" s="100" t="s">
        <v>22</v>
      </c>
      <c r="K65" s="494"/>
      <c r="L65" s="495"/>
      <c r="M65" s="496"/>
      <c r="N65" s="497"/>
      <c r="O65" s="498"/>
      <c r="P65" s="499"/>
      <c r="Q65" s="501">
        <v>45972</v>
      </c>
      <c r="R65" s="148">
        <f t="shared" si="1"/>
        <v>5</v>
      </c>
      <c r="S65" s="101" t="s">
        <v>3931</v>
      </c>
      <c r="T65" s="69"/>
    </row>
    <row r="66" spans="1:20" ht="28.8" x14ac:dyDescent="0.3">
      <c r="A66" s="98">
        <f t="shared" si="2"/>
        <v>64</v>
      </c>
      <c r="B66" s="506">
        <v>1550</v>
      </c>
      <c r="C66" s="512">
        <v>45967</v>
      </c>
      <c r="D66" s="662">
        <v>73569488</v>
      </c>
      <c r="E66" s="175" t="s">
        <v>4963</v>
      </c>
      <c r="F66" s="101" t="s">
        <v>1</v>
      </c>
      <c r="G66" s="221" t="s">
        <v>4</v>
      </c>
      <c r="H66" s="493">
        <v>45967</v>
      </c>
      <c r="I66" s="25"/>
      <c r="J66" s="754" t="s">
        <v>3177</v>
      </c>
      <c r="K66" s="494"/>
      <c r="L66" s="495"/>
      <c r="M66" s="496"/>
      <c r="N66" s="497"/>
      <c r="O66" s="498"/>
      <c r="P66" s="499"/>
      <c r="Q66" s="501">
        <v>45968</v>
      </c>
      <c r="R66" s="148">
        <f t="shared" si="1"/>
        <v>1</v>
      </c>
      <c r="S66" s="101" t="s">
        <v>4926</v>
      </c>
      <c r="T66" s="69"/>
    </row>
    <row r="67" spans="1:20" ht="43.2" x14ac:dyDescent="0.3">
      <c r="A67" s="98">
        <f t="shared" si="2"/>
        <v>65</v>
      </c>
      <c r="B67" s="506">
        <v>1550</v>
      </c>
      <c r="C67" s="512">
        <v>45968</v>
      </c>
      <c r="D67" s="751">
        <v>26454041</v>
      </c>
      <c r="E67" s="175" t="s">
        <v>4964</v>
      </c>
      <c r="F67" s="101" t="s">
        <v>19</v>
      </c>
      <c r="G67" s="221" t="s">
        <v>8</v>
      </c>
      <c r="H67" s="493">
        <v>45968</v>
      </c>
      <c r="I67" s="25"/>
      <c r="J67" s="100" t="s">
        <v>1357</v>
      </c>
      <c r="K67" s="494"/>
      <c r="L67" s="495"/>
      <c r="M67" s="496"/>
      <c r="N67" s="497"/>
      <c r="O67" s="498"/>
      <c r="P67" s="499"/>
      <c r="Q67" s="501">
        <v>45968</v>
      </c>
      <c r="R67" s="148">
        <f t="shared" si="1"/>
        <v>0</v>
      </c>
      <c r="S67" s="101" t="s">
        <v>3841</v>
      </c>
      <c r="T67" s="167"/>
    </row>
    <row r="68" spans="1:20" ht="57.6" x14ac:dyDescent="0.3">
      <c r="A68" s="98">
        <f t="shared" si="2"/>
        <v>66</v>
      </c>
      <c r="B68" s="506" t="s">
        <v>80</v>
      </c>
      <c r="C68" s="512">
        <v>45968</v>
      </c>
      <c r="D68" s="219">
        <v>83868062</v>
      </c>
      <c r="E68" s="175" t="s">
        <v>4965</v>
      </c>
      <c r="F68" s="101" t="s">
        <v>39</v>
      </c>
      <c r="G68" s="221" t="s">
        <v>8</v>
      </c>
      <c r="H68" s="493">
        <v>45968</v>
      </c>
      <c r="I68" s="25"/>
      <c r="J68" s="100" t="s">
        <v>22</v>
      </c>
      <c r="K68" s="494"/>
      <c r="L68" s="495"/>
      <c r="M68" s="496"/>
      <c r="N68" s="497"/>
      <c r="O68" s="498"/>
      <c r="P68" s="499"/>
      <c r="Q68" s="501">
        <v>45973</v>
      </c>
      <c r="R68" s="148">
        <f t="shared" si="1"/>
        <v>5</v>
      </c>
      <c r="S68" s="101" t="s">
        <v>4127</v>
      </c>
      <c r="T68" s="167"/>
    </row>
    <row r="69" spans="1:20" ht="43.2" x14ac:dyDescent="0.3">
      <c r="A69" s="98">
        <f t="shared" si="2"/>
        <v>67</v>
      </c>
      <c r="B69" s="660">
        <v>1550</v>
      </c>
      <c r="C69" s="512">
        <v>45968</v>
      </c>
      <c r="D69" s="219" t="s">
        <v>4966</v>
      </c>
      <c r="E69" s="175" t="s">
        <v>3935</v>
      </c>
      <c r="F69" s="386" t="s">
        <v>49</v>
      </c>
      <c r="G69" s="112" t="s">
        <v>6</v>
      </c>
      <c r="H69" s="493">
        <v>45968</v>
      </c>
      <c r="I69" s="25"/>
      <c r="J69" s="100" t="s">
        <v>266</v>
      </c>
      <c r="K69" s="494"/>
      <c r="L69" s="495"/>
      <c r="M69" s="496"/>
      <c r="N69" s="497"/>
      <c r="O69" s="498"/>
      <c r="P69" s="499"/>
      <c r="Q69" s="501">
        <v>45968</v>
      </c>
      <c r="R69" s="148">
        <f t="shared" ref="R69:R139" si="3">Q69-H69</f>
        <v>0</v>
      </c>
      <c r="S69" s="101" t="s">
        <v>4800</v>
      </c>
      <c r="T69" s="315"/>
    </row>
    <row r="70" spans="1:20" ht="86.4" x14ac:dyDescent="0.3">
      <c r="A70" s="98">
        <f t="shared" si="2"/>
        <v>68</v>
      </c>
      <c r="B70" s="506" t="s">
        <v>80</v>
      </c>
      <c r="C70" s="512">
        <v>45968</v>
      </c>
      <c r="D70" s="219">
        <v>97537659</v>
      </c>
      <c r="E70" s="212" t="s">
        <v>4967</v>
      </c>
      <c r="F70" s="386" t="s">
        <v>38</v>
      </c>
      <c r="G70" s="112" t="s">
        <v>6</v>
      </c>
      <c r="H70" s="493">
        <v>45968</v>
      </c>
      <c r="I70" s="341"/>
      <c r="J70" s="100" t="s">
        <v>253</v>
      </c>
      <c r="K70" s="494"/>
      <c r="L70" s="495"/>
      <c r="M70" s="496"/>
      <c r="N70" s="497"/>
      <c r="O70" s="498"/>
      <c r="P70" s="499"/>
      <c r="Q70" s="501">
        <v>45979</v>
      </c>
      <c r="R70" s="148">
        <f t="shared" si="3"/>
        <v>11</v>
      </c>
      <c r="S70" s="101" t="s">
        <v>2597</v>
      </c>
      <c r="T70" s="69" t="s">
        <v>4968</v>
      </c>
    </row>
    <row r="71" spans="1:20" ht="43.2" x14ac:dyDescent="0.3">
      <c r="A71" s="98">
        <f t="shared" si="2"/>
        <v>69</v>
      </c>
      <c r="B71" s="506" t="s">
        <v>301</v>
      </c>
      <c r="C71" s="492">
        <v>45968</v>
      </c>
      <c r="D71" s="543">
        <v>72710616</v>
      </c>
      <c r="E71" s="212" t="s">
        <v>4969</v>
      </c>
      <c r="F71" s="386" t="s">
        <v>1</v>
      </c>
      <c r="G71" s="112" t="s">
        <v>6</v>
      </c>
      <c r="H71" s="493">
        <v>45968</v>
      </c>
      <c r="I71" s="341"/>
      <c r="J71" s="100" t="s">
        <v>3411</v>
      </c>
      <c r="K71" s="494"/>
      <c r="L71" s="495"/>
      <c r="M71" s="496"/>
      <c r="N71" s="497"/>
      <c r="O71" s="498"/>
      <c r="P71" s="499"/>
      <c r="Q71" s="501">
        <v>45969</v>
      </c>
      <c r="R71" s="148">
        <f t="shared" si="3"/>
        <v>1</v>
      </c>
      <c r="S71" s="101" t="s">
        <v>1860</v>
      </c>
      <c r="T71" s="69"/>
    </row>
    <row r="72" spans="1:20" ht="43.2" x14ac:dyDescent="0.3">
      <c r="A72" s="98">
        <f t="shared" si="2"/>
        <v>70</v>
      </c>
      <c r="B72" s="506">
        <v>1550</v>
      </c>
      <c r="C72" s="512">
        <v>45968</v>
      </c>
      <c r="D72" s="135">
        <v>77959450</v>
      </c>
      <c r="E72" s="175" t="s">
        <v>4970</v>
      </c>
      <c r="F72" s="386" t="s">
        <v>32</v>
      </c>
      <c r="G72" s="112" t="s">
        <v>6</v>
      </c>
      <c r="H72" s="493">
        <v>45968</v>
      </c>
      <c r="I72" s="125"/>
      <c r="J72" s="100" t="s">
        <v>106</v>
      </c>
      <c r="K72" s="494"/>
      <c r="L72" s="495"/>
      <c r="M72" s="496"/>
      <c r="N72" s="497"/>
      <c r="O72" s="498"/>
      <c r="P72" s="499"/>
      <c r="Q72" s="501">
        <v>45971</v>
      </c>
      <c r="R72" s="148">
        <f t="shared" si="3"/>
        <v>3</v>
      </c>
      <c r="S72" s="101" t="s">
        <v>2808</v>
      </c>
      <c r="T72" s="167"/>
    </row>
    <row r="73" spans="1:20" ht="66.75" customHeight="1" x14ac:dyDescent="0.3">
      <c r="A73" s="98">
        <f t="shared" ref="A73:A138" si="4">A72+1</f>
        <v>71</v>
      </c>
      <c r="B73" s="506">
        <v>1550</v>
      </c>
      <c r="C73" s="512">
        <v>45968</v>
      </c>
      <c r="D73" s="135">
        <v>5588782</v>
      </c>
      <c r="E73" s="175" t="s">
        <v>4971</v>
      </c>
      <c r="F73" s="386" t="s">
        <v>1</v>
      </c>
      <c r="G73" s="112" t="s">
        <v>10</v>
      </c>
      <c r="H73" s="493">
        <v>45968</v>
      </c>
      <c r="I73" s="125"/>
      <c r="J73" s="100" t="s">
        <v>4972</v>
      </c>
      <c r="K73" s="494"/>
      <c r="L73" s="495"/>
      <c r="M73" s="496"/>
      <c r="N73" s="497"/>
      <c r="O73" s="498"/>
      <c r="P73" s="499"/>
      <c r="Q73" s="501">
        <v>45971</v>
      </c>
      <c r="R73" s="148">
        <f t="shared" si="3"/>
        <v>3</v>
      </c>
      <c r="S73" s="101" t="s">
        <v>85</v>
      </c>
      <c r="T73" s="167"/>
    </row>
    <row r="74" spans="1:20" ht="57.6" x14ac:dyDescent="0.3">
      <c r="A74" s="98">
        <f t="shared" si="4"/>
        <v>72</v>
      </c>
      <c r="B74" s="506">
        <v>1550</v>
      </c>
      <c r="C74" s="512">
        <v>45971</v>
      </c>
      <c r="D74" s="135"/>
      <c r="E74" s="175" t="s">
        <v>4973</v>
      </c>
      <c r="F74" s="386" t="s">
        <v>51</v>
      </c>
      <c r="G74" s="112" t="s">
        <v>6</v>
      </c>
      <c r="H74" s="493">
        <v>45971</v>
      </c>
      <c r="I74" s="125"/>
      <c r="J74" s="100" t="s">
        <v>99</v>
      </c>
      <c r="K74" s="494"/>
      <c r="L74" s="495"/>
      <c r="M74" s="496"/>
      <c r="N74" s="497"/>
      <c r="O74" s="498"/>
      <c r="P74" s="499"/>
      <c r="Q74" s="501">
        <v>45971</v>
      </c>
      <c r="R74" s="148">
        <f t="shared" si="3"/>
        <v>0</v>
      </c>
      <c r="S74" s="101" t="s">
        <v>4800</v>
      </c>
      <c r="T74" s="167"/>
    </row>
    <row r="75" spans="1:20" ht="72" x14ac:dyDescent="0.3">
      <c r="A75" s="98">
        <f t="shared" si="4"/>
        <v>73</v>
      </c>
      <c r="B75" s="506">
        <v>1550</v>
      </c>
      <c r="C75" s="512">
        <v>45972</v>
      </c>
      <c r="D75" s="135"/>
      <c r="E75" s="175" t="s">
        <v>4974</v>
      </c>
      <c r="F75" s="386" t="s">
        <v>7</v>
      </c>
      <c r="G75" s="112" t="s">
        <v>6</v>
      </c>
      <c r="H75" s="493">
        <v>45972</v>
      </c>
      <c r="I75" s="341"/>
      <c r="J75" s="100" t="s">
        <v>2536</v>
      </c>
      <c r="K75" s="494"/>
      <c r="L75" s="495"/>
      <c r="M75" s="496"/>
      <c r="N75" s="497"/>
      <c r="O75" s="498"/>
      <c r="P75" s="499"/>
      <c r="Q75" s="501">
        <v>45972</v>
      </c>
      <c r="R75" s="148">
        <f t="shared" si="3"/>
        <v>0</v>
      </c>
      <c r="S75" s="101" t="s">
        <v>2808</v>
      </c>
      <c r="T75" s="69"/>
    </row>
    <row r="76" spans="1:20" ht="28.8" x14ac:dyDescent="0.3">
      <c r="A76" s="98">
        <f t="shared" si="4"/>
        <v>74</v>
      </c>
      <c r="B76" s="506">
        <v>1550</v>
      </c>
      <c r="C76" s="512">
        <v>45972</v>
      </c>
      <c r="D76" s="135">
        <v>96130741</v>
      </c>
      <c r="E76" s="175" t="s">
        <v>4975</v>
      </c>
      <c r="F76" s="386" t="s">
        <v>12</v>
      </c>
      <c r="G76" s="112" t="s">
        <v>8</v>
      </c>
      <c r="H76" s="493">
        <v>45972</v>
      </c>
      <c r="I76" s="125"/>
      <c r="J76" s="100" t="s">
        <v>1357</v>
      </c>
      <c r="K76" s="494"/>
      <c r="L76" s="495"/>
      <c r="M76" s="496"/>
      <c r="N76" s="497"/>
      <c r="O76" s="498"/>
      <c r="P76" s="499"/>
      <c r="Q76" s="501">
        <v>45972</v>
      </c>
      <c r="R76" s="148">
        <f t="shared" si="3"/>
        <v>0</v>
      </c>
      <c r="S76" s="101" t="s">
        <v>3861</v>
      </c>
      <c r="T76" s="69"/>
    </row>
    <row r="77" spans="1:20" ht="57.6" x14ac:dyDescent="0.3">
      <c r="A77" s="98">
        <f t="shared" si="4"/>
        <v>75</v>
      </c>
      <c r="B77" s="506">
        <v>1550</v>
      </c>
      <c r="C77" s="512">
        <v>45972</v>
      </c>
      <c r="D77" s="135">
        <v>4605896</v>
      </c>
      <c r="E77" s="175" t="s">
        <v>4976</v>
      </c>
      <c r="F77" s="386" t="s">
        <v>62</v>
      </c>
      <c r="G77" s="112" t="s">
        <v>6</v>
      </c>
      <c r="H77" s="493">
        <v>45972</v>
      </c>
      <c r="I77" s="341"/>
      <c r="J77" s="100" t="s">
        <v>4977</v>
      </c>
      <c r="K77" s="507"/>
      <c r="L77" s="508"/>
      <c r="M77" s="365"/>
      <c r="N77" s="509"/>
      <c r="O77" s="510"/>
      <c r="P77" s="755"/>
      <c r="Q77" s="501">
        <v>45972</v>
      </c>
      <c r="R77" s="148">
        <f t="shared" si="3"/>
        <v>0</v>
      </c>
      <c r="S77" s="101" t="s">
        <v>4800</v>
      </c>
      <c r="T77" s="167"/>
    </row>
    <row r="78" spans="1:20" ht="28.8" x14ac:dyDescent="0.3">
      <c r="A78" s="98">
        <f t="shared" si="4"/>
        <v>76</v>
      </c>
      <c r="B78" s="506">
        <v>1550</v>
      </c>
      <c r="C78" s="512">
        <v>45972</v>
      </c>
      <c r="D78" s="135">
        <v>12776025</v>
      </c>
      <c r="E78" s="175" t="s">
        <v>4978</v>
      </c>
      <c r="F78" s="386" t="s">
        <v>1</v>
      </c>
      <c r="G78" s="112" t="s">
        <v>8</v>
      </c>
      <c r="H78" s="493">
        <v>45972</v>
      </c>
      <c r="I78" s="341"/>
      <c r="J78" s="100" t="s">
        <v>4955</v>
      </c>
      <c r="K78" s="494"/>
      <c r="L78" s="495"/>
      <c r="M78" s="496"/>
      <c r="N78" s="497"/>
      <c r="O78" s="498"/>
      <c r="P78" s="499"/>
      <c r="Q78" s="501">
        <v>45973</v>
      </c>
      <c r="R78" s="148">
        <f t="shared" si="3"/>
        <v>1</v>
      </c>
      <c r="S78" s="101" t="s">
        <v>3931</v>
      </c>
      <c r="T78" s="69"/>
    </row>
    <row r="79" spans="1:20" ht="36" customHeight="1" x14ac:dyDescent="0.3">
      <c r="A79" s="98">
        <f t="shared" si="4"/>
        <v>77</v>
      </c>
      <c r="B79" s="506">
        <v>1550</v>
      </c>
      <c r="C79" s="512">
        <v>45972</v>
      </c>
      <c r="D79" s="753">
        <v>80193919</v>
      </c>
      <c r="E79" s="175" t="s">
        <v>4979</v>
      </c>
      <c r="F79" s="386" t="s">
        <v>32</v>
      </c>
      <c r="G79" s="112" t="s">
        <v>10</v>
      </c>
      <c r="H79" s="493">
        <v>45972</v>
      </c>
      <c r="I79" s="341"/>
      <c r="J79" s="100" t="s">
        <v>106</v>
      </c>
      <c r="K79" s="494"/>
      <c r="L79" s="495"/>
      <c r="M79" s="496"/>
      <c r="N79" s="497"/>
      <c r="O79" s="498"/>
      <c r="P79" s="499"/>
      <c r="Q79" s="501">
        <v>45989</v>
      </c>
      <c r="R79" s="148">
        <f t="shared" si="3"/>
        <v>17</v>
      </c>
      <c r="S79" s="101" t="s">
        <v>1780</v>
      </c>
      <c r="T79" s="69"/>
    </row>
    <row r="80" spans="1:20" ht="36" customHeight="1" x14ac:dyDescent="0.3">
      <c r="A80" s="98">
        <f t="shared" si="4"/>
        <v>78</v>
      </c>
      <c r="B80" s="506">
        <v>1550</v>
      </c>
      <c r="C80" s="512">
        <v>45972</v>
      </c>
      <c r="D80" s="135">
        <v>120158566</v>
      </c>
      <c r="E80" s="175" t="s">
        <v>4980</v>
      </c>
      <c r="F80" s="386" t="s">
        <v>12</v>
      </c>
      <c r="G80" s="112" t="s">
        <v>10</v>
      </c>
      <c r="H80" s="493">
        <v>45972</v>
      </c>
      <c r="I80" s="341"/>
      <c r="J80" s="100" t="s">
        <v>159</v>
      </c>
      <c r="K80" s="494"/>
      <c r="L80" s="495"/>
      <c r="M80" s="496"/>
      <c r="N80" s="497"/>
      <c r="O80" s="498"/>
      <c r="P80" s="499"/>
      <c r="Q80" s="501">
        <v>45974</v>
      </c>
      <c r="R80" s="148">
        <f t="shared" si="3"/>
        <v>2</v>
      </c>
      <c r="S80" s="101" t="s">
        <v>214</v>
      </c>
      <c r="T80" s="69"/>
    </row>
    <row r="81" spans="1:20" ht="38.25" customHeight="1" x14ac:dyDescent="0.3">
      <c r="A81" s="98">
        <f t="shared" si="4"/>
        <v>79</v>
      </c>
      <c r="B81" s="506">
        <v>1550</v>
      </c>
      <c r="C81" s="512">
        <v>45972</v>
      </c>
      <c r="D81" s="135">
        <v>83863656</v>
      </c>
      <c r="E81" s="212" t="s">
        <v>4981</v>
      </c>
      <c r="F81" s="386" t="s">
        <v>12</v>
      </c>
      <c r="G81" s="112" t="s">
        <v>10</v>
      </c>
      <c r="H81" s="493">
        <v>45972</v>
      </c>
      <c r="I81" s="555"/>
      <c r="J81" s="100" t="s">
        <v>159</v>
      </c>
      <c r="K81" s="494"/>
      <c r="L81" s="495"/>
      <c r="M81" s="496"/>
      <c r="N81" s="497"/>
      <c r="O81" s="498"/>
      <c r="P81" s="499"/>
      <c r="Q81" s="501">
        <v>45974</v>
      </c>
      <c r="R81" s="148">
        <f t="shared" si="3"/>
        <v>2</v>
      </c>
      <c r="S81" s="101" t="s">
        <v>85</v>
      </c>
      <c r="T81" s="69"/>
    </row>
    <row r="82" spans="1:20" ht="44.25" customHeight="1" x14ac:dyDescent="0.3">
      <c r="A82" s="98">
        <f t="shared" si="4"/>
        <v>80</v>
      </c>
      <c r="B82" s="506">
        <v>1550</v>
      </c>
      <c r="C82" s="512">
        <v>45972</v>
      </c>
      <c r="D82" s="135">
        <v>7143907</v>
      </c>
      <c r="E82" s="212" t="s">
        <v>4982</v>
      </c>
      <c r="F82" s="386" t="s">
        <v>12</v>
      </c>
      <c r="G82" s="112" t="s">
        <v>10</v>
      </c>
      <c r="H82" s="493">
        <v>45972</v>
      </c>
      <c r="I82" s="517"/>
      <c r="J82" s="100" t="s">
        <v>159</v>
      </c>
      <c r="K82" s="507"/>
      <c r="L82" s="508"/>
      <c r="M82" s="365"/>
      <c r="N82" s="509"/>
      <c r="O82" s="510"/>
      <c r="P82" s="511"/>
      <c r="Q82" s="501">
        <v>45974</v>
      </c>
      <c r="R82" s="148">
        <f t="shared" si="3"/>
        <v>2</v>
      </c>
      <c r="S82" s="101" t="s">
        <v>1806</v>
      </c>
      <c r="T82" s="167"/>
    </row>
    <row r="83" spans="1:20" ht="49.5" customHeight="1" x14ac:dyDescent="0.3">
      <c r="A83" s="98">
        <f t="shared" si="4"/>
        <v>81</v>
      </c>
      <c r="B83" s="506">
        <v>1550</v>
      </c>
      <c r="C83" s="512">
        <v>45972</v>
      </c>
      <c r="D83" s="135">
        <v>94433305</v>
      </c>
      <c r="E83" s="212" t="s">
        <v>4983</v>
      </c>
      <c r="F83" s="386" t="s">
        <v>25</v>
      </c>
      <c r="G83" s="112" t="s">
        <v>10</v>
      </c>
      <c r="H83" s="493">
        <v>45972</v>
      </c>
      <c r="I83" s="25">
        <v>10000329189</v>
      </c>
      <c r="J83" s="100" t="s">
        <v>135</v>
      </c>
      <c r="K83" s="494"/>
      <c r="L83" s="495"/>
      <c r="M83" s="496"/>
      <c r="N83" s="497"/>
      <c r="O83" s="498"/>
      <c r="P83" s="499"/>
      <c r="Q83" s="501">
        <v>45972</v>
      </c>
      <c r="R83" s="148">
        <f t="shared" si="3"/>
        <v>0</v>
      </c>
      <c r="S83" s="101" t="s">
        <v>2716</v>
      </c>
      <c r="T83" s="69"/>
    </row>
    <row r="84" spans="1:20" ht="43.2" x14ac:dyDescent="0.3">
      <c r="A84" s="98">
        <f t="shared" si="4"/>
        <v>82</v>
      </c>
      <c r="B84" s="491">
        <v>1550</v>
      </c>
      <c r="C84" s="492">
        <v>45972</v>
      </c>
      <c r="D84" s="135">
        <v>5135168</v>
      </c>
      <c r="E84" s="175" t="s">
        <v>2387</v>
      </c>
      <c r="F84" s="386" t="s">
        <v>48</v>
      </c>
      <c r="G84" s="112" t="s">
        <v>8</v>
      </c>
      <c r="H84" s="493">
        <v>45972</v>
      </c>
      <c r="I84" s="25"/>
      <c r="J84" s="100" t="s">
        <v>99</v>
      </c>
      <c r="K84" s="494"/>
      <c r="L84" s="495"/>
      <c r="M84" s="496"/>
      <c r="N84" s="497"/>
      <c r="O84" s="498"/>
      <c r="P84" s="499"/>
      <c r="Q84" s="500">
        <v>45974</v>
      </c>
      <c r="R84" s="148">
        <f t="shared" si="3"/>
        <v>2</v>
      </c>
      <c r="S84" s="101" t="s">
        <v>4775</v>
      </c>
      <c r="T84" s="69" t="s">
        <v>4984</v>
      </c>
    </row>
    <row r="85" spans="1:20" ht="43.2" x14ac:dyDescent="0.3">
      <c r="A85" s="98">
        <f t="shared" si="4"/>
        <v>83</v>
      </c>
      <c r="B85" s="491">
        <v>1550</v>
      </c>
      <c r="C85" s="556">
        <v>45972</v>
      </c>
      <c r="D85" s="135">
        <v>26720493</v>
      </c>
      <c r="E85" s="175" t="s">
        <v>2387</v>
      </c>
      <c r="F85" s="386" t="s">
        <v>48</v>
      </c>
      <c r="G85" s="112" t="s">
        <v>8</v>
      </c>
      <c r="H85" s="493">
        <v>45972</v>
      </c>
      <c r="I85" s="25"/>
      <c r="J85" s="100" t="s">
        <v>99</v>
      </c>
      <c r="K85" s="494"/>
      <c r="L85" s="495"/>
      <c r="M85" s="496"/>
      <c r="N85" s="497"/>
      <c r="O85" s="498"/>
      <c r="P85" s="499"/>
      <c r="Q85" s="500">
        <v>45974</v>
      </c>
      <c r="R85" s="148">
        <f t="shared" si="3"/>
        <v>2</v>
      </c>
      <c r="S85" s="101" t="s">
        <v>190</v>
      </c>
      <c r="T85" s="69" t="s">
        <v>4984</v>
      </c>
    </row>
    <row r="86" spans="1:20" ht="43.2" x14ac:dyDescent="0.3">
      <c r="A86" s="98">
        <f t="shared" si="4"/>
        <v>84</v>
      </c>
      <c r="B86" s="491">
        <v>1550</v>
      </c>
      <c r="C86" s="492">
        <v>45973</v>
      </c>
      <c r="D86" s="135">
        <v>1211056</v>
      </c>
      <c r="E86" s="212" t="s">
        <v>4985</v>
      </c>
      <c r="F86" s="386" t="s">
        <v>7</v>
      </c>
      <c r="G86" s="112" t="s">
        <v>6</v>
      </c>
      <c r="H86" s="493">
        <v>45973</v>
      </c>
      <c r="I86" s="25"/>
      <c r="J86" s="100" t="s">
        <v>4986</v>
      </c>
      <c r="K86" s="494" t="s">
        <v>393</v>
      </c>
      <c r="L86" s="636">
        <v>45973</v>
      </c>
      <c r="M86" s="496" t="s">
        <v>4986</v>
      </c>
      <c r="N86" s="497"/>
      <c r="O86" s="498"/>
      <c r="P86" s="499"/>
      <c r="Q86" s="500">
        <v>45979</v>
      </c>
      <c r="R86" s="148">
        <f t="shared" si="3"/>
        <v>6</v>
      </c>
      <c r="S86" s="101" t="s">
        <v>2808</v>
      </c>
      <c r="T86" s="69"/>
    </row>
    <row r="87" spans="1:20" ht="72" x14ac:dyDescent="0.3">
      <c r="A87" s="98">
        <f t="shared" si="4"/>
        <v>85</v>
      </c>
      <c r="B87" s="491">
        <v>1550</v>
      </c>
      <c r="C87" s="347">
        <v>45973</v>
      </c>
      <c r="D87" s="135"/>
      <c r="E87" s="212" t="s">
        <v>4987</v>
      </c>
      <c r="F87" s="386" t="s">
        <v>1</v>
      </c>
      <c r="G87" s="112" t="s">
        <v>6</v>
      </c>
      <c r="H87" s="493">
        <v>45973</v>
      </c>
      <c r="I87" s="341"/>
      <c r="J87" s="100" t="s">
        <v>4872</v>
      </c>
      <c r="K87" s="494"/>
      <c r="L87" s="495"/>
      <c r="M87" s="496"/>
      <c r="N87" s="497"/>
      <c r="O87" s="498"/>
      <c r="P87" s="499"/>
      <c r="Q87" s="501">
        <v>45975</v>
      </c>
      <c r="R87" s="148">
        <f t="shared" si="3"/>
        <v>2</v>
      </c>
      <c r="S87" s="101" t="s">
        <v>2808</v>
      </c>
      <c r="T87" s="167"/>
    </row>
    <row r="88" spans="1:20" ht="72" x14ac:dyDescent="0.3">
      <c r="A88" s="98">
        <f t="shared" si="4"/>
        <v>86</v>
      </c>
      <c r="B88" s="491">
        <v>1550</v>
      </c>
      <c r="C88" s="347">
        <v>45973</v>
      </c>
      <c r="D88" s="135">
        <v>8428492</v>
      </c>
      <c r="E88" s="212" t="s">
        <v>4988</v>
      </c>
      <c r="F88" s="386" t="s">
        <v>1</v>
      </c>
      <c r="G88" s="112" t="s">
        <v>6</v>
      </c>
      <c r="H88" s="493">
        <v>45973</v>
      </c>
      <c r="I88" s="341"/>
      <c r="J88" s="100" t="s">
        <v>4872</v>
      </c>
      <c r="K88" s="494"/>
      <c r="L88" s="495"/>
      <c r="M88" s="496"/>
      <c r="N88" s="497"/>
      <c r="O88" s="498"/>
      <c r="P88" s="499"/>
      <c r="Q88" s="501">
        <v>45974</v>
      </c>
      <c r="R88" s="148">
        <f t="shared" si="3"/>
        <v>1</v>
      </c>
      <c r="S88" s="101" t="s">
        <v>3020</v>
      </c>
      <c r="T88" s="69"/>
    </row>
    <row r="89" spans="1:20" ht="44.25" customHeight="1" x14ac:dyDescent="0.3">
      <c r="A89" s="98">
        <f t="shared" si="4"/>
        <v>87</v>
      </c>
      <c r="B89" s="491">
        <v>1550</v>
      </c>
      <c r="C89" s="347">
        <v>45973</v>
      </c>
      <c r="D89" s="135">
        <v>82771294</v>
      </c>
      <c r="E89" s="212" t="s">
        <v>4989</v>
      </c>
      <c r="F89" s="386" t="s">
        <v>3</v>
      </c>
      <c r="G89" s="112" t="s">
        <v>10</v>
      </c>
      <c r="H89" s="493">
        <v>45973</v>
      </c>
      <c r="I89" s="756"/>
      <c r="J89" s="100" t="s">
        <v>4870</v>
      </c>
      <c r="K89" s="494"/>
      <c r="L89" s="495"/>
      <c r="M89" s="496"/>
      <c r="N89" s="497"/>
      <c r="O89" s="498"/>
      <c r="P89" s="499"/>
      <c r="Q89" s="501">
        <v>45999</v>
      </c>
      <c r="R89" s="148">
        <f t="shared" si="3"/>
        <v>26</v>
      </c>
      <c r="S89" s="101" t="s">
        <v>1835</v>
      </c>
      <c r="T89" s="69"/>
    </row>
    <row r="90" spans="1:20" ht="53.25" customHeight="1" x14ac:dyDescent="0.3">
      <c r="A90" s="98">
        <f t="shared" si="4"/>
        <v>88</v>
      </c>
      <c r="B90" s="491">
        <v>1550</v>
      </c>
      <c r="C90" s="347">
        <v>45973</v>
      </c>
      <c r="D90" s="135">
        <v>53218361</v>
      </c>
      <c r="E90" s="212" t="s">
        <v>4990</v>
      </c>
      <c r="F90" s="386" t="s">
        <v>3</v>
      </c>
      <c r="G90" s="112" t="s">
        <v>10</v>
      </c>
      <c r="H90" s="493">
        <v>45973</v>
      </c>
      <c r="I90" s="756"/>
      <c r="J90" s="100" t="s">
        <v>4991</v>
      </c>
      <c r="K90" s="494"/>
      <c r="L90" s="495"/>
      <c r="M90" s="496"/>
      <c r="N90" s="497"/>
      <c r="O90" s="498"/>
      <c r="P90" s="499"/>
      <c r="Q90" s="501">
        <v>45974</v>
      </c>
      <c r="R90" s="148">
        <f t="shared" si="3"/>
        <v>1</v>
      </c>
      <c r="S90" s="101" t="s">
        <v>2716</v>
      </c>
      <c r="T90" s="69"/>
    </row>
    <row r="91" spans="1:20" ht="50.25" customHeight="1" x14ac:dyDescent="0.3">
      <c r="A91" s="98">
        <f t="shared" si="4"/>
        <v>89</v>
      </c>
      <c r="B91" s="491">
        <v>1550</v>
      </c>
      <c r="C91" s="347">
        <v>45973</v>
      </c>
      <c r="D91" s="135"/>
      <c r="E91" s="212" t="s">
        <v>4992</v>
      </c>
      <c r="F91" s="386" t="s">
        <v>21</v>
      </c>
      <c r="G91" s="112" t="s">
        <v>10</v>
      </c>
      <c r="H91" s="493">
        <v>45973</v>
      </c>
      <c r="I91" s="756"/>
      <c r="J91" s="100" t="s">
        <v>266</v>
      </c>
      <c r="K91" s="494"/>
      <c r="L91" s="495"/>
      <c r="M91" s="496"/>
      <c r="N91" s="497"/>
      <c r="O91" s="498"/>
      <c r="P91" s="499"/>
      <c r="Q91" s="501">
        <v>45974</v>
      </c>
      <c r="R91" s="148">
        <f t="shared" si="3"/>
        <v>1</v>
      </c>
      <c r="S91" s="101" t="s">
        <v>85</v>
      </c>
      <c r="T91" s="69"/>
    </row>
    <row r="92" spans="1:20" ht="34.5" customHeight="1" x14ac:dyDescent="0.3">
      <c r="A92" s="98">
        <f t="shared" si="4"/>
        <v>90</v>
      </c>
      <c r="B92" s="491">
        <v>1550</v>
      </c>
      <c r="C92" s="347">
        <v>45973</v>
      </c>
      <c r="D92" s="135">
        <v>49473816</v>
      </c>
      <c r="E92" s="212" t="s">
        <v>4993</v>
      </c>
      <c r="F92" s="386" t="s">
        <v>12</v>
      </c>
      <c r="G92" s="112" t="s">
        <v>10</v>
      </c>
      <c r="H92" s="493">
        <v>45973</v>
      </c>
      <c r="I92" s="756"/>
      <c r="J92" s="107" t="s">
        <v>159</v>
      </c>
      <c r="K92" s="494"/>
      <c r="L92" s="495"/>
      <c r="M92" s="496"/>
      <c r="N92" s="497"/>
      <c r="O92" s="498"/>
      <c r="P92" s="499"/>
      <c r="Q92" s="501">
        <v>45974</v>
      </c>
      <c r="R92" s="148">
        <f t="shared" si="3"/>
        <v>1</v>
      </c>
      <c r="S92" s="101" t="s">
        <v>2716</v>
      </c>
      <c r="T92" s="69"/>
    </row>
    <row r="93" spans="1:20" ht="44.25" customHeight="1" x14ac:dyDescent="0.3">
      <c r="A93" s="98">
        <f t="shared" si="4"/>
        <v>91</v>
      </c>
      <c r="B93" s="491">
        <v>1550</v>
      </c>
      <c r="C93" s="347">
        <v>45973</v>
      </c>
      <c r="D93" s="135">
        <v>3012393</v>
      </c>
      <c r="E93" s="212" t="s">
        <v>4994</v>
      </c>
      <c r="F93" s="386" t="s">
        <v>1</v>
      </c>
      <c r="G93" s="112" t="s">
        <v>10</v>
      </c>
      <c r="H93" s="493">
        <v>45973</v>
      </c>
      <c r="I93" s="756"/>
      <c r="J93" s="100" t="s">
        <v>2367</v>
      </c>
      <c r="K93" s="494"/>
      <c r="L93" s="495"/>
      <c r="M93" s="496"/>
      <c r="N93" s="497"/>
      <c r="O93" s="498"/>
      <c r="P93" s="499"/>
      <c r="Q93" s="501">
        <v>45974</v>
      </c>
      <c r="R93" s="148">
        <f t="shared" si="3"/>
        <v>1</v>
      </c>
      <c r="S93" s="101" t="s">
        <v>85</v>
      </c>
      <c r="T93" s="69"/>
    </row>
    <row r="94" spans="1:20" ht="72" x14ac:dyDescent="0.3">
      <c r="A94" s="98">
        <f t="shared" si="4"/>
        <v>92</v>
      </c>
      <c r="B94" s="491">
        <v>1550</v>
      </c>
      <c r="C94" s="502">
        <v>45974</v>
      </c>
      <c r="D94" s="135">
        <v>103455345</v>
      </c>
      <c r="E94" s="212" t="s">
        <v>4995</v>
      </c>
      <c r="F94" s="386" t="s">
        <v>14</v>
      </c>
      <c r="G94" s="112" t="s">
        <v>6</v>
      </c>
      <c r="H94" s="493">
        <v>45974</v>
      </c>
      <c r="I94" s="503"/>
      <c r="J94" s="100" t="s">
        <v>4902</v>
      </c>
      <c r="K94" s="494"/>
      <c r="L94" s="495"/>
      <c r="M94" s="496"/>
      <c r="N94" s="497"/>
      <c r="O94" s="498"/>
      <c r="P94" s="499"/>
      <c r="Q94" s="500">
        <v>45974</v>
      </c>
      <c r="R94" s="148">
        <f t="shared" si="3"/>
        <v>0</v>
      </c>
      <c r="S94" s="101" t="s">
        <v>4800</v>
      </c>
      <c r="T94" s="69"/>
    </row>
    <row r="95" spans="1:20" ht="28.8" x14ac:dyDescent="0.3">
      <c r="A95" s="98">
        <f t="shared" si="4"/>
        <v>93</v>
      </c>
      <c r="B95" s="491">
        <v>1550</v>
      </c>
      <c r="C95" s="282">
        <v>45974</v>
      </c>
      <c r="D95" s="135">
        <v>95186905</v>
      </c>
      <c r="E95" s="212" t="s">
        <v>4996</v>
      </c>
      <c r="F95" s="386" t="s">
        <v>1</v>
      </c>
      <c r="G95" s="376" t="s">
        <v>8</v>
      </c>
      <c r="H95" s="493">
        <v>45974</v>
      </c>
      <c r="I95" s="341"/>
      <c r="J95" s="100" t="s">
        <v>4955</v>
      </c>
      <c r="K95" s="494"/>
      <c r="L95" s="495"/>
      <c r="M95" s="496"/>
      <c r="N95" s="497"/>
      <c r="O95" s="498"/>
      <c r="P95" s="499"/>
      <c r="Q95" s="500">
        <v>45974</v>
      </c>
      <c r="R95" s="148">
        <f t="shared" si="3"/>
        <v>0</v>
      </c>
      <c r="S95" s="101" t="s">
        <v>3841</v>
      </c>
      <c r="T95" s="69"/>
    </row>
    <row r="96" spans="1:20" ht="57.6" x14ac:dyDescent="0.3">
      <c r="A96" s="98">
        <f t="shared" si="4"/>
        <v>94</v>
      </c>
      <c r="B96" s="491">
        <v>1550</v>
      </c>
      <c r="C96" s="282">
        <v>45974</v>
      </c>
      <c r="D96" s="135"/>
      <c r="E96" s="212" t="s">
        <v>4997</v>
      </c>
      <c r="F96" s="386" t="s">
        <v>3</v>
      </c>
      <c r="G96" s="376" t="s">
        <v>8</v>
      </c>
      <c r="H96" s="493">
        <v>45974</v>
      </c>
      <c r="I96" s="341"/>
      <c r="J96" s="100" t="s">
        <v>135</v>
      </c>
      <c r="K96" s="494"/>
      <c r="L96" s="495"/>
      <c r="M96" s="496"/>
      <c r="N96" s="497"/>
      <c r="O96" s="498"/>
      <c r="P96" s="499"/>
      <c r="Q96" s="500">
        <v>45978</v>
      </c>
      <c r="R96" s="148">
        <f t="shared" si="3"/>
        <v>4</v>
      </c>
      <c r="S96" s="101" t="s">
        <v>4727</v>
      </c>
      <c r="T96" s="69"/>
    </row>
    <row r="97" spans="1:20" ht="28.8" x14ac:dyDescent="0.3">
      <c r="A97" s="98">
        <f t="shared" si="4"/>
        <v>95</v>
      </c>
      <c r="B97" s="491" t="s">
        <v>4998</v>
      </c>
      <c r="C97" s="282">
        <v>45974</v>
      </c>
      <c r="D97" s="135">
        <v>120443155</v>
      </c>
      <c r="E97" s="212" t="s">
        <v>4999</v>
      </c>
      <c r="F97" s="386" t="s">
        <v>17</v>
      </c>
      <c r="G97" s="376" t="s">
        <v>8</v>
      </c>
      <c r="H97" s="493">
        <v>45974</v>
      </c>
      <c r="I97" s="341"/>
      <c r="J97" s="100" t="s">
        <v>82</v>
      </c>
      <c r="K97" s="494"/>
      <c r="L97" s="495"/>
      <c r="M97" s="496"/>
      <c r="N97" s="497"/>
      <c r="O97" s="498"/>
      <c r="P97" s="499"/>
      <c r="Q97" s="500">
        <v>46013</v>
      </c>
      <c r="R97" s="148">
        <f t="shared" si="3"/>
        <v>39</v>
      </c>
      <c r="S97" s="101" t="s">
        <v>4127</v>
      </c>
      <c r="T97" s="69"/>
    </row>
    <row r="98" spans="1:20" ht="57.6" x14ac:dyDescent="0.3">
      <c r="A98" s="98">
        <f t="shared" si="4"/>
        <v>96</v>
      </c>
      <c r="B98" s="491">
        <v>1550</v>
      </c>
      <c r="C98" s="282">
        <v>45974</v>
      </c>
      <c r="D98" s="135">
        <v>39126978</v>
      </c>
      <c r="E98" s="212" t="s">
        <v>5000</v>
      </c>
      <c r="F98" s="386" t="s">
        <v>23</v>
      </c>
      <c r="G98" s="112" t="s">
        <v>8</v>
      </c>
      <c r="H98" s="493">
        <v>45974</v>
      </c>
      <c r="I98" s="341"/>
      <c r="J98" s="100" t="s">
        <v>135</v>
      </c>
      <c r="K98" s="494"/>
      <c r="L98" s="495"/>
      <c r="M98" s="496"/>
      <c r="N98" s="497"/>
      <c r="O98" s="498"/>
      <c r="P98" s="499"/>
      <c r="Q98" s="500">
        <v>45974</v>
      </c>
      <c r="R98" s="148">
        <f t="shared" si="3"/>
        <v>0</v>
      </c>
      <c r="S98" s="101" t="s">
        <v>270</v>
      </c>
      <c r="T98" s="69"/>
    </row>
    <row r="99" spans="1:20" ht="57.6" x14ac:dyDescent="0.3">
      <c r="A99" s="98">
        <f t="shared" si="4"/>
        <v>97</v>
      </c>
      <c r="B99" s="491">
        <v>1550</v>
      </c>
      <c r="C99" s="282">
        <v>45974</v>
      </c>
      <c r="D99" s="135">
        <v>1702920</v>
      </c>
      <c r="E99" s="212" t="s">
        <v>5001</v>
      </c>
      <c r="F99" s="386" t="s">
        <v>1</v>
      </c>
      <c r="G99" s="376" t="s">
        <v>6</v>
      </c>
      <c r="H99" s="493">
        <v>45974</v>
      </c>
      <c r="I99" s="341"/>
      <c r="J99" s="100" t="s">
        <v>2352</v>
      </c>
      <c r="K99" s="494"/>
      <c r="L99" s="637"/>
      <c r="M99" s="496"/>
      <c r="N99" s="497"/>
      <c r="O99" s="498"/>
      <c r="P99" s="499"/>
      <c r="Q99" s="500">
        <v>45994</v>
      </c>
      <c r="R99" s="148">
        <f t="shared" si="3"/>
        <v>20</v>
      </c>
      <c r="S99" s="101" t="s">
        <v>3020</v>
      </c>
      <c r="T99" s="69"/>
    </row>
    <row r="100" spans="1:20" ht="78.75" customHeight="1" x14ac:dyDescent="0.3">
      <c r="A100" s="98">
        <f t="shared" si="4"/>
        <v>98</v>
      </c>
      <c r="B100" s="491">
        <v>1550</v>
      </c>
      <c r="C100" s="282">
        <v>45974</v>
      </c>
      <c r="D100" s="135"/>
      <c r="E100" s="212" t="s">
        <v>5002</v>
      </c>
      <c r="F100" s="386" t="s">
        <v>21</v>
      </c>
      <c r="G100" s="112" t="s">
        <v>10</v>
      </c>
      <c r="H100" s="493">
        <v>45974</v>
      </c>
      <c r="I100" s="25"/>
      <c r="J100" s="100" t="s">
        <v>2306</v>
      </c>
      <c r="K100" s="494"/>
      <c r="L100" s="637"/>
      <c r="M100" s="496"/>
      <c r="N100" s="497"/>
      <c r="O100" s="498"/>
      <c r="P100" s="499"/>
      <c r="Q100" s="500">
        <v>45974</v>
      </c>
      <c r="R100" s="148">
        <f t="shared" si="3"/>
        <v>0</v>
      </c>
      <c r="S100" s="101" t="s">
        <v>1806</v>
      </c>
      <c r="T100" s="69"/>
    </row>
    <row r="101" spans="1:20" ht="30.75" customHeight="1" x14ac:dyDescent="0.3">
      <c r="A101" s="98">
        <f t="shared" si="4"/>
        <v>99</v>
      </c>
      <c r="B101" s="491">
        <v>1550</v>
      </c>
      <c r="C101" s="282">
        <v>45974</v>
      </c>
      <c r="D101" s="135" t="s">
        <v>5003</v>
      </c>
      <c r="E101" s="212" t="s">
        <v>5004</v>
      </c>
      <c r="F101" s="386" t="s">
        <v>3</v>
      </c>
      <c r="G101" s="112" t="s">
        <v>10</v>
      </c>
      <c r="H101" s="493">
        <v>45974</v>
      </c>
      <c r="I101" s="25"/>
      <c r="J101" s="100" t="s">
        <v>4870</v>
      </c>
      <c r="K101" s="494"/>
      <c r="L101" s="495"/>
      <c r="M101" s="496"/>
      <c r="N101" s="497"/>
      <c r="O101" s="498"/>
      <c r="P101" s="499"/>
      <c r="Q101" s="500">
        <v>45978</v>
      </c>
      <c r="R101" s="148">
        <f t="shared" si="3"/>
        <v>4</v>
      </c>
      <c r="S101" s="101" t="s">
        <v>2716</v>
      </c>
      <c r="T101" s="69"/>
    </row>
    <row r="102" spans="1:20" ht="31.5" customHeight="1" x14ac:dyDescent="0.3">
      <c r="A102" s="98">
        <f t="shared" si="4"/>
        <v>100</v>
      </c>
      <c r="B102" s="491">
        <v>1550</v>
      </c>
      <c r="C102" s="282">
        <v>45974</v>
      </c>
      <c r="D102" s="135">
        <v>6153291</v>
      </c>
      <c r="E102" s="212" t="s">
        <v>5005</v>
      </c>
      <c r="F102" s="386" t="s">
        <v>32</v>
      </c>
      <c r="G102" s="112" t="s">
        <v>10</v>
      </c>
      <c r="H102" s="493">
        <v>45974</v>
      </c>
      <c r="I102" s="25"/>
      <c r="J102" s="100" t="s">
        <v>106</v>
      </c>
      <c r="K102" s="494"/>
      <c r="L102" s="495"/>
      <c r="M102" s="496"/>
      <c r="N102" s="497"/>
      <c r="O102" s="498"/>
      <c r="P102" s="499"/>
      <c r="Q102" s="500">
        <v>45974</v>
      </c>
      <c r="R102" s="148">
        <f t="shared" si="3"/>
        <v>0</v>
      </c>
      <c r="S102" s="101" t="s">
        <v>1835</v>
      </c>
      <c r="T102" s="69"/>
    </row>
    <row r="103" spans="1:20" ht="44.25" customHeight="1" x14ac:dyDescent="0.3">
      <c r="A103" s="98">
        <f t="shared" si="4"/>
        <v>101</v>
      </c>
      <c r="B103" s="491">
        <v>1550</v>
      </c>
      <c r="C103" s="282">
        <v>45974</v>
      </c>
      <c r="D103" s="135">
        <v>53421892</v>
      </c>
      <c r="E103" s="212" t="s">
        <v>5006</v>
      </c>
      <c r="F103" s="386" t="s">
        <v>32</v>
      </c>
      <c r="G103" s="112" t="s">
        <v>10</v>
      </c>
      <c r="H103" s="493">
        <v>45974</v>
      </c>
      <c r="I103" s="25"/>
      <c r="J103" s="100" t="s">
        <v>106</v>
      </c>
      <c r="K103" s="507"/>
      <c r="L103" s="508"/>
      <c r="M103" s="365"/>
      <c r="N103" s="509"/>
      <c r="O103" s="510"/>
      <c r="P103" s="511"/>
      <c r="Q103" s="500">
        <v>45974</v>
      </c>
      <c r="R103" s="148">
        <f t="shared" si="3"/>
        <v>0</v>
      </c>
      <c r="S103" s="101" t="s">
        <v>214</v>
      </c>
      <c r="T103" s="167"/>
    </row>
    <row r="104" spans="1:20" ht="57.6" x14ac:dyDescent="0.3">
      <c r="A104" s="98">
        <f t="shared" si="4"/>
        <v>102</v>
      </c>
      <c r="B104" s="506">
        <v>1550</v>
      </c>
      <c r="C104" s="556">
        <v>45974</v>
      </c>
      <c r="D104" s="135">
        <v>120640694</v>
      </c>
      <c r="E104" s="661" t="s">
        <v>5007</v>
      </c>
      <c r="F104" s="386" t="s">
        <v>1</v>
      </c>
      <c r="G104" s="221" t="s">
        <v>6</v>
      </c>
      <c r="H104" s="493">
        <v>45975</v>
      </c>
      <c r="I104" s="341"/>
      <c r="J104" s="100" t="s">
        <v>2544</v>
      </c>
      <c r="K104" s="507"/>
      <c r="L104" s="508"/>
      <c r="M104" s="365"/>
      <c r="N104" s="509"/>
      <c r="O104" s="510"/>
      <c r="P104" s="511"/>
      <c r="Q104" s="500">
        <v>45985</v>
      </c>
      <c r="R104" s="148">
        <f t="shared" si="3"/>
        <v>10</v>
      </c>
      <c r="S104" s="101" t="s">
        <v>2597</v>
      </c>
      <c r="T104" s="167"/>
    </row>
    <row r="105" spans="1:20" ht="43.2" x14ac:dyDescent="0.3">
      <c r="A105" s="98">
        <f t="shared" si="4"/>
        <v>103</v>
      </c>
      <c r="B105" s="660" t="s">
        <v>80</v>
      </c>
      <c r="C105" s="512">
        <v>45974</v>
      </c>
      <c r="D105" s="135"/>
      <c r="E105" s="175" t="s">
        <v>5008</v>
      </c>
      <c r="F105" s="386" t="s">
        <v>12</v>
      </c>
      <c r="G105" s="221" t="s">
        <v>6</v>
      </c>
      <c r="H105" s="493">
        <v>45975</v>
      </c>
      <c r="I105" s="341"/>
      <c r="J105" s="100" t="s">
        <v>5009</v>
      </c>
      <c r="K105" s="507"/>
      <c r="L105" s="580"/>
      <c r="M105" s="365"/>
      <c r="N105" s="509"/>
      <c r="O105" s="510"/>
      <c r="P105" s="511"/>
      <c r="Q105" s="500">
        <v>45975</v>
      </c>
      <c r="R105" s="148">
        <f t="shared" si="3"/>
        <v>0</v>
      </c>
      <c r="S105" s="101" t="s">
        <v>2597</v>
      </c>
      <c r="T105" s="167"/>
    </row>
    <row r="106" spans="1:20" ht="86.4" x14ac:dyDescent="0.3">
      <c r="A106" s="98">
        <f t="shared" si="4"/>
        <v>104</v>
      </c>
      <c r="B106" s="660">
        <v>1550</v>
      </c>
      <c r="C106" s="512">
        <v>45975</v>
      </c>
      <c r="D106" s="135">
        <v>35697946</v>
      </c>
      <c r="E106" s="688" t="s">
        <v>5010</v>
      </c>
      <c r="F106" s="386" t="s">
        <v>1</v>
      </c>
      <c r="G106" s="221" t="s">
        <v>6</v>
      </c>
      <c r="H106" s="493">
        <v>45975</v>
      </c>
      <c r="I106" s="25"/>
      <c r="J106" s="100" t="s">
        <v>4090</v>
      </c>
      <c r="K106" s="494"/>
      <c r="L106" s="495"/>
      <c r="M106" s="496"/>
      <c r="N106" s="497"/>
      <c r="O106" s="498"/>
      <c r="P106" s="499"/>
      <c r="Q106" s="500">
        <v>45975</v>
      </c>
      <c r="R106" s="148">
        <f t="shared" si="3"/>
        <v>0</v>
      </c>
      <c r="S106" s="101" t="s">
        <v>2808</v>
      </c>
      <c r="T106" s="69"/>
    </row>
    <row r="107" spans="1:20" ht="57.6" x14ac:dyDescent="0.3">
      <c r="A107" s="98">
        <f t="shared" si="4"/>
        <v>105</v>
      </c>
      <c r="B107" s="660" t="s">
        <v>301</v>
      </c>
      <c r="C107" s="512">
        <v>45975</v>
      </c>
      <c r="D107" s="135" t="s">
        <v>5011</v>
      </c>
      <c r="E107" s="294" t="s">
        <v>5012</v>
      </c>
      <c r="F107" s="386" t="s">
        <v>14</v>
      </c>
      <c r="G107" s="221" t="s">
        <v>6</v>
      </c>
      <c r="H107" s="493">
        <v>45975</v>
      </c>
      <c r="I107" s="25"/>
      <c r="J107" s="100" t="s">
        <v>4902</v>
      </c>
      <c r="K107" s="494"/>
      <c r="L107" s="636"/>
      <c r="M107" s="496"/>
      <c r="N107" s="497"/>
      <c r="O107" s="498"/>
      <c r="P107" s="499"/>
      <c r="Q107" s="500">
        <v>45975</v>
      </c>
      <c r="R107" s="148">
        <f t="shared" si="3"/>
        <v>0</v>
      </c>
      <c r="S107" s="101" t="s">
        <v>2747</v>
      </c>
      <c r="T107" s="69"/>
    </row>
    <row r="108" spans="1:20" ht="100.8" x14ac:dyDescent="0.3">
      <c r="A108" s="98">
        <f t="shared" si="4"/>
        <v>106</v>
      </c>
      <c r="B108" s="660">
        <v>1550</v>
      </c>
      <c r="C108" s="512">
        <v>45975</v>
      </c>
      <c r="D108" s="135">
        <v>5205875</v>
      </c>
      <c r="E108" s="175" t="s">
        <v>5013</v>
      </c>
      <c r="F108" s="386" t="s">
        <v>1</v>
      </c>
      <c r="G108" s="221" t="s">
        <v>6</v>
      </c>
      <c r="H108" s="493">
        <v>45975</v>
      </c>
      <c r="I108" s="25"/>
      <c r="J108" s="100" t="s">
        <v>4826</v>
      </c>
      <c r="K108" s="494"/>
      <c r="L108" s="495"/>
      <c r="M108" s="496"/>
      <c r="N108" s="497"/>
      <c r="O108" s="498"/>
      <c r="P108" s="499"/>
      <c r="Q108" s="500">
        <v>45975</v>
      </c>
      <c r="R108" s="148">
        <f t="shared" si="3"/>
        <v>0</v>
      </c>
      <c r="S108" s="101" t="s">
        <v>1893</v>
      </c>
      <c r="T108" s="69"/>
    </row>
    <row r="109" spans="1:20" ht="57.6" x14ac:dyDescent="0.3">
      <c r="A109" s="98">
        <f t="shared" si="4"/>
        <v>107</v>
      </c>
      <c r="B109" s="506">
        <v>1550</v>
      </c>
      <c r="C109" s="573">
        <v>45975</v>
      </c>
      <c r="D109" s="135">
        <v>8398585</v>
      </c>
      <c r="E109" s="212" t="s">
        <v>5014</v>
      </c>
      <c r="F109" s="386" t="s">
        <v>63</v>
      </c>
      <c r="G109" s="112" t="s">
        <v>6</v>
      </c>
      <c r="H109" s="493">
        <v>45975</v>
      </c>
      <c r="I109" s="341"/>
      <c r="J109" s="100" t="s">
        <v>5015</v>
      </c>
      <c r="K109" s="494" t="s">
        <v>393</v>
      </c>
      <c r="L109" s="636">
        <v>45975</v>
      </c>
      <c r="M109" s="496" t="s">
        <v>5015</v>
      </c>
      <c r="N109" s="497"/>
      <c r="O109" s="498"/>
      <c r="P109" s="499"/>
      <c r="Q109" s="501">
        <v>45975</v>
      </c>
      <c r="R109" s="148">
        <f t="shared" si="3"/>
        <v>0</v>
      </c>
      <c r="S109" s="101" t="s">
        <v>1860</v>
      </c>
      <c r="T109" s="69" t="s">
        <v>5016</v>
      </c>
    </row>
    <row r="110" spans="1:20" ht="43.2" x14ac:dyDescent="0.3">
      <c r="A110" s="98">
        <f t="shared" si="4"/>
        <v>108</v>
      </c>
      <c r="B110" s="506">
        <v>1550</v>
      </c>
      <c r="C110" s="573">
        <v>45975</v>
      </c>
      <c r="D110" s="135">
        <v>50521772</v>
      </c>
      <c r="E110" s="212" t="s">
        <v>5017</v>
      </c>
      <c r="F110" s="386" t="s">
        <v>63</v>
      </c>
      <c r="G110" s="112" t="s">
        <v>6</v>
      </c>
      <c r="H110" s="493">
        <v>45975</v>
      </c>
      <c r="I110" s="341"/>
      <c r="J110" s="100" t="s">
        <v>4188</v>
      </c>
      <c r="K110" s="494" t="s">
        <v>393</v>
      </c>
      <c r="L110" s="636">
        <v>45975</v>
      </c>
      <c r="M110" s="496" t="s">
        <v>4188</v>
      </c>
      <c r="N110" s="497"/>
      <c r="O110" s="498"/>
      <c r="P110" s="499"/>
      <c r="Q110" s="501">
        <v>45975</v>
      </c>
      <c r="R110" s="148">
        <f t="shared" si="3"/>
        <v>0</v>
      </c>
      <c r="S110" s="101" t="s">
        <v>1860</v>
      </c>
      <c r="T110" s="69" t="s">
        <v>5016</v>
      </c>
    </row>
    <row r="111" spans="1:20" s="757" customFormat="1" ht="43.2" x14ac:dyDescent="0.3">
      <c r="A111" s="98">
        <f t="shared" si="4"/>
        <v>109</v>
      </c>
      <c r="B111" s="506" t="s">
        <v>5018</v>
      </c>
      <c r="C111" s="573">
        <v>45967</v>
      </c>
      <c r="D111" s="135">
        <v>87477556</v>
      </c>
      <c r="E111" s="212" t="s">
        <v>5019</v>
      </c>
      <c r="F111" s="386" t="s">
        <v>45</v>
      </c>
      <c r="G111" s="112" t="s">
        <v>6</v>
      </c>
      <c r="H111" s="493"/>
      <c r="I111" s="341"/>
      <c r="J111" s="100" t="s">
        <v>4902</v>
      </c>
      <c r="K111" s="494"/>
      <c r="L111" s="636"/>
      <c r="M111" s="496"/>
      <c r="N111" s="497"/>
      <c r="O111" s="498"/>
      <c r="P111" s="499"/>
      <c r="Q111" s="501">
        <v>45974</v>
      </c>
      <c r="R111" s="148">
        <f t="shared" si="3"/>
        <v>45974</v>
      </c>
      <c r="S111" s="101" t="s">
        <v>2597</v>
      </c>
      <c r="T111" s="69"/>
    </row>
    <row r="112" spans="1:20" s="757" customFormat="1" ht="86.4" x14ac:dyDescent="0.3">
      <c r="A112" s="98">
        <f t="shared" si="4"/>
        <v>110</v>
      </c>
      <c r="B112" s="506" t="s">
        <v>1044</v>
      </c>
      <c r="C112" s="573">
        <v>45974</v>
      </c>
      <c r="D112" s="135">
        <v>2342855</v>
      </c>
      <c r="E112" s="212" t="s">
        <v>5020</v>
      </c>
      <c r="F112" s="386" t="s">
        <v>38</v>
      </c>
      <c r="G112" s="112" t="s">
        <v>6</v>
      </c>
      <c r="H112" s="493"/>
      <c r="I112" s="341"/>
      <c r="J112" s="100" t="s">
        <v>253</v>
      </c>
      <c r="K112" s="494"/>
      <c r="L112" s="636"/>
      <c r="M112" s="496"/>
      <c r="N112" s="497"/>
      <c r="O112" s="498"/>
      <c r="P112" s="499"/>
      <c r="Q112" s="501">
        <v>45979</v>
      </c>
      <c r="R112" s="148">
        <f t="shared" si="3"/>
        <v>45979</v>
      </c>
      <c r="S112" s="101" t="s">
        <v>2597</v>
      </c>
      <c r="T112" s="69" t="s">
        <v>5021</v>
      </c>
    </row>
    <row r="113" spans="1:20" s="757" customFormat="1" ht="36.75" customHeight="1" x14ac:dyDescent="0.3">
      <c r="A113" s="98">
        <f t="shared" si="4"/>
        <v>111</v>
      </c>
      <c r="B113" s="506">
        <v>1550</v>
      </c>
      <c r="C113" s="573">
        <v>45975</v>
      </c>
      <c r="D113" s="135">
        <v>117049328</v>
      </c>
      <c r="E113" s="212" t="s">
        <v>5022</v>
      </c>
      <c r="F113" s="386" t="s">
        <v>12</v>
      </c>
      <c r="G113" s="112" t="s">
        <v>10</v>
      </c>
      <c r="H113" s="493">
        <v>45975</v>
      </c>
      <c r="I113" s="341"/>
      <c r="J113" s="107" t="s">
        <v>159</v>
      </c>
      <c r="K113" s="494"/>
      <c r="L113" s="636"/>
      <c r="M113" s="496"/>
      <c r="N113" s="497"/>
      <c r="O113" s="498"/>
      <c r="P113" s="499"/>
      <c r="Q113" s="501">
        <v>45975</v>
      </c>
      <c r="R113" s="148">
        <f t="shared" si="3"/>
        <v>0</v>
      </c>
      <c r="S113" s="101" t="s">
        <v>214</v>
      </c>
      <c r="T113" s="69"/>
    </row>
    <row r="114" spans="1:20" s="757" customFormat="1" ht="54.75" customHeight="1" x14ac:dyDescent="0.3">
      <c r="A114" s="98">
        <f t="shared" si="4"/>
        <v>112</v>
      </c>
      <c r="B114" s="506">
        <v>1550</v>
      </c>
      <c r="C114" s="573">
        <v>45975</v>
      </c>
      <c r="D114" s="135">
        <v>10351861</v>
      </c>
      <c r="E114" s="212" t="s">
        <v>5023</v>
      </c>
      <c r="F114" s="386" t="s">
        <v>1</v>
      </c>
      <c r="G114" s="112" t="s">
        <v>10</v>
      </c>
      <c r="H114" s="493">
        <v>45975</v>
      </c>
      <c r="I114" s="341"/>
      <c r="J114" s="100" t="s">
        <v>2352</v>
      </c>
      <c r="K114" s="494"/>
      <c r="L114" s="636"/>
      <c r="M114" s="496"/>
      <c r="N114" s="497"/>
      <c r="O114" s="498"/>
      <c r="P114" s="499"/>
      <c r="Q114" s="501">
        <v>45975</v>
      </c>
      <c r="R114" s="148">
        <f t="shared" si="3"/>
        <v>0</v>
      </c>
      <c r="S114" s="101" t="s">
        <v>85</v>
      </c>
      <c r="T114" s="69"/>
    </row>
    <row r="115" spans="1:20" ht="28.8" x14ac:dyDescent="0.3">
      <c r="A115" s="98">
        <f t="shared" si="4"/>
        <v>113</v>
      </c>
      <c r="B115" s="506" t="s">
        <v>80</v>
      </c>
      <c r="C115" s="573">
        <v>45975</v>
      </c>
      <c r="D115" s="135">
        <v>115789952</v>
      </c>
      <c r="E115" s="212" t="s">
        <v>5024</v>
      </c>
      <c r="F115" s="386" t="s">
        <v>17</v>
      </c>
      <c r="G115" s="112" t="s">
        <v>8</v>
      </c>
      <c r="H115" s="493">
        <v>45975</v>
      </c>
      <c r="I115" s="341"/>
      <c r="J115" s="100" t="s">
        <v>82</v>
      </c>
      <c r="K115" s="494"/>
      <c r="L115" s="636"/>
      <c r="M115" s="496"/>
      <c r="N115" s="497"/>
      <c r="O115" s="498"/>
      <c r="P115" s="499"/>
      <c r="Q115" s="501">
        <v>46013</v>
      </c>
      <c r="R115" s="148">
        <f t="shared" si="3"/>
        <v>38</v>
      </c>
      <c r="S115" s="101" t="s">
        <v>4127</v>
      </c>
      <c r="T115" s="69"/>
    </row>
    <row r="116" spans="1:20" ht="28.8" x14ac:dyDescent="0.3">
      <c r="A116" s="98">
        <f t="shared" si="4"/>
        <v>114</v>
      </c>
      <c r="B116" s="506">
        <v>1550</v>
      </c>
      <c r="C116" s="573">
        <v>45975</v>
      </c>
      <c r="D116" s="135">
        <v>87170876</v>
      </c>
      <c r="E116" s="212" t="s">
        <v>5025</v>
      </c>
      <c r="F116" s="386" t="s">
        <v>7</v>
      </c>
      <c r="G116" s="112" t="s">
        <v>8</v>
      </c>
      <c r="H116" s="493">
        <v>45975</v>
      </c>
      <c r="I116" s="341"/>
      <c r="J116" s="100"/>
      <c r="K116" s="494"/>
      <c r="L116" s="636"/>
      <c r="M116" s="496"/>
      <c r="N116" s="497"/>
      <c r="O116" s="498"/>
      <c r="P116" s="499"/>
      <c r="Q116" s="501">
        <v>46056</v>
      </c>
      <c r="R116" s="148">
        <f t="shared" si="3"/>
        <v>81</v>
      </c>
      <c r="S116" s="101" t="s">
        <v>3861</v>
      </c>
      <c r="T116" s="69"/>
    </row>
    <row r="117" spans="1:20" ht="57.6" x14ac:dyDescent="0.3">
      <c r="A117" s="98">
        <f t="shared" si="4"/>
        <v>115</v>
      </c>
      <c r="B117" s="506">
        <v>1550</v>
      </c>
      <c r="C117" s="573">
        <v>45975</v>
      </c>
      <c r="D117" s="135">
        <v>120695340</v>
      </c>
      <c r="E117" s="212" t="s">
        <v>5026</v>
      </c>
      <c r="F117" s="386" t="s">
        <v>1</v>
      </c>
      <c r="G117" s="112" t="s">
        <v>6</v>
      </c>
      <c r="H117" s="493">
        <v>45975</v>
      </c>
      <c r="I117" s="341"/>
      <c r="J117" s="100" t="s">
        <v>2352</v>
      </c>
      <c r="K117" s="494"/>
      <c r="L117" s="636"/>
      <c r="M117" s="496"/>
      <c r="N117" s="497"/>
      <c r="O117" s="498"/>
      <c r="P117" s="499"/>
      <c r="Q117" s="501">
        <v>45982</v>
      </c>
      <c r="R117" s="148">
        <f t="shared" si="3"/>
        <v>7</v>
      </c>
      <c r="S117" s="101" t="s">
        <v>2808</v>
      </c>
      <c r="T117" s="69"/>
    </row>
    <row r="118" spans="1:20" ht="86.4" x14ac:dyDescent="0.3">
      <c r="A118" s="98">
        <f t="shared" si="4"/>
        <v>116</v>
      </c>
      <c r="B118" s="506" t="s">
        <v>301</v>
      </c>
      <c r="C118" s="573">
        <v>45976</v>
      </c>
      <c r="D118" s="135">
        <v>120715600</v>
      </c>
      <c r="E118" s="212" t="s">
        <v>5027</v>
      </c>
      <c r="F118" s="386" t="s">
        <v>1</v>
      </c>
      <c r="G118" s="112" t="s">
        <v>6</v>
      </c>
      <c r="H118" s="493">
        <v>45976</v>
      </c>
      <c r="I118" s="341"/>
      <c r="J118" s="100" t="s">
        <v>3180</v>
      </c>
      <c r="K118" s="494"/>
      <c r="L118" s="636"/>
      <c r="M118" s="496"/>
      <c r="N118" s="497"/>
      <c r="O118" s="498"/>
      <c r="P118" s="499"/>
      <c r="Q118" s="501">
        <v>45980</v>
      </c>
      <c r="R118" s="148">
        <f t="shared" si="3"/>
        <v>4</v>
      </c>
      <c r="S118" s="101" t="s">
        <v>720</v>
      </c>
      <c r="T118" s="69"/>
    </row>
    <row r="119" spans="1:20" ht="43.2" x14ac:dyDescent="0.3">
      <c r="A119" s="98">
        <f t="shared" si="4"/>
        <v>117</v>
      </c>
      <c r="B119" s="506" t="s">
        <v>80</v>
      </c>
      <c r="C119" s="492">
        <v>45976</v>
      </c>
      <c r="D119" s="135">
        <v>19706154</v>
      </c>
      <c r="E119" s="212" t="s">
        <v>5028</v>
      </c>
      <c r="F119" s="386" t="s">
        <v>48</v>
      </c>
      <c r="G119" s="112" t="s">
        <v>6</v>
      </c>
      <c r="H119" s="493">
        <v>45978</v>
      </c>
      <c r="I119" s="25"/>
      <c r="J119" s="100" t="s">
        <v>99</v>
      </c>
      <c r="K119" s="494"/>
      <c r="L119" s="495"/>
      <c r="M119" s="496"/>
      <c r="N119" s="497"/>
      <c r="O119" s="498"/>
      <c r="P119" s="499"/>
      <c r="Q119" s="500">
        <v>45981</v>
      </c>
      <c r="R119" s="148">
        <f t="shared" si="3"/>
        <v>3</v>
      </c>
      <c r="S119" s="101" t="s">
        <v>720</v>
      </c>
      <c r="T119" s="69" t="s">
        <v>5029</v>
      </c>
    </row>
    <row r="120" spans="1:20" ht="144" x14ac:dyDescent="0.3">
      <c r="A120" s="98">
        <f t="shared" si="4"/>
        <v>118</v>
      </c>
      <c r="B120" s="506">
        <v>1550</v>
      </c>
      <c r="C120" s="492">
        <v>45978</v>
      </c>
      <c r="D120" s="135">
        <v>86303201</v>
      </c>
      <c r="E120" s="212" t="s">
        <v>5030</v>
      </c>
      <c r="F120" s="386" t="s">
        <v>7</v>
      </c>
      <c r="G120" s="112" t="s">
        <v>6</v>
      </c>
      <c r="H120" s="493">
        <v>45978</v>
      </c>
      <c r="I120" s="25"/>
      <c r="J120" s="100" t="s">
        <v>99</v>
      </c>
      <c r="K120" s="494"/>
      <c r="L120" s="495"/>
      <c r="M120" s="496"/>
      <c r="N120" s="497"/>
      <c r="O120" s="498"/>
      <c r="P120" s="499"/>
      <c r="Q120" s="500">
        <v>45978</v>
      </c>
      <c r="R120" s="148">
        <f t="shared" si="3"/>
        <v>0</v>
      </c>
      <c r="S120" s="101" t="s">
        <v>2808</v>
      </c>
      <c r="T120" s="69"/>
    </row>
    <row r="121" spans="1:20" ht="28.8" x14ac:dyDescent="0.3">
      <c r="A121" s="98">
        <f t="shared" si="4"/>
        <v>119</v>
      </c>
      <c r="B121" s="506">
        <v>1550</v>
      </c>
      <c r="C121" s="492">
        <v>45978</v>
      </c>
      <c r="D121" s="135">
        <v>120597209</v>
      </c>
      <c r="E121" s="212" t="s">
        <v>5031</v>
      </c>
      <c r="F121" s="386" t="s">
        <v>1</v>
      </c>
      <c r="G121" s="112" t="s">
        <v>8</v>
      </c>
      <c r="H121" s="493">
        <v>45978</v>
      </c>
      <c r="I121" s="25"/>
      <c r="J121" s="100" t="s">
        <v>5032</v>
      </c>
      <c r="K121" s="494"/>
      <c r="L121" s="495"/>
      <c r="M121" s="496"/>
      <c r="N121" s="497"/>
      <c r="O121" s="498"/>
      <c r="P121" s="499"/>
      <c r="Q121" s="500">
        <v>45980</v>
      </c>
      <c r="R121" s="148">
        <f t="shared" si="3"/>
        <v>2</v>
      </c>
      <c r="S121" s="101" t="s">
        <v>151</v>
      </c>
      <c r="T121" s="69"/>
    </row>
    <row r="122" spans="1:20" ht="43.2" x14ac:dyDescent="0.3">
      <c r="A122" s="98">
        <f t="shared" si="4"/>
        <v>120</v>
      </c>
      <c r="B122" s="506" t="s">
        <v>80</v>
      </c>
      <c r="C122" s="492">
        <v>45978</v>
      </c>
      <c r="D122" s="135">
        <v>50949152</v>
      </c>
      <c r="E122" s="212" t="s">
        <v>5033</v>
      </c>
      <c r="F122" s="386" t="s">
        <v>17</v>
      </c>
      <c r="G122" s="112" t="s">
        <v>8</v>
      </c>
      <c r="H122" s="493">
        <v>45978</v>
      </c>
      <c r="I122" s="25"/>
      <c r="J122" s="100" t="s">
        <v>5034</v>
      </c>
      <c r="K122" s="507"/>
      <c r="L122" s="508"/>
      <c r="M122" s="365"/>
      <c r="N122" s="509"/>
      <c r="O122" s="510"/>
      <c r="P122" s="511"/>
      <c r="Q122" s="500">
        <v>46013</v>
      </c>
      <c r="R122" s="148">
        <f t="shared" si="3"/>
        <v>35</v>
      </c>
      <c r="S122" s="101" t="s">
        <v>4127</v>
      </c>
      <c r="T122" s="167"/>
    </row>
    <row r="123" spans="1:20" ht="57.6" x14ac:dyDescent="0.3">
      <c r="A123" s="98">
        <f t="shared" si="4"/>
        <v>121</v>
      </c>
      <c r="B123" s="506">
        <v>1550</v>
      </c>
      <c r="C123" s="492">
        <v>45978</v>
      </c>
      <c r="D123" s="135">
        <v>37509659</v>
      </c>
      <c r="E123" s="212" t="s">
        <v>5035</v>
      </c>
      <c r="F123" s="386" t="s">
        <v>39</v>
      </c>
      <c r="G123" s="112" t="s">
        <v>6</v>
      </c>
      <c r="H123" s="493">
        <v>45978</v>
      </c>
      <c r="I123" s="25"/>
      <c r="J123" s="100" t="s">
        <v>22</v>
      </c>
      <c r="K123" s="494"/>
      <c r="L123" s="495"/>
      <c r="M123" s="496"/>
      <c r="N123" s="497"/>
      <c r="O123" s="498"/>
      <c r="P123" s="499"/>
      <c r="Q123" s="500">
        <v>45978</v>
      </c>
      <c r="R123" s="148">
        <f t="shared" si="3"/>
        <v>0</v>
      </c>
      <c r="S123" s="101" t="s">
        <v>1312</v>
      </c>
      <c r="T123" s="315"/>
    </row>
    <row r="124" spans="1:20" ht="28.8" x14ac:dyDescent="0.3">
      <c r="A124" s="98">
        <f t="shared" si="4"/>
        <v>122</v>
      </c>
      <c r="B124" s="506">
        <v>1550</v>
      </c>
      <c r="C124" s="492">
        <v>45978</v>
      </c>
      <c r="D124" s="135">
        <v>12565172</v>
      </c>
      <c r="E124" s="212" t="s">
        <v>5036</v>
      </c>
      <c r="F124" s="386" t="s">
        <v>1</v>
      </c>
      <c r="G124" s="112" t="s">
        <v>8</v>
      </c>
      <c r="H124" s="493">
        <v>45978</v>
      </c>
      <c r="I124" s="25"/>
      <c r="J124" s="100" t="s">
        <v>5037</v>
      </c>
      <c r="K124" s="507"/>
      <c r="L124" s="508"/>
      <c r="M124" s="365"/>
      <c r="N124" s="509"/>
      <c r="O124" s="510"/>
      <c r="P124" s="511"/>
      <c r="Q124" s="500">
        <v>45978</v>
      </c>
      <c r="R124" s="148">
        <f t="shared" si="3"/>
        <v>0</v>
      </c>
      <c r="S124" s="101" t="s">
        <v>3931</v>
      </c>
      <c r="T124" s="69"/>
    </row>
    <row r="125" spans="1:20" ht="30" customHeight="1" x14ac:dyDescent="0.3">
      <c r="A125" s="98">
        <f t="shared" si="4"/>
        <v>123</v>
      </c>
      <c r="B125" s="506">
        <v>1550</v>
      </c>
      <c r="C125" s="492">
        <v>45978</v>
      </c>
      <c r="D125" s="135">
        <v>120723794</v>
      </c>
      <c r="E125" s="212" t="s">
        <v>5038</v>
      </c>
      <c r="F125" s="386" t="s">
        <v>1</v>
      </c>
      <c r="G125" s="112" t="s">
        <v>6</v>
      </c>
      <c r="H125" s="493">
        <v>45978</v>
      </c>
      <c r="I125" s="25"/>
      <c r="J125" s="100" t="s">
        <v>5039</v>
      </c>
      <c r="K125" s="494"/>
      <c r="L125" s="495"/>
      <c r="M125" s="496"/>
      <c r="N125" s="497"/>
      <c r="O125" s="498"/>
      <c r="P125" s="499"/>
      <c r="Q125" s="500">
        <v>45981</v>
      </c>
      <c r="R125" s="148">
        <f t="shared" si="3"/>
        <v>3</v>
      </c>
      <c r="S125" s="101" t="s">
        <v>1312</v>
      </c>
      <c r="T125" s="69"/>
    </row>
    <row r="126" spans="1:20" ht="66" customHeight="1" x14ac:dyDescent="0.3">
      <c r="A126" s="98">
        <f t="shared" si="4"/>
        <v>124</v>
      </c>
      <c r="B126" s="506">
        <v>1550</v>
      </c>
      <c r="C126" s="492">
        <v>45978</v>
      </c>
      <c r="D126" s="135">
        <v>76281884</v>
      </c>
      <c r="E126" s="212" t="s">
        <v>5040</v>
      </c>
      <c r="F126" s="386" t="s">
        <v>1</v>
      </c>
      <c r="G126" s="112" t="s">
        <v>10</v>
      </c>
      <c r="H126" s="493">
        <v>45978</v>
      </c>
      <c r="I126" s="25"/>
      <c r="J126" s="100" t="s">
        <v>4972</v>
      </c>
      <c r="K126" s="494"/>
      <c r="L126" s="636"/>
      <c r="M126" s="496"/>
      <c r="N126" s="497"/>
      <c r="O126" s="498"/>
      <c r="P126" s="499"/>
      <c r="Q126" s="500">
        <v>45978</v>
      </c>
      <c r="R126" s="148">
        <f t="shared" si="3"/>
        <v>0</v>
      </c>
      <c r="S126" s="101" t="s">
        <v>1806</v>
      </c>
      <c r="T126" s="69"/>
    </row>
    <row r="127" spans="1:20" ht="28.8" x14ac:dyDescent="0.3">
      <c r="A127" s="98">
        <f t="shared" si="4"/>
        <v>125</v>
      </c>
      <c r="B127" s="506">
        <v>1550</v>
      </c>
      <c r="C127" s="492">
        <v>45979</v>
      </c>
      <c r="D127" s="135">
        <v>50551515</v>
      </c>
      <c r="E127" s="212" t="s">
        <v>5041</v>
      </c>
      <c r="F127" s="386" t="s">
        <v>1</v>
      </c>
      <c r="G127" s="112" t="s">
        <v>6</v>
      </c>
      <c r="H127" s="493">
        <v>45979</v>
      </c>
      <c r="I127" s="25"/>
      <c r="J127" s="100" t="s">
        <v>2513</v>
      </c>
      <c r="K127" s="494"/>
      <c r="L127" s="495"/>
      <c r="M127" s="496"/>
      <c r="N127" s="497"/>
      <c r="O127" s="498"/>
      <c r="P127" s="499"/>
      <c r="Q127" s="500">
        <v>45979</v>
      </c>
      <c r="R127" s="148">
        <f t="shared" si="3"/>
        <v>0</v>
      </c>
      <c r="S127" s="101" t="s">
        <v>2747</v>
      </c>
      <c r="T127" s="359"/>
    </row>
    <row r="128" spans="1:20" ht="57.6" x14ac:dyDescent="0.3">
      <c r="A128" s="98">
        <f t="shared" si="4"/>
        <v>126</v>
      </c>
      <c r="B128" s="506">
        <v>1550</v>
      </c>
      <c r="C128" s="492">
        <v>45979</v>
      </c>
      <c r="D128" s="135">
        <v>105191841</v>
      </c>
      <c r="E128" s="212" t="s">
        <v>5042</v>
      </c>
      <c r="F128" s="386" t="s">
        <v>12</v>
      </c>
      <c r="G128" s="112" t="s">
        <v>6</v>
      </c>
      <c r="H128" s="493">
        <v>45979</v>
      </c>
      <c r="I128" s="25"/>
      <c r="J128" s="100" t="s">
        <v>159</v>
      </c>
      <c r="K128" s="494"/>
      <c r="L128" s="495"/>
      <c r="M128" s="496"/>
      <c r="N128" s="497"/>
      <c r="O128" s="498"/>
      <c r="P128" s="499"/>
      <c r="Q128" s="500">
        <v>45979</v>
      </c>
      <c r="R128" s="148">
        <f t="shared" si="3"/>
        <v>0</v>
      </c>
      <c r="S128" s="101" t="s">
        <v>3020</v>
      </c>
      <c r="T128" s="69"/>
    </row>
    <row r="129" spans="1:20" ht="43.2" x14ac:dyDescent="0.3">
      <c r="A129" s="98">
        <f t="shared" si="4"/>
        <v>127</v>
      </c>
      <c r="B129" s="506">
        <v>1550</v>
      </c>
      <c r="C129" s="492">
        <v>45979</v>
      </c>
      <c r="D129" s="135">
        <v>111605288</v>
      </c>
      <c r="E129" s="212" t="s">
        <v>5043</v>
      </c>
      <c r="F129" s="386" t="s">
        <v>12</v>
      </c>
      <c r="G129" s="112" t="s">
        <v>6</v>
      </c>
      <c r="H129" s="493">
        <v>45979</v>
      </c>
      <c r="I129" s="655">
        <v>10000330615</v>
      </c>
      <c r="J129" s="100" t="s">
        <v>135</v>
      </c>
      <c r="K129" s="494"/>
      <c r="L129" s="495"/>
      <c r="M129" s="496"/>
      <c r="N129" s="497"/>
      <c r="O129" s="498"/>
      <c r="P129" s="499"/>
      <c r="Q129" s="500">
        <v>45980</v>
      </c>
      <c r="R129" s="148">
        <f t="shared" si="3"/>
        <v>1</v>
      </c>
      <c r="S129" s="101" t="s">
        <v>2808</v>
      </c>
      <c r="T129" s="69" t="s">
        <v>5044</v>
      </c>
    </row>
    <row r="130" spans="1:20" ht="28.8" x14ac:dyDescent="0.3">
      <c r="A130" s="98">
        <f t="shared" si="4"/>
        <v>128</v>
      </c>
      <c r="B130" s="506" t="s">
        <v>301</v>
      </c>
      <c r="C130" s="492">
        <v>45979</v>
      </c>
      <c r="D130" s="82">
        <v>88974014</v>
      </c>
      <c r="E130" s="212" t="s">
        <v>5045</v>
      </c>
      <c r="F130" s="386" t="s">
        <v>12</v>
      </c>
      <c r="G130" s="112" t="s">
        <v>6</v>
      </c>
      <c r="H130" s="493">
        <v>45979</v>
      </c>
      <c r="I130" s="655"/>
      <c r="J130" s="100" t="s">
        <v>159</v>
      </c>
      <c r="K130" s="494"/>
      <c r="L130" s="495"/>
      <c r="M130" s="496"/>
      <c r="N130" s="497"/>
      <c r="O130" s="498"/>
      <c r="P130" s="499"/>
      <c r="Q130" s="500">
        <v>45980</v>
      </c>
      <c r="R130" s="148">
        <f t="shared" si="3"/>
        <v>1</v>
      </c>
      <c r="S130" s="101" t="s">
        <v>2808</v>
      </c>
      <c r="T130" s="69"/>
    </row>
    <row r="131" spans="1:20" ht="43.2" x14ac:dyDescent="0.3">
      <c r="A131" s="98">
        <f t="shared" si="4"/>
        <v>129</v>
      </c>
      <c r="B131" s="506" t="s">
        <v>301</v>
      </c>
      <c r="C131" s="492">
        <v>45980</v>
      </c>
      <c r="D131" s="135">
        <v>120691639</v>
      </c>
      <c r="E131" s="212" t="s">
        <v>5046</v>
      </c>
      <c r="F131" s="386" t="s">
        <v>1</v>
      </c>
      <c r="G131" s="112" t="s">
        <v>8</v>
      </c>
      <c r="H131" s="493">
        <v>45980</v>
      </c>
      <c r="I131" s="25"/>
      <c r="J131" s="100" t="s">
        <v>5047</v>
      </c>
      <c r="K131" s="494"/>
      <c r="L131" s="495"/>
      <c r="M131" s="496"/>
      <c r="N131" s="497"/>
      <c r="O131" s="498"/>
      <c r="P131" s="499"/>
      <c r="Q131" s="500">
        <v>45980</v>
      </c>
      <c r="R131" s="148">
        <f t="shared" si="3"/>
        <v>0</v>
      </c>
      <c r="S131" s="101" t="s">
        <v>3861</v>
      </c>
      <c r="T131" s="69"/>
    </row>
    <row r="132" spans="1:20" ht="72" x14ac:dyDescent="0.3">
      <c r="A132" s="98">
        <f t="shared" si="4"/>
        <v>130</v>
      </c>
      <c r="B132" s="506" t="s">
        <v>301</v>
      </c>
      <c r="C132" s="492">
        <v>45980</v>
      </c>
      <c r="D132" s="135">
        <v>71440038</v>
      </c>
      <c r="E132" s="212" t="s">
        <v>5048</v>
      </c>
      <c r="F132" s="386" t="s">
        <v>55</v>
      </c>
      <c r="G132" s="112" t="s">
        <v>6</v>
      </c>
      <c r="H132" s="493">
        <v>45980</v>
      </c>
      <c r="I132" s="25"/>
      <c r="J132" s="107" t="s">
        <v>4902</v>
      </c>
      <c r="K132" s="494"/>
      <c r="L132" s="495"/>
      <c r="M132" s="496"/>
      <c r="N132" s="497"/>
      <c r="O132" s="498"/>
      <c r="P132" s="499"/>
      <c r="Q132" s="500">
        <v>46002</v>
      </c>
      <c r="R132" s="148">
        <f t="shared" si="3"/>
        <v>22</v>
      </c>
      <c r="S132" s="101" t="s">
        <v>2747</v>
      </c>
      <c r="T132" s="69"/>
    </row>
    <row r="133" spans="1:20" ht="43.2" x14ac:dyDescent="0.3">
      <c r="A133" s="98">
        <f t="shared" si="4"/>
        <v>131</v>
      </c>
      <c r="B133" s="506" t="s">
        <v>301</v>
      </c>
      <c r="C133" s="492">
        <v>45980</v>
      </c>
      <c r="D133" s="135">
        <v>6859054</v>
      </c>
      <c r="E133" s="212" t="s">
        <v>5049</v>
      </c>
      <c r="F133" s="386" t="s">
        <v>1</v>
      </c>
      <c r="G133" s="112" t="s">
        <v>8</v>
      </c>
      <c r="H133" s="493">
        <v>45980</v>
      </c>
      <c r="I133" s="25"/>
      <c r="J133" s="100" t="s">
        <v>5050</v>
      </c>
      <c r="K133" s="494"/>
      <c r="L133" s="495"/>
      <c r="M133" s="496"/>
      <c r="N133" s="497"/>
      <c r="O133" s="498"/>
      <c r="P133" s="499"/>
      <c r="Q133" s="500">
        <v>45980</v>
      </c>
      <c r="R133" s="148">
        <f t="shared" si="3"/>
        <v>0</v>
      </c>
      <c r="S133" s="633" t="s">
        <v>3861</v>
      </c>
      <c r="T133" s="69"/>
    </row>
    <row r="134" spans="1:20" ht="28.8" x14ac:dyDescent="0.3">
      <c r="A134" s="98">
        <f t="shared" si="4"/>
        <v>132</v>
      </c>
      <c r="B134" s="506">
        <v>1550</v>
      </c>
      <c r="C134" s="492">
        <v>45980</v>
      </c>
      <c r="D134" s="135"/>
      <c r="E134" s="212" t="s">
        <v>5051</v>
      </c>
      <c r="F134" s="386" t="s">
        <v>21</v>
      </c>
      <c r="G134" s="112" t="s">
        <v>8</v>
      </c>
      <c r="H134" s="493">
        <v>45980</v>
      </c>
      <c r="I134" s="655"/>
      <c r="J134" s="100" t="s">
        <v>5052</v>
      </c>
      <c r="K134" s="494"/>
      <c r="L134" s="637"/>
      <c r="M134" s="496"/>
      <c r="N134" s="497"/>
      <c r="O134" s="498"/>
      <c r="P134" s="499"/>
      <c r="Q134" s="500">
        <v>45988</v>
      </c>
      <c r="R134" s="148">
        <f t="shared" si="3"/>
        <v>8</v>
      </c>
      <c r="S134" s="633" t="s">
        <v>3841</v>
      </c>
      <c r="T134" s="69"/>
    </row>
    <row r="135" spans="1:20" ht="72" x14ac:dyDescent="0.3">
      <c r="A135" s="98">
        <f t="shared" si="4"/>
        <v>133</v>
      </c>
      <c r="B135" s="506" t="s">
        <v>301</v>
      </c>
      <c r="C135" s="492">
        <v>45980</v>
      </c>
      <c r="D135" s="135">
        <v>37002295</v>
      </c>
      <c r="E135" s="212" t="s">
        <v>5053</v>
      </c>
      <c r="F135" s="386" t="s">
        <v>12</v>
      </c>
      <c r="G135" s="112" t="s">
        <v>6</v>
      </c>
      <c r="H135" s="493">
        <v>45980</v>
      </c>
      <c r="I135" s="25"/>
      <c r="J135" s="100" t="s">
        <v>159</v>
      </c>
      <c r="K135" s="494"/>
      <c r="L135" s="495"/>
      <c r="M135" s="496"/>
      <c r="N135" s="497"/>
      <c r="O135" s="498"/>
      <c r="P135" s="499"/>
      <c r="Q135" s="500">
        <v>45980</v>
      </c>
      <c r="R135" s="148">
        <f t="shared" si="3"/>
        <v>0</v>
      </c>
      <c r="S135" s="633" t="s">
        <v>3783</v>
      </c>
      <c r="T135" s="167"/>
    </row>
    <row r="136" spans="1:20" ht="43.2" x14ac:dyDescent="0.3">
      <c r="A136" s="98">
        <f t="shared" si="4"/>
        <v>134</v>
      </c>
      <c r="B136" s="506">
        <v>1550</v>
      </c>
      <c r="C136" s="492">
        <v>45980</v>
      </c>
      <c r="D136" s="111" t="s">
        <v>5054</v>
      </c>
      <c r="E136" s="212" t="s">
        <v>5055</v>
      </c>
      <c r="F136" s="386" t="s">
        <v>12</v>
      </c>
      <c r="G136" s="112" t="s">
        <v>8</v>
      </c>
      <c r="H136" s="493">
        <v>45980</v>
      </c>
      <c r="I136" s="25"/>
      <c r="J136" s="100" t="s">
        <v>159</v>
      </c>
      <c r="K136" s="494"/>
      <c r="L136" s="495"/>
      <c r="M136" s="496"/>
      <c r="N136" s="497"/>
      <c r="O136" s="498"/>
      <c r="P136" s="499"/>
      <c r="Q136" s="500">
        <v>45980</v>
      </c>
      <c r="R136" s="148">
        <f t="shared" si="3"/>
        <v>0</v>
      </c>
      <c r="S136" s="633" t="s">
        <v>4026</v>
      </c>
      <c r="T136" s="69"/>
    </row>
    <row r="137" spans="1:20" ht="28.8" x14ac:dyDescent="0.3">
      <c r="A137" s="98">
        <f t="shared" si="4"/>
        <v>135</v>
      </c>
      <c r="B137" s="506" t="s">
        <v>80</v>
      </c>
      <c r="C137" s="492">
        <v>45980</v>
      </c>
      <c r="D137" s="135">
        <v>69025738</v>
      </c>
      <c r="E137" s="212" t="s">
        <v>5056</v>
      </c>
      <c r="F137" s="386" t="s">
        <v>12</v>
      </c>
      <c r="G137" s="112" t="s">
        <v>8</v>
      </c>
      <c r="H137" s="493">
        <v>45980</v>
      </c>
      <c r="I137" s="25"/>
      <c r="J137" s="100" t="s">
        <v>159</v>
      </c>
      <c r="K137" s="494"/>
      <c r="L137" s="495"/>
      <c r="M137" s="496"/>
      <c r="N137" s="497"/>
      <c r="O137" s="498"/>
      <c r="P137" s="499"/>
      <c r="Q137" s="500">
        <v>45981</v>
      </c>
      <c r="R137" s="148">
        <f t="shared" si="3"/>
        <v>1</v>
      </c>
      <c r="S137" s="633" t="s">
        <v>4127</v>
      </c>
      <c r="T137" s="121"/>
    </row>
    <row r="138" spans="1:20" ht="43.2" x14ac:dyDescent="0.3">
      <c r="A138" s="98">
        <f t="shared" si="4"/>
        <v>136</v>
      </c>
      <c r="B138" s="506" t="s">
        <v>80</v>
      </c>
      <c r="C138" s="492">
        <v>45980</v>
      </c>
      <c r="D138" s="135">
        <v>16653181</v>
      </c>
      <c r="E138" s="212" t="s">
        <v>5057</v>
      </c>
      <c r="F138" s="386" t="s">
        <v>3</v>
      </c>
      <c r="G138" s="112" t="s">
        <v>8</v>
      </c>
      <c r="H138" s="493">
        <v>45980</v>
      </c>
      <c r="I138" s="765">
        <v>10000330830</v>
      </c>
      <c r="J138" s="100" t="s">
        <v>5058</v>
      </c>
      <c r="K138" s="494"/>
      <c r="L138" s="495"/>
      <c r="M138" s="496"/>
      <c r="N138" s="497"/>
      <c r="O138" s="498"/>
      <c r="P138" s="499"/>
      <c r="Q138" s="500">
        <v>45986</v>
      </c>
      <c r="R138" s="148">
        <f t="shared" si="3"/>
        <v>6</v>
      </c>
      <c r="S138" s="633" t="s">
        <v>4127</v>
      </c>
      <c r="T138" s="315" t="s">
        <v>5059</v>
      </c>
    </row>
    <row r="139" spans="1:20" ht="100.8" x14ac:dyDescent="0.3">
      <c r="A139" s="98">
        <f t="shared" ref="A139:A206" si="5">A138+1</f>
        <v>137</v>
      </c>
      <c r="B139" s="506" t="s">
        <v>301</v>
      </c>
      <c r="C139" s="492">
        <v>45980</v>
      </c>
      <c r="D139" s="135">
        <v>63333015</v>
      </c>
      <c r="E139" s="212" t="s">
        <v>5060</v>
      </c>
      <c r="F139" s="386" t="s">
        <v>7</v>
      </c>
      <c r="G139" s="112" t="s">
        <v>6</v>
      </c>
      <c r="H139" s="493">
        <v>45980</v>
      </c>
      <c r="I139" s="25"/>
      <c r="J139" s="100" t="s">
        <v>2352</v>
      </c>
      <c r="K139" s="557"/>
      <c r="L139" s="495"/>
      <c r="M139" s="496"/>
      <c r="N139" s="497"/>
      <c r="O139" s="498"/>
      <c r="P139" s="499"/>
      <c r="Q139" s="500">
        <v>45980</v>
      </c>
      <c r="R139" s="148">
        <f t="shared" si="3"/>
        <v>0</v>
      </c>
      <c r="S139" s="633" t="s">
        <v>3783</v>
      </c>
      <c r="T139" s="167"/>
    </row>
    <row r="140" spans="1:20" ht="72" x14ac:dyDescent="0.3">
      <c r="A140" s="98">
        <f t="shared" si="5"/>
        <v>138</v>
      </c>
      <c r="B140" s="506" t="s">
        <v>301</v>
      </c>
      <c r="C140" s="492">
        <v>45980</v>
      </c>
      <c r="D140" s="135">
        <v>98765264</v>
      </c>
      <c r="E140" s="212" t="s">
        <v>5061</v>
      </c>
      <c r="F140" s="386" t="s">
        <v>12</v>
      </c>
      <c r="G140" s="112" t="s">
        <v>6</v>
      </c>
      <c r="H140" s="493">
        <v>45980</v>
      </c>
      <c r="I140" s="25"/>
      <c r="J140" s="100" t="s">
        <v>159</v>
      </c>
      <c r="K140" s="557"/>
      <c r="L140" s="495"/>
      <c r="M140" s="496"/>
      <c r="N140" s="497"/>
      <c r="O140" s="498"/>
      <c r="P140" s="499"/>
      <c r="Q140" s="500">
        <v>45980</v>
      </c>
      <c r="R140" s="148">
        <f t="shared" ref="R140:R213" si="6">Q140-H140</f>
        <v>0</v>
      </c>
      <c r="S140" s="633" t="s">
        <v>3905</v>
      </c>
      <c r="T140" s="69"/>
    </row>
    <row r="141" spans="1:20" ht="28.8" x14ac:dyDescent="0.3">
      <c r="A141" s="98">
        <f t="shared" si="5"/>
        <v>139</v>
      </c>
      <c r="B141" s="506" t="s">
        <v>301</v>
      </c>
      <c r="C141" s="492">
        <v>45980</v>
      </c>
      <c r="D141" s="135">
        <v>10665404</v>
      </c>
      <c r="E141" s="212" t="s">
        <v>5062</v>
      </c>
      <c r="F141" s="386" t="s">
        <v>12</v>
      </c>
      <c r="G141" s="112" t="s">
        <v>8</v>
      </c>
      <c r="H141" s="493">
        <v>45980</v>
      </c>
      <c r="I141" s="25"/>
      <c r="J141" s="100" t="s">
        <v>159</v>
      </c>
      <c r="K141" s="557"/>
      <c r="L141" s="508"/>
      <c r="M141" s="365"/>
      <c r="N141" s="509"/>
      <c r="O141" s="510"/>
      <c r="P141" s="511"/>
      <c r="Q141" s="500">
        <v>45980</v>
      </c>
      <c r="R141" s="148">
        <f t="shared" si="6"/>
        <v>0</v>
      </c>
      <c r="S141" s="633" t="s">
        <v>5063</v>
      </c>
      <c r="T141" s="167"/>
    </row>
    <row r="142" spans="1:20" ht="28.8" x14ac:dyDescent="0.3">
      <c r="A142" s="98">
        <f t="shared" si="5"/>
        <v>140</v>
      </c>
      <c r="B142" s="506" t="s">
        <v>80</v>
      </c>
      <c r="C142" s="492">
        <v>45980</v>
      </c>
      <c r="D142" s="135">
        <v>13679309</v>
      </c>
      <c r="E142" s="212" t="s">
        <v>5064</v>
      </c>
      <c r="F142" s="386" t="s">
        <v>17</v>
      </c>
      <c r="G142" s="112" t="s">
        <v>8</v>
      </c>
      <c r="H142" s="493">
        <v>45980</v>
      </c>
      <c r="I142" s="25"/>
      <c r="J142" s="100" t="s">
        <v>5058</v>
      </c>
      <c r="K142" s="557"/>
      <c r="L142" s="495"/>
      <c r="M142" s="496"/>
      <c r="N142" s="497"/>
      <c r="O142" s="498"/>
      <c r="P142" s="499"/>
      <c r="Q142" s="500">
        <v>46013</v>
      </c>
      <c r="R142" s="148">
        <f t="shared" si="6"/>
        <v>33</v>
      </c>
      <c r="S142" s="633" t="s">
        <v>4127</v>
      </c>
      <c r="T142" s="167"/>
    </row>
    <row r="143" spans="1:20" ht="43.2" x14ac:dyDescent="0.3">
      <c r="A143" s="98">
        <f t="shared" si="5"/>
        <v>141</v>
      </c>
      <c r="B143" s="506" t="s">
        <v>80</v>
      </c>
      <c r="C143" s="492">
        <v>45980</v>
      </c>
      <c r="D143" s="135"/>
      <c r="E143" s="212" t="s">
        <v>5065</v>
      </c>
      <c r="F143" s="386" t="s">
        <v>21</v>
      </c>
      <c r="G143" s="112" t="s">
        <v>8</v>
      </c>
      <c r="H143" s="493">
        <v>45980</v>
      </c>
      <c r="I143" s="25"/>
      <c r="J143" s="100" t="s">
        <v>99</v>
      </c>
      <c r="K143" s="558"/>
      <c r="L143" s="508"/>
      <c r="M143" s="365"/>
      <c r="N143" s="509"/>
      <c r="O143" s="510"/>
      <c r="P143" s="511"/>
      <c r="Q143" s="500">
        <v>45980</v>
      </c>
      <c r="R143" s="148">
        <f t="shared" si="6"/>
        <v>0</v>
      </c>
      <c r="S143" s="633" t="s">
        <v>4127</v>
      </c>
      <c r="T143" s="344"/>
    </row>
    <row r="144" spans="1:20" ht="58.5" customHeight="1" x14ac:dyDescent="0.3">
      <c r="A144" s="98">
        <f t="shared" si="5"/>
        <v>142</v>
      </c>
      <c r="B144" s="506" t="s">
        <v>80</v>
      </c>
      <c r="C144" s="492">
        <v>45980</v>
      </c>
      <c r="D144" s="135">
        <v>17882036</v>
      </c>
      <c r="E144" s="212" t="s">
        <v>5066</v>
      </c>
      <c r="F144" s="386" t="s">
        <v>48</v>
      </c>
      <c r="G144" s="112" t="s">
        <v>8</v>
      </c>
      <c r="H144" s="493">
        <v>45980</v>
      </c>
      <c r="I144" s="25"/>
      <c r="J144" s="100" t="s">
        <v>159</v>
      </c>
      <c r="K144" s="626"/>
      <c r="L144" s="508"/>
      <c r="M144" s="365"/>
      <c r="N144" s="509"/>
      <c r="O144" s="510"/>
      <c r="P144" s="511"/>
      <c r="Q144" s="500">
        <v>46002</v>
      </c>
      <c r="R144" s="148">
        <f t="shared" si="6"/>
        <v>22</v>
      </c>
      <c r="S144" s="633" t="s">
        <v>4127</v>
      </c>
      <c r="T144" s="69"/>
    </row>
    <row r="145" spans="1:20" ht="100.8" x14ac:dyDescent="0.3">
      <c r="A145" s="98">
        <f t="shared" si="5"/>
        <v>143</v>
      </c>
      <c r="B145" s="506">
        <v>1550</v>
      </c>
      <c r="C145" s="492">
        <v>45980</v>
      </c>
      <c r="D145" s="135">
        <v>9831851</v>
      </c>
      <c r="E145" s="212" t="s">
        <v>5067</v>
      </c>
      <c r="F145" s="386" t="s">
        <v>41</v>
      </c>
      <c r="G145" s="112" t="s">
        <v>6</v>
      </c>
      <c r="H145" s="493">
        <v>45980</v>
      </c>
      <c r="I145" s="25"/>
      <c r="J145" s="100" t="s">
        <v>22</v>
      </c>
      <c r="K145" s="626" t="s">
        <v>393</v>
      </c>
      <c r="L145" s="580">
        <v>45980</v>
      </c>
      <c r="M145" s="228" t="s">
        <v>22</v>
      </c>
      <c r="N145" s="509"/>
      <c r="O145" s="510"/>
      <c r="P145" s="511"/>
      <c r="Q145" s="500">
        <v>45985</v>
      </c>
      <c r="R145" s="148">
        <f t="shared" si="6"/>
        <v>5</v>
      </c>
      <c r="S145" s="633" t="s">
        <v>1312</v>
      </c>
      <c r="T145" s="69"/>
    </row>
    <row r="146" spans="1:20" ht="43.2" x14ac:dyDescent="0.3">
      <c r="A146" s="98">
        <f t="shared" si="5"/>
        <v>144</v>
      </c>
      <c r="B146" s="506" t="s">
        <v>80</v>
      </c>
      <c r="C146" s="492">
        <v>45980</v>
      </c>
      <c r="D146" s="135">
        <v>36798347</v>
      </c>
      <c r="E146" s="212" t="s">
        <v>5068</v>
      </c>
      <c r="F146" s="386" t="s">
        <v>17</v>
      </c>
      <c r="G146" s="112" t="s">
        <v>8</v>
      </c>
      <c r="H146" s="493">
        <v>45980</v>
      </c>
      <c r="I146" s="25"/>
      <c r="J146" s="100" t="s">
        <v>5058</v>
      </c>
      <c r="K146" s="494"/>
      <c r="L146" s="495"/>
      <c r="M146" s="496"/>
      <c r="N146" s="497"/>
      <c r="O146" s="498"/>
      <c r="P146" s="499"/>
      <c r="Q146" s="500">
        <v>46013</v>
      </c>
      <c r="R146" s="148">
        <f t="shared" si="6"/>
        <v>33</v>
      </c>
      <c r="S146" s="633" t="s">
        <v>4127</v>
      </c>
      <c r="T146" s="69"/>
    </row>
    <row r="147" spans="1:20" ht="28.8" x14ac:dyDescent="0.3">
      <c r="A147" s="98">
        <f t="shared" si="5"/>
        <v>145</v>
      </c>
      <c r="B147" s="506" t="s">
        <v>80</v>
      </c>
      <c r="C147" s="492">
        <v>45980</v>
      </c>
      <c r="D147" s="135">
        <v>52503127</v>
      </c>
      <c r="E147" s="212" t="s">
        <v>5069</v>
      </c>
      <c r="F147" s="386" t="s">
        <v>17</v>
      </c>
      <c r="G147" s="112" t="s">
        <v>8</v>
      </c>
      <c r="H147" s="493">
        <v>45980</v>
      </c>
      <c r="I147" s="25"/>
      <c r="J147" s="100" t="s">
        <v>5058</v>
      </c>
      <c r="K147" s="558"/>
      <c r="L147" s="508"/>
      <c r="M147" s="365"/>
      <c r="N147" s="509"/>
      <c r="O147" s="510"/>
      <c r="P147" s="511"/>
      <c r="Q147" s="500">
        <v>46013</v>
      </c>
      <c r="R147" s="148">
        <f t="shared" si="6"/>
        <v>33</v>
      </c>
      <c r="S147" s="633" t="s">
        <v>4127</v>
      </c>
      <c r="T147" s="69"/>
    </row>
    <row r="148" spans="1:20" ht="43.2" x14ac:dyDescent="0.3">
      <c r="A148" s="98">
        <f t="shared" si="5"/>
        <v>146</v>
      </c>
      <c r="B148" s="195">
        <v>1550</v>
      </c>
      <c r="C148" s="603">
        <v>45980</v>
      </c>
      <c r="D148" s="135">
        <v>111905958</v>
      </c>
      <c r="E148" s="270" t="s">
        <v>5070</v>
      </c>
      <c r="F148" s="386" t="s">
        <v>49</v>
      </c>
      <c r="G148" s="112" t="s">
        <v>6</v>
      </c>
      <c r="H148" s="493">
        <v>45980</v>
      </c>
      <c r="I148" s="25"/>
      <c r="J148" s="100" t="s">
        <v>266</v>
      </c>
      <c r="K148" s="558"/>
      <c r="L148" s="508"/>
      <c r="M148" s="365"/>
      <c r="N148" s="509"/>
      <c r="O148" s="510"/>
      <c r="P148" s="511"/>
      <c r="Q148" s="500">
        <v>45980</v>
      </c>
      <c r="R148" s="148">
        <f t="shared" si="6"/>
        <v>0</v>
      </c>
      <c r="S148" s="633" t="s">
        <v>2808</v>
      </c>
      <c r="T148" s="69"/>
    </row>
    <row r="149" spans="1:20" ht="86.4" x14ac:dyDescent="0.3">
      <c r="A149" s="98">
        <f t="shared" si="5"/>
        <v>147</v>
      </c>
      <c r="B149" s="506">
        <v>1550</v>
      </c>
      <c r="C149" s="492">
        <v>45980</v>
      </c>
      <c r="D149" s="135">
        <v>116055111</v>
      </c>
      <c r="E149" s="212" t="s">
        <v>5071</v>
      </c>
      <c r="F149" s="386" t="s">
        <v>1</v>
      </c>
      <c r="G149" s="112" t="s">
        <v>6</v>
      </c>
      <c r="H149" s="493">
        <v>45980</v>
      </c>
      <c r="I149" s="25"/>
      <c r="J149" s="100" t="s">
        <v>2352</v>
      </c>
      <c r="K149" s="558"/>
      <c r="L149" s="508"/>
      <c r="M149" s="365"/>
      <c r="N149" s="509"/>
      <c r="O149" s="510"/>
      <c r="P149" s="511"/>
      <c r="Q149" s="500">
        <v>45981</v>
      </c>
      <c r="R149" s="148">
        <f t="shared" si="6"/>
        <v>1</v>
      </c>
      <c r="S149" s="633" t="s">
        <v>1312</v>
      </c>
      <c r="T149" s="69"/>
    </row>
    <row r="150" spans="1:20" ht="115.2" x14ac:dyDescent="0.3">
      <c r="A150" s="98">
        <f t="shared" si="5"/>
        <v>148</v>
      </c>
      <c r="B150" s="506">
        <v>1550</v>
      </c>
      <c r="C150" s="492">
        <v>45980</v>
      </c>
      <c r="D150" s="135">
        <v>93489560</v>
      </c>
      <c r="E150" s="212" t="s">
        <v>5072</v>
      </c>
      <c r="F150" s="386" t="s">
        <v>7</v>
      </c>
      <c r="G150" s="112" t="s">
        <v>6</v>
      </c>
      <c r="H150" s="493">
        <v>45980</v>
      </c>
      <c r="I150" s="25"/>
      <c r="J150" s="107" t="s">
        <v>2513</v>
      </c>
      <c r="K150" s="558"/>
      <c r="L150" s="508"/>
      <c r="M150" s="365"/>
      <c r="N150" s="509"/>
      <c r="O150" s="510"/>
      <c r="P150" s="511"/>
      <c r="Q150" s="500">
        <v>45994</v>
      </c>
      <c r="R150" s="148">
        <f t="shared" si="6"/>
        <v>14</v>
      </c>
      <c r="S150" s="633" t="s">
        <v>2747</v>
      </c>
      <c r="T150" s="69"/>
    </row>
    <row r="151" spans="1:20" ht="43.2" x14ac:dyDescent="0.3">
      <c r="A151" s="98">
        <f t="shared" si="5"/>
        <v>149</v>
      </c>
      <c r="B151" s="506">
        <v>1550</v>
      </c>
      <c r="C151" s="492">
        <v>45980</v>
      </c>
      <c r="D151" s="135">
        <v>92529828</v>
      </c>
      <c r="E151" s="212" t="s">
        <v>5073</v>
      </c>
      <c r="F151" s="386" t="s">
        <v>23</v>
      </c>
      <c r="G151" s="112" t="s">
        <v>10</v>
      </c>
      <c r="H151" s="493">
        <v>45980</v>
      </c>
      <c r="I151" s="25"/>
      <c r="J151" s="107" t="s">
        <v>135</v>
      </c>
      <c r="K151" s="558"/>
      <c r="L151" s="508"/>
      <c r="M151" s="365"/>
      <c r="N151" s="509"/>
      <c r="O151" s="510"/>
      <c r="P151" s="511"/>
      <c r="Q151" s="500">
        <v>45980</v>
      </c>
      <c r="R151" s="148">
        <f t="shared" si="6"/>
        <v>0</v>
      </c>
      <c r="S151" s="633" t="s">
        <v>2716</v>
      </c>
      <c r="T151" s="69"/>
    </row>
    <row r="152" spans="1:20" ht="42" customHeight="1" x14ac:dyDescent="0.3">
      <c r="A152" s="98">
        <f t="shared" si="5"/>
        <v>150</v>
      </c>
      <c r="B152" s="506">
        <v>1550</v>
      </c>
      <c r="C152" s="492">
        <v>45980</v>
      </c>
      <c r="D152" s="135"/>
      <c r="E152" s="212" t="s">
        <v>5074</v>
      </c>
      <c r="F152" s="386" t="s">
        <v>39</v>
      </c>
      <c r="G152" s="112" t="s">
        <v>10</v>
      </c>
      <c r="H152" s="493">
        <v>45980</v>
      </c>
      <c r="I152" s="25"/>
      <c r="J152" s="107" t="s">
        <v>3411</v>
      </c>
      <c r="K152" s="558"/>
      <c r="L152" s="508"/>
      <c r="M152" s="365"/>
      <c r="N152" s="509"/>
      <c r="O152" s="510"/>
      <c r="P152" s="511"/>
      <c r="Q152" s="500">
        <v>45980</v>
      </c>
      <c r="R152" s="148">
        <f t="shared" si="6"/>
        <v>0</v>
      </c>
      <c r="S152" s="633" t="s">
        <v>85</v>
      </c>
      <c r="T152" s="69"/>
    </row>
    <row r="153" spans="1:20" ht="33" customHeight="1" x14ac:dyDescent="0.3">
      <c r="A153" s="98">
        <f t="shared" si="5"/>
        <v>151</v>
      </c>
      <c r="B153" s="506">
        <v>1550</v>
      </c>
      <c r="C153" s="492">
        <v>45980</v>
      </c>
      <c r="D153" s="135"/>
      <c r="E153" s="212" t="s">
        <v>5075</v>
      </c>
      <c r="F153" s="386" t="s">
        <v>1</v>
      </c>
      <c r="G153" s="112" t="s">
        <v>10</v>
      </c>
      <c r="H153" s="493">
        <v>45980</v>
      </c>
      <c r="I153" s="25"/>
      <c r="J153" s="107" t="s">
        <v>3709</v>
      </c>
      <c r="K153" s="558"/>
      <c r="L153" s="508"/>
      <c r="M153" s="365"/>
      <c r="N153" s="509"/>
      <c r="O153" s="510"/>
      <c r="P153" s="511"/>
      <c r="Q153" s="500">
        <v>45980</v>
      </c>
      <c r="R153" s="148">
        <f t="shared" si="6"/>
        <v>0</v>
      </c>
      <c r="S153" s="633" t="s">
        <v>85</v>
      </c>
      <c r="T153" s="69"/>
    </row>
    <row r="154" spans="1:20" ht="39.75" customHeight="1" x14ac:dyDescent="0.3">
      <c r="A154" s="98">
        <f t="shared" si="5"/>
        <v>152</v>
      </c>
      <c r="B154" s="506">
        <v>1500</v>
      </c>
      <c r="C154" s="492">
        <v>45980</v>
      </c>
      <c r="D154" s="135">
        <v>81747241</v>
      </c>
      <c r="E154" s="212" t="s">
        <v>5076</v>
      </c>
      <c r="F154" s="386" t="s">
        <v>39</v>
      </c>
      <c r="G154" s="112" t="s">
        <v>10</v>
      </c>
      <c r="H154" s="493">
        <v>45980</v>
      </c>
      <c r="I154" s="25"/>
      <c r="J154" s="107" t="s">
        <v>22</v>
      </c>
      <c r="K154" s="558"/>
      <c r="L154" s="508"/>
      <c r="M154" s="365"/>
      <c r="N154" s="509"/>
      <c r="O154" s="510"/>
      <c r="P154" s="511"/>
      <c r="Q154" s="500">
        <v>45980</v>
      </c>
      <c r="R154" s="148">
        <f t="shared" si="6"/>
        <v>0</v>
      </c>
      <c r="S154" s="633" t="s">
        <v>214</v>
      </c>
      <c r="T154" s="69"/>
    </row>
    <row r="155" spans="1:20" ht="28.8" x14ac:dyDescent="0.3">
      <c r="A155" s="98">
        <f t="shared" si="5"/>
        <v>153</v>
      </c>
      <c r="B155" s="506">
        <v>1550</v>
      </c>
      <c r="C155" s="492">
        <v>45980</v>
      </c>
      <c r="D155" s="135">
        <v>12352454</v>
      </c>
      <c r="E155" s="212" t="s">
        <v>5077</v>
      </c>
      <c r="F155" s="386" t="s">
        <v>60</v>
      </c>
      <c r="G155" s="112" t="s">
        <v>8</v>
      </c>
      <c r="H155" s="493">
        <v>45981</v>
      </c>
      <c r="I155" s="25"/>
      <c r="J155" s="100" t="s">
        <v>1357</v>
      </c>
      <c r="K155" s="626" t="s">
        <v>262</v>
      </c>
      <c r="L155" s="580">
        <v>45981</v>
      </c>
      <c r="M155" s="365" t="s">
        <v>1357</v>
      </c>
      <c r="N155" s="509"/>
      <c r="O155" s="510"/>
      <c r="P155" s="511"/>
      <c r="Q155" s="500">
        <v>45991</v>
      </c>
      <c r="R155" s="148">
        <f t="shared" si="6"/>
        <v>10</v>
      </c>
      <c r="S155" s="633" t="s">
        <v>3861</v>
      </c>
      <c r="T155" s="167"/>
    </row>
    <row r="156" spans="1:20" ht="28.8" x14ac:dyDescent="0.3">
      <c r="A156" s="98">
        <f t="shared" si="5"/>
        <v>154</v>
      </c>
      <c r="B156" s="506">
        <v>1550</v>
      </c>
      <c r="C156" s="492">
        <v>45981</v>
      </c>
      <c r="D156" s="111" t="s">
        <v>5078</v>
      </c>
      <c r="E156" s="212" t="s">
        <v>5079</v>
      </c>
      <c r="F156" s="386" t="s">
        <v>12</v>
      </c>
      <c r="G156" s="112" t="s">
        <v>8</v>
      </c>
      <c r="H156" s="493">
        <v>45981</v>
      </c>
      <c r="I156" s="25"/>
      <c r="J156" s="100" t="s">
        <v>159</v>
      </c>
      <c r="K156" s="494"/>
      <c r="L156" s="495"/>
      <c r="M156" s="496"/>
      <c r="N156" s="497"/>
      <c r="O156" s="498"/>
      <c r="P156" s="499"/>
      <c r="Q156" s="500">
        <v>45981</v>
      </c>
      <c r="R156" s="148">
        <f t="shared" si="6"/>
        <v>0</v>
      </c>
      <c r="S156" s="633" t="s">
        <v>3418</v>
      </c>
      <c r="T156" s="69"/>
    </row>
    <row r="157" spans="1:20" ht="28.8" x14ac:dyDescent="0.3">
      <c r="A157" s="98">
        <f t="shared" si="5"/>
        <v>155</v>
      </c>
      <c r="B157" s="506" t="s">
        <v>80</v>
      </c>
      <c r="C157" s="492">
        <v>45981</v>
      </c>
      <c r="D157" s="135">
        <v>15305767</v>
      </c>
      <c r="E157" s="212" t="s">
        <v>5080</v>
      </c>
      <c r="F157" s="386" t="s">
        <v>15</v>
      </c>
      <c r="G157" s="112" t="s">
        <v>8</v>
      </c>
      <c r="H157" s="493">
        <v>45981</v>
      </c>
      <c r="I157" s="25"/>
      <c r="J157" s="100" t="s">
        <v>159</v>
      </c>
      <c r="K157" s="626" t="s">
        <v>262</v>
      </c>
      <c r="L157" s="580">
        <v>45981</v>
      </c>
      <c r="M157" s="365" t="s">
        <v>1357</v>
      </c>
      <c r="N157" s="509"/>
      <c r="O157" s="510"/>
      <c r="P157" s="511"/>
      <c r="Q157" s="500">
        <v>45991</v>
      </c>
      <c r="R157" s="148">
        <f t="shared" si="6"/>
        <v>10</v>
      </c>
      <c r="S157" s="633" t="s">
        <v>4127</v>
      </c>
      <c r="T157" s="167"/>
    </row>
    <row r="158" spans="1:20" ht="43.2" x14ac:dyDescent="0.3">
      <c r="A158" s="98">
        <f t="shared" si="5"/>
        <v>156</v>
      </c>
      <c r="B158" s="506" t="s">
        <v>80</v>
      </c>
      <c r="C158" s="492">
        <v>45981</v>
      </c>
      <c r="D158" s="135">
        <v>22359958</v>
      </c>
      <c r="E158" s="270" t="s">
        <v>5081</v>
      </c>
      <c r="F158" s="386" t="s">
        <v>48</v>
      </c>
      <c r="G158" s="112" t="s">
        <v>8</v>
      </c>
      <c r="H158" s="493">
        <v>45981</v>
      </c>
      <c r="I158" s="25"/>
      <c r="J158" s="107" t="s">
        <v>99</v>
      </c>
      <c r="K158" s="507"/>
      <c r="L158" s="508"/>
      <c r="M158" s="365"/>
      <c r="N158" s="509"/>
      <c r="O158" s="510"/>
      <c r="P158" s="511"/>
      <c r="Q158" s="500">
        <v>45992</v>
      </c>
      <c r="R158" s="148">
        <f t="shared" si="6"/>
        <v>11</v>
      </c>
      <c r="S158" s="633" t="s">
        <v>4127</v>
      </c>
      <c r="T158" s="167"/>
    </row>
    <row r="159" spans="1:20" ht="43.2" x14ac:dyDescent="0.3">
      <c r="A159" s="98">
        <f t="shared" si="5"/>
        <v>157</v>
      </c>
      <c r="B159" s="506" t="s">
        <v>80</v>
      </c>
      <c r="C159" s="492">
        <v>45981</v>
      </c>
      <c r="D159" s="135">
        <v>59826177</v>
      </c>
      <c r="E159" s="270" t="s">
        <v>5082</v>
      </c>
      <c r="F159" s="386" t="s">
        <v>48</v>
      </c>
      <c r="G159" s="112" t="s">
        <v>8</v>
      </c>
      <c r="H159" s="493">
        <v>45981</v>
      </c>
      <c r="I159" s="25"/>
      <c r="J159" s="107" t="s">
        <v>99</v>
      </c>
      <c r="K159" s="494"/>
      <c r="L159" s="495"/>
      <c r="M159" s="496"/>
      <c r="N159" s="497"/>
      <c r="O159" s="498"/>
      <c r="P159" s="499"/>
      <c r="Q159" s="500">
        <v>46002</v>
      </c>
      <c r="R159" s="148">
        <f t="shared" si="6"/>
        <v>21</v>
      </c>
      <c r="S159" s="633" t="s">
        <v>4127</v>
      </c>
      <c r="T159" s="69"/>
    </row>
    <row r="160" spans="1:20" ht="43.2" x14ac:dyDescent="0.3">
      <c r="A160" s="98">
        <f t="shared" si="5"/>
        <v>158</v>
      </c>
      <c r="B160" s="506">
        <v>1550</v>
      </c>
      <c r="C160" s="492">
        <v>45981</v>
      </c>
      <c r="D160" s="135">
        <v>12526525</v>
      </c>
      <c r="E160" s="270" t="s">
        <v>5082</v>
      </c>
      <c r="F160" s="386" t="s">
        <v>48</v>
      </c>
      <c r="G160" s="112" t="s">
        <v>8</v>
      </c>
      <c r="H160" s="493">
        <v>45981</v>
      </c>
      <c r="I160" s="25"/>
      <c r="J160" s="107" t="s">
        <v>99</v>
      </c>
      <c r="K160" s="507"/>
      <c r="L160" s="508"/>
      <c r="M160" s="365"/>
      <c r="N160" s="509"/>
      <c r="O160" s="510"/>
      <c r="P160" s="511"/>
      <c r="Q160" s="500">
        <v>46002</v>
      </c>
      <c r="R160" s="148">
        <f t="shared" si="6"/>
        <v>21</v>
      </c>
      <c r="S160" s="633" t="s">
        <v>4026</v>
      </c>
      <c r="T160" s="69"/>
    </row>
    <row r="161" spans="1:20" ht="100.8" x14ac:dyDescent="0.45">
      <c r="A161" s="98">
        <f t="shared" si="5"/>
        <v>159</v>
      </c>
      <c r="B161" s="506">
        <v>1550</v>
      </c>
      <c r="C161" s="492">
        <v>45981</v>
      </c>
      <c r="D161" s="135">
        <v>50493655</v>
      </c>
      <c r="E161" s="270" t="s">
        <v>5083</v>
      </c>
      <c r="F161" s="386" t="s">
        <v>3</v>
      </c>
      <c r="G161" s="112" t="s">
        <v>6</v>
      </c>
      <c r="H161" s="493">
        <v>45981</v>
      </c>
      <c r="I161" s="25"/>
      <c r="J161" s="100" t="s">
        <v>82</v>
      </c>
      <c r="K161" s="494"/>
      <c r="L161" s="692"/>
      <c r="M161" s="496"/>
      <c r="N161" s="497"/>
      <c r="O161" s="498"/>
      <c r="P161" s="499"/>
      <c r="Q161" s="500">
        <v>45982</v>
      </c>
      <c r="R161" s="148">
        <f t="shared" si="6"/>
        <v>1</v>
      </c>
      <c r="S161" s="633" t="s">
        <v>1860</v>
      </c>
      <c r="T161" s="69"/>
    </row>
    <row r="162" spans="1:20" ht="57.6" x14ac:dyDescent="0.3">
      <c r="A162" s="98">
        <f t="shared" si="5"/>
        <v>160</v>
      </c>
      <c r="B162" s="506">
        <v>1550</v>
      </c>
      <c r="C162" s="492">
        <v>45981</v>
      </c>
      <c r="D162" s="135">
        <v>94281106</v>
      </c>
      <c r="E162" s="270" t="s">
        <v>5084</v>
      </c>
      <c r="F162" s="386" t="s">
        <v>1</v>
      </c>
      <c r="G162" s="112" t="s">
        <v>6</v>
      </c>
      <c r="H162" s="493">
        <v>45981</v>
      </c>
      <c r="I162" s="25"/>
      <c r="J162" s="107" t="s">
        <v>4826</v>
      </c>
      <c r="K162" s="494"/>
      <c r="L162" s="495"/>
      <c r="M162" s="496"/>
      <c r="N162" s="497"/>
      <c r="O162" s="498"/>
      <c r="P162" s="499"/>
      <c r="Q162" s="500">
        <v>45986</v>
      </c>
      <c r="R162" s="148">
        <f t="shared" si="6"/>
        <v>5</v>
      </c>
      <c r="S162" s="633" t="s">
        <v>1860</v>
      </c>
      <c r="T162" s="69"/>
    </row>
    <row r="163" spans="1:20" ht="100.8" x14ac:dyDescent="0.3">
      <c r="A163" s="98">
        <f t="shared" si="5"/>
        <v>161</v>
      </c>
      <c r="B163" s="506">
        <v>1550</v>
      </c>
      <c r="C163" s="492">
        <v>45979</v>
      </c>
      <c r="D163" s="135"/>
      <c r="E163" s="270" t="s">
        <v>5085</v>
      </c>
      <c r="F163" s="386" t="s">
        <v>39</v>
      </c>
      <c r="G163" s="112" t="s">
        <v>6</v>
      </c>
      <c r="H163" s="493">
        <v>45979</v>
      </c>
      <c r="I163" s="561"/>
      <c r="J163" s="100" t="s">
        <v>22</v>
      </c>
      <c r="K163" s="494"/>
      <c r="L163" s="495"/>
      <c r="M163" s="496"/>
      <c r="N163" s="497"/>
      <c r="O163" s="498"/>
      <c r="P163" s="499"/>
      <c r="Q163" s="500">
        <v>45980</v>
      </c>
      <c r="R163" s="148">
        <f t="shared" si="6"/>
        <v>1</v>
      </c>
      <c r="S163" s="633" t="s">
        <v>2808</v>
      </c>
      <c r="T163" s="315"/>
    </row>
    <row r="164" spans="1:20" ht="43.2" x14ac:dyDescent="0.3">
      <c r="A164" s="98">
        <f t="shared" si="5"/>
        <v>162</v>
      </c>
      <c r="B164" s="506">
        <v>1550</v>
      </c>
      <c r="C164" s="492">
        <v>45980</v>
      </c>
      <c r="D164" s="135">
        <v>11976179</v>
      </c>
      <c r="E164" s="635" t="s">
        <v>5086</v>
      </c>
      <c r="F164" s="386" t="s">
        <v>1</v>
      </c>
      <c r="G164" s="112" t="s">
        <v>6</v>
      </c>
      <c r="H164" s="768">
        <v>45980</v>
      </c>
      <c r="I164" s="341"/>
      <c r="J164" s="413" t="s">
        <v>2352</v>
      </c>
      <c r="K164" s="494"/>
      <c r="L164" s="495"/>
      <c r="M164" s="496"/>
      <c r="N164" s="497"/>
      <c r="O164" s="498"/>
      <c r="P164" s="499"/>
      <c r="Q164" s="500">
        <v>45980</v>
      </c>
      <c r="R164" s="148">
        <f t="shared" si="6"/>
        <v>0</v>
      </c>
      <c r="S164" s="633" t="s">
        <v>1312</v>
      </c>
      <c r="T164" s="69"/>
    </row>
    <row r="165" spans="1:20" ht="28.8" x14ac:dyDescent="0.3">
      <c r="A165" s="98">
        <f t="shared" si="5"/>
        <v>163</v>
      </c>
      <c r="B165" s="506" t="s">
        <v>301</v>
      </c>
      <c r="C165" s="492">
        <v>45981</v>
      </c>
      <c r="D165" s="135">
        <v>326676538</v>
      </c>
      <c r="E165" s="635" t="s">
        <v>5087</v>
      </c>
      <c r="F165" s="386" t="s">
        <v>3</v>
      </c>
      <c r="G165" s="112" t="s">
        <v>8</v>
      </c>
      <c r="H165" s="768">
        <v>45981</v>
      </c>
      <c r="I165" s="341"/>
      <c r="J165" s="767" t="s">
        <v>5088</v>
      </c>
      <c r="K165" s="494"/>
      <c r="L165" s="495"/>
      <c r="M165" s="496"/>
      <c r="N165" s="497"/>
      <c r="O165" s="498"/>
      <c r="P165" s="499"/>
      <c r="Q165" s="500">
        <v>45981</v>
      </c>
      <c r="R165" s="148">
        <f t="shared" si="6"/>
        <v>0</v>
      </c>
      <c r="S165" s="633" t="s">
        <v>8</v>
      </c>
      <c r="T165" s="69"/>
    </row>
    <row r="166" spans="1:20" ht="86.4" x14ac:dyDescent="0.3">
      <c r="A166" s="98">
        <f t="shared" si="5"/>
        <v>164</v>
      </c>
      <c r="B166" s="506">
        <v>1550</v>
      </c>
      <c r="C166" s="492">
        <v>45981</v>
      </c>
      <c r="D166" s="135">
        <v>6836321</v>
      </c>
      <c r="E166" s="270" t="s">
        <v>5089</v>
      </c>
      <c r="F166" s="386" t="s">
        <v>1</v>
      </c>
      <c r="G166" s="112" t="s">
        <v>6</v>
      </c>
      <c r="H166" s="768">
        <v>45982</v>
      </c>
      <c r="I166" s="341"/>
      <c r="J166" s="413" t="s">
        <v>3385</v>
      </c>
      <c r="K166" s="494"/>
      <c r="L166" s="495"/>
      <c r="M166" s="496"/>
      <c r="N166" s="497"/>
      <c r="O166" s="498"/>
      <c r="P166" s="499"/>
      <c r="Q166" s="500">
        <v>45992</v>
      </c>
      <c r="R166" s="148">
        <f t="shared" si="6"/>
        <v>10</v>
      </c>
      <c r="S166" s="633" t="s">
        <v>1312</v>
      </c>
      <c r="T166" s="315"/>
    </row>
    <row r="167" spans="1:20" ht="43.2" x14ac:dyDescent="0.3">
      <c r="A167" s="98">
        <f t="shared" si="5"/>
        <v>165</v>
      </c>
      <c r="B167" s="506">
        <v>1550</v>
      </c>
      <c r="C167" s="492">
        <v>45981</v>
      </c>
      <c r="D167" s="135">
        <v>59546573</v>
      </c>
      <c r="E167" s="270" t="s">
        <v>5090</v>
      </c>
      <c r="F167" s="386" t="s">
        <v>23</v>
      </c>
      <c r="G167" s="112" t="s">
        <v>10</v>
      </c>
      <c r="H167" s="768">
        <v>45981</v>
      </c>
      <c r="I167" s="341"/>
      <c r="J167" s="767" t="s">
        <v>135</v>
      </c>
      <c r="K167" s="494"/>
      <c r="L167" s="495"/>
      <c r="M167" s="496"/>
      <c r="N167" s="497"/>
      <c r="O167" s="498"/>
      <c r="P167" s="499"/>
      <c r="Q167" s="500">
        <v>45981</v>
      </c>
      <c r="R167" s="148">
        <f t="shared" si="6"/>
        <v>0</v>
      </c>
      <c r="S167" s="633" t="s">
        <v>2716</v>
      </c>
      <c r="T167" s="315"/>
    </row>
    <row r="168" spans="1:20" ht="39.75" customHeight="1" x14ac:dyDescent="0.3">
      <c r="A168" s="98">
        <f t="shared" si="5"/>
        <v>166</v>
      </c>
      <c r="B168" s="506">
        <v>1550</v>
      </c>
      <c r="C168" s="492">
        <v>45981</v>
      </c>
      <c r="D168" s="135">
        <v>17215773</v>
      </c>
      <c r="E168" s="270" t="s">
        <v>5091</v>
      </c>
      <c r="F168" s="386" t="s">
        <v>55</v>
      </c>
      <c r="G168" s="112" t="s">
        <v>10</v>
      </c>
      <c r="H168" s="768">
        <v>45981</v>
      </c>
      <c r="I168" s="341"/>
      <c r="J168" s="767" t="s">
        <v>1357</v>
      </c>
      <c r="K168" s="494"/>
      <c r="L168" s="495"/>
      <c r="M168" s="496"/>
      <c r="N168" s="497"/>
      <c r="O168" s="498"/>
      <c r="P168" s="499"/>
      <c r="Q168" s="500">
        <v>46031</v>
      </c>
      <c r="R168" s="148">
        <f t="shared" si="6"/>
        <v>50</v>
      </c>
      <c r="S168" s="633" t="s">
        <v>1319</v>
      </c>
      <c r="T168" s="315"/>
    </row>
    <row r="169" spans="1:20" ht="43.2" x14ac:dyDescent="0.3">
      <c r="A169" s="98">
        <f t="shared" si="5"/>
        <v>167</v>
      </c>
      <c r="B169" s="506" t="s">
        <v>80</v>
      </c>
      <c r="C169" s="492">
        <v>45982</v>
      </c>
      <c r="D169" s="135">
        <v>6292852</v>
      </c>
      <c r="E169" s="270" t="s">
        <v>5092</v>
      </c>
      <c r="F169" s="386" t="s">
        <v>3</v>
      </c>
      <c r="G169" s="112" t="s">
        <v>8</v>
      </c>
      <c r="H169" s="493">
        <v>45982</v>
      </c>
      <c r="I169" s="555">
        <v>10000330830</v>
      </c>
      <c r="J169" s="107" t="s">
        <v>5093</v>
      </c>
      <c r="K169" s="494"/>
      <c r="L169" s="495"/>
      <c r="M169" s="496"/>
      <c r="N169" s="497"/>
      <c r="O169" s="498"/>
      <c r="P169" s="499"/>
      <c r="Q169" s="500">
        <v>45987</v>
      </c>
      <c r="R169" s="148">
        <f t="shared" si="6"/>
        <v>5</v>
      </c>
      <c r="S169" s="633" t="s">
        <v>4127</v>
      </c>
      <c r="T169" s="167" t="s">
        <v>5094</v>
      </c>
    </row>
    <row r="170" spans="1:20" ht="57.6" x14ac:dyDescent="0.3">
      <c r="A170" s="98">
        <f t="shared" si="5"/>
        <v>168</v>
      </c>
      <c r="B170" s="506">
        <v>1550</v>
      </c>
      <c r="C170" s="492">
        <v>45982</v>
      </c>
      <c r="D170" s="135"/>
      <c r="E170" s="270" t="s">
        <v>5095</v>
      </c>
      <c r="F170" s="386" t="s">
        <v>21</v>
      </c>
      <c r="G170" s="112" t="s">
        <v>8</v>
      </c>
      <c r="H170" s="493">
        <v>45982</v>
      </c>
      <c r="I170" s="25"/>
      <c r="J170" s="107" t="s">
        <v>5096</v>
      </c>
      <c r="K170" s="494"/>
      <c r="L170" s="495"/>
      <c r="M170" s="496"/>
      <c r="N170" s="497"/>
      <c r="O170" s="498"/>
      <c r="P170" s="499"/>
      <c r="Q170" s="500">
        <v>45982</v>
      </c>
      <c r="R170" s="148">
        <f t="shared" si="6"/>
        <v>0</v>
      </c>
      <c r="S170" s="633" t="s">
        <v>270</v>
      </c>
      <c r="T170" s="167"/>
    </row>
    <row r="171" spans="1:20" ht="86.4" x14ac:dyDescent="0.3">
      <c r="A171" s="98">
        <f t="shared" si="5"/>
        <v>169</v>
      </c>
      <c r="B171" s="506" t="s">
        <v>301</v>
      </c>
      <c r="C171" s="492">
        <v>45982</v>
      </c>
      <c r="D171" s="135">
        <v>9182055</v>
      </c>
      <c r="E171" s="270" t="s">
        <v>5097</v>
      </c>
      <c r="F171" s="386" t="s">
        <v>32</v>
      </c>
      <c r="G171" s="112" t="s">
        <v>6</v>
      </c>
      <c r="H171" s="493">
        <v>45982</v>
      </c>
      <c r="I171" s="25"/>
      <c r="J171" s="238" t="s">
        <v>106</v>
      </c>
      <c r="K171" s="494"/>
      <c r="L171" s="495"/>
      <c r="M171" s="496"/>
      <c r="N171" s="497"/>
      <c r="O171" s="498"/>
      <c r="P171" s="499"/>
      <c r="Q171" s="500">
        <v>45986</v>
      </c>
      <c r="R171" s="148">
        <f t="shared" si="6"/>
        <v>4</v>
      </c>
      <c r="S171" s="633" t="s">
        <v>3783</v>
      </c>
      <c r="T171" s="167"/>
    </row>
    <row r="172" spans="1:20" ht="28.8" x14ac:dyDescent="0.3">
      <c r="A172" s="98">
        <f t="shared" si="5"/>
        <v>170</v>
      </c>
      <c r="B172" s="506">
        <v>1550</v>
      </c>
      <c r="C172" s="492">
        <v>45982</v>
      </c>
      <c r="D172" s="135">
        <v>43244998</v>
      </c>
      <c r="E172" s="270" t="s">
        <v>5098</v>
      </c>
      <c r="F172" s="386" t="s">
        <v>14</v>
      </c>
      <c r="G172" s="112" t="s">
        <v>10</v>
      </c>
      <c r="H172" s="493">
        <v>45982</v>
      </c>
      <c r="I172" s="25"/>
      <c r="J172" s="125" t="s">
        <v>1357</v>
      </c>
      <c r="K172" s="557"/>
      <c r="L172" s="495"/>
      <c r="M172" s="496"/>
      <c r="N172" s="497"/>
      <c r="O172" s="498"/>
      <c r="P172" s="499"/>
      <c r="Q172" s="500">
        <v>45982</v>
      </c>
      <c r="R172" s="148">
        <f t="shared" si="6"/>
        <v>0</v>
      </c>
      <c r="S172" s="633" t="s">
        <v>85</v>
      </c>
      <c r="T172" s="167"/>
    </row>
    <row r="173" spans="1:20" ht="44.25" customHeight="1" x14ac:dyDescent="0.3">
      <c r="A173" s="98">
        <f t="shared" si="5"/>
        <v>171</v>
      </c>
      <c r="B173" s="506">
        <v>1550</v>
      </c>
      <c r="C173" s="492">
        <v>45982</v>
      </c>
      <c r="D173" s="135"/>
      <c r="E173" s="270" t="s">
        <v>5099</v>
      </c>
      <c r="F173" s="386" t="s">
        <v>39</v>
      </c>
      <c r="G173" s="112" t="s">
        <v>10</v>
      </c>
      <c r="H173" s="493">
        <v>45982</v>
      </c>
      <c r="I173" s="25"/>
      <c r="J173" s="125" t="s">
        <v>22</v>
      </c>
      <c r="K173" s="557"/>
      <c r="L173" s="495"/>
      <c r="M173" s="496"/>
      <c r="N173" s="497"/>
      <c r="O173" s="498"/>
      <c r="P173" s="499"/>
      <c r="Q173" s="500">
        <v>45992</v>
      </c>
      <c r="R173" s="148">
        <f t="shared" si="6"/>
        <v>10</v>
      </c>
      <c r="S173" s="633" t="s">
        <v>85</v>
      </c>
      <c r="T173" s="69"/>
    </row>
    <row r="174" spans="1:20" ht="38.25" customHeight="1" x14ac:dyDescent="0.3">
      <c r="A174" s="98">
        <f t="shared" si="5"/>
        <v>172</v>
      </c>
      <c r="B174" s="506">
        <v>1550</v>
      </c>
      <c r="C174" s="492">
        <v>45982</v>
      </c>
      <c r="D174" s="135">
        <v>30024560</v>
      </c>
      <c r="E174" s="264" t="s">
        <v>5100</v>
      </c>
      <c r="F174" s="386" t="s">
        <v>7</v>
      </c>
      <c r="G174" s="112" t="s">
        <v>10</v>
      </c>
      <c r="H174" s="493">
        <v>45982</v>
      </c>
      <c r="I174" s="25"/>
      <c r="J174" s="125" t="s">
        <v>2513</v>
      </c>
      <c r="K174" s="557"/>
      <c r="L174" s="495"/>
      <c r="M174" s="496"/>
      <c r="N174" s="497"/>
      <c r="O174" s="498"/>
      <c r="P174" s="499"/>
      <c r="Q174" s="500">
        <v>45982</v>
      </c>
      <c r="R174" s="148">
        <f t="shared" si="6"/>
        <v>0</v>
      </c>
      <c r="S174" s="633" t="s">
        <v>214</v>
      </c>
      <c r="T174" s="69"/>
    </row>
    <row r="175" spans="1:20" ht="45" customHeight="1" x14ac:dyDescent="0.3">
      <c r="A175" s="98">
        <f t="shared" si="5"/>
        <v>173</v>
      </c>
      <c r="B175" s="553">
        <v>1500</v>
      </c>
      <c r="C175" s="492">
        <v>45982</v>
      </c>
      <c r="D175" s="135">
        <v>23583568</v>
      </c>
      <c r="E175" s="290" t="s">
        <v>5101</v>
      </c>
      <c r="F175" s="386" t="s">
        <v>1</v>
      </c>
      <c r="G175" s="112" t="s">
        <v>10</v>
      </c>
      <c r="H175" s="493">
        <v>45982</v>
      </c>
      <c r="I175" s="561"/>
      <c r="J175" s="125" t="s">
        <v>5102</v>
      </c>
      <c r="K175" s="769"/>
      <c r="L175" s="563"/>
      <c r="M175" s="496"/>
      <c r="N175" s="497"/>
      <c r="O175" s="498"/>
      <c r="P175" s="499"/>
      <c r="Q175" s="500">
        <v>45982</v>
      </c>
      <c r="R175" s="148">
        <f t="shared" si="6"/>
        <v>0</v>
      </c>
      <c r="S175" s="633" t="s">
        <v>1806</v>
      </c>
      <c r="T175" s="69"/>
    </row>
    <row r="176" spans="1:20" ht="18.75" customHeight="1" x14ac:dyDescent="0.3">
      <c r="A176" s="98">
        <f t="shared" si="5"/>
        <v>174</v>
      </c>
      <c r="B176" s="111">
        <v>1550</v>
      </c>
      <c r="C176" s="512">
        <v>45982</v>
      </c>
      <c r="D176" s="219">
        <v>99412144</v>
      </c>
      <c r="E176" s="254" t="s">
        <v>5103</v>
      </c>
      <c r="F176" s="386" t="s">
        <v>1</v>
      </c>
      <c r="G176" s="125" t="s">
        <v>6</v>
      </c>
      <c r="H176" s="568">
        <v>45985</v>
      </c>
      <c r="I176" s="341"/>
      <c r="J176" s="107" t="s">
        <v>2992</v>
      </c>
      <c r="K176" s="569"/>
      <c r="L176" s="570"/>
      <c r="M176" s="665"/>
      <c r="N176" s="497"/>
      <c r="O176" s="498"/>
      <c r="P176" s="499"/>
      <c r="Q176" s="500">
        <v>45985</v>
      </c>
      <c r="R176" s="148">
        <f t="shared" si="6"/>
        <v>0</v>
      </c>
      <c r="S176" s="633" t="s">
        <v>2808</v>
      </c>
      <c r="T176" s="69"/>
    </row>
    <row r="177" spans="1:20" ht="72" x14ac:dyDescent="0.3">
      <c r="A177" s="98">
        <f t="shared" si="5"/>
        <v>175</v>
      </c>
      <c r="B177" s="111">
        <v>1550</v>
      </c>
      <c r="C177" s="512">
        <v>45985</v>
      </c>
      <c r="D177" s="219">
        <v>60494468</v>
      </c>
      <c r="E177" s="254" t="s">
        <v>5104</v>
      </c>
      <c r="F177" s="386" t="s">
        <v>1</v>
      </c>
      <c r="G177" s="125" t="s">
        <v>6</v>
      </c>
      <c r="H177" s="568">
        <v>45985</v>
      </c>
      <c r="I177" s="341"/>
      <c r="J177" s="125" t="s">
        <v>1315</v>
      </c>
      <c r="K177" s="569"/>
      <c r="L177" s="570"/>
      <c r="M177" s="666"/>
      <c r="N177" s="565"/>
      <c r="O177" s="566"/>
      <c r="P177" s="567"/>
      <c r="Q177" s="500">
        <v>45986</v>
      </c>
      <c r="R177" s="148">
        <f t="shared" si="6"/>
        <v>1</v>
      </c>
      <c r="S177" s="633" t="s">
        <v>2808</v>
      </c>
      <c r="T177" s="69"/>
    </row>
    <row r="178" spans="1:20" x14ac:dyDescent="0.3">
      <c r="A178" s="98">
        <f t="shared" si="5"/>
        <v>176</v>
      </c>
      <c r="B178" s="111">
        <v>1550</v>
      </c>
      <c r="C178" s="512">
        <v>45985</v>
      </c>
      <c r="D178" s="219">
        <v>110449983</v>
      </c>
      <c r="E178" s="109" t="s">
        <v>5105</v>
      </c>
      <c r="F178" s="386" t="s">
        <v>12</v>
      </c>
      <c r="G178" s="125" t="s">
        <v>4</v>
      </c>
      <c r="H178" s="568">
        <v>45985</v>
      </c>
      <c r="I178" s="341"/>
      <c r="J178" s="125" t="s">
        <v>1357</v>
      </c>
      <c r="K178" s="569"/>
      <c r="L178" s="570"/>
      <c r="M178" s="667"/>
      <c r="N178" s="571"/>
      <c r="O178" s="572"/>
      <c r="P178" s="572"/>
      <c r="Q178" s="500">
        <v>45985</v>
      </c>
      <c r="R178" s="148">
        <f t="shared" si="6"/>
        <v>0</v>
      </c>
      <c r="S178" s="633" t="s">
        <v>3899</v>
      </c>
      <c r="T178" s="257"/>
    </row>
    <row r="179" spans="1:20" ht="129.6" x14ac:dyDescent="0.3">
      <c r="A179" s="98">
        <f t="shared" si="5"/>
        <v>177</v>
      </c>
      <c r="B179" s="111">
        <v>1550</v>
      </c>
      <c r="C179" s="512">
        <v>45985</v>
      </c>
      <c r="D179" s="219">
        <v>120577666</v>
      </c>
      <c r="E179" s="109" t="s">
        <v>5106</v>
      </c>
      <c r="F179" s="386" t="s">
        <v>12</v>
      </c>
      <c r="G179" s="125" t="s">
        <v>6</v>
      </c>
      <c r="H179" s="568">
        <v>45985</v>
      </c>
      <c r="I179" s="341"/>
      <c r="J179" s="100" t="s">
        <v>159</v>
      </c>
      <c r="K179" s="569"/>
      <c r="L179" s="570"/>
      <c r="M179" s="515"/>
      <c r="N179" s="577"/>
      <c r="O179" s="578"/>
      <c r="P179" s="579"/>
      <c r="Q179" s="500">
        <v>45985</v>
      </c>
      <c r="R179" s="148">
        <f t="shared" si="6"/>
        <v>0</v>
      </c>
      <c r="S179" s="633" t="s">
        <v>1312</v>
      </c>
      <c r="T179" s="69"/>
    </row>
    <row r="180" spans="1:20" ht="28.8" x14ac:dyDescent="0.3">
      <c r="A180" s="98">
        <f t="shared" si="5"/>
        <v>178</v>
      </c>
      <c r="B180" s="554">
        <v>1550</v>
      </c>
      <c r="C180" s="512">
        <v>45985</v>
      </c>
      <c r="D180" s="219">
        <v>6027334</v>
      </c>
      <c r="E180" s="109" t="s">
        <v>5107</v>
      </c>
      <c r="F180" s="386" t="s">
        <v>12</v>
      </c>
      <c r="G180" s="125" t="s">
        <v>8</v>
      </c>
      <c r="H180" s="568">
        <v>45985</v>
      </c>
      <c r="I180" s="341"/>
      <c r="J180" s="100" t="s">
        <v>159</v>
      </c>
      <c r="K180" s="569"/>
      <c r="L180" s="570"/>
      <c r="M180" s="665"/>
      <c r="N180" s="497"/>
      <c r="O180" s="498"/>
      <c r="P180" s="499"/>
      <c r="Q180" s="500">
        <v>45987</v>
      </c>
      <c r="R180" s="148">
        <f t="shared" si="6"/>
        <v>2</v>
      </c>
      <c r="S180" s="633" t="s">
        <v>3861</v>
      </c>
      <c r="T180" s="69"/>
    </row>
    <row r="181" spans="1:20" ht="43.2" x14ac:dyDescent="0.3">
      <c r="A181" s="98">
        <f t="shared" si="5"/>
        <v>179</v>
      </c>
      <c r="B181" s="554" t="s">
        <v>301</v>
      </c>
      <c r="C181" s="573">
        <v>45985</v>
      </c>
      <c r="D181" s="369">
        <v>75727706</v>
      </c>
      <c r="E181" s="277" t="s">
        <v>5108</v>
      </c>
      <c r="F181" s="386" t="s">
        <v>3</v>
      </c>
      <c r="G181" s="81" t="s">
        <v>6</v>
      </c>
      <c r="H181" s="493">
        <v>45985</v>
      </c>
      <c r="I181" s="555">
        <v>10000330830</v>
      </c>
      <c r="J181" s="100" t="s">
        <v>82</v>
      </c>
      <c r="K181" s="574"/>
      <c r="L181" s="575"/>
      <c r="M181" s="496"/>
      <c r="N181" s="497"/>
      <c r="O181" s="498"/>
      <c r="P181" s="499"/>
      <c r="Q181" s="500">
        <v>45986</v>
      </c>
      <c r="R181" s="148">
        <f t="shared" si="6"/>
        <v>1</v>
      </c>
      <c r="S181" s="633" t="s">
        <v>2808</v>
      </c>
      <c r="T181" s="69"/>
    </row>
    <row r="182" spans="1:20" ht="86.4" x14ac:dyDescent="0.3">
      <c r="A182" s="98">
        <f t="shared" si="5"/>
        <v>180</v>
      </c>
      <c r="B182" s="554" t="s">
        <v>301</v>
      </c>
      <c r="C182" s="492">
        <v>45985</v>
      </c>
      <c r="D182" s="369">
        <v>8286345</v>
      </c>
      <c r="E182" s="270" t="s">
        <v>5109</v>
      </c>
      <c r="F182" s="386" t="s">
        <v>7</v>
      </c>
      <c r="G182" s="125" t="s">
        <v>6</v>
      </c>
      <c r="H182" s="568">
        <v>45985</v>
      </c>
      <c r="I182" s="341"/>
      <c r="J182" s="125" t="s">
        <v>2536</v>
      </c>
      <c r="K182" s="569"/>
      <c r="L182" s="570"/>
      <c r="M182" s="665"/>
      <c r="N182" s="497"/>
      <c r="O182" s="498"/>
      <c r="P182" s="499"/>
      <c r="Q182" s="500">
        <v>45985</v>
      </c>
      <c r="R182" s="148">
        <f t="shared" si="6"/>
        <v>0</v>
      </c>
      <c r="S182" s="633" t="s">
        <v>2808</v>
      </c>
      <c r="T182" s="69"/>
    </row>
    <row r="183" spans="1:20" ht="39" customHeight="1" x14ac:dyDescent="0.3">
      <c r="A183" s="98">
        <f t="shared" si="5"/>
        <v>181</v>
      </c>
      <c r="B183" s="506" t="s">
        <v>301</v>
      </c>
      <c r="C183" s="492">
        <v>45985</v>
      </c>
      <c r="D183" s="369">
        <v>29295807</v>
      </c>
      <c r="E183" s="254" t="s">
        <v>5110</v>
      </c>
      <c r="F183" s="386" t="s">
        <v>3</v>
      </c>
      <c r="G183" s="81" t="s">
        <v>6</v>
      </c>
      <c r="H183" s="493">
        <v>45985</v>
      </c>
      <c r="I183" s="555"/>
      <c r="J183" s="100" t="s">
        <v>82</v>
      </c>
      <c r="K183" s="574"/>
      <c r="L183" s="575"/>
      <c r="M183" s="496"/>
      <c r="N183" s="497"/>
      <c r="O183" s="498"/>
      <c r="P183" s="499"/>
      <c r="Q183" s="500">
        <v>45986</v>
      </c>
      <c r="R183" s="148">
        <f t="shared" si="6"/>
        <v>1</v>
      </c>
      <c r="S183" s="633" t="s">
        <v>2808</v>
      </c>
      <c r="T183" s="69"/>
    </row>
    <row r="184" spans="1:20" ht="58.5" customHeight="1" x14ac:dyDescent="0.3">
      <c r="A184" s="98">
        <f t="shared" si="5"/>
        <v>182</v>
      </c>
      <c r="B184" s="506" t="s">
        <v>301</v>
      </c>
      <c r="C184" s="492">
        <v>45985</v>
      </c>
      <c r="D184" s="537">
        <v>103258094</v>
      </c>
      <c r="E184" s="254" t="s">
        <v>5111</v>
      </c>
      <c r="F184" s="386" t="s">
        <v>3</v>
      </c>
      <c r="G184" s="112" t="s">
        <v>8</v>
      </c>
      <c r="H184" s="568">
        <v>45985</v>
      </c>
      <c r="I184" s="561"/>
      <c r="J184" s="489" t="s">
        <v>5058</v>
      </c>
      <c r="K184" s="562"/>
      <c r="L184" s="563"/>
      <c r="M184" s="564"/>
      <c r="N184" s="565"/>
      <c r="O184" s="566"/>
      <c r="P184" s="567"/>
      <c r="Q184" s="500">
        <v>45990</v>
      </c>
      <c r="R184" s="148">
        <f t="shared" si="6"/>
        <v>5</v>
      </c>
      <c r="S184" s="633" t="s">
        <v>4127</v>
      </c>
      <c r="T184" s="69"/>
    </row>
    <row r="185" spans="1:20" ht="36.75" customHeight="1" x14ac:dyDescent="0.3">
      <c r="A185" s="98">
        <f t="shared" si="5"/>
        <v>183</v>
      </c>
      <c r="B185" s="553">
        <v>1550</v>
      </c>
      <c r="C185" s="770">
        <v>45985</v>
      </c>
      <c r="D185" s="219">
        <v>1981706</v>
      </c>
      <c r="E185" s="254" t="s">
        <v>5112</v>
      </c>
      <c r="F185" s="386" t="s">
        <v>1</v>
      </c>
      <c r="G185" s="112" t="s">
        <v>8</v>
      </c>
      <c r="H185" s="568">
        <v>45985</v>
      </c>
      <c r="I185" s="341"/>
      <c r="J185" s="125" t="s">
        <v>5113</v>
      </c>
      <c r="K185" s="569"/>
      <c r="L185" s="570"/>
      <c r="M185" s="570"/>
      <c r="N185" s="571"/>
      <c r="O185" s="572"/>
      <c r="P185" s="572"/>
      <c r="Q185" s="500">
        <v>45985</v>
      </c>
      <c r="R185" s="148">
        <f t="shared" si="6"/>
        <v>0</v>
      </c>
      <c r="S185" s="633" t="s">
        <v>3841</v>
      </c>
      <c r="T185" s="167"/>
    </row>
    <row r="186" spans="1:20" ht="62.25" customHeight="1" x14ac:dyDescent="0.3">
      <c r="A186" s="98">
        <f t="shared" si="5"/>
        <v>184</v>
      </c>
      <c r="B186" s="111">
        <v>1550</v>
      </c>
      <c r="C186" s="492">
        <v>45985</v>
      </c>
      <c r="D186" s="219" t="s">
        <v>5114</v>
      </c>
      <c r="E186" s="254" t="s">
        <v>5115</v>
      </c>
      <c r="F186" s="386" t="s">
        <v>17</v>
      </c>
      <c r="G186" s="112" t="s">
        <v>8</v>
      </c>
      <c r="H186" s="568">
        <v>45985</v>
      </c>
      <c r="I186" s="341"/>
      <c r="J186" s="125" t="s">
        <v>5058</v>
      </c>
      <c r="K186" s="569"/>
      <c r="L186" s="570"/>
      <c r="M186" s="570"/>
      <c r="N186" s="571"/>
      <c r="O186" s="572"/>
      <c r="P186" s="572"/>
      <c r="Q186" s="500">
        <v>46013</v>
      </c>
      <c r="R186" s="148">
        <f t="shared" si="6"/>
        <v>28</v>
      </c>
      <c r="S186" s="633" t="s">
        <v>3861</v>
      </c>
      <c r="T186" s="167"/>
    </row>
    <row r="187" spans="1:20" ht="39.75" customHeight="1" x14ac:dyDescent="0.3">
      <c r="A187" s="98">
        <f t="shared" si="5"/>
        <v>185</v>
      </c>
      <c r="B187" s="554">
        <v>1550</v>
      </c>
      <c r="C187" s="492">
        <v>45985</v>
      </c>
      <c r="D187" s="369">
        <v>83039058</v>
      </c>
      <c r="E187" s="254" t="s">
        <v>5116</v>
      </c>
      <c r="F187" s="386" t="s">
        <v>3</v>
      </c>
      <c r="G187" s="112" t="s">
        <v>4</v>
      </c>
      <c r="H187" s="568">
        <v>45985</v>
      </c>
      <c r="I187" s="555"/>
      <c r="J187" s="100" t="s">
        <v>3948</v>
      </c>
      <c r="K187" s="574"/>
      <c r="L187" s="575"/>
      <c r="M187" s="576"/>
      <c r="N187" s="577"/>
      <c r="O187" s="578"/>
      <c r="P187" s="579"/>
      <c r="Q187" s="500">
        <v>45985</v>
      </c>
      <c r="R187" s="148">
        <f t="shared" si="6"/>
        <v>0</v>
      </c>
      <c r="S187" s="633" t="s">
        <v>720</v>
      </c>
      <c r="T187" s="69"/>
    </row>
    <row r="188" spans="1:20" ht="28.8" x14ac:dyDescent="0.3">
      <c r="A188" s="98">
        <f t="shared" si="5"/>
        <v>186</v>
      </c>
      <c r="B188" s="506">
        <v>1550</v>
      </c>
      <c r="C188" s="556">
        <v>45985</v>
      </c>
      <c r="D188" s="82">
        <v>325309</v>
      </c>
      <c r="E188" s="290" t="s">
        <v>5117</v>
      </c>
      <c r="F188" s="420" t="s">
        <v>1</v>
      </c>
      <c r="G188" s="81" t="s">
        <v>4</v>
      </c>
      <c r="H188" s="568">
        <v>45985</v>
      </c>
      <c r="I188" s="555"/>
      <c r="J188" s="742" t="s">
        <v>4020</v>
      </c>
      <c r="K188" s="574"/>
      <c r="L188" s="575"/>
      <c r="M188" s="576"/>
      <c r="N188" s="577"/>
      <c r="O188" s="578"/>
      <c r="P188" s="579"/>
      <c r="Q188" s="500">
        <v>45986</v>
      </c>
      <c r="R188" s="148">
        <f t="shared" si="6"/>
        <v>1</v>
      </c>
      <c r="S188" s="633" t="s">
        <v>2979</v>
      </c>
      <c r="T188" s="69"/>
    </row>
    <row r="189" spans="1:20" ht="52.5" customHeight="1" x14ac:dyDescent="0.3">
      <c r="A189" s="98">
        <f t="shared" si="5"/>
        <v>187</v>
      </c>
      <c r="B189" s="771">
        <v>1550</v>
      </c>
      <c r="C189" s="556">
        <v>45985</v>
      </c>
      <c r="D189" s="135">
        <v>120100371</v>
      </c>
      <c r="E189" s="254" t="s">
        <v>5118</v>
      </c>
      <c r="F189" s="111" t="s">
        <v>1</v>
      </c>
      <c r="G189" s="81" t="s">
        <v>10</v>
      </c>
      <c r="H189" s="568">
        <v>45985</v>
      </c>
      <c r="I189" s="555"/>
      <c r="J189" s="742" t="s">
        <v>4020</v>
      </c>
      <c r="K189" s="574"/>
      <c r="L189" s="575"/>
      <c r="M189" s="576"/>
      <c r="N189" s="577"/>
      <c r="O189" s="578"/>
      <c r="P189" s="579"/>
      <c r="Q189" s="500">
        <v>45985</v>
      </c>
      <c r="R189" s="148">
        <f t="shared" si="6"/>
        <v>0</v>
      </c>
      <c r="S189" s="633" t="s">
        <v>1769</v>
      </c>
      <c r="T189" s="69"/>
    </row>
    <row r="190" spans="1:20" ht="30" customHeight="1" x14ac:dyDescent="0.3">
      <c r="A190" s="98">
        <f t="shared" si="5"/>
        <v>188</v>
      </c>
      <c r="B190" s="771">
        <v>1550</v>
      </c>
      <c r="C190" s="556">
        <v>45985</v>
      </c>
      <c r="D190" s="135">
        <v>46092277</v>
      </c>
      <c r="E190" s="254" t="s">
        <v>5119</v>
      </c>
      <c r="F190" s="111" t="s">
        <v>48</v>
      </c>
      <c r="G190" s="81" t="s">
        <v>10</v>
      </c>
      <c r="H190" s="568">
        <v>45985</v>
      </c>
      <c r="I190" s="555"/>
      <c r="J190" s="742" t="s">
        <v>99</v>
      </c>
      <c r="K190" s="574"/>
      <c r="L190" s="575"/>
      <c r="M190" s="576"/>
      <c r="N190" s="577"/>
      <c r="O190" s="578"/>
      <c r="P190" s="579"/>
      <c r="Q190" s="500">
        <v>45987</v>
      </c>
      <c r="R190" s="148">
        <f t="shared" si="6"/>
        <v>2</v>
      </c>
      <c r="S190" s="633" t="s">
        <v>1319</v>
      </c>
      <c r="T190" s="69" t="s">
        <v>5120</v>
      </c>
    </row>
    <row r="191" spans="1:20" ht="37.5" customHeight="1" x14ac:dyDescent="0.3">
      <c r="A191" s="98">
        <f t="shared" si="5"/>
        <v>189</v>
      </c>
      <c r="B191" s="771">
        <v>1550</v>
      </c>
      <c r="C191" s="556">
        <v>45985</v>
      </c>
      <c r="D191" s="135">
        <v>68715633</v>
      </c>
      <c r="E191" s="254" t="s">
        <v>5121</v>
      </c>
      <c r="F191" s="111"/>
      <c r="G191" s="81" t="s">
        <v>10</v>
      </c>
      <c r="H191" s="568">
        <v>45985</v>
      </c>
      <c r="I191" s="555"/>
      <c r="J191" s="107" t="s">
        <v>5122</v>
      </c>
      <c r="K191" s="574"/>
      <c r="L191" s="575"/>
      <c r="M191" s="576"/>
      <c r="N191" s="577"/>
      <c r="O191" s="578"/>
      <c r="P191" s="579"/>
      <c r="Q191" s="500">
        <v>45989</v>
      </c>
      <c r="R191" s="148">
        <f t="shared" si="6"/>
        <v>4</v>
      </c>
      <c r="S191" s="633" t="s">
        <v>1806</v>
      </c>
      <c r="T191" s="69"/>
    </row>
    <row r="192" spans="1:20" ht="71.25" customHeight="1" x14ac:dyDescent="0.3">
      <c r="A192" s="98">
        <f t="shared" si="5"/>
        <v>190</v>
      </c>
      <c r="B192" s="771">
        <v>1550</v>
      </c>
      <c r="C192" s="512">
        <v>45985</v>
      </c>
      <c r="D192" s="772">
        <v>8028397</v>
      </c>
      <c r="E192" s="254" t="s">
        <v>5123</v>
      </c>
      <c r="F192" s="111" t="s">
        <v>43</v>
      </c>
      <c r="G192" s="81" t="s">
        <v>10</v>
      </c>
      <c r="H192" s="568">
        <v>45985</v>
      </c>
      <c r="I192" s="555"/>
      <c r="J192" s="742" t="s">
        <v>4188</v>
      </c>
      <c r="K192" s="574"/>
      <c r="L192" s="575"/>
      <c r="M192" s="576"/>
      <c r="N192" s="577"/>
      <c r="O192" s="578"/>
      <c r="P192" s="579"/>
      <c r="Q192" s="500">
        <v>46009</v>
      </c>
      <c r="R192" s="148">
        <f t="shared" si="6"/>
        <v>24</v>
      </c>
      <c r="S192" s="633" t="s">
        <v>214</v>
      </c>
      <c r="T192" s="69"/>
    </row>
    <row r="193" spans="1:20" ht="43.2" x14ac:dyDescent="0.3">
      <c r="A193" s="98">
        <f t="shared" si="5"/>
        <v>191</v>
      </c>
      <c r="B193" s="553">
        <v>1550</v>
      </c>
      <c r="C193" s="573">
        <v>45986</v>
      </c>
      <c r="D193" s="537"/>
      <c r="E193" s="707" t="s">
        <v>5124</v>
      </c>
      <c r="F193" s="401" t="s">
        <v>21</v>
      </c>
      <c r="G193" s="112" t="s">
        <v>8</v>
      </c>
      <c r="H193" s="568">
        <v>45986</v>
      </c>
      <c r="I193" s="25"/>
      <c r="J193" s="100" t="s">
        <v>5125</v>
      </c>
      <c r="K193" s="494"/>
      <c r="L193" s="637"/>
      <c r="M193" s="496"/>
      <c r="N193" s="497"/>
      <c r="O193" s="498"/>
      <c r="P193" s="499"/>
      <c r="Q193" s="500">
        <v>46020</v>
      </c>
      <c r="R193" s="148">
        <f t="shared" si="6"/>
        <v>34</v>
      </c>
      <c r="S193" s="633" t="s">
        <v>3931</v>
      </c>
      <c r="T193" s="167"/>
    </row>
    <row r="194" spans="1:20" ht="57.6" x14ac:dyDescent="0.3">
      <c r="A194" s="98">
        <f t="shared" si="5"/>
        <v>192</v>
      </c>
      <c r="B194" s="111">
        <v>1550</v>
      </c>
      <c r="C194" s="512">
        <v>45986</v>
      </c>
      <c r="D194" s="219"/>
      <c r="E194" s="254" t="s">
        <v>5126</v>
      </c>
      <c r="F194" s="386" t="s">
        <v>60</v>
      </c>
      <c r="G194" s="125" t="s">
        <v>8</v>
      </c>
      <c r="H194" s="599">
        <v>45986</v>
      </c>
      <c r="I194" s="25"/>
      <c r="J194" s="100" t="s">
        <v>1357</v>
      </c>
      <c r="K194" s="494" t="s">
        <v>262</v>
      </c>
      <c r="L194" s="669">
        <v>45986</v>
      </c>
      <c r="M194" s="552" t="s">
        <v>1357</v>
      </c>
      <c r="N194" s="497"/>
      <c r="O194" s="498"/>
      <c r="P194" s="499"/>
      <c r="Q194" s="500">
        <v>45995</v>
      </c>
      <c r="R194" s="148">
        <f t="shared" si="6"/>
        <v>9</v>
      </c>
      <c r="S194" s="633" t="s">
        <v>3418</v>
      </c>
      <c r="T194" s="167"/>
    </row>
    <row r="195" spans="1:20" ht="72" x14ac:dyDescent="0.3">
      <c r="A195" s="98">
        <f t="shared" si="5"/>
        <v>193</v>
      </c>
      <c r="B195" s="111" t="s">
        <v>80</v>
      </c>
      <c r="C195" s="512">
        <v>45986</v>
      </c>
      <c r="D195" s="219"/>
      <c r="E195" s="254" t="s">
        <v>5127</v>
      </c>
      <c r="F195" s="386" t="s">
        <v>51</v>
      </c>
      <c r="G195" s="81" t="s">
        <v>8</v>
      </c>
      <c r="H195" s="493">
        <v>45986</v>
      </c>
      <c r="I195" s="555"/>
      <c r="J195" s="107" t="s">
        <v>99</v>
      </c>
      <c r="K195" s="574"/>
      <c r="L195" s="575"/>
      <c r="M195" s="576"/>
      <c r="N195" s="577"/>
      <c r="O195" s="578"/>
      <c r="P195" s="579"/>
      <c r="Q195" s="500">
        <v>45986</v>
      </c>
      <c r="R195" s="148">
        <f t="shared" si="6"/>
        <v>0</v>
      </c>
      <c r="S195" s="633" t="s">
        <v>4727</v>
      </c>
      <c r="T195" s="167"/>
    </row>
    <row r="196" spans="1:20" ht="57.6" x14ac:dyDescent="0.3">
      <c r="A196" s="98">
        <f t="shared" si="5"/>
        <v>194</v>
      </c>
      <c r="B196" s="111" t="s">
        <v>301</v>
      </c>
      <c r="C196" s="512">
        <v>45986</v>
      </c>
      <c r="D196" s="219">
        <v>89119088</v>
      </c>
      <c r="E196" s="254" t="s">
        <v>5128</v>
      </c>
      <c r="F196" s="386" t="s">
        <v>32</v>
      </c>
      <c r="G196" s="81" t="s">
        <v>6</v>
      </c>
      <c r="H196" s="493">
        <v>45986</v>
      </c>
      <c r="I196" s="555"/>
      <c r="J196" s="100" t="s">
        <v>106</v>
      </c>
      <c r="K196" s="574"/>
      <c r="L196" s="575"/>
      <c r="M196" s="576"/>
      <c r="N196" s="577"/>
      <c r="O196" s="578"/>
      <c r="P196" s="579"/>
      <c r="Q196" s="500">
        <v>45988</v>
      </c>
      <c r="R196" s="148">
        <f t="shared" si="6"/>
        <v>2</v>
      </c>
      <c r="S196" s="633" t="s">
        <v>3783</v>
      </c>
      <c r="T196" s="167"/>
    </row>
    <row r="197" spans="1:20" ht="57.6" x14ac:dyDescent="0.3">
      <c r="A197" s="98">
        <f t="shared" si="5"/>
        <v>195</v>
      </c>
      <c r="B197" s="111" t="s">
        <v>80</v>
      </c>
      <c r="C197" s="512">
        <v>45986</v>
      </c>
      <c r="D197" s="219"/>
      <c r="E197" s="734" t="s">
        <v>5129</v>
      </c>
      <c r="F197" s="386" t="s">
        <v>21</v>
      </c>
      <c r="G197" s="125" t="s">
        <v>8</v>
      </c>
      <c r="H197" s="599">
        <v>45986</v>
      </c>
      <c r="I197" s="25"/>
      <c r="J197" s="107" t="s">
        <v>5037</v>
      </c>
      <c r="K197" s="494"/>
      <c r="L197" s="495"/>
      <c r="M197" s="496"/>
      <c r="N197" s="497"/>
      <c r="O197" s="498"/>
      <c r="P197" s="499"/>
      <c r="Q197" s="500">
        <v>45986</v>
      </c>
      <c r="R197" s="148">
        <f t="shared" si="6"/>
        <v>0</v>
      </c>
      <c r="S197" s="633" t="s">
        <v>4727</v>
      </c>
      <c r="T197" s="167"/>
    </row>
    <row r="198" spans="1:20" ht="86.4" x14ac:dyDescent="0.3">
      <c r="A198" s="98">
        <f t="shared" si="5"/>
        <v>196</v>
      </c>
      <c r="B198" s="111" t="s">
        <v>80</v>
      </c>
      <c r="C198" s="512">
        <v>45986</v>
      </c>
      <c r="D198" s="219">
        <v>8223300</v>
      </c>
      <c r="E198" s="254" t="s">
        <v>5130</v>
      </c>
      <c r="F198" s="386" t="s">
        <v>37</v>
      </c>
      <c r="G198" s="125" t="s">
        <v>6</v>
      </c>
      <c r="H198" s="599">
        <v>45986</v>
      </c>
      <c r="I198" s="25"/>
      <c r="J198" s="107" t="s">
        <v>99</v>
      </c>
      <c r="K198" s="494"/>
      <c r="L198" s="495"/>
      <c r="M198" s="496"/>
      <c r="N198" s="497"/>
      <c r="O198" s="498"/>
      <c r="P198" s="499"/>
      <c r="Q198" s="500">
        <v>45992</v>
      </c>
      <c r="R198" s="148">
        <f t="shared" si="6"/>
        <v>6</v>
      </c>
      <c r="S198" s="633" t="s">
        <v>2597</v>
      </c>
      <c r="T198" s="167"/>
    </row>
    <row r="199" spans="1:20" ht="28.8" x14ac:dyDescent="0.3">
      <c r="A199" s="98">
        <f t="shared" si="5"/>
        <v>197</v>
      </c>
      <c r="B199" s="554">
        <v>1550</v>
      </c>
      <c r="C199" s="573">
        <v>45986</v>
      </c>
      <c r="D199" s="219">
        <v>311552811</v>
      </c>
      <c r="E199" s="264" t="s">
        <v>5131</v>
      </c>
      <c r="F199" s="386" t="s">
        <v>1</v>
      </c>
      <c r="G199" s="81" t="s">
        <v>4</v>
      </c>
      <c r="H199" s="493">
        <v>45986</v>
      </c>
      <c r="I199" s="25"/>
      <c r="J199" s="107" t="s">
        <v>5132</v>
      </c>
      <c r="K199" s="494"/>
      <c r="L199" s="495"/>
      <c r="M199" s="496"/>
      <c r="N199" s="497"/>
      <c r="O199" s="498"/>
      <c r="P199" s="499"/>
      <c r="Q199" s="500">
        <v>45986</v>
      </c>
      <c r="R199" s="148">
        <f t="shared" si="6"/>
        <v>0</v>
      </c>
      <c r="S199" s="633" t="s">
        <v>720</v>
      </c>
      <c r="T199" s="69"/>
    </row>
    <row r="200" spans="1:20" ht="43.2" x14ac:dyDescent="0.3">
      <c r="A200" s="98">
        <f t="shared" si="5"/>
        <v>198</v>
      </c>
      <c r="B200" s="506">
        <v>1550</v>
      </c>
      <c r="C200" s="492">
        <v>45986</v>
      </c>
      <c r="D200" s="617"/>
      <c r="E200" s="290" t="s">
        <v>5133</v>
      </c>
      <c r="F200" s="386" t="s">
        <v>21</v>
      </c>
      <c r="G200" s="112" t="s">
        <v>4</v>
      </c>
      <c r="H200" s="493">
        <v>45986</v>
      </c>
      <c r="I200" s="25"/>
      <c r="J200" s="107" t="s">
        <v>2352</v>
      </c>
      <c r="K200" s="494"/>
      <c r="L200" s="495"/>
      <c r="M200" s="496"/>
      <c r="N200" s="497"/>
      <c r="O200" s="498"/>
      <c r="P200" s="499"/>
      <c r="Q200" s="500">
        <v>45986</v>
      </c>
      <c r="R200" s="148">
        <f t="shared" si="6"/>
        <v>0</v>
      </c>
      <c r="S200" s="633" t="s">
        <v>720</v>
      </c>
      <c r="T200" s="167"/>
    </row>
    <row r="201" spans="1:20" ht="144" x14ac:dyDescent="0.3">
      <c r="A201" s="98">
        <f t="shared" si="5"/>
        <v>199</v>
      </c>
      <c r="B201" s="506">
        <v>1550</v>
      </c>
      <c r="C201" s="492">
        <v>45986</v>
      </c>
      <c r="D201" s="219">
        <v>112153259</v>
      </c>
      <c r="E201" s="175" t="s">
        <v>5134</v>
      </c>
      <c r="F201" s="386" t="s">
        <v>35</v>
      </c>
      <c r="G201" s="112" t="s">
        <v>6</v>
      </c>
      <c r="H201" s="493">
        <v>45986</v>
      </c>
      <c r="I201" s="25"/>
      <c r="J201" s="754" t="s">
        <v>253</v>
      </c>
      <c r="K201" s="494"/>
      <c r="L201" s="495"/>
      <c r="M201" s="496"/>
      <c r="N201" s="497"/>
      <c r="O201" s="498"/>
      <c r="P201" s="499"/>
      <c r="Q201" s="500">
        <v>45992</v>
      </c>
      <c r="R201" s="148">
        <f t="shared" si="6"/>
        <v>6</v>
      </c>
      <c r="S201" s="633" t="s">
        <v>1312</v>
      </c>
      <c r="T201" s="69"/>
    </row>
    <row r="202" spans="1:20" ht="28.8" x14ac:dyDescent="0.3">
      <c r="A202" s="98">
        <f t="shared" si="5"/>
        <v>200</v>
      </c>
      <c r="B202" s="506">
        <v>1550</v>
      </c>
      <c r="C202" s="492">
        <v>45986</v>
      </c>
      <c r="D202" s="219">
        <v>9706178</v>
      </c>
      <c r="E202" s="254" t="s">
        <v>5135</v>
      </c>
      <c r="F202" s="386" t="s">
        <v>30</v>
      </c>
      <c r="G202" s="112" t="s">
        <v>4</v>
      </c>
      <c r="H202" s="493">
        <v>45986</v>
      </c>
      <c r="I202" s="25"/>
      <c r="J202" s="107" t="s">
        <v>5136</v>
      </c>
      <c r="K202" s="494"/>
      <c r="L202" s="495"/>
      <c r="M202" s="496"/>
      <c r="N202" s="497"/>
      <c r="O202" s="498"/>
      <c r="P202" s="499"/>
      <c r="Q202" s="500">
        <v>45986</v>
      </c>
      <c r="R202" s="148">
        <f t="shared" si="6"/>
        <v>0</v>
      </c>
      <c r="S202" s="633" t="s">
        <v>1811</v>
      </c>
      <c r="T202" s="69"/>
    </row>
    <row r="203" spans="1:20" ht="42.75" customHeight="1" x14ac:dyDescent="0.3">
      <c r="A203" s="98">
        <f t="shared" si="5"/>
        <v>201</v>
      </c>
      <c r="B203" s="506">
        <v>1550</v>
      </c>
      <c r="C203" s="492">
        <v>45986</v>
      </c>
      <c r="D203" s="219"/>
      <c r="E203" s="254" t="s">
        <v>5137</v>
      </c>
      <c r="F203" s="386" t="s">
        <v>31</v>
      </c>
      <c r="G203" s="112" t="s">
        <v>4</v>
      </c>
      <c r="H203" s="493">
        <v>45986</v>
      </c>
      <c r="I203" s="25"/>
      <c r="J203" s="742" t="s">
        <v>3297</v>
      </c>
      <c r="K203" s="494"/>
      <c r="L203" s="495"/>
      <c r="M203" s="496"/>
      <c r="N203" s="497"/>
      <c r="O203" s="498"/>
      <c r="P203" s="499"/>
      <c r="Q203" s="500">
        <v>45994</v>
      </c>
      <c r="R203" s="148">
        <f t="shared" si="6"/>
        <v>8</v>
      </c>
      <c r="S203" s="633" t="s">
        <v>4</v>
      </c>
      <c r="T203" s="69"/>
    </row>
    <row r="204" spans="1:20" ht="39" customHeight="1" x14ac:dyDescent="0.3">
      <c r="A204" s="98">
        <f t="shared" si="5"/>
        <v>202</v>
      </c>
      <c r="B204" s="506" t="s">
        <v>80</v>
      </c>
      <c r="C204" s="492">
        <v>45986</v>
      </c>
      <c r="D204" s="219">
        <v>100971105</v>
      </c>
      <c r="E204" s="254" t="s">
        <v>5138</v>
      </c>
      <c r="F204" s="386" t="s">
        <v>1</v>
      </c>
      <c r="G204" s="112" t="s">
        <v>8</v>
      </c>
      <c r="H204" s="493">
        <v>45986</v>
      </c>
      <c r="I204" s="25"/>
      <c r="J204" s="100" t="s">
        <v>5037</v>
      </c>
      <c r="K204" s="494"/>
      <c r="L204" s="495"/>
      <c r="M204" s="496"/>
      <c r="N204" s="497"/>
      <c r="O204" s="498"/>
      <c r="P204" s="499"/>
      <c r="Q204" s="500">
        <v>45988</v>
      </c>
      <c r="R204" s="148">
        <f t="shared" si="6"/>
        <v>2</v>
      </c>
      <c r="S204" s="633" t="s">
        <v>4727</v>
      </c>
      <c r="T204" s="69"/>
    </row>
    <row r="205" spans="1:20" ht="28.8" x14ac:dyDescent="0.3">
      <c r="A205" s="98">
        <f t="shared" si="5"/>
        <v>203</v>
      </c>
      <c r="B205" s="506">
        <v>1550</v>
      </c>
      <c r="C205" s="492">
        <v>45986</v>
      </c>
      <c r="D205" s="219">
        <v>120639831</v>
      </c>
      <c r="E205" s="36" t="s">
        <v>5139</v>
      </c>
      <c r="F205" s="386" t="s">
        <v>1</v>
      </c>
      <c r="G205" s="112" t="s">
        <v>4</v>
      </c>
      <c r="H205" s="493">
        <v>45986</v>
      </c>
      <c r="I205" s="25"/>
      <c r="J205" s="107" t="s">
        <v>4867</v>
      </c>
      <c r="K205" s="494"/>
      <c r="L205" s="495"/>
      <c r="M205" s="496"/>
      <c r="N205" s="497"/>
      <c r="O205" s="498"/>
      <c r="P205" s="499"/>
      <c r="Q205" s="500">
        <v>45993</v>
      </c>
      <c r="R205" s="148">
        <f t="shared" si="6"/>
        <v>7</v>
      </c>
      <c r="S205" s="633" t="s">
        <v>720</v>
      </c>
      <c r="T205" s="69"/>
    </row>
    <row r="206" spans="1:20" ht="40.5" customHeight="1" x14ac:dyDescent="0.3">
      <c r="A206" s="98">
        <f t="shared" si="5"/>
        <v>204</v>
      </c>
      <c r="B206" s="506">
        <v>1550</v>
      </c>
      <c r="C206" s="492">
        <v>45986</v>
      </c>
      <c r="D206" s="219"/>
      <c r="E206" s="254" t="s">
        <v>5140</v>
      </c>
      <c r="F206" s="386" t="s">
        <v>14</v>
      </c>
      <c r="G206" s="112" t="s">
        <v>6</v>
      </c>
      <c r="H206" s="493">
        <v>45986</v>
      </c>
      <c r="I206" s="25"/>
      <c r="J206" s="754" t="s">
        <v>253</v>
      </c>
      <c r="K206" s="494"/>
      <c r="L206" s="495"/>
      <c r="M206" s="496"/>
      <c r="N206" s="497"/>
      <c r="O206" s="498"/>
      <c r="P206" s="499"/>
      <c r="Q206" s="500">
        <v>45986</v>
      </c>
      <c r="R206" s="148">
        <f t="shared" si="6"/>
        <v>0</v>
      </c>
      <c r="S206" s="633" t="s">
        <v>1936</v>
      </c>
      <c r="T206" s="69"/>
    </row>
    <row r="207" spans="1:20" ht="59.25" customHeight="1" x14ac:dyDescent="0.3">
      <c r="A207" s="98">
        <f t="shared" ref="A207:A249" si="7">A206+1</f>
        <v>205</v>
      </c>
      <c r="B207" s="506" t="s">
        <v>301</v>
      </c>
      <c r="C207" s="492">
        <v>45986</v>
      </c>
      <c r="D207" s="219">
        <v>84750405</v>
      </c>
      <c r="E207" s="254" t="s">
        <v>5141</v>
      </c>
      <c r="F207" s="386" t="s">
        <v>7</v>
      </c>
      <c r="G207" s="112" t="s">
        <v>10</v>
      </c>
      <c r="H207" s="493">
        <v>45986</v>
      </c>
      <c r="I207" s="25"/>
      <c r="J207" s="107" t="s">
        <v>2536</v>
      </c>
      <c r="K207" s="494"/>
      <c r="L207" s="495"/>
      <c r="M207" s="496"/>
      <c r="N207" s="497"/>
      <c r="O207" s="498"/>
      <c r="P207" s="499"/>
      <c r="Q207" s="500">
        <v>45986</v>
      </c>
      <c r="R207" s="148">
        <f t="shared" si="6"/>
        <v>0</v>
      </c>
      <c r="S207" s="633" t="s">
        <v>1172</v>
      </c>
      <c r="T207" s="69"/>
    </row>
    <row r="208" spans="1:20" ht="69.75" customHeight="1" x14ac:dyDescent="0.3">
      <c r="A208" s="98">
        <f t="shared" si="7"/>
        <v>206</v>
      </c>
      <c r="B208" s="506" t="s">
        <v>80</v>
      </c>
      <c r="C208" s="492">
        <v>45986</v>
      </c>
      <c r="D208" s="219">
        <v>115261761</v>
      </c>
      <c r="E208" s="254" t="s">
        <v>5142</v>
      </c>
      <c r="F208" s="386" t="s">
        <v>1</v>
      </c>
      <c r="G208" s="112" t="s">
        <v>10</v>
      </c>
      <c r="H208" s="493">
        <v>45986</v>
      </c>
      <c r="I208" s="25"/>
      <c r="J208" s="100" t="s">
        <v>2352</v>
      </c>
      <c r="K208" s="507"/>
      <c r="L208" s="508"/>
      <c r="M208" s="365"/>
      <c r="N208" s="509"/>
      <c r="O208" s="510"/>
      <c r="P208" s="511"/>
      <c r="Q208" s="500">
        <v>45986</v>
      </c>
      <c r="R208" s="148">
        <f t="shared" si="6"/>
        <v>0</v>
      </c>
      <c r="S208" s="633" t="s">
        <v>2716</v>
      </c>
      <c r="T208" s="167"/>
    </row>
    <row r="209" spans="1:20" ht="63.75" customHeight="1" x14ac:dyDescent="0.3">
      <c r="A209" s="98">
        <f t="shared" si="7"/>
        <v>207</v>
      </c>
      <c r="B209" s="506">
        <v>1550</v>
      </c>
      <c r="C209" s="492">
        <v>45986</v>
      </c>
      <c r="D209" s="664">
        <v>69240469</v>
      </c>
      <c r="E209" s="277" t="s">
        <v>5143</v>
      </c>
      <c r="F209" s="386" t="s">
        <v>1</v>
      </c>
      <c r="G209" s="112" t="s">
        <v>10</v>
      </c>
      <c r="H209" s="493">
        <v>45986</v>
      </c>
      <c r="I209" s="25"/>
      <c r="J209" s="107" t="s">
        <v>4105</v>
      </c>
      <c r="K209" s="507"/>
      <c r="L209" s="508"/>
      <c r="M209" s="365"/>
      <c r="N209" s="509"/>
      <c r="O209" s="510"/>
      <c r="P209" s="511"/>
      <c r="Q209" s="500">
        <v>45986</v>
      </c>
      <c r="R209" s="148">
        <f t="shared" si="6"/>
        <v>0</v>
      </c>
      <c r="S209" s="633" t="s">
        <v>85</v>
      </c>
      <c r="T209" s="167"/>
    </row>
    <row r="210" spans="1:20" ht="36" customHeight="1" x14ac:dyDescent="0.3">
      <c r="A210" s="98">
        <f t="shared" si="7"/>
        <v>208</v>
      </c>
      <c r="B210" s="506">
        <v>1550</v>
      </c>
      <c r="C210" s="492">
        <v>45986</v>
      </c>
      <c r="D210" s="219"/>
      <c r="E210" s="254" t="s">
        <v>5144</v>
      </c>
      <c r="F210" s="386" t="s">
        <v>21</v>
      </c>
      <c r="G210" s="112" t="s">
        <v>10</v>
      </c>
      <c r="H210" s="493">
        <v>45986</v>
      </c>
      <c r="I210" s="25"/>
      <c r="J210" s="107" t="s">
        <v>5102</v>
      </c>
      <c r="K210" s="494"/>
      <c r="L210" s="495"/>
      <c r="M210" s="496"/>
      <c r="N210" s="497"/>
      <c r="O210" s="498"/>
      <c r="P210" s="499"/>
      <c r="Q210" s="500">
        <v>45986</v>
      </c>
      <c r="R210" s="148">
        <f t="shared" si="6"/>
        <v>0</v>
      </c>
      <c r="S210" s="633" t="s">
        <v>2213</v>
      </c>
      <c r="T210" s="167"/>
    </row>
    <row r="211" spans="1:20" ht="55.5" customHeight="1" x14ac:dyDescent="0.3">
      <c r="A211" s="98">
        <f t="shared" si="7"/>
        <v>209</v>
      </c>
      <c r="B211" s="506">
        <v>1550</v>
      </c>
      <c r="C211" s="492">
        <v>45986</v>
      </c>
      <c r="D211" s="664">
        <v>120707152</v>
      </c>
      <c r="E211" s="254" t="s">
        <v>5145</v>
      </c>
      <c r="F211" s="386" t="s">
        <v>1</v>
      </c>
      <c r="G211" s="112" t="s">
        <v>10</v>
      </c>
      <c r="H211" s="493">
        <v>45986</v>
      </c>
      <c r="I211" s="25"/>
      <c r="J211" s="107" t="s">
        <v>4105</v>
      </c>
      <c r="K211" s="494"/>
      <c r="L211" s="495"/>
      <c r="M211" s="496"/>
      <c r="N211" s="497"/>
      <c r="O211" s="498"/>
      <c r="P211" s="499"/>
      <c r="Q211" s="500">
        <v>45986</v>
      </c>
      <c r="R211" s="148">
        <f t="shared" si="6"/>
        <v>0</v>
      </c>
      <c r="S211" s="633" t="s">
        <v>1806</v>
      </c>
      <c r="T211" s="167"/>
    </row>
    <row r="212" spans="1:20" ht="28.8" x14ac:dyDescent="0.3">
      <c r="A212" s="98">
        <f t="shared" si="7"/>
        <v>210</v>
      </c>
      <c r="B212" s="506">
        <v>1550</v>
      </c>
      <c r="C212" s="492">
        <v>45987</v>
      </c>
      <c r="D212" s="219">
        <v>12550914</v>
      </c>
      <c r="E212" s="270" t="s">
        <v>5146</v>
      </c>
      <c r="F212" s="386" t="s">
        <v>1</v>
      </c>
      <c r="G212" s="112" t="s">
        <v>8</v>
      </c>
      <c r="H212" s="493">
        <v>45987</v>
      </c>
      <c r="I212" s="25"/>
      <c r="J212" s="107" t="s">
        <v>5147</v>
      </c>
      <c r="K212" s="507"/>
      <c r="L212" s="508"/>
      <c r="M212" s="365"/>
      <c r="N212" s="509"/>
      <c r="O212" s="510"/>
      <c r="P212" s="511"/>
      <c r="Q212" s="500">
        <v>45987</v>
      </c>
      <c r="R212" s="148">
        <f t="shared" si="6"/>
        <v>0</v>
      </c>
      <c r="S212" s="633" t="s">
        <v>3952</v>
      </c>
      <c r="T212" s="167"/>
    </row>
    <row r="213" spans="1:20" ht="28.8" x14ac:dyDescent="0.3">
      <c r="A213" s="98">
        <f t="shared" si="7"/>
        <v>211</v>
      </c>
      <c r="B213" s="506">
        <v>1550</v>
      </c>
      <c r="C213" s="492">
        <v>45987</v>
      </c>
      <c r="D213" s="219">
        <v>120555506</v>
      </c>
      <c r="E213" s="270" t="s">
        <v>5148</v>
      </c>
      <c r="F213" s="386" t="s">
        <v>1</v>
      </c>
      <c r="G213" s="112" t="s">
        <v>4</v>
      </c>
      <c r="H213" s="493">
        <v>45987</v>
      </c>
      <c r="I213" s="25"/>
      <c r="J213" s="107" t="s">
        <v>2317</v>
      </c>
      <c r="K213" s="507"/>
      <c r="L213" s="508"/>
      <c r="M213" s="365"/>
      <c r="N213" s="509"/>
      <c r="O213" s="510"/>
      <c r="P213" s="511"/>
      <c r="Q213" s="500">
        <v>45989</v>
      </c>
      <c r="R213" s="148">
        <f t="shared" si="6"/>
        <v>2</v>
      </c>
      <c r="S213" s="633" t="s">
        <v>2970</v>
      </c>
      <c r="T213" s="167"/>
    </row>
    <row r="214" spans="1:20" ht="28.8" x14ac:dyDescent="0.3">
      <c r="A214" s="98">
        <f t="shared" si="7"/>
        <v>212</v>
      </c>
      <c r="B214" s="506">
        <v>1550</v>
      </c>
      <c r="C214" s="492">
        <v>45987</v>
      </c>
      <c r="D214" s="219">
        <v>38632284</v>
      </c>
      <c r="E214" s="270" t="s">
        <v>5149</v>
      </c>
      <c r="F214" s="386" t="s">
        <v>7</v>
      </c>
      <c r="G214" s="112" t="s">
        <v>4</v>
      </c>
      <c r="H214" s="493">
        <v>45987</v>
      </c>
      <c r="I214" s="25"/>
      <c r="J214" s="107" t="s">
        <v>2306</v>
      </c>
      <c r="K214" s="507"/>
      <c r="L214" s="508"/>
      <c r="M214" s="365"/>
      <c r="N214" s="509"/>
      <c r="O214" s="510"/>
      <c r="P214" s="511"/>
      <c r="Q214" s="500">
        <v>45988</v>
      </c>
      <c r="R214" s="148">
        <f t="shared" ref="R214:R249" si="8">Q214-H214</f>
        <v>1</v>
      </c>
      <c r="S214" s="633" t="s">
        <v>2970</v>
      </c>
      <c r="T214" s="69"/>
    </row>
    <row r="215" spans="1:20" ht="100.8" x14ac:dyDescent="0.3">
      <c r="A215" s="98">
        <f t="shared" si="7"/>
        <v>213</v>
      </c>
      <c r="B215" s="506">
        <v>1550</v>
      </c>
      <c r="C215" s="492">
        <v>45987</v>
      </c>
      <c r="D215" s="219">
        <v>12041262</v>
      </c>
      <c r="E215" s="270" t="s">
        <v>5150</v>
      </c>
      <c r="F215" s="386" t="s">
        <v>36</v>
      </c>
      <c r="G215" s="112" t="s">
        <v>6</v>
      </c>
      <c r="H215" s="493">
        <v>45987</v>
      </c>
      <c r="I215" s="25"/>
      <c r="J215" s="107" t="s">
        <v>99</v>
      </c>
      <c r="K215" s="226"/>
      <c r="L215" s="580"/>
      <c r="M215" s="228"/>
      <c r="N215" s="509"/>
      <c r="O215" s="510"/>
      <c r="P215" s="511"/>
      <c r="Q215" s="500">
        <v>45992</v>
      </c>
      <c r="R215" s="148">
        <f t="shared" si="8"/>
        <v>5</v>
      </c>
      <c r="S215" s="633" t="s">
        <v>1936</v>
      </c>
      <c r="T215" s="69"/>
    </row>
    <row r="216" spans="1:20" ht="100.8" x14ac:dyDescent="0.3">
      <c r="A216" s="98">
        <f t="shared" si="7"/>
        <v>214</v>
      </c>
      <c r="B216" s="506">
        <v>1550</v>
      </c>
      <c r="C216" s="492">
        <v>45987</v>
      </c>
      <c r="D216" s="219">
        <v>5210291</v>
      </c>
      <c r="E216" s="270" t="s">
        <v>5151</v>
      </c>
      <c r="F216" s="386" t="s">
        <v>39</v>
      </c>
      <c r="G216" s="112" t="s">
        <v>6</v>
      </c>
      <c r="H216" s="493">
        <v>45987</v>
      </c>
      <c r="I216" s="25"/>
      <c r="J216" s="107" t="s">
        <v>22</v>
      </c>
      <c r="K216" s="226"/>
      <c r="L216" s="580"/>
      <c r="M216" s="228"/>
      <c r="N216" s="509"/>
      <c r="O216" s="510"/>
      <c r="P216" s="511"/>
      <c r="Q216" s="500">
        <v>45993</v>
      </c>
      <c r="R216" s="148">
        <f t="shared" si="8"/>
        <v>6</v>
      </c>
      <c r="S216" s="633" t="s">
        <v>1312</v>
      </c>
      <c r="T216" s="69"/>
    </row>
    <row r="217" spans="1:20" ht="28.8" x14ac:dyDescent="0.3">
      <c r="A217" s="98">
        <f t="shared" si="7"/>
        <v>215</v>
      </c>
      <c r="B217" s="506" t="s">
        <v>1826</v>
      </c>
      <c r="C217" s="492">
        <v>45987</v>
      </c>
      <c r="D217" s="219"/>
      <c r="E217" s="270" t="s">
        <v>5152</v>
      </c>
      <c r="F217" s="386" t="s">
        <v>40</v>
      </c>
      <c r="G217" s="112" t="s">
        <v>4</v>
      </c>
      <c r="H217" s="493">
        <v>45987</v>
      </c>
      <c r="I217" s="25"/>
      <c r="J217" s="107" t="s">
        <v>5136</v>
      </c>
      <c r="K217" s="226"/>
      <c r="L217" s="580"/>
      <c r="M217" s="228"/>
      <c r="N217" s="509"/>
      <c r="O217" s="510"/>
      <c r="P217" s="511"/>
      <c r="Q217" s="500">
        <v>46001</v>
      </c>
      <c r="R217" s="148">
        <f t="shared" si="8"/>
        <v>14</v>
      </c>
      <c r="S217" s="633" t="s">
        <v>3905</v>
      </c>
      <c r="T217" s="69"/>
    </row>
    <row r="218" spans="1:20" ht="47.25" customHeight="1" x14ac:dyDescent="0.3">
      <c r="A218" s="98">
        <f t="shared" si="7"/>
        <v>216</v>
      </c>
      <c r="B218" s="506">
        <v>1550</v>
      </c>
      <c r="C218" s="492">
        <v>45987</v>
      </c>
      <c r="D218" s="219" t="s">
        <v>5153</v>
      </c>
      <c r="E218" s="270" t="s">
        <v>5154</v>
      </c>
      <c r="F218" s="386" t="s">
        <v>64</v>
      </c>
      <c r="G218" s="112" t="s">
        <v>6</v>
      </c>
      <c r="H218" s="493">
        <v>45987</v>
      </c>
      <c r="I218" s="25"/>
      <c r="J218" s="107" t="s">
        <v>5155</v>
      </c>
      <c r="K218" s="507"/>
      <c r="L218" s="508"/>
      <c r="M218" s="365"/>
      <c r="N218" s="509"/>
      <c r="O218" s="510"/>
      <c r="P218" s="511"/>
      <c r="Q218" s="500">
        <v>45988</v>
      </c>
      <c r="R218" s="148">
        <f t="shared" si="8"/>
        <v>1</v>
      </c>
      <c r="S218" s="633" t="s">
        <v>1860</v>
      </c>
      <c r="T218" s="167"/>
    </row>
    <row r="219" spans="1:20" ht="37.5" customHeight="1" x14ac:dyDescent="0.3">
      <c r="A219" s="98">
        <f t="shared" si="7"/>
        <v>217</v>
      </c>
      <c r="B219" s="506">
        <v>1550</v>
      </c>
      <c r="C219" s="492">
        <v>45987</v>
      </c>
      <c r="D219" s="219">
        <v>31590756</v>
      </c>
      <c r="E219" s="270" t="s">
        <v>5156</v>
      </c>
      <c r="F219" s="386" t="s">
        <v>14</v>
      </c>
      <c r="G219" s="112" t="s">
        <v>6</v>
      </c>
      <c r="H219" s="493">
        <v>45987</v>
      </c>
      <c r="I219" s="25"/>
      <c r="J219" s="100" t="s">
        <v>159</v>
      </c>
      <c r="K219" s="494"/>
      <c r="L219" s="669"/>
      <c r="M219" s="552"/>
      <c r="N219" s="497"/>
      <c r="O219" s="498"/>
      <c r="P219" s="499"/>
      <c r="Q219" s="500">
        <v>45987</v>
      </c>
      <c r="R219" s="148">
        <f t="shared" si="8"/>
        <v>0</v>
      </c>
      <c r="S219" s="633" t="s">
        <v>1569</v>
      </c>
      <c r="T219" s="69"/>
    </row>
    <row r="220" spans="1:20" ht="45" customHeight="1" x14ac:dyDescent="0.3">
      <c r="A220" s="98">
        <f t="shared" si="7"/>
        <v>218</v>
      </c>
      <c r="B220" s="506" t="s">
        <v>80</v>
      </c>
      <c r="C220" s="492">
        <v>45987</v>
      </c>
      <c r="D220" s="219">
        <v>2600552</v>
      </c>
      <c r="E220" s="270" t="s">
        <v>5157</v>
      </c>
      <c r="F220" s="386" t="s">
        <v>48</v>
      </c>
      <c r="G220" s="112" t="s">
        <v>6</v>
      </c>
      <c r="H220" s="493">
        <v>45988</v>
      </c>
      <c r="I220" s="25"/>
      <c r="J220" s="107" t="s">
        <v>99</v>
      </c>
      <c r="K220" s="494"/>
      <c r="L220" s="636"/>
      <c r="M220" s="496"/>
      <c r="N220" s="497"/>
      <c r="O220" s="498"/>
      <c r="P220" s="499"/>
      <c r="Q220" s="500">
        <v>45992</v>
      </c>
      <c r="R220" s="148">
        <f t="shared" si="8"/>
        <v>4</v>
      </c>
      <c r="S220" s="633" t="s">
        <v>1569</v>
      </c>
      <c r="T220" s="69" t="s">
        <v>5158</v>
      </c>
    </row>
    <row r="221" spans="1:20" ht="57.6" x14ac:dyDescent="0.3">
      <c r="A221" s="98">
        <f t="shared" si="7"/>
        <v>219</v>
      </c>
      <c r="B221" s="506">
        <v>1550</v>
      </c>
      <c r="C221" s="492">
        <v>45988</v>
      </c>
      <c r="D221" s="219">
        <v>120701170</v>
      </c>
      <c r="E221" s="270" t="s">
        <v>5159</v>
      </c>
      <c r="F221" s="386" t="s">
        <v>23</v>
      </c>
      <c r="G221" s="112" t="s">
        <v>8</v>
      </c>
      <c r="H221" s="493">
        <v>45988</v>
      </c>
      <c r="I221" s="25"/>
      <c r="J221" s="107" t="s">
        <v>135</v>
      </c>
      <c r="K221" s="494"/>
      <c r="L221" s="495"/>
      <c r="M221" s="496"/>
      <c r="N221" s="497"/>
      <c r="O221" s="498"/>
      <c r="P221" s="499"/>
      <c r="Q221" s="500">
        <v>45988</v>
      </c>
      <c r="R221" s="148">
        <f t="shared" si="8"/>
        <v>0</v>
      </c>
      <c r="S221" s="633" t="s">
        <v>3418</v>
      </c>
      <c r="T221" s="69"/>
    </row>
    <row r="222" spans="1:20" ht="42.75" customHeight="1" x14ac:dyDescent="0.3">
      <c r="A222" s="98">
        <f t="shared" si="7"/>
        <v>220</v>
      </c>
      <c r="B222" s="506">
        <v>1550</v>
      </c>
      <c r="C222" s="492">
        <v>45988</v>
      </c>
      <c r="D222" s="219">
        <v>120498278</v>
      </c>
      <c r="E222" s="270" t="s">
        <v>5160</v>
      </c>
      <c r="F222" s="386" t="s">
        <v>1</v>
      </c>
      <c r="G222" s="112" t="s">
        <v>4</v>
      </c>
      <c r="H222" s="493">
        <v>45988</v>
      </c>
      <c r="I222" s="25"/>
      <c r="J222" s="107" t="s">
        <v>4867</v>
      </c>
      <c r="K222" s="494"/>
      <c r="L222" s="495"/>
      <c r="M222" s="496"/>
      <c r="N222" s="497"/>
      <c r="O222" s="498"/>
      <c r="P222" s="499"/>
      <c r="Q222" s="500">
        <v>45988</v>
      </c>
      <c r="R222" s="148">
        <f t="shared" si="8"/>
        <v>0</v>
      </c>
      <c r="S222" s="633" t="s">
        <v>2970</v>
      </c>
      <c r="T222" s="69"/>
    </row>
    <row r="223" spans="1:20" ht="57.6" x14ac:dyDescent="0.3">
      <c r="A223" s="98">
        <f t="shared" si="7"/>
        <v>221</v>
      </c>
      <c r="B223" s="506">
        <v>1550</v>
      </c>
      <c r="C223" s="492">
        <v>45988</v>
      </c>
      <c r="D223" s="219">
        <v>13732277</v>
      </c>
      <c r="E223" s="263" t="s">
        <v>5161</v>
      </c>
      <c r="F223" s="386" t="s">
        <v>32</v>
      </c>
      <c r="G223" s="112" t="s">
        <v>6</v>
      </c>
      <c r="H223" s="493">
        <v>45988</v>
      </c>
      <c r="I223" s="25"/>
      <c r="J223" s="107" t="s">
        <v>106</v>
      </c>
      <c r="K223" s="494"/>
      <c r="L223" s="495"/>
      <c r="M223" s="496"/>
      <c r="N223" s="497"/>
      <c r="O223" s="498"/>
      <c r="P223" s="499"/>
      <c r="Q223" s="500">
        <v>45989</v>
      </c>
      <c r="R223" s="148">
        <f t="shared" si="8"/>
        <v>1</v>
      </c>
      <c r="S223" s="633" t="s">
        <v>1312</v>
      </c>
      <c r="T223" s="69"/>
    </row>
    <row r="224" spans="1:20" ht="57.6" x14ac:dyDescent="0.3">
      <c r="A224" s="98">
        <f t="shared" si="7"/>
        <v>222</v>
      </c>
      <c r="B224" s="506" t="s">
        <v>301</v>
      </c>
      <c r="C224" s="492">
        <v>45988</v>
      </c>
      <c r="D224" s="219">
        <v>89577000</v>
      </c>
      <c r="E224" s="270" t="s">
        <v>5162</v>
      </c>
      <c r="F224" s="386" t="s">
        <v>64</v>
      </c>
      <c r="G224" s="112" t="s">
        <v>6</v>
      </c>
      <c r="H224" s="493">
        <v>45988</v>
      </c>
      <c r="I224" s="25"/>
      <c r="J224" s="107" t="s">
        <v>5155</v>
      </c>
      <c r="K224" s="494"/>
      <c r="L224" s="495"/>
      <c r="M224" s="496"/>
      <c r="N224" s="497"/>
      <c r="O224" s="498"/>
      <c r="P224" s="499"/>
      <c r="Q224" s="500">
        <v>45999</v>
      </c>
      <c r="R224" s="148">
        <f t="shared" si="8"/>
        <v>11</v>
      </c>
      <c r="S224" s="633" t="s">
        <v>1860</v>
      </c>
      <c r="T224" s="57"/>
    </row>
    <row r="225" spans="1:20" ht="28.8" x14ac:dyDescent="0.3">
      <c r="A225" s="98">
        <f t="shared" si="7"/>
        <v>223</v>
      </c>
      <c r="B225" s="506" t="s">
        <v>80</v>
      </c>
      <c r="C225" s="492">
        <v>45988</v>
      </c>
      <c r="D225" s="219">
        <v>97443832</v>
      </c>
      <c r="E225" s="264" t="s">
        <v>5163</v>
      </c>
      <c r="F225" s="386" t="s">
        <v>44</v>
      </c>
      <c r="G225" s="112" t="s">
        <v>4</v>
      </c>
      <c r="H225" s="493">
        <v>45988</v>
      </c>
      <c r="I225" s="25"/>
      <c r="J225" s="107" t="s">
        <v>2317</v>
      </c>
      <c r="K225" s="494"/>
      <c r="L225" s="495"/>
      <c r="M225" s="496"/>
      <c r="N225" s="497"/>
      <c r="O225" s="498"/>
      <c r="P225" s="499"/>
      <c r="Q225" s="500">
        <v>45989</v>
      </c>
      <c r="R225" s="148">
        <f t="shared" si="8"/>
        <v>1</v>
      </c>
      <c r="S225" s="633" t="s">
        <v>4</v>
      </c>
      <c r="T225" s="57"/>
    </row>
    <row r="226" spans="1:20" ht="43.2" x14ac:dyDescent="0.3">
      <c r="A226" s="98">
        <f t="shared" si="7"/>
        <v>224</v>
      </c>
      <c r="B226" s="506" t="s">
        <v>301</v>
      </c>
      <c r="C226" s="492">
        <v>45988</v>
      </c>
      <c r="D226" s="219"/>
      <c r="E226" s="270" t="s">
        <v>5164</v>
      </c>
      <c r="F226" s="386" t="s">
        <v>21</v>
      </c>
      <c r="G226" s="112" t="s">
        <v>8</v>
      </c>
      <c r="H226" s="493">
        <v>45988</v>
      </c>
      <c r="I226" s="25"/>
      <c r="J226" s="107" t="s">
        <v>5155</v>
      </c>
      <c r="K226" s="494"/>
      <c r="L226" s="495"/>
      <c r="M226" s="496"/>
      <c r="N226" s="497"/>
      <c r="O226" s="498"/>
      <c r="P226" s="499"/>
      <c r="Q226" s="500">
        <v>45988</v>
      </c>
      <c r="R226" s="148">
        <f t="shared" si="8"/>
        <v>0</v>
      </c>
      <c r="S226" s="633" t="s">
        <v>3861</v>
      </c>
      <c r="T226" s="201"/>
    </row>
    <row r="227" spans="1:20" ht="42.75" customHeight="1" x14ac:dyDescent="0.3">
      <c r="A227" s="98"/>
      <c r="B227" s="506">
        <v>1550</v>
      </c>
      <c r="C227" s="492">
        <v>45988</v>
      </c>
      <c r="D227" s="219"/>
      <c r="E227" s="270" t="s">
        <v>5165</v>
      </c>
      <c r="F227" s="386" t="s">
        <v>21</v>
      </c>
      <c r="G227" s="112" t="s">
        <v>10</v>
      </c>
      <c r="H227" s="493">
        <v>45988</v>
      </c>
      <c r="I227" s="25"/>
      <c r="J227" s="107" t="s">
        <v>4867</v>
      </c>
      <c r="K227" s="513"/>
      <c r="L227" s="514"/>
      <c r="M227" s="515"/>
      <c r="N227" s="31"/>
      <c r="O227" s="53"/>
      <c r="P227" s="55"/>
      <c r="Q227" s="500">
        <v>45989</v>
      </c>
      <c r="R227" s="148">
        <f t="shared" si="8"/>
        <v>1</v>
      </c>
      <c r="S227" s="633" t="s">
        <v>1806</v>
      </c>
      <c r="T227" s="201"/>
    </row>
    <row r="228" spans="1:20" ht="44.25" customHeight="1" x14ac:dyDescent="0.3">
      <c r="A228" s="98"/>
      <c r="B228" s="506">
        <v>1550</v>
      </c>
      <c r="C228" s="492">
        <v>45988</v>
      </c>
      <c r="D228" s="219">
        <v>119995107</v>
      </c>
      <c r="E228" s="270" t="s">
        <v>5166</v>
      </c>
      <c r="F228" s="386" t="s">
        <v>1</v>
      </c>
      <c r="G228" s="112" t="s">
        <v>10</v>
      </c>
      <c r="H228" s="493">
        <v>45988</v>
      </c>
      <c r="I228" s="25"/>
      <c r="J228" s="107" t="s">
        <v>4867</v>
      </c>
      <c r="K228" s="513"/>
      <c r="L228" s="514"/>
      <c r="M228" s="515"/>
      <c r="N228" s="31"/>
      <c r="O228" s="53"/>
      <c r="P228" s="55"/>
      <c r="Q228" s="500">
        <v>45993</v>
      </c>
      <c r="R228" s="148">
        <f t="shared" si="8"/>
        <v>5</v>
      </c>
      <c r="S228" s="633" t="s">
        <v>2213</v>
      </c>
      <c r="T228" s="201"/>
    </row>
    <row r="229" spans="1:20" ht="63" customHeight="1" x14ac:dyDescent="0.3">
      <c r="A229" s="98"/>
      <c r="B229" s="506">
        <v>1550</v>
      </c>
      <c r="C229" s="492">
        <v>45988</v>
      </c>
      <c r="D229" s="219"/>
      <c r="E229" s="270" t="s">
        <v>5167</v>
      </c>
      <c r="F229" s="386" t="s">
        <v>21</v>
      </c>
      <c r="G229" s="112" t="s">
        <v>10</v>
      </c>
      <c r="H229" s="493">
        <v>45988</v>
      </c>
      <c r="I229" s="25"/>
      <c r="J229" s="107" t="s">
        <v>4972</v>
      </c>
      <c r="K229" s="513"/>
      <c r="L229" s="514"/>
      <c r="M229" s="515"/>
      <c r="N229" s="31"/>
      <c r="O229" s="53"/>
      <c r="P229" s="55"/>
      <c r="Q229" s="500">
        <v>45988</v>
      </c>
      <c r="R229" s="148">
        <f t="shared" si="8"/>
        <v>0</v>
      </c>
      <c r="S229" s="633" t="s">
        <v>85</v>
      </c>
      <c r="T229" s="201"/>
    </row>
    <row r="230" spans="1:20" x14ac:dyDescent="0.3">
      <c r="A230" s="98">
        <f>A226+1</f>
        <v>225</v>
      </c>
      <c r="B230" s="506" t="s">
        <v>1826</v>
      </c>
      <c r="C230" s="492">
        <v>45989</v>
      </c>
      <c r="D230" s="219">
        <v>82771294</v>
      </c>
      <c r="E230" s="270" t="s">
        <v>5168</v>
      </c>
      <c r="F230" s="386" t="s">
        <v>3</v>
      </c>
      <c r="G230" s="112" t="s">
        <v>4</v>
      </c>
      <c r="H230" s="493">
        <v>45988</v>
      </c>
      <c r="I230" s="25"/>
      <c r="J230" s="107" t="s">
        <v>4870</v>
      </c>
      <c r="K230" s="513">
        <v>10000332746</v>
      </c>
      <c r="L230" s="514"/>
      <c r="M230" s="515"/>
      <c r="N230" s="31"/>
      <c r="O230" s="53"/>
      <c r="P230" s="55"/>
      <c r="Q230" s="500">
        <v>46010</v>
      </c>
      <c r="R230" s="148">
        <f t="shared" si="8"/>
        <v>22</v>
      </c>
      <c r="S230" s="633" t="s">
        <v>3086</v>
      </c>
      <c r="T230" s="257"/>
    </row>
    <row r="231" spans="1:20" ht="42.75" customHeight="1" x14ac:dyDescent="0.3">
      <c r="A231" s="98">
        <f t="shared" si="7"/>
        <v>226</v>
      </c>
      <c r="B231" s="506">
        <v>1550</v>
      </c>
      <c r="C231" s="492">
        <v>45989</v>
      </c>
      <c r="D231" s="219">
        <v>120438399</v>
      </c>
      <c r="E231" s="270" t="s">
        <v>5169</v>
      </c>
      <c r="F231" s="386" t="s">
        <v>1</v>
      </c>
      <c r="G231" s="112" t="s">
        <v>8</v>
      </c>
      <c r="H231" s="493">
        <v>45988</v>
      </c>
      <c r="I231" s="25"/>
      <c r="J231" s="107" t="s">
        <v>5037</v>
      </c>
      <c r="K231" s="494"/>
      <c r="L231" s="495"/>
      <c r="M231" s="496"/>
      <c r="N231" s="497"/>
      <c r="O231" s="498"/>
      <c r="P231" s="499"/>
      <c r="Q231" s="500">
        <v>45989</v>
      </c>
      <c r="R231" s="148">
        <f t="shared" si="8"/>
        <v>1</v>
      </c>
      <c r="S231" s="633" t="s">
        <v>3841</v>
      </c>
      <c r="T231" s="57"/>
    </row>
    <row r="232" spans="1:20" ht="30" customHeight="1" x14ac:dyDescent="0.3">
      <c r="A232" s="98">
        <f t="shared" si="7"/>
        <v>227</v>
      </c>
      <c r="B232" s="506">
        <v>1550</v>
      </c>
      <c r="C232" s="492">
        <v>45989</v>
      </c>
      <c r="D232" s="219">
        <v>115545948</v>
      </c>
      <c r="E232" s="270" t="s">
        <v>5170</v>
      </c>
      <c r="F232" s="386" t="s">
        <v>1</v>
      </c>
      <c r="G232" s="112" t="s">
        <v>10</v>
      </c>
      <c r="H232" s="493">
        <v>45989</v>
      </c>
      <c r="I232" s="25"/>
      <c r="J232" s="107" t="s">
        <v>4972</v>
      </c>
      <c r="K232" s="494"/>
      <c r="L232" s="495"/>
      <c r="M232" s="496"/>
      <c r="N232" s="497"/>
      <c r="O232" s="498"/>
      <c r="P232" s="499"/>
      <c r="Q232" s="500">
        <v>45993</v>
      </c>
      <c r="R232" s="148">
        <f t="shared" si="8"/>
        <v>4</v>
      </c>
      <c r="S232" s="633" t="s">
        <v>1806</v>
      </c>
      <c r="T232" s="57"/>
    </row>
    <row r="233" spans="1:20" ht="93" customHeight="1" x14ac:dyDescent="0.3">
      <c r="A233" s="98">
        <f t="shared" si="7"/>
        <v>228</v>
      </c>
      <c r="B233" s="506">
        <v>1550</v>
      </c>
      <c r="C233" s="492">
        <v>45989</v>
      </c>
      <c r="D233" s="219">
        <v>5421772</v>
      </c>
      <c r="E233" s="270" t="s">
        <v>5171</v>
      </c>
      <c r="F233" s="386" t="s">
        <v>37</v>
      </c>
      <c r="G233" s="112" t="s">
        <v>8</v>
      </c>
      <c r="H233" s="493">
        <v>45989</v>
      </c>
      <c r="I233" s="25"/>
      <c r="J233" s="107" t="s">
        <v>5037</v>
      </c>
      <c r="K233" s="494"/>
      <c r="L233" s="495"/>
      <c r="M233" s="496"/>
      <c r="N233" s="497"/>
      <c r="O233" s="498"/>
      <c r="P233" s="499"/>
      <c r="Q233" s="500">
        <v>45989</v>
      </c>
      <c r="R233" s="148">
        <f t="shared" si="8"/>
        <v>0</v>
      </c>
      <c r="S233" s="633" t="s">
        <v>3861</v>
      </c>
      <c r="T233" s="201"/>
    </row>
    <row r="234" spans="1:20" ht="43.2" x14ac:dyDescent="0.3">
      <c r="A234" s="98">
        <f t="shared" si="7"/>
        <v>229</v>
      </c>
      <c r="B234" s="506">
        <v>1550</v>
      </c>
      <c r="C234" s="492">
        <v>45989</v>
      </c>
      <c r="D234" s="219">
        <v>111890357</v>
      </c>
      <c r="E234" s="270" t="s">
        <v>5172</v>
      </c>
      <c r="F234" s="386" t="s">
        <v>23</v>
      </c>
      <c r="G234" s="112" t="s">
        <v>6</v>
      </c>
      <c r="H234" s="493">
        <v>45989</v>
      </c>
      <c r="I234" s="25"/>
      <c r="J234" s="107" t="s">
        <v>135</v>
      </c>
      <c r="K234" s="518"/>
      <c r="L234" s="613"/>
      <c r="M234" s="691"/>
      <c r="N234" s="520"/>
      <c r="O234" s="520"/>
      <c r="P234" s="521"/>
      <c r="Q234" s="500">
        <v>45992</v>
      </c>
      <c r="R234" s="148">
        <f t="shared" si="8"/>
        <v>3</v>
      </c>
      <c r="S234" s="633" t="s">
        <v>2808</v>
      </c>
      <c r="T234" s="201" t="s">
        <v>5173</v>
      </c>
    </row>
    <row r="235" spans="1:20" ht="43.2" x14ac:dyDescent="0.3">
      <c r="A235" s="98">
        <f t="shared" si="7"/>
        <v>230</v>
      </c>
      <c r="B235" s="506">
        <v>1550</v>
      </c>
      <c r="C235" s="492">
        <v>45989</v>
      </c>
      <c r="D235" s="219">
        <v>81733887</v>
      </c>
      <c r="E235" s="270" t="s">
        <v>5174</v>
      </c>
      <c r="F235" s="386" t="s">
        <v>33</v>
      </c>
      <c r="G235" s="112" t="s">
        <v>8</v>
      </c>
      <c r="H235" s="493">
        <v>45989</v>
      </c>
      <c r="I235" s="25"/>
      <c r="J235" s="107" t="s">
        <v>1357</v>
      </c>
      <c r="K235" s="518"/>
      <c r="L235" s="518"/>
      <c r="M235" s="519"/>
      <c r="N235" s="520"/>
      <c r="O235" s="520"/>
      <c r="P235" s="521"/>
      <c r="Q235" s="500">
        <v>45989</v>
      </c>
      <c r="R235" s="148">
        <f t="shared" si="8"/>
        <v>0</v>
      </c>
      <c r="S235" s="633" t="s">
        <v>3931</v>
      </c>
      <c r="T235" s="201"/>
    </row>
    <row r="236" spans="1:20" ht="28.8" x14ac:dyDescent="0.3">
      <c r="A236" s="98">
        <f t="shared" si="7"/>
        <v>231</v>
      </c>
      <c r="B236" s="506">
        <v>1550</v>
      </c>
      <c r="C236" s="492">
        <v>45989</v>
      </c>
      <c r="D236" s="219">
        <v>107924250</v>
      </c>
      <c r="E236" s="270" t="s">
        <v>5175</v>
      </c>
      <c r="F236" s="386" t="s">
        <v>1</v>
      </c>
      <c r="G236" s="112" t="s">
        <v>8</v>
      </c>
      <c r="H236" s="493">
        <v>45989</v>
      </c>
      <c r="I236" s="25"/>
      <c r="J236" s="107" t="s">
        <v>5050</v>
      </c>
      <c r="K236" s="518"/>
      <c r="L236" s="518"/>
      <c r="M236" s="519"/>
      <c r="N236" s="520"/>
      <c r="O236" s="520"/>
      <c r="P236" s="521"/>
      <c r="Q236" s="500">
        <v>45989</v>
      </c>
      <c r="R236" s="148">
        <f t="shared" si="8"/>
        <v>0</v>
      </c>
      <c r="S236" s="633" t="s">
        <v>4026</v>
      </c>
      <c r="T236" s="201"/>
    </row>
    <row r="237" spans="1:20" ht="57.6" x14ac:dyDescent="0.3">
      <c r="A237" s="98">
        <f t="shared" si="7"/>
        <v>232</v>
      </c>
      <c r="B237" s="506">
        <v>1550</v>
      </c>
      <c r="C237" s="492">
        <v>45989</v>
      </c>
      <c r="D237" s="219">
        <v>24666440</v>
      </c>
      <c r="E237" s="270" t="s">
        <v>5176</v>
      </c>
      <c r="F237" s="386" t="s">
        <v>32</v>
      </c>
      <c r="G237" s="112" t="s">
        <v>6</v>
      </c>
      <c r="H237" s="493">
        <v>45989</v>
      </c>
      <c r="I237" s="25"/>
      <c r="J237" s="107" t="s">
        <v>106</v>
      </c>
      <c r="K237" s="518"/>
      <c r="L237" s="518"/>
      <c r="M237" s="519"/>
      <c r="N237" s="520"/>
      <c r="O237" s="520"/>
      <c r="P237" s="521"/>
      <c r="Q237" s="500">
        <v>45999</v>
      </c>
      <c r="R237" s="148">
        <f t="shared" si="8"/>
        <v>10</v>
      </c>
      <c r="S237" s="633" t="s">
        <v>1312</v>
      </c>
      <c r="T237" s="201"/>
    </row>
    <row r="238" spans="1:20" ht="47.25" customHeight="1" x14ac:dyDescent="0.3">
      <c r="A238" s="98">
        <f t="shared" si="7"/>
        <v>233</v>
      </c>
      <c r="B238" s="506">
        <v>1550</v>
      </c>
      <c r="C238" s="492">
        <v>45989</v>
      </c>
      <c r="D238" s="219">
        <v>45308624</v>
      </c>
      <c r="E238" s="270" t="s">
        <v>5177</v>
      </c>
      <c r="F238" s="386" t="s">
        <v>7</v>
      </c>
      <c r="G238" s="112" t="s">
        <v>10</v>
      </c>
      <c r="H238" s="493">
        <v>45989</v>
      </c>
      <c r="I238" s="655"/>
      <c r="J238" s="107" t="s">
        <v>2432</v>
      </c>
      <c r="K238" s="518"/>
      <c r="L238" s="518"/>
      <c r="M238" s="519"/>
      <c r="N238" s="520"/>
      <c r="O238" s="520"/>
      <c r="P238" s="521"/>
      <c r="Q238" s="500">
        <v>45989</v>
      </c>
      <c r="R238" s="148">
        <f t="shared" si="8"/>
        <v>0</v>
      </c>
      <c r="S238" s="633" t="s">
        <v>1806</v>
      </c>
      <c r="T238" s="201"/>
    </row>
    <row r="239" spans="1:20" ht="60.75" customHeight="1" x14ac:dyDescent="0.45">
      <c r="A239" s="98">
        <f t="shared" si="7"/>
        <v>234</v>
      </c>
      <c r="B239" s="506">
        <v>1550</v>
      </c>
      <c r="C239" s="492">
        <v>45989</v>
      </c>
      <c r="D239" s="219">
        <v>23129271</v>
      </c>
      <c r="E239" s="270" t="s">
        <v>5178</v>
      </c>
      <c r="F239" s="386" t="s">
        <v>1</v>
      </c>
      <c r="G239" s="112" t="s">
        <v>10</v>
      </c>
      <c r="H239" s="493">
        <v>45989</v>
      </c>
      <c r="I239" s="25"/>
      <c r="J239" s="107" t="s">
        <v>2506</v>
      </c>
      <c r="K239" s="518"/>
      <c r="L239" s="518"/>
      <c r="M239" s="519"/>
      <c r="N239" s="692"/>
      <c r="O239" s="520"/>
      <c r="P239" s="521"/>
      <c r="Q239" s="500">
        <v>45989</v>
      </c>
      <c r="R239" s="148">
        <f t="shared" si="8"/>
        <v>0</v>
      </c>
      <c r="S239" s="633" t="s">
        <v>85</v>
      </c>
      <c r="T239" s="201"/>
    </row>
    <row r="240" spans="1:20" ht="57.6" x14ac:dyDescent="0.3">
      <c r="A240" s="98">
        <f t="shared" si="7"/>
        <v>235</v>
      </c>
      <c r="B240" s="506">
        <v>1550</v>
      </c>
      <c r="C240" s="492">
        <v>45989</v>
      </c>
      <c r="D240" s="219" t="s">
        <v>5179</v>
      </c>
      <c r="E240" s="270" t="s">
        <v>5180</v>
      </c>
      <c r="F240" s="386" t="s">
        <v>39</v>
      </c>
      <c r="G240" s="112" t="s">
        <v>8</v>
      </c>
      <c r="H240" s="493">
        <v>45989</v>
      </c>
      <c r="I240" s="25"/>
      <c r="J240" s="107" t="s">
        <v>5181</v>
      </c>
      <c r="K240" s="518"/>
      <c r="L240" s="518"/>
      <c r="M240" s="519"/>
      <c r="N240" s="520"/>
      <c r="O240" s="520"/>
      <c r="P240" s="521"/>
      <c r="Q240" s="500">
        <v>45989</v>
      </c>
      <c r="R240" s="148">
        <f t="shared" si="8"/>
        <v>0</v>
      </c>
      <c r="S240" s="633" t="s">
        <v>3841</v>
      </c>
      <c r="T240" s="201"/>
    </row>
    <row r="241" spans="1:20" ht="28.8" x14ac:dyDescent="0.3">
      <c r="A241" s="98">
        <f t="shared" si="7"/>
        <v>236</v>
      </c>
      <c r="B241" s="506">
        <v>1550</v>
      </c>
      <c r="C241" s="492">
        <v>45989</v>
      </c>
      <c r="D241" s="219">
        <v>29766168</v>
      </c>
      <c r="E241" s="270" t="s">
        <v>5182</v>
      </c>
      <c r="F241" s="386" t="s">
        <v>32</v>
      </c>
      <c r="G241" s="112" t="s">
        <v>4</v>
      </c>
      <c r="H241" s="493">
        <v>45989</v>
      </c>
      <c r="I241" s="25">
        <v>10000332926</v>
      </c>
      <c r="J241" s="107" t="s">
        <v>106</v>
      </c>
      <c r="K241" s="518"/>
      <c r="L241" s="518"/>
      <c r="M241" s="519"/>
      <c r="N241" s="520"/>
      <c r="O241" s="520"/>
      <c r="P241" s="521"/>
      <c r="Q241" s="500">
        <v>45992</v>
      </c>
      <c r="R241" s="148">
        <f t="shared" si="8"/>
        <v>3</v>
      </c>
      <c r="S241" s="633" t="s">
        <v>3020</v>
      </c>
      <c r="T241" s="201"/>
    </row>
    <row r="242" spans="1:20" ht="28.8" x14ac:dyDescent="0.3">
      <c r="A242" s="98">
        <f t="shared" si="7"/>
        <v>237</v>
      </c>
      <c r="B242" s="506">
        <v>1550</v>
      </c>
      <c r="C242" s="492">
        <v>45989</v>
      </c>
      <c r="D242" s="219"/>
      <c r="E242" s="270" t="s">
        <v>5183</v>
      </c>
      <c r="F242" s="386" t="s">
        <v>40</v>
      </c>
      <c r="G242" s="112" t="s">
        <v>4</v>
      </c>
      <c r="H242" s="493">
        <v>45989</v>
      </c>
      <c r="I242" s="25"/>
      <c r="J242" s="107" t="s">
        <v>5184</v>
      </c>
      <c r="K242" s="355" t="s">
        <v>262</v>
      </c>
      <c r="L242" s="518"/>
      <c r="M242" s="519"/>
      <c r="N242" s="520"/>
      <c r="O242" s="520"/>
      <c r="P242" s="521"/>
      <c r="Q242" s="500">
        <v>45989</v>
      </c>
      <c r="R242" s="148">
        <f t="shared" si="8"/>
        <v>0</v>
      </c>
      <c r="S242" s="633" t="s">
        <v>2974</v>
      </c>
      <c r="T242" s="201"/>
    </row>
    <row r="243" spans="1:20" ht="69.75" customHeight="1" x14ac:dyDescent="0.3">
      <c r="A243" s="98">
        <f t="shared" si="7"/>
        <v>238</v>
      </c>
      <c r="B243" s="506">
        <v>1550</v>
      </c>
      <c r="C243" s="492">
        <v>45989</v>
      </c>
      <c r="D243" s="219">
        <v>112186890</v>
      </c>
      <c r="E243" s="270" t="s">
        <v>5185</v>
      </c>
      <c r="F243" s="386" t="s">
        <v>64</v>
      </c>
      <c r="G243" s="112" t="s">
        <v>10</v>
      </c>
      <c r="H243" s="493">
        <v>45989</v>
      </c>
      <c r="I243" s="25"/>
      <c r="J243" s="107" t="s">
        <v>5122</v>
      </c>
      <c r="K243" s="518"/>
      <c r="L243" s="518"/>
      <c r="M243" s="519"/>
      <c r="N243" s="520"/>
      <c r="O243" s="520"/>
      <c r="P243" s="521"/>
      <c r="Q243" s="500">
        <v>46042</v>
      </c>
      <c r="R243" s="148">
        <f t="shared" si="8"/>
        <v>53</v>
      </c>
      <c r="S243" s="633" t="s">
        <v>2209</v>
      </c>
      <c r="T243" s="201" t="s">
        <v>5186</v>
      </c>
    </row>
    <row r="244" spans="1:20" ht="57.6" x14ac:dyDescent="0.3">
      <c r="A244" s="98">
        <f t="shared" si="7"/>
        <v>239</v>
      </c>
      <c r="B244" s="506" t="s">
        <v>301</v>
      </c>
      <c r="C244" s="492">
        <v>45989</v>
      </c>
      <c r="D244" s="219">
        <v>54716489</v>
      </c>
      <c r="E244" s="270" t="s">
        <v>5187</v>
      </c>
      <c r="F244" s="386" t="s">
        <v>33</v>
      </c>
      <c r="G244" s="112" t="s">
        <v>8</v>
      </c>
      <c r="H244" s="493">
        <v>45989</v>
      </c>
      <c r="I244" s="25"/>
      <c r="J244" s="107" t="s">
        <v>5122</v>
      </c>
      <c r="K244" s="518"/>
      <c r="L244" s="518"/>
      <c r="M244" s="519"/>
      <c r="N244" s="520"/>
      <c r="O244" s="520"/>
      <c r="P244" s="521"/>
      <c r="Q244" s="500">
        <v>45992</v>
      </c>
      <c r="R244" s="148">
        <f t="shared" si="8"/>
        <v>3</v>
      </c>
      <c r="S244" s="633" t="s">
        <v>4727</v>
      </c>
      <c r="T244" s="201"/>
    </row>
    <row r="245" spans="1:20" ht="28.8" x14ac:dyDescent="0.3">
      <c r="A245" s="98">
        <f t="shared" si="7"/>
        <v>240</v>
      </c>
      <c r="B245" s="553" t="s">
        <v>1044</v>
      </c>
      <c r="C245" s="556">
        <v>45990</v>
      </c>
      <c r="D245" s="617"/>
      <c r="E245" s="270" t="s">
        <v>5188</v>
      </c>
      <c r="F245" s="386" t="s">
        <v>31</v>
      </c>
      <c r="G245" s="178" t="s">
        <v>4</v>
      </c>
      <c r="H245" s="560">
        <v>45990</v>
      </c>
      <c r="I245" s="561"/>
      <c r="J245" s="489" t="s">
        <v>5189</v>
      </c>
      <c r="K245" s="744"/>
      <c r="L245" s="744"/>
      <c r="M245" s="745"/>
      <c r="N245" s="746"/>
      <c r="O245" s="746"/>
      <c r="P245" s="747"/>
      <c r="Q245" s="500">
        <v>45992</v>
      </c>
      <c r="R245" s="148">
        <f t="shared" si="8"/>
        <v>2</v>
      </c>
      <c r="S245" s="748" t="s">
        <v>4</v>
      </c>
      <c r="T245" s="57"/>
    </row>
    <row r="246" spans="1:20" ht="28.8" x14ac:dyDescent="0.3">
      <c r="A246" s="98">
        <f t="shared" si="7"/>
        <v>241</v>
      </c>
      <c r="B246" s="111" t="s">
        <v>1826</v>
      </c>
      <c r="C246" s="512">
        <v>45990</v>
      </c>
      <c r="D246" s="219">
        <v>4278216</v>
      </c>
      <c r="E246" s="109" t="s">
        <v>5190</v>
      </c>
      <c r="F246" s="386" t="s">
        <v>1</v>
      </c>
      <c r="G246" s="125" t="s">
        <v>4</v>
      </c>
      <c r="H246" s="568">
        <v>45990</v>
      </c>
      <c r="I246" s="341"/>
      <c r="J246" s="125" t="s">
        <v>4867</v>
      </c>
      <c r="K246" s="569"/>
      <c r="L246" s="570"/>
      <c r="M246" s="570"/>
      <c r="N246" s="571"/>
      <c r="O246" s="572"/>
      <c r="P246" s="572"/>
      <c r="Q246" s="512">
        <v>45993</v>
      </c>
      <c r="R246" s="148">
        <f t="shared" si="8"/>
        <v>3</v>
      </c>
      <c r="S246" s="126" t="s">
        <v>720</v>
      </c>
      <c r="T246" s="57"/>
    </row>
    <row r="247" spans="1:20" ht="49.5" customHeight="1" x14ac:dyDescent="0.3">
      <c r="A247" s="98">
        <f t="shared" si="7"/>
        <v>242</v>
      </c>
      <c r="B247" s="111" t="s">
        <v>1044</v>
      </c>
      <c r="C247" s="512">
        <v>45990</v>
      </c>
      <c r="D247" s="773">
        <v>240953363</v>
      </c>
      <c r="E247" s="109" t="s">
        <v>5191</v>
      </c>
      <c r="F247" s="386" t="s">
        <v>17</v>
      </c>
      <c r="G247" s="127" t="s">
        <v>4</v>
      </c>
      <c r="H247" s="568">
        <v>45990</v>
      </c>
      <c r="I247" s="341"/>
      <c r="J247" s="125" t="s">
        <v>4870</v>
      </c>
      <c r="K247" s="608"/>
      <c r="L247" s="608"/>
      <c r="M247" s="608"/>
      <c r="N247" s="743"/>
      <c r="O247" s="743"/>
      <c r="P247" s="743"/>
      <c r="Q247" s="512">
        <v>46014</v>
      </c>
      <c r="R247" s="148">
        <f t="shared" si="8"/>
        <v>24</v>
      </c>
      <c r="S247" s="126" t="s">
        <v>3468</v>
      </c>
      <c r="T247" s="201"/>
    </row>
    <row r="248" spans="1:20" ht="43.2" x14ac:dyDescent="0.3">
      <c r="A248" s="98">
        <f t="shared" si="7"/>
        <v>243</v>
      </c>
      <c r="B248" s="111" t="s">
        <v>1044</v>
      </c>
      <c r="C248" s="512">
        <v>45990</v>
      </c>
      <c r="D248" s="219">
        <v>65471474</v>
      </c>
      <c r="E248" s="688" t="s">
        <v>5192</v>
      </c>
      <c r="F248" s="386" t="s">
        <v>1</v>
      </c>
      <c r="G248" s="127" t="s">
        <v>4</v>
      </c>
      <c r="H248" s="568">
        <v>45990</v>
      </c>
      <c r="I248" s="341"/>
      <c r="J248" s="125" t="s">
        <v>5193</v>
      </c>
      <c r="K248" s="569"/>
      <c r="L248" s="570"/>
      <c r="M248" s="570"/>
      <c r="N248" s="571"/>
      <c r="O248" s="572"/>
      <c r="P248" s="572"/>
      <c r="Q248" s="512">
        <v>46014</v>
      </c>
      <c r="R248" s="148">
        <f t="shared" si="8"/>
        <v>24</v>
      </c>
      <c r="S248" s="126" t="s">
        <v>3468</v>
      </c>
      <c r="T248" s="57"/>
    </row>
    <row r="249" spans="1:20" ht="28.8" x14ac:dyDescent="0.3">
      <c r="A249" s="98">
        <f t="shared" si="7"/>
        <v>244</v>
      </c>
      <c r="B249" s="554" t="s">
        <v>1044</v>
      </c>
      <c r="C249" s="573">
        <v>45990</v>
      </c>
      <c r="D249" s="664">
        <v>54778824</v>
      </c>
      <c r="E249" s="277" t="s">
        <v>5194</v>
      </c>
      <c r="F249" s="386" t="s">
        <v>55</v>
      </c>
      <c r="G249" s="81" t="s">
        <v>4</v>
      </c>
      <c r="H249" s="493">
        <v>45990</v>
      </c>
      <c r="I249" s="555"/>
      <c r="J249" s="107" t="s">
        <v>1357</v>
      </c>
      <c r="K249" s="574"/>
      <c r="L249" s="575"/>
      <c r="M249" s="576"/>
      <c r="N249" s="577"/>
      <c r="O249" s="578"/>
      <c r="P249" s="579"/>
      <c r="Q249" s="516">
        <v>46013</v>
      </c>
      <c r="R249" s="148">
        <f t="shared" si="8"/>
        <v>23</v>
      </c>
      <c r="S249" s="634" t="s">
        <v>3468</v>
      </c>
      <c r="T249" s="57"/>
    </row>
  </sheetData>
  <autoFilter ref="A3:T249" xr:uid="{8229C560-213C-454F-A06E-B5ADA3BBEA85}"/>
  <mergeCells count="1">
    <mergeCell ref="B1:T1"/>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62A31CA6-7105-40DE-A2DF-D4641DE8465F}">
          <x14:formula1>
            <xm:f>'Conceptos de Tipificación'!$A$3:$A$57</xm:f>
          </x14:formula1>
          <xm:sqref>F4:F76</xm:sqref>
        </x14:dataValidation>
        <x14:dataValidation type="list" allowBlank="1" showInputMessage="1" showErrorMessage="1" xr:uid="{18A3356A-2B87-49AC-965C-579DFF78443C}">
          <x14:formula1>
            <xm:f>'Conceptos de Tipificación'!$E$4:$E$7</xm:f>
          </x14:formula1>
          <xm:sqref>G4:G110 G115:G249</xm:sqref>
        </x14:dataValidation>
        <x14:dataValidation type="list" allowBlank="1" showInputMessage="1" showErrorMessage="1" xr:uid="{FB89F2A7-10F3-4C85-B374-9594D931ECB2}">
          <x14:formula1>
            <xm:f>'Conceptos de Tipificación'!$A$3:$A$58</xm:f>
          </x14:formula1>
          <xm:sqref>F77:F108</xm:sqref>
        </x14:dataValidation>
        <x14:dataValidation type="list" allowBlank="1" showInputMessage="1" showErrorMessage="1" xr:uid="{C565962A-2510-49BB-9A2F-62D334D7A0A1}">
          <x14:formula1>
            <xm:f>'Conceptos de Tipificación'!$A$3:$A$59</xm:f>
          </x14:formula1>
          <xm:sqref>F109:F217</xm:sqref>
        </x14:dataValidation>
        <x14:dataValidation type="list" allowBlank="1" showInputMessage="1" showErrorMessage="1" xr:uid="{F7EE7243-7DA7-4A4A-A3CC-C98BE768AE11}">
          <x14:formula1>
            <xm:f>'Conceptos de Tipificación'!$A$3:$A$60</xm:f>
          </x14:formula1>
          <xm:sqref>F218:F1048576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73241-8FD9-4694-9628-3E274A7D9B4F}">
  <sheetPr>
    <tabColor rgb="FF92D050"/>
  </sheetPr>
  <dimension ref="A1:T284"/>
  <sheetViews>
    <sheetView tabSelected="1" workbookViewId="0">
      <selection activeCell="O6" sqref="O6"/>
    </sheetView>
  </sheetViews>
  <sheetFormatPr baseColWidth="10" defaultColWidth="9.109375" defaultRowHeight="14.4" x14ac:dyDescent="0.3"/>
  <cols>
    <col min="1" max="1" width="6.5546875" customWidth="1"/>
    <col min="2" max="2" width="9.88671875" customWidth="1"/>
    <col min="3" max="3" width="12" customWidth="1"/>
    <col min="4" max="4" width="11" customWidth="1"/>
    <col min="5" max="5" width="40.44140625" customWidth="1"/>
    <col min="6" max="6" width="15.88671875" style="386" customWidth="1"/>
    <col min="7" max="7" width="11.88671875" customWidth="1"/>
    <col min="8" max="8" width="11.33203125" customWidth="1"/>
    <col min="9" max="9" width="13.88671875" customWidth="1"/>
    <col min="10" max="10" width="17.88671875" customWidth="1"/>
    <col min="12" max="12" width="11.44140625" bestFit="1" customWidth="1"/>
    <col min="17" max="17" width="14.5546875" customWidth="1"/>
    <col min="19" max="19" width="18.33203125" customWidth="1"/>
    <col min="20" max="20" width="21" customWidth="1"/>
  </cols>
  <sheetData>
    <row r="1" spans="1:20" x14ac:dyDescent="0.3">
      <c r="A1" s="24"/>
      <c r="B1" s="857" t="s">
        <v>2268</v>
      </c>
      <c r="C1" s="857"/>
      <c r="D1" s="857"/>
      <c r="E1" s="857"/>
      <c r="F1" s="857"/>
      <c r="G1" s="857"/>
      <c r="H1" s="857"/>
      <c r="I1" s="857"/>
      <c r="J1" s="857"/>
      <c r="K1" s="857"/>
      <c r="L1" s="857"/>
      <c r="M1" s="857"/>
      <c r="N1" s="857"/>
      <c r="O1" s="857"/>
      <c r="P1" s="857"/>
      <c r="Q1" s="857"/>
      <c r="R1" s="857"/>
      <c r="S1" s="857"/>
      <c r="T1" s="857"/>
    </row>
    <row r="2" spans="1:20" ht="15" thickBot="1" x14ac:dyDescent="0.35">
      <c r="A2" s="24"/>
      <c r="B2" s="319"/>
      <c r="C2" s="319"/>
      <c r="D2" s="319"/>
      <c r="E2" s="319"/>
      <c r="F2" s="319"/>
      <c r="G2" s="319"/>
      <c r="H2" s="319"/>
      <c r="I2" s="319"/>
      <c r="J2" s="319"/>
      <c r="K2" s="319"/>
      <c r="L2" s="319"/>
      <c r="M2" s="319"/>
      <c r="N2" s="319"/>
      <c r="O2" s="319"/>
      <c r="P2" s="319"/>
      <c r="Q2" s="319"/>
      <c r="R2" s="319"/>
      <c r="S2" s="319"/>
      <c r="T2" s="319"/>
    </row>
    <row r="3" spans="1:20" ht="58.2" thickBot="1" x14ac:dyDescent="0.35">
      <c r="A3" s="24"/>
      <c r="B3" s="320" t="s">
        <v>66</v>
      </c>
      <c r="C3" s="321" t="s">
        <v>67</v>
      </c>
      <c r="D3" s="322" t="s">
        <v>2269</v>
      </c>
      <c r="E3" s="389" t="s">
        <v>68</v>
      </c>
      <c r="F3" s="370" t="s">
        <v>69</v>
      </c>
      <c r="G3" s="324" t="s">
        <v>70</v>
      </c>
      <c r="H3" s="325" t="s">
        <v>71</v>
      </c>
      <c r="I3" s="326" t="s">
        <v>72</v>
      </c>
      <c r="J3" s="327" t="s">
        <v>73</v>
      </c>
      <c r="K3" s="328" t="s">
        <v>74</v>
      </c>
      <c r="L3" s="325" t="s">
        <v>71</v>
      </c>
      <c r="M3" s="327" t="s">
        <v>73</v>
      </c>
      <c r="N3" s="328" t="s">
        <v>75</v>
      </c>
      <c r="O3" s="325" t="s">
        <v>71</v>
      </c>
      <c r="P3" s="327" t="s">
        <v>73</v>
      </c>
      <c r="Q3" s="329" t="s">
        <v>76</v>
      </c>
      <c r="R3" s="323" t="s">
        <v>77</v>
      </c>
      <c r="S3" s="323" t="s">
        <v>78</v>
      </c>
      <c r="T3" s="321" t="s">
        <v>79</v>
      </c>
    </row>
    <row r="4" spans="1:20" ht="57.6" x14ac:dyDescent="0.3">
      <c r="A4" s="98">
        <v>1</v>
      </c>
      <c r="B4" s="522">
        <v>1550</v>
      </c>
      <c r="C4" s="523">
        <v>45992</v>
      </c>
      <c r="D4" s="537">
        <v>120607867</v>
      </c>
      <c r="E4" s="270" t="s">
        <v>5195</v>
      </c>
      <c r="F4" s="200" t="s">
        <v>12</v>
      </c>
      <c r="G4" s="221" t="s">
        <v>6</v>
      </c>
      <c r="H4" s="493">
        <v>45992</v>
      </c>
      <c r="I4" s="25"/>
      <c r="J4" s="100" t="s">
        <v>159</v>
      </c>
      <c r="K4" s="494"/>
      <c r="L4" s="495"/>
      <c r="M4" s="496"/>
      <c r="N4" s="497"/>
      <c r="O4" s="498"/>
      <c r="P4" s="499"/>
      <c r="Q4" s="529">
        <v>45992</v>
      </c>
      <c r="R4" s="148">
        <f>Q4-H4</f>
        <v>0</v>
      </c>
      <c r="S4" s="200" t="s">
        <v>2808</v>
      </c>
      <c r="T4" s="629"/>
    </row>
    <row r="5" spans="1:20" ht="43.2" x14ac:dyDescent="0.3">
      <c r="A5" s="98">
        <f t="shared" ref="A5:A68" si="0">A4+1</f>
        <v>2</v>
      </c>
      <c r="B5" s="522">
        <v>1550</v>
      </c>
      <c r="C5" s="523">
        <v>45992</v>
      </c>
      <c r="D5" s="135">
        <v>68694490</v>
      </c>
      <c r="E5" s="635" t="s">
        <v>5196</v>
      </c>
      <c r="F5" s="200" t="s">
        <v>23</v>
      </c>
      <c r="G5" s="221" t="s">
        <v>8</v>
      </c>
      <c r="H5" s="493">
        <v>45992</v>
      </c>
      <c r="I5" s="25"/>
      <c r="J5" s="100" t="s">
        <v>135</v>
      </c>
      <c r="K5" s="494"/>
      <c r="L5" s="495"/>
      <c r="M5" s="496"/>
      <c r="N5" s="497"/>
      <c r="O5" s="498"/>
      <c r="P5" s="499"/>
      <c r="Q5" s="529">
        <v>45992</v>
      </c>
      <c r="R5" s="148">
        <f t="shared" ref="R5:R81" si="1">Q5-H5</f>
        <v>0</v>
      </c>
      <c r="S5" s="200" t="s">
        <v>3146</v>
      </c>
      <c r="T5" s="535"/>
    </row>
    <row r="6" spans="1:20" ht="57.6" x14ac:dyDescent="0.3">
      <c r="A6" s="98">
        <f t="shared" si="0"/>
        <v>3</v>
      </c>
      <c r="B6" s="536">
        <v>1550</v>
      </c>
      <c r="C6" s="523">
        <v>45992</v>
      </c>
      <c r="D6" s="630">
        <v>118539779</v>
      </c>
      <c r="E6" s="308" t="s">
        <v>5197</v>
      </c>
      <c r="F6" s="200" t="s">
        <v>12</v>
      </c>
      <c r="G6" s="221" t="s">
        <v>6</v>
      </c>
      <c r="H6" s="493">
        <v>45992</v>
      </c>
      <c r="I6" s="25"/>
      <c r="J6" s="100" t="s">
        <v>159</v>
      </c>
      <c r="K6" s="494"/>
      <c r="L6" s="495"/>
      <c r="M6" s="496"/>
      <c r="N6" s="497"/>
      <c r="O6" s="498"/>
      <c r="P6" s="499"/>
      <c r="Q6" s="529">
        <v>45992</v>
      </c>
      <c r="R6" s="148">
        <f>Q6-H6</f>
        <v>0</v>
      </c>
      <c r="S6" s="200" t="s">
        <v>2597</v>
      </c>
      <c r="T6" s="535"/>
    </row>
    <row r="7" spans="1:20" ht="43.2" x14ac:dyDescent="0.3">
      <c r="A7" s="98">
        <f t="shared" si="0"/>
        <v>4</v>
      </c>
      <c r="B7" s="536" t="s">
        <v>1826</v>
      </c>
      <c r="C7" s="652">
        <v>45992</v>
      </c>
      <c r="D7" s="36">
        <v>48180459</v>
      </c>
      <c r="E7" s="275" t="s">
        <v>5198</v>
      </c>
      <c r="F7" s="653" t="s">
        <v>55</v>
      </c>
      <c r="G7" s="221" t="s">
        <v>4</v>
      </c>
      <c r="H7" s="493">
        <v>45992</v>
      </c>
      <c r="I7" s="25"/>
      <c r="J7" s="100" t="s">
        <v>159</v>
      </c>
      <c r="K7" s="494"/>
      <c r="L7" s="495"/>
      <c r="M7" s="496"/>
      <c r="N7" s="497"/>
      <c r="O7" s="498"/>
      <c r="P7" s="499"/>
      <c r="Q7" s="529">
        <v>46010</v>
      </c>
      <c r="R7" s="148">
        <f t="shared" si="1"/>
        <v>18</v>
      </c>
      <c r="S7" s="200" t="s">
        <v>3020</v>
      </c>
      <c r="T7" s="540"/>
    </row>
    <row r="8" spans="1:20" x14ac:dyDescent="0.3">
      <c r="A8" s="98">
        <f t="shared" si="0"/>
        <v>5</v>
      </c>
      <c r="B8" s="651" t="s">
        <v>1826</v>
      </c>
      <c r="C8" s="650">
        <v>45992</v>
      </c>
      <c r="D8" s="219">
        <v>107799200</v>
      </c>
      <c r="E8" s="109" t="s">
        <v>5199</v>
      </c>
      <c r="F8" s="219" t="s">
        <v>17</v>
      </c>
      <c r="G8" s="221" t="s">
        <v>4</v>
      </c>
      <c r="H8" s="493">
        <v>45992</v>
      </c>
      <c r="I8" s="25"/>
      <c r="J8" s="100" t="s">
        <v>4870</v>
      </c>
      <c r="K8" s="494"/>
      <c r="L8" s="495"/>
      <c r="M8" s="496"/>
      <c r="N8" s="497"/>
      <c r="O8" s="498"/>
      <c r="P8" s="499"/>
      <c r="Q8" s="529">
        <v>46013</v>
      </c>
      <c r="R8" s="148">
        <f t="shared" si="1"/>
        <v>21</v>
      </c>
      <c r="S8" s="200" t="s">
        <v>3020</v>
      </c>
      <c r="T8" s="535"/>
    </row>
    <row r="9" spans="1:20" ht="43.2" x14ac:dyDescent="0.3">
      <c r="A9" s="98">
        <f t="shared" si="0"/>
        <v>6</v>
      </c>
      <c r="B9" s="651">
        <v>1550</v>
      </c>
      <c r="C9" s="650">
        <v>45992</v>
      </c>
      <c r="D9" s="123">
        <v>57623554</v>
      </c>
      <c r="E9" s="175" t="s">
        <v>5200</v>
      </c>
      <c r="F9" s="219" t="s">
        <v>1</v>
      </c>
      <c r="G9" s="221" t="s">
        <v>8</v>
      </c>
      <c r="H9" s="493">
        <v>45992</v>
      </c>
      <c r="I9" s="25"/>
      <c r="J9" s="100" t="s">
        <v>5201</v>
      </c>
      <c r="K9" s="494"/>
      <c r="L9" s="495"/>
      <c r="M9" s="496"/>
      <c r="N9" s="497"/>
      <c r="O9" s="498"/>
      <c r="P9" s="499"/>
      <c r="Q9" s="539">
        <v>46025</v>
      </c>
      <c r="R9" s="148">
        <f>Q9-H9</f>
        <v>33</v>
      </c>
      <c r="S9" s="200" t="s">
        <v>3418</v>
      </c>
      <c r="T9" s="315"/>
    </row>
    <row r="10" spans="1:20" ht="43.2" x14ac:dyDescent="0.3">
      <c r="A10" s="98">
        <f t="shared" si="0"/>
        <v>7</v>
      </c>
      <c r="B10" s="651" t="s">
        <v>1044</v>
      </c>
      <c r="C10" s="650">
        <v>45992</v>
      </c>
      <c r="D10" s="63">
        <v>4565797</v>
      </c>
      <c r="E10" s="254" t="s">
        <v>5202</v>
      </c>
      <c r="F10" s="219" t="s">
        <v>38</v>
      </c>
      <c r="G10" s="221" t="s">
        <v>6</v>
      </c>
      <c r="H10" s="493">
        <v>45992</v>
      </c>
      <c r="I10" s="25"/>
      <c r="J10" s="100" t="s">
        <v>14</v>
      </c>
      <c r="K10" s="494"/>
      <c r="L10" s="495"/>
      <c r="M10" s="496"/>
      <c r="N10" s="497"/>
      <c r="O10" s="498"/>
      <c r="P10" s="499"/>
      <c r="Q10" s="539">
        <v>46013</v>
      </c>
      <c r="R10" s="148">
        <f t="shared" si="1"/>
        <v>21</v>
      </c>
      <c r="S10" s="200" t="s">
        <v>2597</v>
      </c>
      <c r="T10" s="315"/>
    </row>
    <row r="11" spans="1:20" ht="43.2" x14ac:dyDescent="0.3">
      <c r="A11" s="98">
        <f t="shared" si="0"/>
        <v>8</v>
      </c>
      <c r="B11" s="651" t="s">
        <v>1044</v>
      </c>
      <c r="C11" s="650">
        <v>45992</v>
      </c>
      <c r="D11" s="63">
        <v>120506734</v>
      </c>
      <c r="E11" s="254" t="s">
        <v>5203</v>
      </c>
      <c r="F11" s="219" t="s">
        <v>38</v>
      </c>
      <c r="G11" s="221" t="s">
        <v>6</v>
      </c>
      <c r="H11" s="493">
        <v>45992</v>
      </c>
      <c r="I11" s="25"/>
      <c r="J11" s="100" t="s">
        <v>5204</v>
      </c>
      <c r="K11" s="494"/>
      <c r="L11" s="495"/>
      <c r="M11" s="496"/>
      <c r="N11" s="497"/>
      <c r="O11" s="498"/>
      <c r="P11" s="499"/>
      <c r="Q11" s="539">
        <v>46013</v>
      </c>
      <c r="R11" s="148">
        <f t="shared" si="1"/>
        <v>21</v>
      </c>
      <c r="S11" s="200" t="s">
        <v>2597</v>
      </c>
      <c r="T11" s="535"/>
    </row>
    <row r="12" spans="1:20" ht="43.2" x14ac:dyDescent="0.3">
      <c r="A12" s="98">
        <f t="shared" si="0"/>
        <v>9</v>
      </c>
      <c r="B12" s="536" t="s">
        <v>1044</v>
      </c>
      <c r="C12" s="650"/>
      <c r="D12">
        <v>99745720</v>
      </c>
      <c r="E12" s="254" t="s">
        <v>5205</v>
      </c>
      <c r="F12" s="200" t="s">
        <v>38</v>
      </c>
      <c r="G12" s="221" t="s">
        <v>6</v>
      </c>
      <c r="H12" s="493">
        <v>45992</v>
      </c>
      <c r="I12" s="25"/>
      <c r="J12" s="100" t="s">
        <v>5204</v>
      </c>
      <c r="K12" s="494"/>
      <c r="L12" s="495"/>
      <c r="M12" s="496"/>
      <c r="N12" s="497"/>
      <c r="O12" s="498"/>
      <c r="P12" s="499"/>
      <c r="Q12" s="539">
        <v>45992</v>
      </c>
      <c r="R12" s="148">
        <f t="shared" si="1"/>
        <v>0</v>
      </c>
      <c r="S12" s="200" t="s">
        <v>2597</v>
      </c>
      <c r="T12" s="535"/>
    </row>
    <row r="13" spans="1:20" ht="115.2" x14ac:dyDescent="0.3">
      <c r="A13" s="98">
        <f t="shared" si="0"/>
        <v>10</v>
      </c>
      <c r="B13" s="651">
        <v>1550</v>
      </c>
      <c r="C13" s="650">
        <v>45992</v>
      </c>
      <c r="D13" s="541">
        <v>35822589</v>
      </c>
      <c r="E13" s="254" t="s">
        <v>5206</v>
      </c>
      <c r="F13" s="219" t="s">
        <v>1</v>
      </c>
      <c r="G13" s="221" t="s">
        <v>10</v>
      </c>
      <c r="H13" s="493">
        <v>45992</v>
      </c>
      <c r="I13" s="25"/>
      <c r="J13" s="100" t="s">
        <v>2504</v>
      </c>
      <c r="K13" s="494"/>
      <c r="L13" s="495"/>
      <c r="M13" s="496"/>
      <c r="N13" s="497"/>
      <c r="O13" s="498"/>
      <c r="P13" s="499"/>
      <c r="Q13" s="539">
        <v>45993</v>
      </c>
      <c r="R13" s="148">
        <f t="shared" si="1"/>
        <v>1</v>
      </c>
      <c r="S13" s="200" t="s">
        <v>2209</v>
      </c>
      <c r="T13" s="315"/>
    </row>
    <row r="14" spans="1:20" ht="57.6" x14ac:dyDescent="0.3">
      <c r="A14" s="98">
        <f t="shared" si="0"/>
        <v>11</v>
      </c>
      <c r="B14" s="651" t="s">
        <v>301</v>
      </c>
      <c r="C14" s="650">
        <v>45992</v>
      </c>
      <c r="D14" s="541" t="s">
        <v>5207</v>
      </c>
      <c r="E14" s="270" t="s">
        <v>5208</v>
      </c>
      <c r="F14" s="219" t="s">
        <v>12</v>
      </c>
      <c r="G14" s="221" t="s">
        <v>10</v>
      </c>
      <c r="H14" s="493">
        <v>45992</v>
      </c>
      <c r="I14" s="25"/>
      <c r="J14" s="100" t="s">
        <v>1357</v>
      </c>
      <c r="K14" s="494"/>
      <c r="L14" s="495"/>
      <c r="M14" s="496"/>
      <c r="N14" s="497"/>
      <c r="O14" s="498"/>
      <c r="P14" s="499"/>
      <c r="Q14" s="539">
        <v>45993</v>
      </c>
      <c r="R14" s="148">
        <f t="shared" si="1"/>
        <v>1</v>
      </c>
      <c r="S14" s="200" t="s">
        <v>214</v>
      </c>
      <c r="T14" s="315"/>
    </row>
    <row r="15" spans="1:20" ht="43.2" x14ac:dyDescent="0.3">
      <c r="A15" s="98">
        <f t="shared" si="0"/>
        <v>12</v>
      </c>
      <c r="B15" s="651" t="s">
        <v>80</v>
      </c>
      <c r="C15" s="650">
        <v>45992</v>
      </c>
      <c r="D15" s="541">
        <v>71184902</v>
      </c>
      <c r="E15" s="308" t="s">
        <v>5209</v>
      </c>
      <c r="F15" s="219" t="s">
        <v>48</v>
      </c>
      <c r="G15" s="221" t="s">
        <v>10</v>
      </c>
      <c r="H15" s="493">
        <v>45992</v>
      </c>
      <c r="J15" s="100" t="s">
        <v>1357</v>
      </c>
      <c r="K15" s="494"/>
      <c r="L15" s="495"/>
      <c r="M15" s="496"/>
      <c r="N15" s="497"/>
      <c r="O15" s="498"/>
      <c r="P15" s="499"/>
      <c r="Q15" s="539">
        <v>46009</v>
      </c>
      <c r="R15" s="148">
        <f t="shared" si="1"/>
        <v>17</v>
      </c>
      <c r="S15" s="200" t="s">
        <v>85</v>
      </c>
      <c r="T15" s="315"/>
    </row>
    <row r="16" spans="1:20" ht="28.8" x14ac:dyDescent="0.3">
      <c r="A16" s="98">
        <f t="shared" si="0"/>
        <v>13</v>
      </c>
      <c r="B16" s="651">
        <v>1550</v>
      </c>
      <c r="C16" s="650">
        <v>45993</v>
      </c>
      <c r="D16" s="541">
        <v>110141954</v>
      </c>
      <c r="E16" s="270" t="s">
        <v>5210</v>
      </c>
      <c r="F16" s="219" t="s">
        <v>30</v>
      </c>
      <c r="G16" s="221" t="s">
        <v>4</v>
      </c>
      <c r="H16" s="493">
        <v>45993</v>
      </c>
      <c r="I16" s="25"/>
      <c r="J16" s="100" t="s">
        <v>5136</v>
      </c>
      <c r="K16" s="494"/>
      <c r="L16" s="495"/>
      <c r="M16" s="496"/>
      <c r="N16" s="497"/>
      <c r="O16" s="498"/>
      <c r="P16" s="499"/>
      <c r="Q16" s="539">
        <v>45994</v>
      </c>
      <c r="R16" s="148">
        <f t="shared" si="1"/>
        <v>1</v>
      </c>
      <c r="S16" s="200" t="s">
        <v>1985</v>
      </c>
      <c r="T16" s="315"/>
    </row>
    <row r="17" spans="1:20" ht="43.2" x14ac:dyDescent="0.3">
      <c r="A17" s="98">
        <f t="shared" si="0"/>
        <v>14</v>
      </c>
      <c r="B17" s="651">
        <v>1550</v>
      </c>
      <c r="C17" s="650">
        <v>45993</v>
      </c>
      <c r="D17" s="541">
        <v>94924333</v>
      </c>
      <c r="E17" s="270" t="s">
        <v>5211</v>
      </c>
      <c r="F17" s="219" t="s">
        <v>48</v>
      </c>
      <c r="G17" s="221" t="s">
        <v>4</v>
      </c>
      <c r="H17" s="493">
        <v>45993</v>
      </c>
      <c r="I17" s="25"/>
      <c r="J17" s="107" t="s">
        <v>99</v>
      </c>
      <c r="K17" s="494"/>
      <c r="L17" s="495"/>
      <c r="M17" s="496"/>
      <c r="N17" s="497"/>
      <c r="O17" s="498"/>
      <c r="P17" s="499"/>
      <c r="Q17" s="539">
        <v>45995</v>
      </c>
      <c r="R17" s="148">
        <f t="shared" si="1"/>
        <v>2</v>
      </c>
      <c r="S17" s="200" t="s">
        <v>2979</v>
      </c>
      <c r="T17" s="535" t="s">
        <v>5212</v>
      </c>
    </row>
    <row r="18" spans="1:20" ht="43.2" x14ac:dyDescent="0.3">
      <c r="A18" s="98">
        <f t="shared" si="0"/>
        <v>15</v>
      </c>
      <c r="B18" s="651" t="s">
        <v>80</v>
      </c>
      <c r="C18" s="650">
        <v>45993</v>
      </c>
      <c r="D18" s="541">
        <v>19823762</v>
      </c>
      <c r="E18" s="270" t="s">
        <v>5213</v>
      </c>
      <c r="F18" s="219" t="s">
        <v>48</v>
      </c>
      <c r="G18" s="221" t="s">
        <v>10</v>
      </c>
      <c r="H18" s="493">
        <v>45993</v>
      </c>
      <c r="I18" s="25"/>
      <c r="J18" s="107" t="s">
        <v>99</v>
      </c>
      <c r="K18" s="494"/>
      <c r="L18" s="495"/>
      <c r="M18" s="496"/>
      <c r="N18" s="497"/>
      <c r="O18" s="498"/>
      <c r="P18" s="499"/>
      <c r="Q18" s="539">
        <v>45995</v>
      </c>
      <c r="R18" s="148">
        <f t="shared" si="1"/>
        <v>2</v>
      </c>
      <c r="S18" s="200" t="s">
        <v>85</v>
      </c>
      <c r="T18" s="535" t="s">
        <v>5214</v>
      </c>
    </row>
    <row r="19" spans="1:20" ht="43.2" x14ac:dyDescent="0.3">
      <c r="A19" s="98">
        <f t="shared" si="0"/>
        <v>16</v>
      </c>
      <c r="B19" s="651" t="s">
        <v>80</v>
      </c>
      <c r="C19" s="650">
        <v>45993</v>
      </c>
      <c r="D19" s="541">
        <v>5287049</v>
      </c>
      <c r="E19" s="270" t="s">
        <v>5215</v>
      </c>
      <c r="F19" s="219" t="s">
        <v>48</v>
      </c>
      <c r="G19" s="221" t="s">
        <v>10</v>
      </c>
      <c r="H19" s="493">
        <v>45993</v>
      </c>
      <c r="I19" s="25"/>
      <c r="J19" s="107" t="s">
        <v>99</v>
      </c>
      <c r="K19" s="494"/>
      <c r="L19" s="495"/>
      <c r="M19" s="496"/>
      <c r="N19" s="497"/>
      <c r="O19" s="498"/>
      <c r="P19" s="499"/>
      <c r="Q19" s="539">
        <v>45995</v>
      </c>
      <c r="R19" s="148">
        <f t="shared" si="1"/>
        <v>2</v>
      </c>
      <c r="S19" s="200" t="s">
        <v>85</v>
      </c>
      <c r="T19" s="535" t="s">
        <v>5216</v>
      </c>
    </row>
    <row r="20" spans="1:20" ht="28.8" x14ac:dyDescent="0.3">
      <c r="A20" s="98">
        <f t="shared" si="0"/>
        <v>17</v>
      </c>
      <c r="B20" s="651">
        <v>1550</v>
      </c>
      <c r="C20" s="650">
        <v>45993</v>
      </c>
      <c r="D20" s="541">
        <v>113876300</v>
      </c>
      <c r="E20" s="270" t="s">
        <v>5217</v>
      </c>
      <c r="F20" s="219" t="s">
        <v>1</v>
      </c>
      <c r="G20" s="221" t="s">
        <v>4</v>
      </c>
      <c r="H20" s="493">
        <v>45993</v>
      </c>
      <c r="I20" s="25"/>
      <c r="J20" s="100" t="s">
        <v>2411</v>
      </c>
      <c r="K20" s="494"/>
      <c r="L20" s="495"/>
      <c r="M20" s="496"/>
      <c r="N20" s="497"/>
      <c r="O20" s="498"/>
      <c r="P20" s="499"/>
      <c r="Q20" s="539">
        <v>45994</v>
      </c>
      <c r="R20" s="148">
        <f t="shared" si="1"/>
        <v>1</v>
      </c>
      <c r="S20" s="200" t="s">
        <v>2974</v>
      </c>
      <c r="T20" s="542"/>
    </row>
    <row r="21" spans="1:20" ht="57.6" x14ac:dyDescent="0.3">
      <c r="A21" s="98">
        <f t="shared" si="0"/>
        <v>18</v>
      </c>
      <c r="B21" s="651">
        <v>1550</v>
      </c>
      <c r="C21" s="650">
        <v>45994</v>
      </c>
      <c r="D21" s="543">
        <v>89833023</v>
      </c>
      <c r="E21" s="270" t="s">
        <v>5218</v>
      </c>
      <c r="F21" s="219" t="s">
        <v>14</v>
      </c>
      <c r="G21" s="221" t="s">
        <v>6</v>
      </c>
      <c r="H21" s="493">
        <v>45994</v>
      </c>
      <c r="I21" s="25"/>
      <c r="J21" s="100" t="s">
        <v>159</v>
      </c>
      <c r="K21" s="494"/>
      <c r="L21" s="495"/>
      <c r="M21" s="496"/>
      <c r="N21" s="497"/>
      <c r="O21" s="498"/>
      <c r="P21" s="499"/>
      <c r="Q21" s="539">
        <v>45998</v>
      </c>
      <c r="R21" s="148">
        <f t="shared" si="1"/>
        <v>4</v>
      </c>
      <c r="S21" s="200" t="s">
        <v>2597</v>
      </c>
      <c r="T21" s="315"/>
    </row>
    <row r="22" spans="1:20" ht="43.2" x14ac:dyDescent="0.3">
      <c r="A22" s="98">
        <f t="shared" si="0"/>
        <v>19</v>
      </c>
      <c r="B22" s="651">
        <v>1550</v>
      </c>
      <c r="C22" s="650">
        <v>45994</v>
      </c>
      <c r="D22" s="543">
        <v>60382791</v>
      </c>
      <c r="E22" s="308" t="s">
        <v>5219</v>
      </c>
      <c r="F22" s="219" t="s">
        <v>33</v>
      </c>
      <c r="G22" s="221" t="s">
        <v>6</v>
      </c>
      <c r="H22" s="493">
        <v>45994</v>
      </c>
      <c r="I22" s="25"/>
      <c r="J22" s="107" t="s">
        <v>99</v>
      </c>
      <c r="K22" s="494"/>
      <c r="L22" s="495"/>
      <c r="M22" s="496"/>
      <c r="N22" s="497"/>
      <c r="O22" s="498"/>
      <c r="P22" s="499"/>
      <c r="Q22" s="539">
        <v>45994</v>
      </c>
      <c r="R22" s="148">
        <f t="shared" si="1"/>
        <v>0</v>
      </c>
      <c r="S22" s="200" t="s">
        <v>1893</v>
      </c>
      <c r="T22" s="535"/>
    </row>
    <row r="23" spans="1:20" ht="43.2" x14ac:dyDescent="0.3">
      <c r="A23" s="98">
        <f t="shared" si="0"/>
        <v>20</v>
      </c>
      <c r="B23" s="651">
        <v>1550</v>
      </c>
      <c r="C23" s="650">
        <v>45994</v>
      </c>
      <c r="D23" s="543">
        <v>93899823</v>
      </c>
      <c r="E23" s="308" t="s">
        <v>5220</v>
      </c>
      <c r="F23" s="219" t="s">
        <v>7</v>
      </c>
      <c r="G23" s="221" t="s">
        <v>4</v>
      </c>
      <c r="H23" s="493">
        <v>45994</v>
      </c>
      <c r="I23" s="25"/>
      <c r="J23" s="100" t="s">
        <v>159</v>
      </c>
      <c r="K23" s="494" t="s">
        <v>393</v>
      </c>
      <c r="L23" s="495"/>
      <c r="M23" s="496"/>
      <c r="N23" s="497"/>
      <c r="O23" s="498"/>
      <c r="P23" s="499"/>
      <c r="Q23" s="539">
        <v>45994</v>
      </c>
      <c r="R23" s="148">
        <f t="shared" si="1"/>
        <v>0</v>
      </c>
      <c r="S23" s="200" t="s">
        <v>3047</v>
      </c>
      <c r="T23" s="535"/>
    </row>
    <row r="24" spans="1:20" ht="43.2" x14ac:dyDescent="0.3">
      <c r="A24" s="98">
        <f t="shared" si="0"/>
        <v>21</v>
      </c>
      <c r="B24" s="651" t="s">
        <v>301</v>
      </c>
      <c r="C24" s="650">
        <v>45994</v>
      </c>
      <c r="D24" s="543">
        <v>12472654</v>
      </c>
      <c r="E24" s="270" t="s">
        <v>5221</v>
      </c>
      <c r="F24" s="219" t="s">
        <v>7</v>
      </c>
      <c r="G24" s="221" t="s">
        <v>6</v>
      </c>
      <c r="H24" s="493">
        <v>45994</v>
      </c>
      <c r="I24" s="25"/>
      <c r="J24" s="100" t="s">
        <v>5222</v>
      </c>
      <c r="K24" s="494"/>
      <c r="L24" s="495"/>
      <c r="M24" s="496"/>
      <c r="N24" s="497"/>
      <c r="O24" s="498"/>
      <c r="P24" s="499"/>
      <c r="Q24" s="539">
        <v>45995</v>
      </c>
      <c r="R24" s="148">
        <f t="shared" si="1"/>
        <v>1</v>
      </c>
      <c r="S24" s="200" t="s">
        <v>2808</v>
      </c>
      <c r="T24" s="315"/>
    </row>
    <row r="25" spans="1:20" ht="28.8" x14ac:dyDescent="0.3">
      <c r="A25" s="98">
        <f t="shared" si="0"/>
        <v>22</v>
      </c>
      <c r="B25" s="651">
        <v>1550</v>
      </c>
      <c r="C25" s="650">
        <v>45994</v>
      </c>
      <c r="D25" s="543">
        <v>40422348</v>
      </c>
      <c r="E25" s="270" t="s">
        <v>5223</v>
      </c>
      <c r="F25" s="219" t="s">
        <v>1</v>
      </c>
      <c r="G25" s="221" t="s">
        <v>4</v>
      </c>
      <c r="H25" s="493">
        <v>45994</v>
      </c>
      <c r="I25" s="25"/>
      <c r="J25" s="100" t="s">
        <v>4020</v>
      </c>
      <c r="K25" s="494"/>
      <c r="L25" s="495"/>
      <c r="M25" s="496"/>
      <c r="N25" s="497"/>
      <c r="O25" s="498"/>
      <c r="P25" s="499"/>
      <c r="Q25" s="539">
        <v>45999</v>
      </c>
      <c r="R25" s="148">
        <f t="shared" si="1"/>
        <v>5</v>
      </c>
      <c r="S25" s="200" t="s">
        <v>2974</v>
      </c>
      <c r="T25" s="315"/>
    </row>
    <row r="26" spans="1:20" ht="28.8" x14ac:dyDescent="0.3">
      <c r="A26" s="98">
        <f t="shared" si="0"/>
        <v>23</v>
      </c>
      <c r="B26" s="651">
        <v>1550</v>
      </c>
      <c r="C26" s="650">
        <v>45994</v>
      </c>
      <c r="D26" s="543">
        <v>29393876</v>
      </c>
      <c r="E26" s="270" t="s">
        <v>5224</v>
      </c>
      <c r="F26" s="200" t="s">
        <v>7</v>
      </c>
      <c r="G26" s="221" t="s">
        <v>4</v>
      </c>
      <c r="H26" s="493">
        <v>45994</v>
      </c>
      <c r="I26" s="25"/>
      <c r="J26" s="100" t="s">
        <v>2513</v>
      </c>
      <c r="K26" s="494"/>
      <c r="L26" s="495"/>
      <c r="M26" s="496"/>
      <c r="N26" s="497"/>
      <c r="O26" s="498"/>
      <c r="P26" s="499"/>
      <c r="Q26" s="539">
        <v>45995</v>
      </c>
      <c r="R26" s="148">
        <f t="shared" si="1"/>
        <v>1</v>
      </c>
      <c r="S26" s="200" t="s">
        <v>3047</v>
      </c>
      <c r="T26" s="535"/>
    </row>
    <row r="27" spans="1:20" ht="72" x14ac:dyDescent="0.3">
      <c r="A27" s="98">
        <f t="shared" si="0"/>
        <v>24</v>
      </c>
      <c r="B27" s="651">
        <v>1550</v>
      </c>
      <c r="C27" s="650">
        <v>45994</v>
      </c>
      <c r="D27" s="543">
        <v>89833023</v>
      </c>
      <c r="E27" s="270" t="s">
        <v>5225</v>
      </c>
      <c r="F27" s="200" t="s">
        <v>14</v>
      </c>
      <c r="G27" s="221" t="s">
        <v>6</v>
      </c>
      <c r="H27" s="493">
        <v>45994</v>
      </c>
      <c r="I27" s="25"/>
      <c r="J27" s="100" t="s">
        <v>159</v>
      </c>
      <c r="K27" s="494"/>
      <c r="L27" s="495"/>
      <c r="M27" s="496"/>
      <c r="N27" s="497"/>
      <c r="O27" s="498"/>
      <c r="P27" s="499"/>
      <c r="Q27" s="539">
        <v>45994</v>
      </c>
      <c r="R27" s="148">
        <f t="shared" si="1"/>
        <v>0</v>
      </c>
      <c r="S27" s="200" t="s">
        <v>3418</v>
      </c>
      <c r="T27" s="766"/>
    </row>
    <row r="28" spans="1:20" x14ac:dyDescent="0.3">
      <c r="A28" s="98">
        <f t="shared" si="0"/>
        <v>25</v>
      </c>
      <c r="B28" s="536" t="s">
        <v>1044</v>
      </c>
      <c r="C28" s="546">
        <v>45994</v>
      </c>
      <c r="D28" s="543"/>
      <c r="E28" s="270" t="s">
        <v>5226</v>
      </c>
      <c r="F28" s="200" t="s">
        <v>31</v>
      </c>
      <c r="G28" s="221" t="s">
        <v>4</v>
      </c>
      <c r="H28" s="493">
        <v>45994</v>
      </c>
      <c r="I28" s="25"/>
      <c r="J28" s="100" t="s">
        <v>3297</v>
      </c>
      <c r="K28" s="494"/>
      <c r="L28" s="495"/>
      <c r="M28" s="496"/>
      <c r="N28" s="497"/>
      <c r="O28" s="498"/>
      <c r="P28" s="499"/>
      <c r="Q28" s="539">
        <v>45994</v>
      </c>
      <c r="R28" s="148">
        <f t="shared" si="1"/>
        <v>0</v>
      </c>
      <c r="S28" s="200" t="s">
        <v>1569</v>
      </c>
      <c r="T28" s="535"/>
    </row>
    <row r="29" spans="1:20" ht="28.8" x14ac:dyDescent="0.3">
      <c r="A29" s="98">
        <f t="shared" si="0"/>
        <v>26</v>
      </c>
      <c r="B29" s="536">
        <v>1550</v>
      </c>
      <c r="C29" s="546">
        <v>45994</v>
      </c>
      <c r="D29" s="543">
        <v>107777851</v>
      </c>
      <c r="E29" s="270" t="s">
        <v>5227</v>
      </c>
      <c r="F29" s="200" t="s">
        <v>1</v>
      </c>
      <c r="G29" s="221" t="s">
        <v>8</v>
      </c>
      <c r="H29" s="493">
        <v>45994</v>
      </c>
      <c r="I29" s="25"/>
      <c r="J29" s="100" t="s">
        <v>5201</v>
      </c>
      <c r="K29" s="494"/>
      <c r="L29" s="495"/>
      <c r="M29" s="496"/>
      <c r="N29" s="497"/>
      <c r="O29" s="498"/>
      <c r="P29" s="499"/>
      <c r="Q29" s="539">
        <v>46021</v>
      </c>
      <c r="R29" s="148">
        <f t="shared" si="1"/>
        <v>27</v>
      </c>
      <c r="S29" s="200" t="s">
        <v>3841</v>
      </c>
      <c r="T29" s="315"/>
    </row>
    <row r="30" spans="1:20" ht="43.2" x14ac:dyDescent="0.3">
      <c r="A30" s="98">
        <f t="shared" si="0"/>
        <v>27</v>
      </c>
      <c r="B30" s="536">
        <v>1550</v>
      </c>
      <c r="C30" s="546">
        <v>45994</v>
      </c>
      <c r="D30" s="543">
        <v>64887308</v>
      </c>
      <c r="E30" s="270" t="s">
        <v>5228</v>
      </c>
      <c r="F30" s="200" t="s">
        <v>3</v>
      </c>
      <c r="G30" s="221" t="s">
        <v>8</v>
      </c>
      <c r="H30" s="493">
        <v>45994</v>
      </c>
      <c r="I30" s="25"/>
      <c r="J30" s="100" t="s">
        <v>5229</v>
      </c>
      <c r="K30" s="494"/>
      <c r="L30" s="495"/>
      <c r="M30" s="496"/>
      <c r="N30" s="497"/>
      <c r="O30" s="498"/>
      <c r="P30" s="499"/>
      <c r="Q30" s="539">
        <v>45999</v>
      </c>
      <c r="R30" s="148">
        <f t="shared" si="1"/>
        <v>5</v>
      </c>
      <c r="S30" s="200" t="s">
        <v>3418</v>
      </c>
      <c r="T30" s="315"/>
    </row>
    <row r="31" spans="1:20" ht="43.2" x14ac:dyDescent="0.3">
      <c r="A31" s="98">
        <f t="shared" si="0"/>
        <v>28</v>
      </c>
      <c r="B31" s="536">
        <v>1550</v>
      </c>
      <c r="C31" s="546">
        <v>45994</v>
      </c>
      <c r="D31" s="543">
        <v>80950027</v>
      </c>
      <c r="E31" s="270" t="s">
        <v>5230</v>
      </c>
      <c r="F31" s="200" t="s">
        <v>1</v>
      </c>
      <c r="G31" s="221" t="s">
        <v>8</v>
      </c>
      <c r="H31" s="493">
        <v>45994</v>
      </c>
      <c r="I31" s="25"/>
      <c r="J31" s="774" t="s">
        <v>99</v>
      </c>
      <c r="K31" s="494"/>
      <c r="L31" s="495"/>
      <c r="M31" s="496"/>
      <c r="N31" s="497"/>
      <c r="O31" s="498"/>
      <c r="P31" s="499"/>
      <c r="Q31" s="539">
        <v>46000</v>
      </c>
      <c r="R31" s="148">
        <f t="shared" si="1"/>
        <v>6</v>
      </c>
      <c r="S31" s="200" t="s">
        <v>3146</v>
      </c>
      <c r="T31" s="535"/>
    </row>
    <row r="32" spans="1:20" x14ac:dyDescent="0.3">
      <c r="A32" s="98">
        <f t="shared" si="0"/>
        <v>29</v>
      </c>
      <c r="B32" s="536">
        <v>1550</v>
      </c>
      <c r="C32" s="546">
        <v>45994</v>
      </c>
      <c r="D32" s="219">
        <v>93793</v>
      </c>
      <c r="E32" s="635" t="s">
        <v>5231</v>
      </c>
      <c r="F32" s="200" t="s">
        <v>17</v>
      </c>
      <c r="G32" s="221" t="s">
        <v>4</v>
      </c>
      <c r="H32" s="493">
        <v>45994</v>
      </c>
      <c r="I32" s="25"/>
      <c r="J32" s="100" t="s">
        <v>4870</v>
      </c>
      <c r="K32" s="494"/>
      <c r="L32" s="495"/>
      <c r="M32" s="496"/>
      <c r="N32" s="497"/>
      <c r="O32" s="498"/>
      <c r="P32" s="499"/>
      <c r="Q32" s="539">
        <v>46013</v>
      </c>
      <c r="R32" s="148">
        <f t="shared" si="1"/>
        <v>19</v>
      </c>
      <c r="S32" s="200" t="s">
        <v>1569</v>
      </c>
      <c r="T32" s="315"/>
    </row>
    <row r="33" spans="1:20" x14ac:dyDescent="0.3">
      <c r="A33" s="98">
        <f t="shared" si="0"/>
        <v>30</v>
      </c>
      <c r="B33" s="536">
        <v>1550</v>
      </c>
      <c r="C33" s="546">
        <v>45994</v>
      </c>
      <c r="D33" s="36">
        <v>5206776</v>
      </c>
      <c r="E33" s="635" t="s">
        <v>5231</v>
      </c>
      <c r="F33" s="200" t="s">
        <v>17</v>
      </c>
      <c r="G33" s="221" t="s">
        <v>4</v>
      </c>
      <c r="H33" s="493">
        <v>45994</v>
      </c>
      <c r="I33" s="25"/>
      <c r="J33" s="100" t="s">
        <v>4870</v>
      </c>
      <c r="K33" s="494"/>
      <c r="L33" s="495"/>
      <c r="M33" s="496"/>
      <c r="N33" s="497"/>
      <c r="O33" s="498"/>
      <c r="P33" s="499"/>
      <c r="Q33" s="539">
        <v>46013</v>
      </c>
      <c r="R33" s="148">
        <f t="shared" si="1"/>
        <v>19</v>
      </c>
      <c r="S33" s="200" t="s">
        <v>1569</v>
      </c>
      <c r="T33" s="315"/>
    </row>
    <row r="34" spans="1:20" x14ac:dyDescent="0.3">
      <c r="A34" s="98">
        <f t="shared" si="0"/>
        <v>31</v>
      </c>
      <c r="B34" s="536">
        <v>1550</v>
      </c>
      <c r="C34" s="546">
        <v>45994</v>
      </c>
      <c r="D34" s="219" t="s">
        <v>5232</v>
      </c>
      <c r="E34" s="635" t="s">
        <v>5231</v>
      </c>
      <c r="F34" s="200" t="s">
        <v>17</v>
      </c>
      <c r="G34" s="221" t="s">
        <v>4</v>
      </c>
      <c r="H34" s="493">
        <v>45994</v>
      </c>
      <c r="I34" s="25"/>
      <c r="J34" s="100" t="s">
        <v>4870</v>
      </c>
      <c r="K34" s="494"/>
      <c r="L34" s="495"/>
      <c r="M34" s="496"/>
      <c r="N34" s="497"/>
      <c r="O34" s="498"/>
      <c r="P34" s="499"/>
      <c r="Q34" s="539">
        <v>46013</v>
      </c>
      <c r="R34" s="148">
        <f t="shared" si="1"/>
        <v>19</v>
      </c>
      <c r="S34" s="200" t="s">
        <v>1569</v>
      </c>
      <c r="T34" s="315"/>
    </row>
    <row r="35" spans="1:20" ht="28.8" x14ac:dyDescent="0.3">
      <c r="A35" s="98">
        <f t="shared" si="0"/>
        <v>32</v>
      </c>
      <c r="B35" s="536" t="s">
        <v>80</v>
      </c>
      <c r="C35" s="546">
        <v>45994</v>
      </c>
      <c r="D35" s="662">
        <v>102310122</v>
      </c>
      <c r="E35" s="270" t="s">
        <v>5233</v>
      </c>
      <c r="F35" s="200"/>
      <c r="G35" s="221" t="s">
        <v>10</v>
      </c>
      <c r="H35" s="493">
        <v>45994</v>
      </c>
      <c r="I35" s="655"/>
      <c r="J35" s="100" t="s">
        <v>1357</v>
      </c>
      <c r="K35" s="494"/>
      <c r="L35" s="495"/>
      <c r="M35" s="496"/>
      <c r="N35" s="497"/>
      <c r="O35" s="498"/>
      <c r="P35" s="499"/>
      <c r="Q35" s="539">
        <v>46008</v>
      </c>
      <c r="R35" s="148">
        <f t="shared" si="1"/>
        <v>14</v>
      </c>
      <c r="S35" s="200" t="s">
        <v>85</v>
      </c>
      <c r="T35" s="315"/>
    </row>
    <row r="36" spans="1:20" ht="28.8" x14ac:dyDescent="0.3">
      <c r="A36" s="98">
        <f t="shared" si="0"/>
        <v>33</v>
      </c>
      <c r="B36" s="536" t="s">
        <v>1044</v>
      </c>
      <c r="C36" s="546">
        <v>45994</v>
      </c>
      <c r="D36" s="219"/>
      <c r="E36" s="635" t="s">
        <v>5234</v>
      </c>
      <c r="F36" s="200" t="s">
        <v>1</v>
      </c>
      <c r="G36" s="221" t="s">
        <v>10</v>
      </c>
      <c r="H36" s="493">
        <v>45994</v>
      </c>
      <c r="I36" s="655"/>
      <c r="J36" s="107" t="s">
        <v>1357</v>
      </c>
      <c r="K36" s="494"/>
      <c r="L36" s="495"/>
      <c r="M36" s="496"/>
      <c r="N36" s="497"/>
      <c r="O36" s="498"/>
      <c r="P36" s="499"/>
      <c r="Q36" s="539">
        <v>46006</v>
      </c>
      <c r="R36" s="148">
        <f t="shared" si="1"/>
        <v>12</v>
      </c>
      <c r="S36" s="200" t="s">
        <v>85</v>
      </c>
      <c r="T36" s="315"/>
    </row>
    <row r="37" spans="1:20" ht="129.6" x14ac:dyDescent="0.3">
      <c r="A37" s="98">
        <f t="shared" si="0"/>
        <v>34</v>
      </c>
      <c r="B37" s="536" t="s">
        <v>80</v>
      </c>
      <c r="C37" s="546">
        <v>45994</v>
      </c>
      <c r="D37" s="662"/>
      <c r="E37" s="270" t="s">
        <v>5235</v>
      </c>
      <c r="F37" s="200" t="s">
        <v>59</v>
      </c>
      <c r="G37" s="221" t="s">
        <v>10</v>
      </c>
      <c r="H37" s="493">
        <v>45994</v>
      </c>
      <c r="I37" s="655"/>
      <c r="J37" s="107" t="s">
        <v>1357</v>
      </c>
      <c r="K37" s="494"/>
      <c r="L37" s="495"/>
      <c r="M37" s="496"/>
      <c r="N37" s="497"/>
      <c r="O37" s="498"/>
      <c r="P37" s="499"/>
      <c r="Q37" s="539">
        <v>46001</v>
      </c>
      <c r="R37" s="148">
        <f t="shared" ref="R37" si="2">Q37-H37</f>
        <v>7</v>
      </c>
      <c r="S37" s="200" t="s">
        <v>85</v>
      </c>
      <c r="T37" s="315"/>
    </row>
    <row r="38" spans="1:20" ht="43.2" x14ac:dyDescent="0.3">
      <c r="A38" s="98">
        <f t="shared" si="0"/>
        <v>35</v>
      </c>
      <c r="B38" s="536" t="s">
        <v>301</v>
      </c>
      <c r="C38" s="546">
        <v>45995</v>
      </c>
      <c r="D38" s="543">
        <v>93899823</v>
      </c>
      <c r="E38" s="308" t="s">
        <v>5236</v>
      </c>
      <c r="F38" s="200" t="s">
        <v>7</v>
      </c>
      <c r="G38" s="221" t="s">
        <v>6</v>
      </c>
      <c r="H38" s="493">
        <v>45995</v>
      </c>
      <c r="I38" s="25"/>
      <c r="J38" s="100" t="s">
        <v>383</v>
      </c>
      <c r="K38" s="494"/>
      <c r="L38" s="495"/>
      <c r="M38" s="496"/>
      <c r="N38" s="497"/>
      <c r="O38" s="498"/>
      <c r="P38" s="499"/>
      <c r="Q38" s="539">
        <v>46009</v>
      </c>
      <c r="R38" s="148">
        <f t="shared" si="1"/>
        <v>14</v>
      </c>
      <c r="S38" s="200" t="s">
        <v>1860</v>
      </c>
      <c r="T38" s="315"/>
    </row>
    <row r="39" spans="1:20" ht="86.4" x14ac:dyDescent="0.3">
      <c r="A39" s="98">
        <f t="shared" si="0"/>
        <v>36</v>
      </c>
      <c r="B39" s="506">
        <v>1550</v>
      </c>
      <c r="C39" s="546">
        <v>45995</v>
      </c>
      <c r="D39" s="543">
        <v>41600371</v>
      </c>
      <c r="E39" s="308" t="s">
        <v>5237</v>
      </c>
      <c r="F39" s="200" t="s">
        <v>1</v>
      </c>
      <c r="G39" s="221" t="s">
        <v>6</v>
      </c>
      <c r="H39" s="493">
        <v>45995</v>
      </c>
      <c r="I39" s="25"/>
      <c r="J39" s="100" t="s">
        <v>2352</v>
      </c>
      <c r="K39" s="494"/>
      <c r="L39" s="495"/>
      <c r="M39" s="496"/>
      <c r="N39" s="497"/>
      <c r="O39" s="498"/>
      <c r="P39" s="499"/>
      <c r="Q39" s="539">
        <v>46001</v>
      </c>
      <c r="R39" s="148">
        <f t="shared" si="1"/>
        <v>6</v>
      </c>
      <c r="S39" s="200" t="s">
        <v>1893</v>
      </c>
      <c r="T39" s="315"/>
    </row>
    <row r="40" spans="1:20" ht="100.8" x14ac:dyDescent="0.3">
      <c r="A40" s="98">
        <f t="shared" si="0"/>
        <v>37</v>
      </c>
      <c r="B40" s="536" t="s">
        <v>301</v>
      </c>
      <c r="C40" s="546">
        <v>45995</v>
      </c>
      <c r="D40" s="543">
        <v>120739151</v>
      </c>
      <c r="E40" s="308" t="s">
        <v>5238</v>
      </c>
      <c r="F40" s="200" t="s">
        <v>1</v>
      </c>
      <c r="G40" s="221" t="s">
        <v>6</v>
      </c>
      <c r="H40" s="493">
        <v>45995</v>
      </c>
      <c r="I40" s="25"/>
      <c r="J40" s="100" t="s">
        <v>4020</v>
      </c>
      <c r="K40" s="494"/>
      <c r="L40" s="495"/>
      <c r="M40" s="496"/>
      <c r="N40" s="497"/>
      <c r="O40" s="498"/>
      <c r="P40" s="499"/>
      <c r="Q40" s="539">
        <v>46006</v>
      </c>
      <c r="R40" s="148">
        <f t="shared" si="1"/>
        <v>11</v>
      </c>
      <c r="S40" s="101" t="s">
        <v>1860</v>
      </c>
      <c r="T40" s="69"/>
    </row>
    <row r="41" spans="1:20" ht="28.8" x14ac:dyDescent="0.3">
      <c r="A41" s="98">
        <f t="shared" si="0"/>
        <v>38</v>
      </c>
      <c r="B41" s="506">
        <v>1550</v>
      </c>
      <c r="C41" s="492">
        <v>45995</v>
      </c>
      <c r="D41" s="543">
        <v>98961179</v>
      </c>
      <c r="E41" s="308" t="s">
        <v>5239</v>
      </c>
      <c r="F41" s="200" t="s">
        <v>1</v>
      </c>
      <c r="G41" s="221" t="s">
        <v>4</v>
      </c>
      <c r="H41" s="493">
        <v>45995</v>
      </c>
      <c r="I41" s="25"/>
      <c r="J41" s="100" t="s">
        <v>125</v>
      </c>
      <c r="K41" s="494"/>
      <c r="L41" s="495"/>
      <c r="M41" s="496"/>
      <c r="N41" s="497"/>
      <c r="O41" s="498"/>
      <c r="P41" s="499"/>
      <c r="Q41" s="500">
        <v>45995</v>
      </c>
      <c r="R41" s="148">
        <f t="shared" si="1"/>
        <v>0</v>
      </c>
      <c r="S41" s="101" t="s">
        <v>3899</v>
      </c>
      <c r="T41" s="69"/>
    </row>
    <row r="42" spans="1:20" ht="28.8" x14ac:dyDescent="0.3">
      <c r="A42" s="98">
        <f t="shared" si="0"/>
        <v>39</v>
      </c>
      <c r="B42" s="506">
        <v>1550</v>
      </c>
      <c r="C42" s="492">
        <v>45995</v>
      </c>
      <c r="D42" s="543">
        <v>120735504</v>
      </c>
      <c r="E42" s="308" t="s">
        <v>5240</v>
      </c>
      <c r="F42" s="200" t="s">
        <v>1</v>
      </c>
      <c r="G42" s="221" t="s">
        <v>4</v>
      </c>
      <c r="H42" s="493">
        <v>45995</v>
      </c>
      <c r="I42" s="25"/>
      <c r="J42" s="100" t="s">
        <v>2352</v>
      </c>
      <c r="K42" s="494"/>
      <c r="L42" s="495"/>
      <c r="M42" s="496"/>
      <c r="N42" s="497"/>
      <c r="O42" s="498"/>
      <c r="P42" s="499"/>
      <c r="Q42" s="539">
        <v>45996</v>
      </c>
      <c r="R42" s="148">
        <f t="shared" si="1"/>
        <v>1</v>
      </c>
      <c r="S42" s="101" t="s">
        <v>3841</v>
      </c>
      <c r="T42" s="69"/>
    </row>
    <row r="43" spans="1:20" ht="115.2" x14ac:dyDescent="0.3">
      <c r="A43" s="98">
        <f t="shared" si="0"/>
        <v>40</v>
      </c>
      <c r="B43" s="536">
        <v>1550</v>
      </c>
      <c r="C43" s="546">
        <v>45995</v>
      </c>
      <c r="D43" s="543">
        <v>120740168</v>
      </c>
      <c r="E43" s="308" t="s">
        <v>5241</v>
      </c>
      <c r="F43" s="200" t="s">
        <v>1</v>
      </c>
      <c r="G43" s="221" t="s">
        <v>6</v>
      </c>
      <c r="H43" s="493">
        <v>45995</v>
      </c>
      <c r="I43" s="25"/>
      <c r="J43" s="100" t="s">
        <v>5242</v>
      </c>
      <c r="K43" s="494"/>
      <c r="L43" s="636"/>
      <c r="M43" s="496"/>
      <c r="N43" s="497"/>
      <c r="O43" s="498"/>
      <c r="P43" s="499"/>
      <c r="Q43" s="539">
        <v>45996</v>
      </c>
      <c r="R43" s="148">
        <f t="shared" si="1"/>
        <v>1</v>
      </c>
      <c r="S43" s="101" t="s">
        <v>3905</v>
      </c>
      <c r="T43" s="69"/>
    </row>
    <row r="44" spans="1:20" ht="72" x14ac:dyDescent="0.3">
      <c r="A44" s="98">
        <f t="shared" si="0"/>
        <v>41</v>
      </c>
      <c r="B44" s="536">
        <v>1550</v>
      </c>
      <c r="C44" s="546">
        <v>45995</v>
      </c>
      <c r="D44" s="543">
        <v>95439587</v>
      </c>
      <c r="E44" s="308" t="s">
        <v>5243</v>
      </c>
      <c r="F44" s="200" t="s">
        <v>7</v>
      </c>
      <c r="G44" s="221" t="s">
        <v>10</v>
      </c>
      <c r="H44" s="493">
        <v>45995</v>
      </c>
      <c r="I44" s="25"/>
      <c r="J44" s="100" t="s">
        <v>99</v>
      </c>
      <c r="K44" s="494"/>
      <c r="L44" s="636"/>
      <c r="M44" s="496"/>
      <c r="N44" s="497"/>
      <c r="O44" s="498"/>
      <c r="P44" s="499"/>
      <c r="Q44" s="539">
        <v>46000</v>
      </c>
      <c r="R44" s="148">
        <f t="shared" si="1"/>
        <v>5</v>
      </c>
      <c r="S44" s="101" t="s">
        <v>1835</v>
      </c>
      <c r="T44" s="69"/>
    </row>
    <row r="45" spans="1:20" ht="100.8" x14ac:dyDescent="0.3">
      <c r="A45" s="98">
        <f t="shared" si="0"/>
        <v>42</v>
      </c>
      <c r="B45" s="536" t="s">
        <v>80</v>
      </c>
      <c r="C45" s="546">
        <v>45995</v>
      </c>
      <c r="D45" s="543">
        <v>10469925</v>
      </c>
      <c r="E45" s="308" t="s">
        <v>5244</v>
      </c>
      <c r="F45" s="200"/>
      <c r="G45" s="221" t="s">
        <v>10</v>
      </c>
      <c r="H45" s="493">
        <v>45995</v>
      </c>
      <c r="I45" s="25"/>
      <c r="J45" s="100" t="s">
        <v>383</v>
      </c>
      <c r="K45" s="494"/>
      <c r="L45" s="636"/>
      <c r="M45" s="496"/>
      <c r="N45" s="497"/>
      <c r="O45" s="498"/>
      <c r="P45" s="499"/>
      <c r="Q45" s="539">
        <v>45995</v>
      </c>
      <c r="R45" s="148">
        <f t="shared" si="1"/>
        <v>0</v>
      </c>
      <c r="S45" s="101" t="s">
        <v>85</v>
      </c>
      <c r="T45" s="69"/>
    </row>
    <row r="46" spans="1:20" ht="244.8" x14ac:dyDescent="0.3">
      <c r="A46" s="98">
        <f t="shared" si="0"/>
        <v>43</v>
      </c>
      <c r="B46" s="536" t="s">
        <v>80</v>
      </c>
      <c r="C46" s="546">
        <v>45995</v>
      </c>
      <c r="D46" s="543"/>
      <c r="E46" s="308" t="s">
        <v>5245</v>
      </c>
      <c r="F46" s="200" t="s">
        <v>22</v>
      </c>
      <c r="G46" s="221" t="s">
        <v>10</v>
      </c>
      <c r="H46" s="493">
        <v>45995</v>
      </c>
      <c r="I46" s="25"/>
      <c r="J46" s="100" t="s">
        <v>22</v>
      </c>
      <c r="K46" s="494"/>
      <c r="L46" s="636"/>
      <c r="M46" s="496"/>
      <c r="N46" s="497"/>
      <c r="O46" s="498"/>
      <c r="P46" s="499"/>
      <c r="Q46" s="539">
        <v>46000</v>
      </c>
      <c r="R46" s="148">
        <f t="shared" si="1"/>
        <v>5</v>
      </c>
      <c r="S46" s="101" t="s">
        <v>85</v>
      </c>
      <c r="T46" s="69"/>
    </row>
    <row r="47" spans="1:20" ht="28.8" x14ac:dyDescent="0.3">
      <c r="A47" s="98">
        <f t="shared" si="0"/>
        <v>44</v>
      </c>
      <c r="B47" s="536">
        <v>1550</v>
      </c>
      <c r="C47" s="546">
        <v>45996</v>
      </c>
      <c r="D47" s="775">
        <v>108485919</v>
      </c>
      <c r="E47" s="308" t="s">
        <v>5246</v>
      </c>
      <c r="F47" s="200" t="s">
        <v>1</v>
      </c>
      <c r="G47" s="221" t="s">
        <v>8</v>
      </c>
      <c r="H47" s="493">
        <v>45996</v>
      </c>
      <c r="I47" s="25"/>
      <c r="J47" s="100" t="s">
        <v>5037</v>
      </c>
      <c r="K47" s="494"/>
      <c r="L47" s="495"/>
      <c r="M47" s="496"/>
      <c r="N47" s="497"/>
      <c r="O47" s="498"/>
      <c r="P47" s="499"/>
      <c r="Q47" s="539">
        <v>46001</v>
      </c>
      <c r="R47" s="148">
        <f t="shared" si="1"/>
        <v>5</v>
      </c>
      <c r="S47" s="101" t="s">
        <v>270</v>
      </c>
      <c r="T47" s="69"/>
    </row>
    <row r="48" spans="1:20" ht="28.8" x14ac:dyDescent="0.3">
      <c r="A48" s="98">
        <f t="shared" si="0"/>
        <v>45</v>
      </c>
      <c r="B48" s="536">
        <v>1550</v>
      </c>
      <c r="C48" s="546">
        <v>45996</v>
      </c>
      <c r="D48" s="662">
        <v>118720899</v>
      </c>
      <c r="E48" s="308" t="s">
        <v>5247</v>
      </c>
      <c r="F48" s="200" t="s">
        <v>7</v>
      </c>
      <c r="G48" s="221" t="s">
        <v>8</v>
      </c>
      <c r="H48" s="493">
        <v>45996</v>
      </c>
      <c r="I48" s="25"/>
      <c r="J48" s="100" t="s">
        <v>5248</v>
      </c>
      <c r="K48" s="494"/>
      <c r="L48" s="495"/>
      <c r="M48" s="496"/>
      <c r="N48" s="497"/>
      <c r="O48" s="498"/>
      <c r="P48" s="499"/>
      <c r="Q48" s="539">
        <v>45999</v>
      </c>
      <c r="R48" s="148">
        <f t="shared" si="1"/>
        <v>3</v>
      </c>
      <c r="S48" s="101" t="s">
        <v>3931</v>
      </c>
      <c r="T48" s="69"/>
    </row>
    <row r="49" spans="1:20" ht="28.8" x14ac:dyDescent="0.3">
      <c r="A49" s="98">
        <f t="shared" si="0"/>
        <v>46</v>
      </c>
      <c r="B49" s="536" t="s">
        <v>301</v>
      </c>
      <c r="C49" s="546">
        <v>45996</v>
      </c>
      <c r="D49" s="543">
        <v>71882375</v>
      </c>
      <c r="E49" s="308" t="s">
        <v>5249</v>
      </c>
      <c r="F49" s="200"/>
      <c r="G49" s="221" t="s">
        <v>8</v>
      </c>
      <c r="H49" s="493">
        <v>45996</v>
      </c>
      <c r="I49" s="25"/>
      <c r="J49" s="100" t="s">
        <v>1357</v>
      </c>
      <c r="K49" s="494" t="s">
        <v>262</v>
      </c>
      <c r="L49" s="776">
        <v>45996</v>
      </c>
      <c r="M49" s="552" t="s">
        <v>1357</v>
      </c>
      <c r="N49" s="497"/>
      <c r="O49" s="498"/>
      <c r="P49" s="499"/>
      <c r="Q49" s="539">
        <v>46001</v>
      </c>
      <c r="R49" s="148">
        <f t="shared" si="1"/>
        <v>5</v>
      </c>
      <c r="S49" s="101" t="s">
        <v>5250</v>
      </c>
      <c r="T49" s="69"/>
    </row>
    <row r="50" spans="1:20" ht="43.2" x14ac:dyDescent="0.3">
      <c r="A50" s="98">
        <f t="shared" si="0"/>
        <v>47</v>
      </c>
      <c r="B50" s="678" t="s">
        <v>301</v>
      </c>
      <c r="C50" s="546">
        <v>45996</v>
      </c>
      <c r="D50" s="543">
        <v>29295807</v>
      </c>
      <c r="E50" s="290" t="s">
        <v>5251</v>
      </c>
      <c r="F50" s="182" t="s">
        <v>3</v>
      </c>
      <c r="G50" s="421" t="s">
        <v>8</v>
      </c>
      <c r="H50" s="493">
        <v>45996</v>
      </c>
      <c r="I50" s="561"/>
      <c r="J50" s="100" t="s">
        <v>5229</v>
      </c>
      <c r="K50" s="494"/>
      <c r="L50" s="495"/>
      <c r="M50" s="496"/>
      <c r="N50" s="497"/>
      <c r="O50" s="498"/>
      <c r="P50" s="499"/>
      <c r="Q50" s="539">
        <v>46000</v>
      </c>
      <c r="R50" s="148">
        <f t="shared" si="1"/>
        <v>4</v>
      </c>
      <c r="S50" s="101" t="s">
        <v>5250</v>
      </c>
      <c r="T50" s="315"/>
    </row>
    <row r="51" spans="1:20" ht="43.2" x14ac:dyDescent="0.3">
      <c r="A51" s="98">
        <f t="shared" si="0"/>
        <v>48</v>
      </c>
      <c r="B51" s="219">
        <v>1550</v>
      </c>
      <c r="C51" s="650">
        <v>45996</v>
      </c>
      <c r="D51" s="219">
        <v>27684245</v>
      </c>
      <c r="E51" s="175" t="s">
        <v>5252</v>
      </c>
      <c r="F51" s="111" t="s">
        <v>23</v>
      </c>
      <c r="G51" s="127" t="s">
        <v>8</v>
      </c>
      <c r="H51" s="568">
        <v>45996</v>
      </c>
      <c r="I51" s="681"/>
      <c r="J51" s="100" t="s">
        <v>135</v>
      </c>
      <c r="K51" s="494"/>
      <c r="L51" s="669"/>
      <c r="M51" s="552"/>
      <c r="N51" s="497"/>
      <c r="O51" s="498"/>
      <c r="P51" s="499"/>
      <c r="Q51" s="501">
        <v>46035</v>
      </c>
      <c r="R51" s="148">
        <f t="shared" si="1"/>
        <v>39</v>
      </c>
      <c r="S51" s="101" t="s">
        <v>4026</v>
      </c>
      <c r="T51" s="315"/>
    </row>
    <row r="52" spans="1:20" ht="43.2" x14ac:dyDescent="0.3">
      <c r="A52" s="98">
        <f t="shared" si="0"/>
        <v>49</v>
      </c>
      <c r="B52" s="111">
        <v>1550</v>
      </c>
      <c r="C52" s="512">
        <v>45996</v>
      </c>
      <c r="D52" s="219">
        <v>6471269</v>
      </c>
      <c r="E52" s="290" t="s">
        <v>5253</v>
      </c>
      <c r="F52" s="111" t="s">
        <v>58</v>
      </c>
      <c r="G52" s="127" t="s">
        <v>8</v>
      </c>
      <c r="H52" s="680">
        <v>45996</v>
      </c>
      <c r="I52" s="125"/>
      <c r="J52" s="413" t="s">
        <v>5181</v>
      </c>
      <c r="K52" s="494"/>
      <c r="L52" s="495"/>
      <c r="M52" s="496"/>
      <c r="N52" s="497"/>
      <c r="O52" s="498"/>
      <c r="P52" s="499"/>
      <c r="Q52" s="539">
        <v>45996</v>
      </c>
      <c r="R52" s="148">
        <f t="shared" si="1"/>
        <v>0</v>
      </c>
      <c r="S52" s="101" t="s">
        <v>270</v>
      </c>
      <c r="T52" s="69"/>
    </row>
    <row r="53" spans="1:20" ht="28.8" x14ac:dyDescent="0.3">
      <c r="A53" s="98">
        <f t="shared" si="0"/>
        <v>50</v>
      </c>
      <c r="B53" s="111">
        <v>1550</v>
      </c>
      <c r="C53" s="512">
        <v>45996</v>
      </c>
      <c r="D53" s="617">
        <v>120451093</v>
      </c>
      <c r="E53" s="686" t="s">
        <v>5254</v>
      </c>
      <c r="F53" s="150" t="s">
        <v>16</v>
      </c>
      <c r="G53" s="127" t="s">
        <v>8</v>
      </c>
      <c r="H53" s="568">
        <v>45996</v>
      </c>
      <c r="I53" s="610"/>
      <c r="J53" s="100" t="s">
        <v>1357</v>
      </c>
      <c r="K53" s="494"/>
      <c r="L53" s="495"/>
      <c r="M53" s="496"/>
      <c r="N53" s="497"/>
      <c r="O53" s="498"/>
      <c r="P53" s="499"/>
      <c r="Q53" s="501">
        <v>45999</v>
      </c>
      <c r="R53" s="148">
        <f t="shared" si="1"/>
        <v>3</v>
      </c>
      <c r="S53" s="101" t="s">
        <v>3861</v>
      </c>
      <c r="T53" s="69"/>
    </row>
    <row r="54" spans="1:20" ht="57.6" x14ac:dyDescent="0.3">
      <c r="A54" s="98">
        <f t="shared" si="0"/>
        <v>51</v>
      </c>
      <c r="B54" s="583">
        <v>1550</v>
      </c>
      <c r="C54" s="573">
        <v>45996</v>
      </c>
      <c r="D54" s="219">
        <v>4799542</v>
      </c>
      <c r="E54" s="175" t="s">
        <v>5255</v>
      </c>
      <c r="F54" s="111" t="s">
        <v>39</v>
      </c>
      <c r="G54" s="172" t="s">
        <v>8</v>
      </c>
      <c r="H54" s="493">
        <v>45996</v>
      </c>
      <c r="I54" s="689"/>
      <c r="J54" s="100" t="s">
        <v>5181</v>
      </c>
      <c r="K54" s="494"/>
      <c r="L54" s="495"/>
      <c r="M54" s="496"/>
      <c r="N54" s="497"/>
      <c r="O54" s="498"/>
      <c r="P54" s="499"/>
      <c r="Q54" s="539">
        <v>45996</v>
      </c>
      <c r="R54" s="148">
        <f t="shared" si="1"/>
        <v>0</v>
      </c>
      <c r="S54" s="101" t="s">
        <v>3861</v>
      </c>
      <c r="T54" s="69"/>
    </row>
    <row r="55" spans="1:20" ht="43.2" x14ac:dyDescent="0.3">
      <c r="A55" s="98">
        <f t="shared" si="0"/>
        <v>52</v>
      </c>
      <c r="B55" s="491">
        <v>1550</v>
      </c>
      <c r="C55" s="492">
        <v>45996</v>
      </c>
      <c r="D55" s="219">
        <v>26070219</v>
      </c>
      <c r="E55" s="175" t="s">
        <v>5256</v>
      </c>
      <c r="F55" s="111" t="s">
        <v>60</v>
      </c>
      <c r="G55" s="221" t="s">
        <v>8</v>
      </c>
      <c r="H55" s="493">
        <v>45996</v>
      </c>
      <c r="I55" s="25"/>
      <c r="J55" s="100" t="s">
        <v>106</v>
      </c>
      <c r="K55" s="494"/>
      <c r="L55" s="495"/>
      <c r="M55" s="496"/>
      <c r="N55" s="497"/>
      <c r="O55" s="498"/>
      <c r="P55" s="499"/>
      <c r="Q55" s="539">
        <v>46002</v>
      </c>
      <c r="R55" s="148">
        <f t="shared" si="1"/>
        <v>6</v>
      </c>
      <c r="S55" s="101" t="s">
        <v>3146</v>
      </c>
      <c r="T55" s="69"/>
    </row>
    <row r="56" spans="1:20" ht="28.8" x14ac:dyDescent="0.3">
      <c r="A56" s="98">
        <f t="shared" si="0"/>
        <v>53</v>
      </c>
      <c r="B56" s="491">
        <v>1550</v>
      </c>
      <c r="C56" s="556">
        <v>45996</v>
      </c>
      <c r="D56" s="219">
        <v>41615565</v>
      </c>
      <c r="E56" s="175" t="s">
        <v>5257</v>
      </c>
      <c r="F56" s="111" t="s">
        <v>3</v>
      </c>
      <c r="G56" s="221" t="s">
        <v>8</v>
      </c>
      <c r="H56" s="493">
        <v>45996</v>
      </c>
      <c r="I56" s="655"/>
      <c r="J56" s="100" t="s">
        <v>5258</v>
      </c>
      <c r="K56" s="494"/>
      <c r="L56" s="495"/>
      <c r="M56" s="496"/>
      <c r="N56" s="497"/>
      <c r="O56" s="498"/>
      <c r="P56" s="499"/>
      <c r="Q56" s="501">
        <v>46007</v>
      </c>
      <c r="R56" s="148">
        <f t="shared" si="1"/>
        <v>11</v>
      </c>
      <c r="S56" s="101" t="s">
        <v>3841</v>
      </c>
      <c r="T56" s="69"/>
    </row>
    <row r="57" spans="1:20" ht="28.8" x14ac:dyDescent="0.3">
      <c r="A57" s="98">
        <f t="shared" si="0"/>
        <v>54</v>
      </c>
      <c r="B57" s="683">
        <v>1550</v>
      </c>
      <c r="C57" s="556">
        <v>45996</v>
      </c>
      <c r="D57" s="654">
        <v>109684176</v>
      </c>
      <c r="E57" s="293" t="s">
        <v>5259</v>
      </c>
      <c r="F57" s="101" t="s">
        <v>1</v>
      </c>
      <c r="G57" s="221" t="s">
        <v>4</v>
      </c>
      <c r="H57" s="493">
        <v>45996</v>
      </c>
      <c r="I57" s="25"/>
      <c r="J57" s="100" t="s">
        <v>2352</v>
      </c>
      <c r="K57" s="494"/>
      <c r="L57" s="636"/>
      <c r="M57" s="496"/>
      <c r="N57" s="497"/>
      <c r="O57" s="498"/>
      <c r="P57" s="499"/>
      <c r="Q57" s="501">
        <v>46001</v>
      </c>
      <c r="R57" s="148">
        <f t="shared" si="1"/>
        <v>5</v>
      </c>
      <c r="S57" s="101" t="s">
        <v>2974</v>
      </c>
      <c r="T57" s="69"/>
    </row>
    <row r="58" spans="1:20" ht="28.8" x14ac:dyDescent="0.3">
      <c r="A58" s="98">
        <f t="shared" si="0"/>
        <v>55</v>
      </c>
      <c r="B58" s="683">
        <v>1550</v>
      </c>
      <c r="C58" s="556">
        <v>45996</v>
      </c>
      <c r="D58" s="685">
        <v>22392912</v>
      </c>
      <c r="E58" s="293" t="s">
        <v>5260</v>
      </c>
      <c r="F58" s="385" t="s">
        <v>7</v>
      </c>
      <c r="G58" s="221" t="s">
        <v>4</v>
      </c>
      <c r="H58" s="493">
        <v>45996</v>
      </c>
      <c r="I58" s="655"/>
      <c r="J58" s="100" t="s">
        <v>2513</v>
      </c>
      <c r="K58" s="494"/>
      <c r="L58" s="495"/>
      <c r="M58" s="496"/>
      <c r="N58" s="497"/>
      <c r="O58" s="498"/>
      <c r="P58" s="499"/>
      <c r="Q58" s="501">
        <v>45996</v>
      </c>
      <c r="R58" s="148">
        <f t="shared" si="1"/>
        <v>0</v>
      </c>
      <c r="S58" s="101" t="s">
        <v>720</v>
      </c>
      <c r="T58" s="671"/>
    </row>
    <row r="59" spans="1:20" ht="28.8" x14ac:dyDescent="0.3">
      <c r="A59" s="98">
        <f t="shared" si="0"/>
        <v>56</v>
      </c>
      <c r="B59" s="683">
        <v>1550</v>
      </c>
      <c r="C59" s="556">
        <v>45996</v>
      </c>
      <c r="D59" s="219">
        <v>41957148</v>
      </c>
      <c r="E59" s="684" t="s">
        <v>5261</v>
      </c>
      <c r="F59" s="101" t="s">
        <v>1</v>
      </c>
      <c r="G59" s="221" t="s">
        <v>4</v>
      </c>
      <c r="H59" s="493">
        <v>45996</v>
      </c>
      <c r="I59" s="25"/>
      <c r="J59" s="100" t="s">
        <v>4453</v>
      </c>
      <c r="K59" s="494"/>
      <c r="L59" s="495"/>
      <c r="M59" s="496"/>
      <c r="N59" s="497"/>
      <c r="O59" s="498"/>
      <c r="P59" s="499"/>
      <c r="Q59" s="501">
        <v>45996</v>
      </c>
      <c r="R59" s="148">
        <f>Q59-H59</f>
        <v>0</v>
      </c>
      <c r="S59" s="101" t="s">
        <v>3020</v>
      </c>
      <c r="T59" s="69"/>
    </row>
    <row r="60" spans="1:20" ht="28.8" x14ac:dyDescent="0.3">
      <c r="A60" s="98">
        <f t="shared" si="0"/>
        <v>57</v>
      </c>
      <c r="B60" s="683">
        <v>1550</v>
      </c>
      <c r="C60" s="556">
        <v>45996</v>
      </c>
      <c r="D60" s="662">
        <v>12185779</v>
      </c>
      <c r="E60" s="212" t="s">
        <v>5262</v>
      </c>
      <c r="F60" s="101" t="s">
        <v>1</v>
      </c>
      <c r="G60" s="221" t="s">
        <v>4</v>
      </c>
      <c r="H60" s="493">
        <v>45996</v>
      </c>
      <c r="I60" s="25"/>
      <c r="J60" s="100" t="s">
        <v>2352</v>
      </c>
      <c r="K60" s="494"/>
      <c r="L60" s="495"/>
      <c r="M60" s="496"/>
      <c r="N60" s="497"/>
      <c r="O60" s="498"/>
      <c r="P60" s="499"/>
      <c r="Q60" s="501">
        <v>46001</v>
      </c>
      <c r="R60" s="148">
        <f t="shared" si="1"/>
        <v>5</v>
      </c>
      <c r="S60" s="101" t="s">
        <v>4</v>
      </c>
      <c r="T60" s="315"/>
    </row>
    <row r="61" spans="1:20" ht="28.8" x14ac:dyDescent="0.3">
      <c r="A61" s="98">
        <f t="shared" si="0"/>
        <v>58</v>
      </c>
      <c r="B61" s="683">
        <v>1550</v>
      </c>
      <c r="C61" s="556">
        <v>45996</v>
      </c>
      <c r="D61" s="617">
        <v>40706354</v>
      </c>
      <c r="E61" s="684" t="s">
        <v>5263</v>
      </c>
      <c r="F61" s="101" t="s">
        <v>1</v>
      </c>
      <c r="G61" s="221" t="s">
        <v>4</v>
      </c>
      <c r="H61" s="493">
        <v>45996</v>
      </c>
      <c r="I61" s="25"/>
      <c r="J61" s="100" t="s">
        <v>2352</v>
      </c>
      <c r="K61" s="494"/>
      <c r="L61" s="495"/>
      <c r="M61" s="496"/>
      <c r="N61" s="497"/>
      <c r="O61" s="498"/>
      <c r="P61" s="499"/>
      <c r="Q61" s="501">
        <v>46002</v>
      </c>
      <c r="R61" s="148">
        <f t="shared" si="1"/>
        <v>6</v>
      </c>
      <c r="S61" s="101" t="s">
        <v>720</v>
      </c>
      <c r="T61" s="69"/>
    </row>
    <row r="62" spans="1:20" ht="100.8" x14ac:dyDescent="0.3">
      <c r="A62" s="98">
        <f t="shared" si="0"/>
        <v>59</v>
      </c>
      <c r="B62" s="683">
        <v>1550</v>
      </c>
      <c r="C62" s="556">
        <v>45996</v>
      </c>
      <c r="D62" s="219">
        <v>66246482</v>
      </c>
      <c r="E62" s="684" t="s">
        <v>5264</v>
      </c>
      <c r="F62" s="101"/>
      <c r="G62" s="221" t="s">
        <v>10</v>
      </c>
      <c r="H62" s="493">
        <v>45996</v>
      </c>
      <c r="I62" s="25"/>
      <c r="J62" s="100" t="s">
        <v>383</v>
      </c>
      <c r="K62" s="494"/>
      <c r="L62" s="495"/>
      <c r="M62" s="496"/>
      <c r="N62" s="497"/>
      <c r="O62" s="498"/>
      <c r="P62" s="499"/>
      <c r="Q62" s="501">
        <v>46042</v>
      </c>
      <c r="R62" s="148">
        <f t="shared" si="1"/>
        <v>46</v>
      </c>
      <c r="S62" s="101" t="s">
        <v>1806</v>
      </c>
      <c r="T62" s="69" t="s">
        <v>5265</v>
      </c>
    </row>
    <row r="63" spans="1:20" ht="57.6" x14ac:dyDescent="0.3">
      <c r="A63" s="98">
        <f t="shared" si="0"/>
        <v>60</v>
      </c>
      <c r="B63" s="683">
        <v>1550</v>
      </c>
      <c r="C63" s="556">
        <v>45996</v>
      </c>
      <c r="D63" s="654">
        <v>70564191</v>
      </c>
      <c r="E63" s="212" t="s">
        <v>5266</v>
      </c>
      <c r="F63" s="101" t="s">
        <v>17</v>
      </c>
      <c r="G63" s="221" t="s">
        <v>10</v>
      </c>
      <c r="H63" s="493">
        <v>45996</v>
      </c>
      <c r="I63" s="25"/>
      <c r="J63" s="100" t="s">
        <v>5267</v>
      </c>
      <c r="K63" s="494"/>
      <c r="L63" s="495"/>
      <c r="M63" s="496"/>
      <c r="N63" s="497"/>
      <c r="O63" s="498"/>
      <c r="P63" s="499"/>
      <c r="Q63" s="501">
        <v>46020</v>
      </c>
      <c r="R63" s="148">
        <f t="shared" si="1"/>
        <v>24</v>
      </c>
      <c r="S63" s="101" t="s">
        <v>1806</v>
      </c>
      <c r="T63" s="69"/>
    </row>
    <row r="64" spans="1:20" ht="86.4" x14ac:dyDescent="0.3">
      <c r="A64" s="98">
        <f t="shared" si="0"/>
        <v>61</v>
      </c>
      <c r="B64" s="683" t="s">
        <v>301</v>
      </c>
      <c r="C64" s="556">
        <v>45996</v>
      </c>
      <c r="D64" s="654">
        <v>79356419</v>
      </c>
      <c r="E64" s="212" t="s">
        <v>5268</v>
      </c>
      <c r="F64" s="101" t="s">
        <v>32</v>
      </c>
      <c r="G64" s="221" t="s">
        <v>10</v>
      </c>
      <c r="H64" s="493">
        <v>45996</v>
      </c>
      <c r="I64" s="25"/>
      <c r="J64" s="100" t="s">
        <v>106</v>
      </c>
      <c r="K64" s="494"/>
      <c r="L64" s="495"/>
      <c r="M64" s="496"/>
      <c r="N64" s="497"/>
      <c r="O64" s="498"/>
      <c r="P64" s="499"/>
      <c r="Q64" s="501">
        <v>45999</v>
      </c>
      <c r="R64" s="148">
        <f t="shared" si="1"/>
        <v>3</v>
      </c>
      <c r="S64" s="101" t="s">
        <v>214</v>
      </c>
      <c r="T64" s="69"/>
    </row>
    <row r="65" spans="1:20" ht="86.4" x14ac:dyDescent="0.3">
      <c r="A65" s="98">
        <f t="shared" si="0"/>
        <v>62</v>
      </c>
      <c r="B65" s="683">
        <v>1550</v>
      </c>
      <c r="C65" s="556">
        <v>45996</v>
      </c>
      <c r="D65" s="654">
        <v>83587012</v>
      </c>
      <c r="E65" s="212" t="s">
        <v>5269</v>
      </c>
      <c r="F65" s="101" t="s">
        <v>32</v>
      </c>
      <c r="G65" s="221" t="s">
        <v>10</v>
      </c>
      <c r="H65" s="493">
        <v>45996</v>
      </c>
      <c r="I65" s="25"/>
      <c r="J65" s="100" t="s">
        <v>106</v>
      </c>
      <c r="K65" s="494"/>
      <c r="L65" s="495"/>
      <c r="M65" s="496"/>
      <c r="N65" s="497"/>
      <c r="O65" s="498"/>
      <c r="P65" s="499"/>
      <c r="Q65" s="501">
        <v>45999</v>
      </c>
      <c r="R65" s="148">
        <f t="shared" si="1"/>
        <v>3</v>
      </c>
      <c r="S65" s="101" t="s">
        <v>1835</v>
      </c>
      <c r="T65" s="69"/>
    </row>
    <row r="66" spans="1:20" ht="144" x14ac:dyDescent="0.3">
      <c r="A66" s="98">
        <f t="shared" si="0"/>
        <v>63</v>
      </c>
      <c r="B66" s="683" t="s">
        <v>80</v>
      </c>
      <c r="C66" s="556">
        <v>45996</v>
      </c>
      <c r="D66" s="654"/>
      <c r="E66" s="212" t="s">
        <v>5270</v>
      </c>
      <c r="F66" s="101" t="s">
        <v>21</v>
      </c>
      <c r="G66" s="221" t="s">
        <v>10</v>
      </c>
      <c r="H66" s="493">
        <v>45996</v>
      </c>
      <c r="I66" s="25"/>
      <c r="J66" s="100" t="s">
        <v>2536</v>
      </c>
      <c r="K66" s="494"/>
      <c r="L66" s="495"/>
      <c r="M66" s="496"/>
      <c r="N66" s="497"/>
      <c r="O66" s="498"/>
      <c r="P66" s="499"/>
      <c r="Q66" s="501">
        <v>45999</v>
      </c>
      <c r="R66" s="148">
        <f t="shared" si="1"/>
        <v>3</v>
      </c>
      <c r="S66" s="101" t="s">
        <v>85</v>
      </c>
      <c r="T66" s="69"/>
    </row>
    <row r="67" spans="1:20" ht="28.8" x14ac:dyDescent="0.3">
      <c r="A67" s="98">
        <f t="shared" si="0"/>
        <v>64</v>
      </c>
      <c r="B67" s="111">
        <v>1550</v>
      </c>
      <c r="C67" s="512">
        <v>45997</v>
      </c>
      <c r="D67" s="751">
        <v>107166968</v>
      </c>
      <c r="E67" s="175" t="s">
        <v>5271</v>
      </c>
      <c r="F67" s="101" t="s">
        <v>1</v>
      </c>
      <c r="G67" s="221" t="s">
        <v>4</v>
      </c>
      <c r="H67" s="493">
        <v>45997</v>
      </c>
      <c r="I67" s="25"/>
      <c r="J67" s="100" t="s">
        <v>2352</v>
      </c>
      <c r="K67" s="494"/>
      <c r="L67" s="495"/>
      <c r="M67" s="496"/>
      <c r="N67" s="497"/>
      <c r="O67" s="498"/>
      <c r="P67" s="499"/>
      <c r="Q67" s="500">
        <v>45997</v>
      </c>
      <c r="R67" s="148">
        <f t="shared" si="1"/>
        <v>0</v>
      </c>
      <c r="S67" s="101" t="s">
        <v>4063</v>
      </c>
      <c r="T67" s="69"/>
    </row>
    <row r="68" spans="1:20" x14ac:dyDescent="0.3">
      <c r="A68" s="98">
        <f t="shared" si="0"/>
        <v>65</v>
      </c>
      <c r="B68" s="111" t="s">
        <v>80</v>
      </c>
      <c r="C68" s="512">
        <v>45999</v>
      </c>
      <c r="D68" s="751">
        <v>72413468</v>
      </c>
      <c r="E68" s="175" t="s">
        <v>5272</v>
      </c>
      <c r="F68" s="182" t="s">
        <v>55</v>
      </c>
      <c r="G68" s="221" t="s">
        <v>4</v>
      </c>
      <c r="H68" s="493">
        <v>45999</v>
      </c>
      <c r="I68" s="25"/>
      <c r="J68" s="100" t="s">
        <v>1357</v>
      </c>
      <c r="K68" s="494"/>
      <c r="L68" s="495"/>
      <c r="M68" s="749"/>
      <c r="N68" s="497"/>
      <c r="O68" s="498"/>
      <c r="P68" s="499"/>
      <c r="Q68" s="539">
        <v>46010</v>
      </c>
      <c r="R68" s="148">
        <f t="shared" si="1"/>
        <v>11</v>
      </c>
      <c r="S68" s="101" t="s">
        <v>604</v>
      </c>
      <c r="T68" s="167"/>
    </row>
    <row r="69" spans="1:20" ht="28.8" x14ac:dyDescent="0.3">
      <c r="A69" s="98">
        <f t="shared" ref="A69:A132" si="3">A68+1</f>
        <v>66</v>
      </c>
      <c r="B69" s="111" t="s">
        <v>80</v>
      </c>
      <c r="C69" s="512">
        <v>45999</v>
      </c>
      <c r="D69" s="751">
        <v>70294593</v>
      </c>
      <c r="E69" s="175" t="s">
        <v>5273</v>
      </c>
      <c r="F69" s="179" t="s">
        <v>3</v>
      </c>
      <c r="G69" s="221" t="s">
        <v>4</v>
      </c>
      <c r="H69" s="493">
        <v>45999</v>
      </c>
      <c r="I69" s="25"/>
      <c r="J69" s="100" t="s">
        <v>4870</v>
      </c>
      <c r="K69" s="494"/>
      <c r="L69" s="495"/>
      <c r="M69" s="496"/>
      <c r="N69" s="497"/>
      <c r="O69" s="498"/>
      <c r="P69" s="499"/>
      <c r="Q69" s="501">
        <v>45999</v>
      </c>
      <c r="R69" s="148">
        <f t="shared" si="1"/>
        <v>0</v>
      </c>
      <c r="S69" s="101" t="s">
        <v>1811</v>
      </c>
      <c r="T69" s="69"/>
    </row>
    <row r="70" spans="1:20" ht="28.8" x14ac:dyDescent="0.3">
      <c r="A70" s="98">
        <f t="shared" si="3"/>
        <v>67</v>
      </c>
      <c r="B70" s="150" t="s">
        <v>80</v>
      </c>
      <c r="C70" s="606">
        <v>45999</v>
      </c>
      <c r="D70" s="752"/>
      <c r="E70" s="777" t="s">
        <v>5274</v>
      </c>
      <c r="F70" s="182" t="s">
        <v>50</v>
      </c>
      <c r="G70" s="221" t="s">
        <v>4</v>
      </c>
      <c r="H70" s="493">
        <v>45999</v>
      </c>
      <c r="I70" s="25"/>
      <c r="J70" s="100"/>
      <c r="K70" s="494" t="s">
        <v>262</v>
      </c>
      <c r="L70" s="495"/>
      <c r="M70" s="496"/>
      <c r="N70" s="497"/>
      <c r="O70" s="498"/>
      <c r="P70" s="499"/>
      <c r="Q70" s="501">
        <v>46001</v>
      </c>
      <c r="R70" s="148">
        <f t="shared" si="1"/>
        <v>2</v>
      </c>
      <c r="S70" s="101" t="s">
        <v>1811</v>
      </c>
      <c r="T70" s="69"/>
    </row>
    <row r="71" spans="1:20" ht="28.8" x14ac:dyDescent="0.3">
      <c r="A71" s="98">
        <f t="shared" si="3"/>
        <v>68</v>
      </c>
      <c r="B71" s="111">
        <v>1550</v>
      </c>
      <c r="C71" s="512">
        <v>45999</v>
      </c>
      <c r="D71" s="219" t="s">
        <v>5275</v>
      </c>
      <c r="E71" s="175" t="s">
        <v>5276</v>
      </c>
      <c r="F71" s="111" t="s">
        <v>1</v>
      </c>
      <c r="G71" s="221" t="s">
        <v>4</v>
      </c>
      <c r="H71" s="493">
        <v>45999</v>
      </c>
      <c r="I71" s="25"/>
      <c r="J71" s="100" t="s">
        <v>5277</v>
      </c>
      <c r="K71" s="494"/>
      <c r="L71" s="495"/>
      <c r="M71" s="496"/>
      <c r="N71" s="497"/>
      <c r="O71" s="498"/>
      <c r="P71" s="499"/>
      <c r="Q71" s="501">
        <v>45999</v>
      </c>
      <c r="R71" s="148">
        <f t="shared" si="1"/>
        <v>0</v>
      </c>
      <c r="S71" s="101" t="s">
        <v>4800</v>
      </c>
      <c r="T71" s="201"/>
    </row>
    <row r="72" spans="1:20" ht="28.8" x14ac:dyDescent="0.3">
      <c r="A72" s="98">
        <f t="shared" si="3"/>
        <v>69</v>
      </c>
      <c r="B72" s="111" t="s">
        <v>80</v>
      </c>
      <c r="C72" s="512">
        <v>45999</v>
      </c>
      <c r="D72" s="219">
        <v>74383272</v>
      </c>
      <c r="E72" s="175" t="s">
        <v>5278</v>
      </c>
      <c r="F72" s="111" t="s">
        <v>17</v>
      </c>
      <c r="G72" s="221" t="s">
        <v>4</v>
      </c>
      <c r="H72" s="493">
        <v>45999</v>
      </c>
      <c r="I72" s="25"/>
      <c r="J72" s="100" t="s">
        <v>4870</v>
      </c>
      <c r="K72" s="494"/>
      <c r="L72" s="495"/>
      <c r="M72" s="496"/>
      <c r="N72" s="497"/>
      <c r="O72" s="498"/>
      <c r="P72" s="499"/>
      <c r="Q72" s="501">
        <v>46014</v>
      </c>
      <c r="R72" s="148">
        <f t="shared" si="1"/>
        <v>15</v>
      </c>
      <c r="S72" s="101" t="s">
        <v>1569</v>
      </c>
      <c r="T72" s="69"/>
    </row>
    <row r="73" spans="1:20" ht="100.8" x14ac:dyDescent="0.3">
      <c r="A73" s="98">
        <f t="shared" si="3"/>
        <v>70</v>
      </c>
      <c r="B73" s="111" t="s">
        <v>80</v>
      </c>
      <c r="C73" s="512">
        <v>45999</v>
      </c>
      <c r="D73" s="219"/>
      <c r="E73" s="175" t="s">
        <v>5279</v>
      </c>
      <c r="F73" s="111" t="s">
        <v>59</v>
      </c>
      <c r="G73" s="221" t="s">
        <v>10</v>
      </c>
      <c r="H73" s="493">
        <v>45999</v>
      </c>
      <c r="I73" s="25"/>
      <c r="J73" s="100" t="s">
        <v>1357</v>
      </c>
      <c r="K73" s="494"/>
      <c r="L73" s="495"/>
      <c r="M73" s="496"/>
      <c r="N73" s="497"/>
      <c r="O73" s="498"/>
      <c r="P73" s="499"/>
      <c r="Q73" s="501">
        <v>46045</v>
      </c>
      <c r="R73" s="148">
        <f t="shared" si="1"/>
        <v>46</v>
      </c>
      <c r="S73" s="101" t="s">
        <v>1310</v>
      </c>
      <c r="T73" s="69"/>
    </row>
    <row r="74" spans="1:20" ht="86.4" x14ac:dyDescent="0.3">
      <c r="A74" s="98">
        <f t="shared" si="3"/>
        <v>71</v>
      </c>
      <c r="B74" s="111" t="s">
        <v>80</v>
      </c>
      <c r="C74" s="512">
        <v>45999</v>
      </c>
      <c r="D74" s="219">
        <v>32334869</v>
      </c>
      <c r="E74" s="175" t="s">
        <v>5280</v>
      </c>
      <c r="F74" s="111" t="s">
        <v>12</v>
      </c>
      <c r="G74" s="221" t="s">
        <v>10</v>
      </c>
      <c r="H74" s="493">
        <v>45999</v>
      </c>
      <c r="I74" s="25"/>
      <c r="J74" s="107" t="s">
        <v>159</v>
      </c>
      <c r="K74" s="494"/>
      <c r="L74" s="495"/>
      <c r="M74" s="496"/>
      <c r="N74" s="497"/>
      <c r="O74" s="498"/>
      <c r="P74" s="499"/>
      <c r="Q74" s="501">
        <v>46000</v>
      </c>
      <c r="R74" s="148">
        <f t="shared" si="1"/>
        <v>1</v>
      </c>
      <c r="S74" s="101" t="s">
        <v>85</v>
      </c>
      <c r="T74" s="69"/>
    </row>
    <row r="75" spans="1:20" ht="72" x14ac:dyDescent="0.3">
      <c r="A75" s="98">
        <f t="shared" si="3"/>
        <v>72</v>
      </c>
      <c r="B75" s="111" t="s">
        <v>80</v>
      </c>
      <c r="C75" s="512">
        <v>45999</v>
      </c>
      <c r="D75" s="219">
        <v>92877265</v>
      </c>
      <c r="E75" s="175" t="s">
        <v>5281</v>
      </c>
      <c r="F75" s="111" t="s">
        <v>12</v>
      </c>
      <c r="G75" s="221" t="s">
        <v>10</v>
      </c>
      <c r="H75" s="493">
        <v>45999</v>
      </c>
      <c r="I75" s="25"/>
      <c r="J75" s="107" t="s">
        <v>159</v>
      </c>
      <c r="K75" s="494"/>
      <c r="L75" s="495"/>
      <c r="M75" s="496"/>
      <c r="N75" s="497"/>
      <c r="O75" s="498"/>
      <c r="P75" s="499"/>
      <c r="Q75" s="501">
        <v>46000</v>
      </c>
      <c r="R75" s="148">
        <f t="shared" si="1"/>
        <v>1</v>
      </c>
      <c r="S75" s="101" t="s">
        <v>1310</v>
      </c>
      <c r="T75" s="69"/>
    </row>
    <row r="76" spans="1:20" ht="43.2" x14ac:dyDescent="0.3">
      <c r="A76" s="98">
        <f t="shared" si="3"/>
        <v>73</v>
      </c>
      <c r="B76" s="111" t="s">
        <v>80</v>
      </c>
      <c r="C76" s="512">
        <v>45999</v>
      </c>
      <c r="D76" s="219">
        <v>25360469</v>
      </c>
      <c r="E76" s="175" t="s">
        <v>5282</v>
      </c>
      <c r="F76" s="111" t="s">
        <v>48</v>
      </c>
      <c r="G76" s="221" t="s">
        <v>10</v>
      </c>
      <c r="H76" s="493">
        <v>45999</v>
      </c>
      <c r="I76" s="25"/>
      <c r="J76" s="100" t="s">
        <v>253</v>
      </c>
      <c r="K76" s="494"/>
      <c r="L76" s="495"/>
      <c r="M76" s="496"/>
      <c r="N76" s="497"/>
      <c r="O76" s="498"/>
      <c r="P76" s="499"/>
      <c r="Q76" s="501">
        <v>46009</v>
      </c>
      <c r="R76" s="148">
        <f t="shared" si="1"/>
        <v>10</v>
      </c>
      <c r="S76" s="101" t="s">
        <v>85</v>
      </c>
      <c r="T76" s="69"/>
    </row>
    <row r="77" spans="1:20" ht="28.8" x14ac:dyDescent="0.3">
      <c r="A77" s="98">
        <f t="shared" si="3"/>
        <v>74</v>
      </c>
      <c r="B77" s="111" t="s">
        <v>1826</v>
      </c>
      <c r="C77" s="512">
        <v>46000</v>
      </c>
      <c r="D77" s="219">
        <v>29295807</v>
      </c>
      <c r="E77" s="289" t="s">
        <v>5283</v>
      </c>
      <c r="F77" s="111" t="s">
        <v>3</v>
      </c>
      <c r="G77" s="221" t="s">
        <v>4</v>
      </c>
      <c r="H77" s="493">
        <v>46000</v>
      </c>
      <c r="I77" s="25"/>
      <c r="J77" s="100" t="s">
        <v>4870</v>
      </c>
      <c r="K77" s="494"/>
      <c r="L77" s="495"/>
      <c r="M77" s="496"/>
      <c r="N77" s="497"/>
      <c r="O77" s="498"/>
      <c r="P77" s="499"/>
      <c r="Q77" s="501">
        <v>46000</v>
      </c>
      <c r="R77" s="148">
        <f t="shared" si="1"/>
        <v>0</v>
      </c>
      <c r="S77" s="101" t="s">
        <v>720</v>
      </c>
      <c r="T77" s="69"/>
    </row>
    <row r="78" spans="1:20" ht="28.8" x14ac:dyDescent="0.3">
      <c r="A78" s="98">
        <f t="shared" si="3"/>
        <v>75</v>
      </c>
      <c r="B78" s="554">
        <v>1550</v>
      </c>
      <c r="C78" s="656">
        <v>46000</v>
      </c>
      <c r="D78" s="662">
        <v>41915151</v>
      </c>
      <c r="E78" s="661" t="s">
        <v>5284</v>
      </c>
      <c r="F78" s="101" t="s">
        <v>3</v>
      </c>
      <c r="G78" s="221" t="s">
        <v>8</v>
      </c>
      <c r="H78" s="493">
        <v>46000</v>
      </c>
      <c r="I78" s="25"/>
      <c r="J78" s="100" t="s">
        <v>5229</v>
      </c>
      <c r="K78" s="494"/>
      <c r="L78" s="495"/>
      <c r="M78" s="496"/>
      <c r="N78" s="497"/>
      <c r="O78" s="498"/>
      <c r="P78" s="499"/>
      <c r="Q78" s="501">
        <v>46008</v>
      </c>
      <c r="R78" s="148">
        <f t="shared" si="1"/>
        <v>8</v>
      </c>
      <c r="S78" s="101" t="s">
        <v>3146</v>
      </c>
      <c r="T78" s="69"/>
    </row>
    <row r="79" spans="1:20" x14ac:dyDescent="0.3">
      <c r="A79" s="98">
        <f t="shared" si="3"/>
        <v>76</v>
      </c>
      <c r="B79" s="506">
        <v>1550</v>
      </c>
      <c r="C79" s="512">
        <v>46000</v>
      </c>
      <c r="D79">
        <v>120411962</v>
      </c>
      <c r="E79" s="175" t="s">
        <v>5285</v>
      </c>
      <c r="F79" s="101" t="s">
        <v>23</v>
      </c>
      <c r="G79" s="221" t="s">
        <v>4</v>
      </c>
      <c r="H79" s="493">
        <v>46000</v>
      </c>
      <c r="I79" s="25"/>
      <c r="J79" s="754" t="s">
        <v>135</v>
      </c>
      <c r="K79" s="494"/>
      <c r="L79" s="495"/>
      <c r="M79" s="496"/>
      <c r="N79" s="497"/>
      <c r="O79" s="498"/>
      <c r="P79" s="499"/>
      <c r="Q79" s="501">
        <v>46001</v>
      </c>
      <c r="R79" s="148">
        <f t="shared" si="1"/>
        <v>1</v>
      </c>
      <c r="S79" s="101" t="s">
        <v>1811</v>
      </c>
      <c r="T79" s="69"/>
    </row>
    <row r="80" spans="1:20" ht="28.8" x14ac:dyDescent="0.3">
      <c r="A80" s="98">
        <f t="shared" si="3"/>
        <v>77</v>
      </c>
      <c r="B80" s="506">
        <v>1550</v>
      </c>
      <c r="C80" s="512">
        <v>46000</v>
      </c>
      <c r="D80" s="751"/>
      <c r="E80" s="175" t="s">
        <v>5286</v>
      </c>
      <c r="F80" s="101" t="s">
        <v>21</v>
      </c>
      <c r="G80" s="221" t="s">
        <v>4</v>
      </c>
      <c r="H80" s="493">
        <v>46000</v>
      </c>
      <c r="I80" s="25"/>
      <c r="J80" s="100" t="s">
        <v>1357</v>
      </c>
      <c r="K80" s="494"/>
      <c r="L80" s="495"/>
      <c r="M80" s="496"/>
      <c r="N80" s="497"/>
      <c r="O80" s="498"/>
      <c r="P80" s="499"/>
      <c r="Q80" s="501">
        <v>46001</v>
      </c>
      <c r="R80" s="148">
        <f t="shared" si="1"/>
        <v>1</v>
      </c>
      <c r="S80" s="101" t="s">
        <v>720</v>
      </c>
      <c r="T80" s="167"/>
    </row>
    <row r="81" spans="1:20" ht="43.2" x14ac:dyDescent="0.3">
      <c r="A81" s="98">
        <f t="shared" si="3"/>
        <v>78</v>
      </c>
      <c r="B81" s="506" t="s">
        <v>80</v>
      </c>
      <c r="C81" s="512">
        <v>46000</v>
      </c>
      <c r="D81" s="219" t="s">
        <v>5287</v>
      </c>
      <c r="E81" s="175" t="s">
        <v>2387</v>
      </c>
      <c r="F81" s="101" t="s">
        <v>48</v>
      </c>
      <c r="G81" s="221" t="s">
        <v>8</v>
      </c>
      <c r="H81" s="493">
        <v>46000</v>
      </c>
      <c r="I81" s="25"/>
      <c r="J81" s="100" t="s">
        <v>99</v>
      </c>
      <c r="K81" s="494"/>
      <c r="L81" s="495"/>
      <c r="M81" s="496"/>
      <c r="N81" s="497"/>
      <c r="O81" s="498"/>
      <c r="P81" s="499"/>
      <c r="Q81" s="501">
        <v>46021</v>
      </c>
      <c r="R81" s="148">
        <f t="shared" si="1"/>
        <v>21</v>
      </c>
      <c r="S81" s="101" t="s">
        <v>3146</v>
      </c>
      <c r="T81" s="167" t="s">
        <v>5288</v>
      </c>
    </row>
    <row r="82" spans="1:20" ht="57.6" x14ac:dyDescent="0.3">
      <c r="A82" s="98">
        <f t="shared" si="3"/>
        <v>79</v>
      </c>
      <c r="B82" s="660" t="s">
        <v>80</v>
      </c>
      <c r="C82" s="512">
        <v>46000</v>
      </c>
      <c r="D82" s="219">
        <v>50650947</v>
      </c>
      <c r="E82" s="175" t="s">
        <v>5289</v>
      </c>
      <c r="F82" s="101" t="s">
        <v>55</v>
      </c>
      <c r="G82" s="221" t="s">
        <v>10</v>
      </c>
      <c r="H82" s="493">
        <v>46000</v>
      </c>
      <c r="I82" s="25"/>
      <c r="J82" s="100" t="s">
        <v>253</v>
      </c>
      <c r="K82" s="494"/>
      <c r="L82" s="495"/>
      <c r="M82" s="496"/>
      <c r="N82" s="497"/>
      <c r="O82" s="498"/>
      <c r="P82" s="499"/>
      <c r="Q82" s="501">
        <v>46020</v>
      </c>
      <c r="R82" s="148">
        <f t="shared" ref="R82:R87" si="4">Q82-H82</f>
        <v>20</v>
      </c>
      <c r="S82" s="101" t="s">
        <v>85</v>
      </c>
      <c r="T82" s="167"/>
    </row>
    <row r="83" spans="1:20" ht="43.2" x14ac:dyDescent="0.3">
      <c r="A83" s="98">
        <f t="shared" si="3"/>
        <v>80</v>
      </c>
      <c r="B83" s="660" t="s">
        <v>80</v>
      </c>
      <c r="C83" s="512">
        <v>46000</v>
      </c>
      <c r="D83" s="219">
        <v>7197128</v>
      </c>
      <c r="E83" s="175" t="s">
        <v>5290</v>
      </c>
      <c r="F83" s="101" t="s">
        <v>55</v>
      </c>
      <c r="G83" s="221" t="s">
        <v>10</v>
      </c>
      <c r="H83" s="493">
        <v>46000</v>
      </c>
      <c r="I83" s="25"/>
      <c r="J83" s="100" t="s">
        <v>253</v>
      </c>
      <c r="K83" s="494"/>
      <c r="L83" s="495"/>
      <c r="M83" s="496"/>
      <c r="N83" s="497"/>
      <c r="O83" s="498"/>
      <c r="P83" s="499"/>
      <c r="Q83" s="501">
        <v>46020</v>
      </c>
      <c r="R83" s="148">
        <f t="shared" si="4"/>
        <v>20</v>
      </c>
      <c r="S83" s="101" t="s">
        <v>85</v>
      </c>
      <c r="T83" s="167"/>
    </row>
    <row r="84" spans="1:20" ht="129.6" x14ac:dyDescent="0.3">
      <c r="A84" s="98">
        <f t="shared" si="3"/>
        <v>81</v>
      </c>
      <c r="B84" s="660">
        <v>1550</v>
      </c>
      <c r="C84" s="512">
        <v>46000</v>
      </c>
      <c r="D84" s="219">
        <v>119347806</v>
      </c>
      <c r="E84" s="175" t="s">
        <v>5291</v>
      </c>
      <c r="F84" s="101" t="s">
        <v>1</v>
      </c>
      <c r="G84" s="221" t="s">
        <v>10</v>
      </c>
      <c r="H84" s="493">
        <v>46000</v>
      </c>
      <c r="I84" s="25"/>
      <c r="J84" s="100" t="s">
        <v>99</v>
      </c>
      <c r="K84" s="494"/>
      <c r="L84" s="495"/>
      <c r="M84" s="496"/>
      <c r="N84" s="497"/>
      <c r="O84" s="498"/>
      <c r="P84" s="499"/>
      <c r="Q84" s="501">
        <v>46000</v>
      </c>
      <c r="R84" s="148">
        <f t="shared" si="4"/>
        <v>0</v>
      </c>
      <c r="S84" s="101" t="s">
        <v>1806</v>
      </c>
      <c r="T84" s="167"/>
    </row>
    <row r="85" spans="1:20" ht="100.8" x14ac:dyDescent="0.3">
      <c r="A85" s="98">
        <f t="shared" si="3"/>
        <v>82</v>
      </c>
      <c r="B85" s="660">
        <v>1550</v>
      </c>
      <c r="C85" s="512">
        <v>46000</v>
      </c>
      <c r="D85" s="219"/>
      <c r="E85" s="175" t="s">
        <v>5292</v>
      </c>
      <c r="F85" s="101" t="s">
        <v>21</v>
      </c>
      <c r="G85" s="221" t="s">
        <v>10</v>
      </c>
      <c r="H85" s="493">
        <v>46000</v>
      </c>
      <c r="I85" s="25"/>
      <c r="J85" s="100" t="s">
        <v>99</v>
      </c>
      <c r="K85" s="494"/>
      <c r="L85" s="495"/>
      <c r="M85" s="496"/>
      <c r="N85" s="497"/>
      <c r="O85" s="498"/>
      <c r="P85" s="499"/>
      <c r="Q85" s="501">
        <v>46000</v>
      </c>
      <c r="R85" s="148">
        <f t="shared" si="4"/>
        <v>0</v>
      </c>
      <c r="S85" s="101" t="s">
        <v>1806</v>
      </c>
      <c r="T85" s="167"/>
    </row>
    <row r="86" spans="1:20" ht="115.2" x14ac:dyDescent="0.3">
      <c r="A86" s="98">
        <f t="shared" si="3"/>
        <v>83</v>
      </c>
      <c r="B86" s="660" t="s">
        <v>80</v>
      </c>
      <c r="C86" s="512">
        <v>46000</v>
      </c>
      <c r="D86" s="219">
        <v>76677133</v>
      </c>
      <c r="E86" s="175" t="s">
        <v>5293</v>
      </c>
      <c r="F86" s="101" t="s">
        <v>32</v>
      </c>
      <c r="G86" s="221" t="s">
        <v>10</v>
      </c>
      <c r="H86" s="493">
        <v>46000</v>
      </c>
      <c r="I86" s="25"/>
      <c r="J86" s="100" t="s">
        <v>106</v>
      </c>
      <c r="K86" s="494"/>
      <c r="L86" s="495"/>
      <c r="M86" s="496"/>
      <c r="N86" s="497"/>
      <c r="O86" s="498"/>
      <c r="P86" s="499"/>
      <c r="Q86" s="501">
        <v>46010</v>
      </c>
      <c r="R86" s="148">
        <f t="shared" si="4"/>
        <v>10</v>
      </c>
      <c r="S86" s="101" t="s">
        <v>85</v>
      </c>
      <c r="T86" s="167"/>
    </row>
    <row r="87" spans="1:20" ht="86.4" x14ac:dyDescent="0.3">
      <c r="A87" s="98">
        <f t="shared" si="3"/>
        <v>84</v>
      </c>
      <c r="B87" s="660">
        <v>1550</v>
      </c>
      <c r="C87" s="512">
        <v>46000</v>
      </c>
      <c r="D87" s="219">
        <v>79790267</v>
      </c>
      <c r="E87" s="175" t="s">
        <v>5294</v>
      </c>
      <c r="F87" s="101" t="s">
        <v>32</v>
      </c>
      <c r="G87" s="221" t="s">
        <v>10</v>
      </c>
      <c r="H87" s="493">
        <v>46000</v>
      </c>
      <c r="I87" s="25"/>
      <c r="J87" s="100" t="s">
        <v>106</v>
      </c>
      <c r="K87" s="494"/>
      <c r="L87" s="495"/>
      <c r="M87" s="496"/>
      <c r="N87" s="497"/>
      <c r="O87" s="498"/>
      <c r="P87" s="499"/>
      <c r="Q87" s="501">
        <v>46001</v>
      </c>
      <c r="R87" s="148">
        <f t="shared" si="4"/>
        <v>1</v>
      </c>
      <c r="S87" s="101" t="s">
        <v>1319</v>
      </c>
      <c r="T87" s="167"/>
    </row>
    <row r="88" spans="1:20" ht="28.8" x14ac:dyDescent="0.3">
      <c r="A88" s="98">
        <f t="shared" si="3"/>
        <v>85</v>
      </c>
      <c r="B88" s="660" t="s">
        <v>1826</v>
      </c>
      <c r="C88" s="512">
        <v>46001</v>
      </c>
      <c r="D88" s="219">
        <v>42724120</v>
      </c>
      <c r="E88" s="175" t="s">
        <v>5295</v>
      </c>
      <c r="F88" s="101" t="s">
        <v>7</v>
      </c>
      <c r="G88" s="112" t="s">
        <v>4</v>
      </c>
      <c r="H88" s="493">
        <v>46001</v>
      </c>
      <c r="I88" s="25"/>
      <c r="J88" s="100" t="s">
        <v>2547</v>
      </c>
      <c r="K88" s="494"/>
      <c r="L88" s="495"/>
      <c r="M88" s="496"/>
      <c r="N88" s="497"/>
      <c r="O88" s="498"/>
      <c r="P88" s="499"/>
      <c r="Q88" s="501">
        <v>46001</v>
      </c>
      <c r="R88" s="148">
        <f t="shared" ref="R88:R165" si="5">Q88-H88</f>
        <v>0</v>
      </c>
      <c r="S88" s="101" t="s">
        <v>720</v>
      </c>
      <c r="T88" s="315"/>
    </row>
    <row r="89" spans="1:20" ht="28.8" x14ac:dyDescent="0.45">
      <c r="A89" s="98">
        <f t="shared" si="3"/>
        <v>86</v>
      </c>
      <c r="B89" s="506">
        <v>1550</v>
      </c>
      <c r="C89" s="512">
        <v>46001</v>
      </c>
      <c r="D89" s="219">
        <v>113017251</v>
      </c>
      <c r="E89" s="212" t="s">
        <v>5296</v>
      </c>
      <c r="F89" s="386" t="s">
        <v>1</v>
      </c>
      <c r="G89" s="112" t="s">
        <v>4</v>
      </c>
      <c r="H89" s="493">
        <v>46001</v>
      </c>
      <c r="I89" s="341"/>
      <c r="J89" s="692" t="s">
        <v>2352</v>
      </c>
      <c r="K89" s="494"/>
      <c r="L89" s="495"/>
      <c r="M89" s="496"/>
      <c r="N89" s="497"/>
      <c r="O89" s="498"/>
      <c r="P89" s="499"/>
      <c r="Q89" s="501">
        <v>46001</v>
      </c>
      <c r="R89" s="148">
        <f t="shared" si="5"/>
        <v>0</v>
      </c>
      <c r="S89" s="101" t="s">
        <v>2974</v>
      </c>
      <c r="T89" s="69"/>
    </row>
    <row r="90" spans="1:20" ht="28.8" x14ac:dyDescent="0.3">
      <c r="A90" s="98">
        <f t="shared" si="3"/>
        <v>87</v>
      </c>
      <c r="B90" s="506">
        <v>1550</v>
      </c>
      <c r="C90" s="492">
        <v>46001</v>
      </c>
      <c r="D90" s="543">
        <v>120701154</v>
      </c>
      <c r="E90" s="212" t="s">
        <v>5297</v>
      </c>
      <c r="F90" s="386" t="s">
        <v>1</v>
      </c>
      <c r="G90" s="112" t="s">
        <v>4</v>
      </c>
      <c r="H90" s="493">
        <v>46001</v>
      </c>
      <c r="I90" s="341"/>
      <c r="J90" s="100" t="s">
        <v>2432</v>
      </c>
      <c r="K90" s="494"/>
      <c r="L90" s="495"/>
      <c r="M90" s="496"/>
      <c r="N90" s="497"/>
      <c r="O90" s="498"/>
      <c r="P90" s="499"/>
      <c r="Q90" s="501">
        <v>46001</v>
      </c>
      <c r="R90" s="148">
        <f t="shared" si="5"/>
        <v>0</v>
      </c>
      <c r="S90" s="101" t="s">
        <v>2970</v>
      </c>
      <c r="T90" s="69"/>
    </row>
    <row r="91" spans="1:20" ht="28.8" x14ac:dyDescent="0.3">
      <c r="A91" s="98">
        <f t="shared" si="3"/>
        <v>88</v>
      </c>
      <c r="B91" s="506">
        <v>1550</v>
      </c>
      <c r="C91" s="512">
        <v>46001</v>
      </c>
      <c r="D91" s="135">
        <v>78333717</v>
      </c>
      <c r="E91" s="175" t="s">
        <v>5298</v>
      </c>
      <c r="F91" s="386" t="s">
        <v>1</v>
      </c>
      <c r="G91" s="112" t="s">
        <v>4</v>
      </c>
      <c r="H91" s="493">
        <v>46001</v>
      </c>
      <c r="I91" s="125"/>
      <c r="J91" s="100" t="s">
        <v>3385</v>
      </c>
      <c r="K91" s="494"/>
      <c r="L91" s="495"/>
      <c r="M91" s="496"/>
      <c r="N91" s="497"/>
      <c r="O91" s="498"/>
      <c r="P91" s="499"/>
      <c r="Q91" s="501">
        <v>46001</v>
      </c>
      <c r="R91" s="148">
        <f t="shared" si="5"/>
        <v>0</v>
      </c>
      <c r="S91" s="101" t="s">
        <v>1811</v>
      </c>
      <c r="T91" s="167"/>
    </row>
    <row r="92" spans="1:20" ht="28.8" x14ac:dyDescent="0.3">
      <c r="A92" s="98">
        <f t="shared" si="3"/>
        <v>89</v>
      </c>
      <c r="B92" s="506">
        <v>1550</v>
      </c>
      <c r="C92" s="512">
        <v>46001</v>
      </c>
      <c r="D92" s="135">
        <v>342952633</v>
      </c>
      <c r="E92" s="175" t="s">
        <v>5299</v>
      </c>
      <c r="F92" s="386" t="s">
        <v>7</v>
      </c>
      <c r="G92" s="112" t="s">
        <v>4</v>
      </c>
      <c r="H92" s="493">
        <v>46001</v>
      </c>
      <c r="I92" s="125"/>
      <c r="J92" s="100" t="s">
        <v>2547</v>
      </c>
      <c r="K92" s="494"/>
      <c r="L92" s="495"/>
      <c r="M92" s="496"/>
      <c r="N92" s="497"/>
      <c r="O92" s="498"/>
      <c r="P92" s="499"/>
      <c r="Q92" s="501">
        <v>46009</v>
      </c>
      <c r="R92" s="148">
        <f t="shared" si="5"/>
        <v>8</v>
      </c>
      <c r="S92" s="101" t="s">
        <v>2979</v>
      </c>
      <c r="T92" s="167"/>
    </row>
    <row r="93" spans="1:20" ht="43.2" x14ac:dyDescent="0.3">
      <c r="A93" s="98">
        <f t="shared" si="3"/>
        <v>90</v>
      </c>
      <c r="B93" s="506">
        <v>1550</v>
      </c>
      <c r="C93" s="512">
        <v>46001</v>
      </c>
      <c r="D93" s="135">
        <v>47240296</v>
      </c>
      <c r="E93" s="175" t="s">
        <v>5300</v>
      </c>
      <c r="F93" s="386" t="s">
        <v>12</v>
      </c>
      <c r="G93" s="112" t="s">
        <v>4</v>
      </c>
      <c r="H93" s="493">
        <v>46001</v>
      </c>
      <c r="I93" s="125"/>
      <c r="J93" s="100" t="s">
        <v>99</v>
      </c>
      <c r="K93" s="494"/>
      <c r="L93" s="495"/>
      <c r="M93" s="496"/>
      <c r="N93" s="497"/>
      <c r="O93" s="498"/>
      <c r="P93" s="499"/>
      <c r="Q93" s="501">
        <v>46001</v>
      </c>
      <c r="R93" s="148">
        <f t="shared" si="5"/>
        <v>0</v>
      </c>
      <c r="S93" s="101" t="s">
        <v>1811</v>
      </c>
      <c r="T93" s="167"/>
    </row>
    <row r="94" spans="1:20" ht="28.8" x14ac:dyDescent="0.3">
      <c r="A94" s="98">
        <f t="shared" si="3"/>
        <v>91</v>
      </c>
      <c r="B94" s="506">
        <v>1550</v>
      </c>
      <c r="C94" s="512">
        <v>46001</v>
      </c>
      <c r="D94" s="135">
        <v>111398673</v>
      </c>
      <c r="E94" s="175" t="s">
        <v>5301</v>
      </c>
      <c r="F94" s="386" t="s">
        <v>1</v>
      </c>
      <c r="G94" s="112" t="s">
        <v>4</v>
      </c>
      <c r="H94" s="493">
        <v>46001</v>
      </c>
      <c r="I94" s="341"/>
      <c r="J94" s="100" t="s">
        <v>2271</v>
      </c>
      <c r="K94" s="494"/>
      <c r="L94" s="495"/>
      <c r="M94" s="496"/>
      <c r="N94" s="497"/>
      <c r="O94" s="498"/>
      <c r="P94" s="499"/>
      <c r="Q94" s="501">
        <v>46002</v>
      </c>
      <c r="R94" s="148">
        <f t="shared" si="5"/>
        <v>1</v>
      </c>
      <c r="S94" s="101" t="s">
        <v>1811</v>
      </c>
      <c r="T94" s="69"/>
    </row>
    <row r="95" spans="1:20" ht="72" x14ac:dyDescent="0.3">
      <c r="A95" s="98">
        <f t="shared" si="3"/>
        <v>92</v>
      </c>
      <c r="B95" s="506">
        <v>1550</v>
      </c>
      <c r="C95" s="512">
        <v>46001</v>
      </c>
      <c r="D95" s="135">
        <v>26726378</v>
      </c>
      <c r="E95" s="175" t="s">
        <v>5302</v>
      </c>
      <c r="F95" s="386" t="s">
        <v>64</v>
      </c>
      <c r="G95" s="112" t="s">
        <v>4</v>
      </c>
      <c r="H95" s="493">
        <v>46001</v>
      </c>
      <c r="I95" s="125"/>
      <c r="J95" s="100" t="s">
        <v>106</v>
      </c>
      <c r="K95" s="494"/>
      <c r="L95" s="495"/>
      <c r="M95" s="496"/>
      <c r="N95" s="497"/>
      <c r="O95" s="498"/>
      <c r="P95" s="499"/>
      <c r="Q95" s="501">
        <v>46001</v>
      </c>
      <c r="R95" s="148">
        <f t="shared" si="5"/>
        <v>0</v>
      </c>
      <c r="S95" s="101" t="s">
        <v>720</v>
      </c>
      <c r="T95" s="69"/>
    </row>
    <row r="96" spans="1:20" ht="28.8" x14ac:dyDescent="0.3">
      <c r="A96" s="98">
        <f t="shared" si="3"/>
        <v>93</v>
      </c>
      <c r="B96" s="506" t="s">
        <v>80</v>
      </c>
      <c r="C96" s="512">
        <v>46001</v>
      </c>
      <c r="D96" s="135">
        <v>82705534</v>
      </c>
      <c r="E96" s="175" t="s">
        <v>5303</v>
      </c>
      <c r="F96" s="386" t="s">
        <v>1</v>
      </c>
      <c r="G96" s="112" t="s">
        <v>4</v>
      </c>
      <c r="H96" s="493">
        <v>46001</v>
      </c>
      <c r="I96" s="341"/>
      <c r="J96" s="100" t="s">
        <v>2992</v>
      </c>
      <c r="K96" s="507"/>
      <c r="L96" s="508"/>
      <c r="M96" s="365"/>
      <c r="N96" s="509"/>
      <c r="O96" s="510"/>
      <c r="P96" s="755"/>
      <c r="Q96" s="501">
        <v>46001</v>
      </c>
      <c r="R96" s="148">
        <f t="shared" si="5"/>
        <v>0</v>
      </c>
      <c r="S96" s="101" t="s">
        <v>4</v>
      </c>
      <c r="T96" s="167"/>
    </row>
    <row r="97" spans="1:20" ht="43.2" x14ac:dyDescent="0.3">
      <c r="A97" s="98">
        <f t="shared" si="3"/>
        <v>94</v>
      </c>
      <c r="B97" s="506">
        <v>1550</v>
      </c>
      <c r="C97" s="512">
        <v>46001</v>
      </c>
      <c r="D97" s="135">
        <v>71882375</v>
      </c>
      <c r="E97" s="175" t="s">
        <v>5304</v>
      </c>
      <c r="F97" s="386" t="s">
        <v>64</v>
      </c>
      <c r="G97" s="112" t="s">
        <v>4</v>
      </c>
      <c r="H97" s="493">
        <v>46001</v>
      </c>
      <c r="I97" s="341"/>
      <c r="J97" s="100" t="s">
        <v>99</v>
      </c>
      <c r="K97" s="494"/>
      <c r="L97" s="495"/>
      <c r="M97" s="496"/>
      <c r="N97" s="497"/>
      <c r="O97" s="498"/>
      <c r="P97" s="499"/>
      <c r="Q97" s="501">
        <v>46001</v>
      </c>
      <c r="R97" s="148">
        <f t="shared" si="5"/>
        <v>0</v>
      </c>
      <c r="S97" s="101" t="s">
        <v>3783</v>
      </c>
      <c r="T97" s="69"/>
    </row>
    <row r="98" spans="1:20" ht="172.8" x14ac:dyDescent="0.3">
      <c r="A98" s="98">
        <f t="shared" si="3"/>
        <v>95</v>
      </c>
      <c r="B98" s="506">
        <v>1550</v>
      </c>
      <c r="C98" s="512">
        <v>46001</v>
      </c>
      <c r="D98" s="135">
        <v>12403407</v>
      </c>
      <c r="E98" s="175" t="s">
        <v>5305</v>
      </c>
      <c r="F98" s="386" t="s">
        <v>1</v>
      </c>
      <c r="G98" s="112" t="s">
        <v>10</v>
      </c>
      <c r="H98" s="493">
        <v>46001</v>
      </c>
      <c r="I98" s="341"/>
      <c r="J98" s="100" t="s">
        <v>5102</v>
      </c>
      <c r="K98" s="494"/>
      <c r="L98" s="495"/>
      <c r="M98" s="496"/>
      <c r="N98" s="497"/>
      <c r="O98" s="498"/>
      <c r="P98" s="499"/>
      <c r="Q98" s="501">
        <v>46001</v>
      </c>
      <c r="R98" s="148">
        <f t="shared" ref="R98:R104" si="6">Q98-H98</f>
        <v>0</v>
      </c>
      <c r="S98" s="101" t="s">
        <v>2209</v>
      </c>
      <c r="T98" s="69"/>
    </row>
    <row r="99" spans="1:20" ht="72" x14ac:dyDescent="0.3">
      <c r="A99" s="98">
        <f t="shared" si="3"/>
        <v>96</v>
      </c>
      <c r="B99" s="506">
        <v>1550</v>
      </c>
      <c r="C99" s="512">
        <v>46001</v>
      </c>
      <c r="D99" s="135">
        <v>114205116</v>
      </c>
      <c r="E99" s="175" t="s">
        <v>5306</v>
      </c>
      <c r="F99" s="386" t="s">
        <v>1</v>
      </c>
      <c r="G99" s="112" t="s">
        <v>10</v>
      </c>
      <c r="H99" s="493">
        <v>46001</v>
      </c>
      <c r="I99" s="341"/>
      <c r="J99" s="100" t="s">
        <v>4972</v>
      </c>
      <c r="K99" s="494"/>
      <c r="L99" s="495"/>
      <c r="M99" s="496"/>
      <c r="N99" s="497"/>
      <c r="O99" s="498"/>
      <c r="P99" s="499"/>
      <c r="Q99" s="501">
        <v>46001</v>
      </c>
      <c r="R99" s="148">
        <f t="shared" si="6"/>
        <v>0</v>
      </c>
      <c r="S99" s="101" t="s">
        <v>2209</v>
      </c>
      <c r="T99" s="69"/>
    </row>
    <row r="100" spans="1:20" ht="43.2" x14ac:dyDescent="0.3">
      <c r="A100" s="98">
        <f t="shared" si="3"/>
        <v>97</v>
      </c>
      <c r="B100" s="506">
        <v>1550</v>
      </c>
      <c r="C100" s="512">
        <v>46001</v>
      </c>
      <c r="D100" s="135">
        <v>306126346</v>
      </c>
      <c r="E100" s="175" t="s">
        <v>5307</v>
      </c>
      <c r="F100" s="386" t="s">
        <v>3</v>
      </c>
      <c r="G100" s="112" t="s">
        <v>10</v>
      </c>
      <c r="H100" s="493">
        <v>46001</v>
      </c>
      <c r="I100" s="341">
        <v>10000335326</v>
      </c>
      <c r="J100" s="100" t="s">
        <v>5229</v>
      </c>
      <c r="K100" s="494"/>
      <c r="L100" s="495"/>
      <c r="M100" s="496"/>
      <c r="N100" s="497"/>
      <c r="O100" s="498"/>
      <c r="P100" s="499"/>
      <c r="Q100" s="501">
        <v>46002</v>
      </c>
      <c r="R100" s="148">
        <f t="shared" si="6"/>
        <v>1</v>
      </c>
      <c r="S100" s="101" t="s">
        <v>2716</v>
      </c>
      <c r="T100" s="69" t="s">
        <v>5308</v>
      </c>
    </row>
    <row r="101" spans="1:20" ht="230.4" x14ac:dyDescent="0.3">
      <c r="A101" s="98">
        <f t="shared" si="3"/>
        <v>98</v>
      </c>
      <c r="B101" s="506">
        <v>1550</v>
      </c>
      <c r="C101" s="512">
        <v>46001</v>
      </c>
      <c r="D101" s="135"/>
      <c r="E101" s="175" t="s">
        <v>5309</v>
      </c>
      <c r="F101" s="386" t="s">
        <v>21</v>
      </c>
      <c r="G101" s="112" t="s">
        <v>10</v>
      </c>
      <c r="H101" s="493">
        <v>46001</v>
      </c>
      <c r="I101" s="341"/>
      <c r="J101" s="100" t="s">
        <v>5310</v>
      </c>
      <c r="K101" s="494"/>
      <c r="L101" s="495"/>
      <c r="M101" s="496"/>
      <c r="N101" s="497"/>
      <c r="O101" s="498"/>
      <c r="P101" s="499"/>
      <c r="Q101" s="501">
        <v>46002</v>
      </c>
      <c r="R101" s="148">
        <f t="shared" si="6"/>
        <v>1</v>
      </c>
      <c r="S101" s="101" t="s">
        <v>1332</v>
      </c>
      <c r="T101" s="69"/>
    </row>
    <row r="102" spans="1:20" ht="115.2" x14ac:dyDescent="0.3">
      <c r="A102" s="98">
        <f t="shared" si="3"/>
        <v>99</v>
      </c>
      <c r="B102" s="506" t="s">
        <v>80</v>
      </c>
      <c r="C102" s="512">
        <v>46001</v>
      </c>
      <c r="D102" s="135">
        <v>6778410</v>
      </c>
      <c r="E102" s="175" t="s">
        <v>5311</v>
      </c>
      <c r="F102" s="386" t="s">
        <v>1</v>
      </c>
      <c r="G102" s="112" t="s">
        <v>10</v>
      </c>
      <c r="H102" s="493">
        <v>46001</v>
      </c>
      <c r="I102" s="341"/>
      <c r="J102" s="100" t="s">
        <v>2504</v>
      </c>
      <c r="K102" s="494"/>
      <c r="L102" s="495"/>
      <c r="M102" s="496"/>
      <c r="N102" s="497"/>
      <c r="O102" s="498"/>
      <c r="P102" s="499"/>
      <c r="Q102" s="501">
        <v>46007</v>
      </c>
      <c r="R102" s="148">
        <f t="shared" si="6"/>
        <v>6</v>
      </c>
      <c r="S102" s="101" t="s">
        <v>85</v>
      </c>
      <c r="T102" s="69"/>
    </row>
    <row r="103" spans="1:20" ht="115.2" x14ac:dyDescent="0.3">
      <c r="A103" s="98">
        <f t="shared" si="3"/>
        <v>100</v>
      </c>
      <c r="B103" s="506">
        <v>1550</v>
      </c>
      <c r="C103" s="512">
        <v>46001</v>
      </c>
      <c r="D103" s="135">
        <v>22078169</v>
      </c>
      <c r="E103" s="175" t="s">
        <v>5312</v>
      </c>
      <c r="F103" s="386" t="s">
        <v>22</v>
      </c>
      <c r="G103" s="112" t="s">
        <v>10</v>
      </c>
      <c r="H103" s="493">
        <v>46001</v>
      </c>
      <c r="I103" s="341"/>
      <c r="J103" s="100" t="s">
        <v>22</v>
      </c>
      <c r="K103" s="494"/>
      <c r="L103" s="495"/>
      <c r="M103" s="496"/>
      <c r="N103" s="497"/>
      <c r="O103" s="498"/>
      <c r="P103" s="499"/>
      <c r="Q103" s="501">
        <v>46002</v>
      </c>
      <c r="R103" s="148">
        <f t="shared" si="6"/>
        <v>1</v>
      </c>
      <c r="S103" s="101" t="s">
        <v>1332</v>
      </c>
      <c r="T103" s="69" t="s">
        <v>5313</v>
      </c>
    </row>
    <row r="104" spans="1:20" ht="43.2" x14ac:dyDescent="0.3">
      <c r="A104" s="98">
        <f t="shared" si="3"/>
        <v>101</v>
      </c>
      <c r="B104" s="506" t="s">
        <v>80</v>
      </c>
      <c r="C104" s="512">
        <v>46001</v>
      </c>
      <c r="D104" s="135">
        <v>98441000</v>
      </c>
      <c r="E104" s="175" t="s">
        <v>5314</v>
      </c>
      <c r="F104" s="386" t="s">
        <v>23</v>
      </c>
      <c r="G104" s="112" t="s">
        <v>10</v>
      </c>
      <c r="H104" s="493">
        <v>46001</v>
      </c>
      <c r="I104" s="341"/>
      <c r="J104" s="100" t="s">
        <v>135</v>
      </c>
      <c r="K104" s="494"/>
      <c r="L104" s="495"/>
      <c r="M104" s="496"/>
      <c r="N104" s="497"/>
      <c r="O104" s="498"/>
      <c r="P104" s="499"/>
      <c r="Q104" s="501">
        <v>46021</v>
      </c>
      <c r="R104" s="148">
        <f t="shared" si="6"/>
        <v>20</v>
      </c>
      <c r="S104" s="101" t="s">
        <v>1316</v>
      </c>
      <c r="T104" s="69"/>
    </row>
    <row r="105" spans="1:20" ht="43.2" x14ac:dyDescent="0.3">
      <c r="A105" s="98">
        <f t="shared" si="3"/>
        <v>102</v>
      </c>
      <c r="B105" s="506" t="s">
        <v>80</v>
      </c>
      <c r="C105" s="512">
        <v>46002</v>
      </c>
      <c r="D105" s="753">
        <v>23300620</v>
      </c>
      <c r="E105" s="175" t="s">
        <v>5315</v>
      </c>
      <c r="F105" s="386" t="s">
        <v>48</v>
      </c>
      <c r="G105" s="112" t="s">
        <v>4</v>
      </c>
      <c r="H105" s="493">
        <v>46002</v>
      </c>
      <c r="I105" s="341"/>
      <c r="J105" s="100" t="s">
        <v>99</v>
      </c>
      <c r="K105" s="494"/>
      <c r="L105" s="495"/>
      <c r="M105" s="496"/>
      <c r="N105" s="497"/>
      <c r="O105" s="498"/>
      <c r="P105" s="499"/>
      <c r="Q105" s="501">
        <v>46007</v>
      </c>
      <c r="R105" s="148">
        <f t="shared" si="5"/>
        <v>5</v>
      </c>
      <c r="S105" s="101" t="s">
        <v>4063</v>
      </c>
      <c r="T105" s="69"/>
    </row>
    <row r="106" spans="1:20" x14ac:dyDescent="0.3">
      <c r="A106" s="98">
        <f t="shared" si="3"/>
        <v>103</v>
      </c>
      <c r="B106" s="506" t="s">
        <v>1826</v>
      </c>
      <c r="C106" s="512">
        <v>46002</v>
      </c>
      <c r="D106" s="135">
        <v>89944291</v>
      </c>
      <c r="E106" s="175" t="s">
        <v>5316</v>
      </c>
      <c r="F106" s="386" t="s">
        <v>3</v>
      </c>
      <c r="G106" s="112" t="s">
        <v>4</v>
      </c>
      <c r="H106" s="493">
        <v>46002</v>
      </c>
      <c r="I106" s="341"/>
      <c r="J106" s="100" t="s">
        <v>4870</v>
      </c>
      <c r="K106" s="494"/>
      <c r="L106" s="495"/>
      <c r="M106" s="496"/>
      <c r="N106" s="497"/>
      <c r="O106" s="498"/>
      <c r="P106" s="499"/>
      <c r="Q106" s="501">
        <v>46002</v>
      </c>
      <c r="R106" s="148">
        <f t="shared" si="5"/>
        <v>0</v>
      </c>
      <c r="S106" s="101" t="s">
        <v>1811</v>
      </c>
      <c r="T106" s="69"/>
    </row>
    <row r="107" spans="1:20" ht="43.2" x14ac:dyDescent="0.3">
      <c r="A107" s="98">
        <f t="shared" si="3"/>
        <v>104</v>
      </c>
      <c r="B107" s="506">
        <v>1550</v>
      </c>
      <c r="C107" s="512">
        <v>46002</v>
      </c>
      <c r="D107" s="135">
        <v>65663497</v>
      </c>
      <c r="E107" s="212" t="s">
        <v>5082</v>
      </c>
      <c r="F107" s="386" t="s">
        <v>48</v>
      </c>
      <c r="G107" s="112" t="s">
        <v>8</v>
      </c>
      <c r="H107" s="493">
        <v>46002</v>
      </c>
      <c r="I107" s="555"/>
      <c r="J107" s="100" t="s">
        <v>99</v>
      </c>
      <c r="K107" s="494"/>
      <c r="L107" s="495"/>
      <c r="M107" s="496"/>
      <c r="N107" s="497"/>
      <c r="O107" s="498"/>
      <c r="P107" s="499"/>
      <c r="Q107" s="501">
        <v>46007</v>
      </c>
      <c r="R107" s="148">
        <f t="shared" si="5"/>
        <v>5</v>
      </c>
      <c r="S107" s="101" t="s">
        <v>4026</v>
      </c>
      <c r="T107" s="69"/>
    </row>
    <row r="108" spans="1:20" x14ac:dyDescent="0.3">
      <c r="A108" s="98">
        <f t="shared" si="3"/>
        <v>105</v>
      </c>
      <c r="B108" s="506" t="s">
        <v>1826</v>
      </c>
      <c r="C108" s="512">
        <v>46002</v>
      </c>
      <c r="D108">
        <v>29263018</v>
      </c>
      <c r="E108" s="212" t="s">
        <v>5317</v>
      </c>
      <c r="F108" s="386" t="s">
        <v>23</v>
      </c>
      <c r="G108" s="112" t="s">
        <v>4</v>
      </c>
      <c r="H108" s="493">
        <v>46002</v>
      </c>
      <c r="I108" s="517"/>
      <c r="J108" s="100" t="s">
        <v>135</v>
      </c>
      <c r="K108" s="507"/>
      <c r="L108" s="508"/>
      <c r="M108" s="365"/>
      <c r="N108" s="509"/>
      <c r="O108" s="510"/>
      <c r="P108" s="511"/>
      <c r="Q108" s="501">
        <v>46002</v>
      </c>
      <c r="R108" s="148">
        <f t="shared" si="5"/>
        <v>0</v>
      </c>
      <c r="S108" s="101" t="s">
        <v>1811</v>
      </c>
      <c r="T108" s="167"/>
    </row>
    <row r="109" spans="1:20" ht="43.2" x14ac:dyDescent="0.3">
      <c r="A109" s="98">
        <f t="shared" si="3"/>
        <v>106</v>
      </c>
      <c r="B109" s="506">
        <v>1550</v>
      </c>
      <c r="C109" s="512">
        <v>46002</v>
      </c>
      <c r="D109" s="135">
        <v>120424967</v>
      </c>
      <c r="E109" s="212" t="s">
        <v>5318</v>
      </c>
      <c r="F109" s="386" t="s">
        <v>1</v>
      </c>
      <c r="G109" s="112" t="s">
        <v>4</v>
      </c>
      <c r="H109" s="493">
        <v>46002</v>
      </c>
      <c r="I109" s="25"/>
      <c r="J109" s="100" t="s">
        <v>2352</v>
      </c>
      <c r="K109" s="494"/>
      <c r="L109" s="495"/>
      <c r="M109" s="496"/>
      <c r="N109" s="497"/>
      <c r="O109" s="498"/>
      <c r="P109" s="499"/>
      <c r="Q109" s="501">
        <v>46006</v>
      </c>
      <c r="R109" s="148">
        <f t="shared" si="5"/>
        <v>4</v>
      </c>
      <c r="S109" s="101" t="s">
        <v>2974</v>
      </c>
      <c r="T109" s="69"/>
    </row>
    <row r="110" spans="1:20" ht="57.6" x14ac:dyDescent="0.3">
      <c r="A110" s="98">
        <f t="shared" si="3"/>
        <v>107</v>
      </c>
      <c r="B110" s="491" t="s">
        <v>1826</v>
      </c>
      <c r="C110" s="492">
        <v>46002</v>
      </c>
      <c r="D110" s="135">
        <v>77168860</v>
      </c>
      <c r="E110" s="175" t="s">
        <v>5319</v>
      </c>
      <c r="F110" s="386" t="s">
        <v>32</v>
      </c>
      <c r="G110" s="112" t="s">
        <v>8</v>
      </c>
      <c r="H110" s="493">
        <v>46002</v>
      </c>
      <c r="I110" s="25"/>
      <c r="J110" s="100" t="s">
        <v>106</v>
      </c>
      <c r="K110" s="494"/>
      <c r="L110" s="495"/>
      <c r="M110" s="496"/>
      <c r="N110" s="497"/>
      <c r="O110" s="498"/>
      <c r="P110" s="499"/>
      <c r="Q110" s="500">
        <v>46014</v>
      </c>
      <c r="R110" s="148">
        <f t="shared" si="5"/>
        <v>12</v>
      </c>
      <c r="S110" s="101" t="s">
        <v>8</v>
      </c>
      <c r="T110" s="69"/>
    </row>
    <row r="111" spans="1:20" ht="43.2" x14ac:dyDescent="0.3">
      <c r="A111" s="98">
        <f t="shared" si="3"/>
        <v>108</v>
      </c>
      <c r="B111" s="491">
        <v>1550</v>
      </c>
      <c r="C111" s="556">
        <v>46002</v>
      </c>
      <c r="D111" s="135" t="s">
        <v>5320</v>
      </c>
      <c r="E111" s="175" t="s">
        <v>5321</v>
      </c>
      <c r="F111" s="386" t="s">
        <v>49</v>
      </c>
      <c r="G111" s="112" t="s">
        <v>4</v>
      </c>
      <c r="H111" s="493">
        <v>46002</v>
      </c>
      <c r="I111" s="25"/>
      <c r="J111" s="100" t="s">
        <v>99</v>
      </c>
      <c r="K111" s="494"/>
      <c r="L111" s="495"/>
      <c r="M111" s="496"/>
      <c r="N111" s="497"/>
      <c r="O111" s="498"/>
      <c r="P111" s="499"/>
      <c r="Q111" s="500">
        <v>46002</v>
      </c>
      <c r="R111" s="148">
        <f t="shared" si="5"/>
        <v>0</v>
      </c>
      <c r="S111" s="101" t="s">
        <v>3020</v>
      </c>
      <c r="T111" s="69"/>
    </row>
    <row r="112" spans="1:20" ht="43.2" x14ac:dyDescent="0.3">
      <c r="A112" s="98">
        <f t="shared" si="3"/>
        <v>109</v>
      </c>
      <c r="B112" s="491" t="s">
        <v>80</v>
      </c>
      <c r="C112" s="492">
        <v>46002</v>
      </c>
      <c r="D112" s="135"/>
      <c r="E112" s="212" t="s">
        <v>5322</v>
      </c>
      <c r="F112" s="386" t="s">
        <v>51</v>
      </c>
      <c r="G112" s="112" t="s">
        <v>8</v>
      </c>
      <c r="H112" s="493">
        <v>46002</v>
      </c>
      <c r="I112" s="25"/>
      <c r="J112" s="100" t="s">
        <v>99</v>
      </c>
      <c r="K112" s="494"/>
      <c r="L112" s="636"/>
      <c r="M112" s="496"/>
      <c r="N112" s="497"/>
      <c r="O112" s="498"/>
      <c r="P112" s="499"/>
      <c r="Q112" s="500">
        <v>46002</v>
      </c>
      <c r="R112" s="148">
        <f t="shared" si="5"/>
        <v>0</v>
      </c>
      <c r="S112" s="101" t="s">
        <v>5323</v>
      </c>
      <c r="T112" s="69"/>
    </row>
    <row r="113" spans="1:20" ht="43.2" x14ac:dyDescent="0.3">
      <c r="A113" s="98">
        <f t="shared" si="3"/>
        <v>110</v>
      </c>
      <c r="B113" s="491" t="s">
        <v>80</v>
      </c>
      <c r="C113" s="347">
        <v>46002</v>
      </c>
      <c r="D113" s="135">
        <v>63968827</v>
      </c>
      <c r="E113" s="212" t="s">
        <v>5324</v>
      </c>
      <c r="F113" s="386" t="s">
        <v>1</v>
      </c>
      <c r="G113" s="112" t="s">
        <v>8</v>
      </c>
      <c r="H113" s="493">
        <v>46002</v>
      </c>
      <c r="I113" s="341"/>
      <c r="J113" s="100" t="s">
        <v>99</v>
      </c>
      <c r="K113" s="494"/>
      <c r="L113" s="495"/>
      <c r="M113" s="496"/>
      <c r="N113" s="497"/>
      <c r="O113" s="498"/>
      <c r="P113" s="499"/>
      <c r="Q113" s="501">
        <v>46009</v>
      </c>
      <c r="R113" s="148">
        <f t="shared" si="5"/>
        <v>7</v>
      </c>
      <c r="S113" s="101" t="s">
        <v>5323</v>
      </c>
      <c r="T113" s="167"/>
    </row>
    <row r="114" spans="1:20" ht="43.2" x14ac:dyDescent="0.3">
      <c r="A114" s="98">
        <f t="shared" si="3"/>
        <v>111</v>
      </c>
      <c r="B114" s="491" t="s">
        <v>80</v>
      </c>
      <c r="C114" s="347">
        <v>46002</v>
      </c>
      <c r="D114" s="135">
        <v>6041914</v>
      </c>
      <c r="E114" s="212" t="s">
        <v>5318</v>
      </c>
      <c r="F114" s="386" t="s">
        <v>17</v>
      </c>
      <c r="G114" s="112" t="s">
        <v>8</v>
      </c>
      <c r="H114" s="493">
        <v>46002</v>
      </c>
      <c r="I114" s="341"/>
      <c r="J114" s="100" t="s">
        <v>5229</v>
      </c>
      <c r="K114" s="494"/>
      <c r="L114" s="495"/>
      <c r="M114" s="496"/>
      <c r="N114" s="497"/>
      <c r="O114" s="498"/>
      <c r="P114" s="499"/>
      <c r="Q114" s="501">
        <v>46014</v>
      </c>
      <c r="R114" s="148">
        <f t="shared" si="5"/>
        <v>12</v>
      </c>
      <c r="S114" s="101" t="s">
        <v>5250</v>
      </c>
      <c r="T114" s="69"/>
    </row>
    <row r="115" spans="1:20" ht="43.2" x14ac:dyDescent="0.3">
      <c r="A115" s="98">
        <f t="shared" si="3"/>
        <v>112</v>
      </c>
      <c r="B115" s="491" t="s">
        <v>80</v>
      </c>
      <c r="C115" s="347">
        <v>46002</v>
      </c>
      <c r="D115" s="135"/>
      <c r="E115" s="212" t="s">
        <v>5325</v>
      </c>
      <c r="F115" s="386" t="s">
        <v>51</v>
      </c>
      <c r="G115" s="112" t="s">
        <v>8</v>
      </c>
      <c r="H115" s="493">
        <v>46002</v>
      </c>
      <c r="I115" s="341"/>
      <c r="J115" s="100" t="s">
        <v>99</v>
      </c>
      <c r="K115" s="494"/>
      <c r="L115" s="495"/>
      <c r="M115" s="496"/>
      <c r="N115" s="497"/>
      <c r="O115" s="498"/>
      <c r="P115" s="499"/>
      <c r="Q115" s="501">
        <v>46002</v>
      </c>
      <c r="R115" s="148">
        <f t="shared" si="5"/>
        <v>0</v>
      </c>
      <c r="S115" s="101" t="s">
        <v>4127</v>
      </c>
      <c r="T115" s="69"/>
    </row>
    <row r="116" spans="1:20" ht="43.2" x14ac:dyDescent="0.3">
      <c r="A116" s="98">
        <f t="shared" si="3"/>
        <v>113</v>
      </c>
      <c r="B116" s="491">
        <v>1550</v>
      </c>
      <c r="C116" s="347">
        <v>46002</v>
      </c>
      <c r="D116" s="135">
        <v>119290324</v>
      </c>
      <c r="E116" s="212" t="s">
        <v>5326</v>
      </c>
      <c r="F116" s="386" t="s">
        <v>1</v>
      </c>
      <c r="G116" s="112" t="s">
        <v>8</v>
      </c>
      <c r="H116" s="493">
        <v>46002</v>
      </c>
      <c r="I116" s="341"/>
      <c r="J116" s="100" t="s">
        <v>5327</v>
      </c>
      <c r="K116" s="494"/>
      <c r="L116" s="495"/>
      <c r="M116" s="496"/>
      <c r="N116" s="497"/>
      <c r="O116" s="498"/>
      <c r="P116" s="499"/>
      <c r="Q116" s="501">
        <v>46003</v>
      </c>
      <c r="R116" s="148">
        <f t="shared" si="5"/>
        <v>1</v>
      </c>
      <c r="S116" s="101" t="s">
        <v>3841</v>
      </c>
      <c r="T116" s="69"/>
    </row>
    <row r="117" spans="1:20" ht="43.2" x14ac:dyDescent="0.3">
      <c r="A117" s="98">
        <f t="shared" si="3"/>
        <v>114</v>
      </c>
      <c r="B117" s="491" t="s">
        <v>80</v>
      </c>
      <c r="C117" s="347">
        <v>46002</v>
      </c>
      <c r="D117" s="135">
        <v>57440832</v>
      </c>
      <c r="E117" s="212" t="s">
        <v>5328</v>
      </c>
      <c r="F117" s="386" t="s">
        <v>48</v>
      </c>
      <c r="G117" s="112" t="s">
        <v>10</v>
      </c>
      <c r="H117" s="493">
        <v>46002</v>
      </c>
      <c r="I117" s="341"/>
      <c r="J117" s="100" t="s">
        <v>99</v>
      </c>
      <c r="K117" s="494"/>
      <c r="L117" s="495"/>
      <c r="M117" s="496"/>
      <c r="N117" s="497"/>
      <c r="O117" s="498"/>
      <c r="P117" s="499"/>
      <c r="Q117" s="501">
        <v>46008</v>
      </c>
      <c r="R117" s="148">
        <f t="shared" si="5"/>
        <v>6</v>
      </c>
      <c r="S117" s="101" t="s">
        <v>85</v>
      </c>
      <c r="T117" s="69" t="s">
        <v>5329</v>
      </c>
    </row>
    <row r="118" spans="1:20" ht="57.6" x14ac:dyDescent="0.3">
      <c r="A118" s="98">
        <f t="shared" si="3"/>
        <v>115</v>
      </c>
      <c r="B118" s="491" t="s">
        <v>301</v>
      </c>
      <c r="C118" s="347">
        <v>46002</v>
      </c>
      <c r="D118" s="135">
        <v>94146543</v>
      </c>
      <c r="E118" s="212" t="s">
        <v>5330</v>
      </c>
      <c r="F118" s="386" t="s">
        <v>12</v>
      </c>
      <c r="G118" s="112" t="s">
        <v>10</v>
      </c>
      <c r="H118" s="493">
        <v>46002</v>
      </c>
      <c r="I118" s="341"/>
      <c r="J118" s="107" t="s">
        <v>159</v>
      </c>
      <c r="K118" s="494"/>
      <c r="L118" s="495"/>
      <c r="M118" s="496"/>
      <c r="N118" s="497"/>
      <c r="O118" s="498"/>
      <c r="P118" s="499"/>
      <c r="Q118" s="501">
        <v>46002</v>
      </c>
      <c r="R118" s="148">
        <f t="shared" si="5"/>
        <v>0</v>
      </c>
      <c r="S118" s="101" t="s">
        <v>214</v>
      </c>
      <c r="T118" s="69"/>
    </row>
    <row r="119" spans="1:20" ht="72" x14ac:dyDescent="0.3">
      <c r="A119" s="98">
        <f t="shared" si="3"/>
        <v>116</v>
      </c>
      <c r="B119" s="491">
        <v>1550</v>
      </c>
      <c r="C119" s="347">
        <v>46002</v>
      </c>
      <c r="D119" s="135">
        <v>119290324</v>
      </c>
      <c r="E119" s="212" t="s">
        <v>5331</v>
      </c>
      <c r="F119" s="386" t="s">
        <v>1</v>
      </c>
      <c r="G119" s="112" t="s">
        <v>10</v>
      </c>
      <c r="H119" s="493">
        <v>46002</v>
      </c>
      <c r="I119" s="341"/>
      <c r="J119" s="100" t="s">
        <v>5332</v>
      </c>
      <c r="K119" s="494"/>
      <c r="L119" s="495"/>
      <c r="M119" s="496"/>
      <c r="N119" s="497"/>
      <c r="O119" s="498"/>
      <c r="P119" s="499"/>
      <c r="Q119" s="501">
        <v>46003</v>
      </c>
      <c r="R119" s="148">
        <f t="shared" si="5"/>
        <v>1</v>
      </c>
      <c r="S119" s="101" t="s">
        <v>2209</v>
      </c>
      <c r="T119" s="69"/>
    </row>
    <row r="120" spans="1:20" ht="72" x14ac:dyDescent="0.3">
      <c r="A120" s="98">
        <f t="shared" si="3"/>
        <v>117</v>
      </c>
      <c r="B120" s="491" t="s">
        <v>80</v>
      </c>
      <c r="C120" s="347">
        <v>46002</v>
      </c>
      <c r="D120" s="135">
        <v>120424967</v>
      </c>
      <c r="E120" s="212" t="s">
        <v>5333</v>
      </c>
      <c r="F120" s="386" t="s">
        <v>1</v>
      </c>
      <c r="G120" s="112" t="s">
        <v>10</v>
      </c>
      <c r="H120" s="493">
        <v>46002</v>
      </c>
      <c r="I120" s="503"/>
      <c r="J120" s="100" t="s">
        <v>2352</v>
      </c>
      <c r="K120" s="494"/>
      <c r="L120" s="495"/>
      <c r="M120" s="496"/>
      <c r="N120" s="497"/>
      <c r="O120" s="498"/>
      <c r="P120" s="499"/>
      <c r="Q120" s="501">
        <v>46002</v>
      </c>
      <c r="R120" s="148">
        <f t="shared" si="5"/>
        <v>0</v>
      </c>
      <c r="S120" s="101" t="s">
        <v>85</v>
      </c>
      <c r="T120" s="69"/>
    </row>
    <row r="121" spans="1:20" ht="72" x14ac:dyDescent="0.3">
      <c r="A121" s="98">
        <f t="shared" si="3"/>
        <v>118</v>
      </c>
      <c r="B121" s="491" t="s">
        <v>301</v>
      </c>
      <c r="C121" s="347">
        <v>46002</v>
      </c>
      <c r="D121" s="135">
        <v>4602625</v>
      </c>
      <c r="E121" s="212" t="s">
        <v>5334</v>
      </c>
      <c r="F121" s="386" t="s">
        <v>1</v>
      </c>
      <c r="G121" s="112" t="s">
        <v>10</v>
      </c>
      <c r="H121" s="493">
        <v>46002</v>
      </c>
      <c r="I121" s="341"/>
      <c r="J121" s="100" t="s">
        <v>3709</v>
      </c>
      <c r="K121" s="494"/>
      <c r="L121" s="495"/>
      <c r="M121" s="496"/>
      <c r="N121" s="497"/>
      <c r="O121" s="498"/>
      <c r="P121" s="499"/>
      <c r="Q121" s="501">
        <v>46002</v>
      </c>
      <c r="R121" s="148">
        <f t="shared" si="5"/>
        <v>0</v>
      </c>
      <c r="S121" s="101" t="s">
        <v>1771</v>
      </c>
      <c r="T121" s="69"/>
    </row>
    <row r="122" spans="1:20" ht="43.2" x14ac:dyDescent="0.3">
      <c r="A122" s="98">
        <f t="shared" si="3"/>
        <v>119</v>
      </c>
      <c r="B122" s="491" t="s">
        <v>301</v>
      </c>
      <c r="C122" s="347">
        <v>46002</v>
      </c>
      <c r="D122" s="135">
        <v>72286318</v>
      </c>
      <c r="E122" s="212" t="s">
        <v>5335</v>
      </c>
      <c r="F122" s="386" t="s">
        <v>48</v>
      </c>
      <c r="G122" s="112" t="s">
        <v>10</v>
      </c>
      <c r="H122" s="493">
        <v>46002</v>
      </c>
      <c r="I122" s="341"/>
      <c r="J122" s="100" t="s">
        <v>253</v>
      </c>
      <c r="K122" s="494"/>
      <c r="L122" s="495"/>
      <c r="M122" s="496"/>
      <c r="N122" s="497"/>
      <c r="O122" s="498"/>
      <c r="P122" s="499"/>
      <c r="Q122" s="501">
        <v>46006</v>
      </c>
      <c r="R122" s="148">
        <f t="shared" si="5"/>
        <v>4</v>
      </c>
      <c r="S122" s="101" t="s">
        <v>5336</v>
      </c>
      <c r="T122" s="69"/>
    </row>
    <row r="123" spans="1:20" ht="72" x14ac:dyDescent="0.3">
      <c r="A123" s="98">
        <f t="shared" si="3"/>
        <v>120</v>
      </c>
      <c r="B123" s="491" t="s">
        <v>301</v>
      </c>
      <c r="C123" s="347">
        <v>46002</v>
      </c>
      <c r="D123" s="135">
        <v>31689752</v>
      </c>
      <c r="E123" s="212" t="s">
        <v>5337</v>
      </c>
      <c r="F123" s="386" t="s">
        <v>48</v>
      </c>
      <c r="G123" s="112" t="s">
        <v>10</v>
      </c>
      <c r="H123" s="493">
        <v>46002</v>
      </c>
      <c r="I123" s="341"/>
      <c r="J123" s="100" t="s">
        <v>253</v>
      </c>
      <c r="K123" s="494"/>
      <c r="L123" s="495"/>
      <c r="M123" s="496"/>
      <c r="N123" s="497"/>
      <c r="O123" s="498"/>
      <c r="P123" s="499"/>
      <c r="Q123" s="501">
        <v>46002</v>
      </c>
      <c r="R123" s="148">
        <f t="shared" si="5"/>
        <v>0</v>
      </c>
      <c r="S123" s="101" t="s">
        <v>214</v>
      </c>
      <c r="T123" s="69"/>
    </row>
    <row r="124" spans="1:20" ht="100.8" x14ac:dyDescent="0.3">
      <c r="A124" s="98">
        <f t="shared" si="3"/>
        <v>121</v>
      </c>
      <c r="B124" s="491">
        <v>1550</v>
      </c>
      <c r="C124" s="347">
        <v>46002</v>
      </c>
      <c r="D124" s="135">
        <v>28063767</v>
      </c>
      <c r="E124" s="212" t="s">
        <v>5338</v>
      </c>
      <c r="F124" s="386" t="s">
        <v>33</v>
      </c>
      <c r="G124" s="112" t="s">
        <v>10</v>
      </c>
      <c r="H124" s="493">
        <v>46002</v>
      </c>
      <c r="I124" s="341"/>
      <c r="J124" s="100" t="s">
        <v>99</v>
      </c>
      <c r="K124" s="494"/>
      <c r="L124" s="495"/>
      <c r="M124" s="496"/>
      <c r="N124" s="497"/>
      <c r="O124" s="498"/>
      <c r="P124" s="499"/>
      <c r="Q124" s="501">
        <v>46008</v>
      </c>
      <c r="R124" s="148">
        <f t="shared" si="5"/>
        <v>6</v>
      </c>
      <c r="S124" s="101" t="s">
        <v>1806</v>
      </c>
      <c r="T124" s="69"/>
    </row>
    <row r="125" spans="1:20" ht="43.2" x14ac:dyDescent="0.3">
      <c r="A125" s="98">
        <f t="shared" si="3"/>
        <v>122</v>
      </c>
      <c r="B125" s="491" t="s">
        <v>80</v>
      </c>
      <c r="C125" s="282">
        <v>46002</v>
      </c>
      <c r="D125" s="135"/>
      <c r="E125" s="212" t="s">
        <v>5339</v>
      </c>
      <c r="F125" s="386" t="s">
        <v>51</v>
      </c>
      <c r="G125" s="376" t="s">
        <v>8</v>
      </c>
      <c r="H125" s="493">
        <v>46002</v>
      </c>
      <c r="I125" s="341"/>
      <c r="J125" s="100" t="s">
        <v>99</v>
      </c>
      <c r="K125" s="494"/>
      <c r="L125" s="637"/>
      <c r="M125" s="496"/>
      <c r="N125" s="497"/>
      <c r="O125" s="498"/>
      <c r="P125" s="499"/>
      <c r="Q125" s="500">
        <v>46002</v>
      </c>
      <c r="R125" s="148">
        <f t="shared" si="5"/>
        <v>0</v>
      </c>
      <c r="S125" s="101" t="s">
        <v>3861</v>
      </c>
      <c r="T125" s="69"/>
    </row>
    <row r="126" spans="1:20" ht="57.6" x14ac:dyDescent="0.3">
      <c r="A126" s="98">
        <f t="shared" si="3"/>
        <v>123</v>
      </c>
      <c r="B126" s="491">
        <v>1550</v>
      </c>
      <c r="C126" s="282">
        <v>46003</v>
      </c>
      <c r="D126" s="135">
        <v>49356445</v>
      </c>
      <c r="E126" s="212" t="s">
        <v>5340</v>
      </c>
      <c r="F126" s="386" t="s">
        <v>39</v>
      </c>
      <c r="G126" s="112" t="s">
        <v>4</v>
      </c>
      <c r="H126" s="493">
        <v>46003</v>
      </c>
      <c r="I126" s="25"/>
      <c r="J126" s="100" t="s">
        <v>22</v>
      </c>
      <c r="K126" s="494"/>
      <c r="L126" s="637"/>
      <c r="M126" s="496"/>
      <c r="N126" s="497"/>
      <c r="O126" s="498"/>
      <c r="P126" s="499"/>
      <c r="Q126" s="500">
        <v>46003</v>
      </c>
      <c r="R126" s="148">
        <f t="shared" si="5"/>
        <v>0</v>
      </c>
      <c r="S126" s="101" t="s">
        <v>1569</v>
      </c>
      <c r="T126" s="69"/>
    </row>
    <row r="127" spans="1:20" ht="28.8" x14ac:dyDescent="0.3">
      <c r="A127" s="98">
        <f t="shared" si="3"/>
        <v>124</v>
      </c>
      <c r="B127" s="491">
        <v>1550</v>
      </c>
      <c r="C127" s="282">
        <v>46003</v>
      </c>
      <c r="D127" s="135">
        <v>46835113</v>
      </c>
      <c r="E127" s="212" t="s">
        <v>5341</v>
      </c>
      <c r="F127" s="386" t="s">
        <v>63</v>
      </c>
      <c r="G127" s="112" t="s">
        <v>4</v>
      </c>
      <c r="H127" s="493">
        <v>46003</v>
      </c>
      <c r="I127" s="25"/>
      <c r="J127" s="100" t="s">
        <v>1357</v>
      </c>
      <c r="K127" s="494"/>
      <c r="L127" s="495"/>
      <c r="M127" s="496"/>
      <c r="N127" s="497"/>
      <c r="O127" s="498"/>
      <c r="P127" s="499"/>
      <c r="Q127" s="500">
        <v>46010</v>
      </c>
      <c r="R127" s="148">
        <f t="shared" si="5"/>
        <v>7</v>
      </c>
      <c r="S127" s="101" t="s">
        <v>1860</v>
      </c>
      <c r="T127" s="69"/>
    </row>
    <row r="128" spans="1:20" ht="28.8" x14ac:dyDescent="0.3">
      <c r="A128" s="98">
        <f t="shared" si="3"/>
        <v>125</v>
      </c>
      <c r="B128" s="491">
        <v>1550</v>
      </c>
      <c r="C128" s="282">
        <v>46003</v>
      </c>
      <c r="D128" s="135">
        <v>16398122</v>
      </c>
      <c r="E128" s="212" t="s">
        <v>5342</v>
      </c>
      <c r="F128" s="386" t="s">
        <v>17</v>
      </c>
      <c r="G128" s="112" t="s">
        <v>8</v>
      </c>
      <c r="H128" s="493">
        <v>46003</v>
      </c>
      <c r="I128" s="25"/>
      <c r="J128" s="100" t="s">
        <v>5229</v>
      </c>
      <c r="K128" s="494"/>
      <c r="L128" s="495"/>
      <c r="M128" s="496"/>
      <c r="N128" s="497"/>
      <c r="O128" s="498"/>
      <c r="P128" s="499"/>
      <c r="Q128" s="500">
        <v>46014</v>
      </c>
      <c r="R128" s="148">
        <f t="shared" si="5"/>
        <v>11</v>
      </c>
      <c r="S128" s="101" t="s">
        <v>5343</v>
      </c>
      <c r="T128" s="69"/>
    </row>
    <row r="129" spans="1:20" ht="28.8" x14ac:dyDescent="0.3">
      <c r="A129" s="98">
        <f t="shared" si="3"/>
        <v>126</v>
      </c>
      <c r="B129" s="491">
        <v>1550</v>
      </c>
      <c r="C129" s="282">
        <v>46004</v>
      </c>
      <c r="D129" s="135">
        <v>25362313</v>
      </c>
      <c r="E129" s="212" t="s">
        <v>5344</v>
      </c>
      <c r="F129" s="386" t="s">
        <v>24</v>
      </c>
      <c r="G129" s="112" t="s">
        <v>4</v>
      </c>
      <c r="H129" s="493">
        <v>46004</v>
      </c>
      <c r="I129" s="25"/>
      <c r="J129" s="100" t="s">
        <v>2317</v>
      </c>
      <c r="K129" s="507"/>
      <c r="L129" s="508"/>
      <c r="M129" s="365"/>
      <c r="N129" s="509"/>
      <c r="O129" s="510"/>
      <c r="P129" s="511"/>
      <c r="Q129" s="500">
        <v>46008</v>
      </c>
      <c r="R129" s="148">
        <f t="shared" si="5"/>
        <v>4</v>
      </c>
      <c r="S129" s="101" t="s">
        <v>5343</v>
      </c>
      <c r="T129" s="167"/>
    </row>
    <row r="130" spans="1:20" ht="28.8" x14ac:dyDescent="0.3">
      <c r="A130" s="98">
        <f t="shared" si="3"/>
        <v>127</v>
      </c>
      <c r="B130" s="506">
        <v>1550</v>
      </c>
      <c r="C130" s="556">
        <v>46004</v>
      </c>
      <c r="D130" s="135">
        <v>109563956</v>
      </c>
      <c r="E130" s="212" t="s">
        <v>5345</v>
      </c>
      <c r="F130" s="386" t="s">
        <v>1</v>
      </c>
      <c r="G130" s="221" t="s">
        <v>4</v>
      </c>
      <c r="H130" s="493">
        <v>46004</v>
      </c>
      <c r="I130" s="341"/>
      <c r="J130" s="100" t="s">
        <v>4453</v>
      </c>
      <c r="K130" s="507"/>
      <c r="L130" s="508"/>
      <c r="M130" s="365"/>
      <c r="N130" s="509"/>
      <c r="O130" s="510"/>
      <c r="P130" s="511"/>
      <c r="Q130" s="500">
        <v>46013</v>
      </c>
      <c r="R130" s="148">
        <f t="shared" si="5"/>
        <v>9</v>
      </c>
      <c r="S130" s="101" t="s">
        <v>4800</v>
      </c>
      <c r="T130" s="167"/>
    </row>
    <row r="131" spans="1:20" ht="28.8" x14ac:dyDescent="0.3">
      <c r="A131" s="98">
        <f t="shared" si="3"/>
        <v>128</v>
      </c>
      <c r="B131" s="660">
        <v>1550</v>
      </c>
      <c r="C131" s="512">
        <v>46006</v>
      </c>
      <c r="D131" s="135">
        <v>87848619</v>
      </c>
      <c r="E131" s="175" t="s">
        <v>5346</v>
      </c>
      <c r="F131" s="386" t="s">
        <v>1</v>
      </c>
      <c r="G131" s="221" t="s">
        <v>4</v>
      </c>
      <c r="H131" s="493">
        <v>46006</v>
      </c>
      <c r="I131" s="341"/>
      <c r="J131" s="100" t="s">
        <v>2271</v>
      </c>
      <c r="K131" s="507"/>
      <c r="L131" s="580"/>
      <c r="M131" s="365"/>
      <c r="N131" s="509"/>
      <c r="O131" s="510"/>
      <c r="P131" s="511"/>
      <c r="Q131" s="500">
        <v>46006</v>
      </c>
      <c r="R131" s="148">
        <f t="shared" si="5"/>
        <v>0</v>
      </c>
      <c r="S131" s="101" t="s">
        <v>2974</v>
      </c>
      <c r="T131" s="167"/>
    </row>
    <row r="132" spans="1:20" ht="28.8" x14ac:dyDescent="0.3">
      <c r="A132" s="98">
        <f t="shared" si="3"/>
        <v>129</v>
      </c>
      <c r="B132" s="660">
        <v>1550</v>
      </c>
      <c r="C132" s="512">
        <v>46006</v>
      </c>
      <c r="D132" s="135">
        <v>93757794</v>
      </c>
      <c r="E132" s="688" t="s">
        <v>5347</v>
      </c>
      <c r="F132" s="386" t="s">
        <v>1</v>
      </c>
      <c r="G132" s="221" t="s">
        <v>4</v>
      </c>
      <c r="H132" s="493">
        <v>46006</v>
      </c>
      <c r="I132" s="25"/>
      <c r="J132" s="100" t="s">
        <v>4867</v>
      </c>
      <c r="K132" s="494"/>
      <c r="L132" s="495"/>
      <c r="M132" s="496"/>
      <c r="N132" s="497"/>
      <c r="O132" s="498"/>
      <c r="P132" s="499"/>
      <c r="Q132" s="500">
        <v>46014</v>
      </c>
      <c r="R132" s="148">
        <f t="shared" si="5"/>
        <v>8</v>
      </c>
      <c r="S132" s="101" t="s">
        <v>2979</v>
      </c>
      <c r="T132" s="69"/>
    </row>
    <row r="133" spans="1:20" ht="230.4" x14ac:dyDescent="0.3">
      <c r="A133" s="98">
        <f t="shared" ref="A133:A196" si="7">A132+1</f>
        <v>130</v>
      </c>
      <c r="B133" s="660" t="s">
        <v>301</v>
      </c>
      <c r="C133" s="512">
        <v>46006</v>
      </c>
      <c r="D133" s="135">
        <v>27008894</v>
      </c>
      <c r="E133" s="294" t="s">
        <v>5348</v>
      </c>
      <c r="F133" s="386" t="s">
        <v>1</v>
      </c>
      <c r="G133" s="221" t="s">
        <v>10</v>
      </c>
      <c r="H133" s="493">
        <v>46006</v>
      </c>
      <c r="I133" s="25"/>
      <c r="J133" s="100" t="s">
        <v>5102</v>
      </c>
      <c r="K133" s="494"/>
      <c r="L133" s="636"/>
      <c r="M133" s="496"/>
      <c r="N133" s="497"/>
      <c r="O133" s="498"/>
      <c r="P133" s="499"/>
      <c r="Q133" s="500">
        <v>46006</v>
      </c>
      <c r="R133" s="148">
        <f t="shared" si="5"/>
        <v>0</v>
      </c>
      <c r="S133" s="101" t="s">
        <v>1771</v>
      </c>
      <c r="T133" s="69"/>
    </row>
    <row r="134" spans="1:20" ht="86.4" x14ac:dyDescent="0.3">
      <c r="A134" s="98">
        <f t="shared" si="7"/>
        <v>131</v>
      </c>
      <c r="B134" s="660" t="s">
        <v>80</v>
      </c>
      <c r="C134" s="512">
        <v>46006</v>
      </c>
      <c r="D134" s="204">
        <v>34129901</v>
      </c>
      <c r="E134" s="294" t="s">
        <v>5349</v>
      </c>
      <c r="F134" s="420" t="s">
        <v>12</v>
      </c>
      <c r="G134" s="221" t="s">
        <v>10</v>
      </c>
      <c r="H134" s="493">
        <v>46006</v>
      </c>
      <c r="I134" s="25"/>
      <c r="J134" s="107" t="s">
        <v>159</v>
      </c>
      <c r="K134" s="494"/>
      <c r="L134" s="495"/>
      <c r="M134" s="496"/>
      <c r="N134" s="497"/>
      <c r="O134" s="498"/>
      <c r="P134" s="499"/>
      <c r="Q134" s="500">
        <v>46009</v>
      </c>
      <c r="R134" s="148">
        <f t="shared" si="5"/>
        <v>3</v>
      </c>
      <c r="S134" s="101" t="s">
        <v>85</v>
      </c>
      <c r="T134" s="69"/>
    </row>
    <row r="135" spans="1:20" ht="187.2" x14ac:dyDescent="0.3">
      <c r="A135" s="98">
        <f t="shared" si="7"/>
        <v>132</v>
      </c>
      <c r="B135" s="506" t="s">
        <v>301</v>
      </c>
      <c r="C135" s="502">
        <v>46006</v>
      </c>
      <c r="D135" s="135">
        <v>77323009</v>
      </c>
      <c r="E135" s="175" t="s">
        <v>5350</v>
      </c>
      <c r="F135" s="111" t="s">
        <v>22</v>
      </c>
      <c r="G135" s="221" t="s">
        <v>10</v>
      </c>
      <c r="H135" s="493">
        <v>46006</v>
      </c>
      <c r="I135" s="341"/>
      <c r="J135" s="100" t="s">
        <v>22</v>
      </c>
      <c r="K135" s="494"/>
      <c r="L135" s="636"/>
      <c r="M135" s="496"/>
      <c r="N135" s="497"/>
      <c r="O135" s="498"/>
      <c r="P135" s="499"/>
      <c r="Q135" s="500">
        <v>46007</v>
      </c>
      <c r="R135" s="148">
        <f t="shared" si="5"/>
        <v>1</v>
      </c>
      <c r="S135" s="101" t="s">
        <v>2393</v>
      </c>
      <c r="T135" s="69"/>
    </row>
    <row r="136" spans="1:20" ht="28.8" x14ac:dyDescent="0.3">
      <c r="A136" s="98">
        <f t="shared" si="7"/>
        <v>133</v>
      </c>
      <c r="B136" s="506" t="s">
        <v>80</v>
      </c>
      <c r="C136" s="573">
        <v>46006</v>
      </c>
      <c r="D136" s="135">
        <v>75256509</v>
      </c>
      <c r="E136" s="175" t="s">
        <v>5351</v>
      </c>
      <c r="F136" s="111" t="s">
        <v>63</v>
      </c>
      <c r="G136" s="112" t="s">
        <v>4</v>
      </c>
      <c r="H136" s="493">
        <v>46006</v>
      </c>
      <c r="I136" s="341"/>
      <c r="J136" s="100" t="s">
        <v>5352</v>
      </c>
      <c r="K136" s="494" t="s">
        <v>262</v>
      </c>
      <c r="L136" s="636"/>
      <c r="M136" s="496"/>
      <c r="N136" s="497"/>
      <c r="O136" s="498"/>
      <c r="P136" s="499"/>
      <c r="Q136" s="501">
        <v>46010</v>
      </c>
      <c r="R136" s="148">
        <f t="shared" si="5"/>
        <v>4</v>
      </c>
      <c r="S136" s="101" t="s">
        <v>4</v>
      </c>
      <c r="T136" s="69"/>
    </row>
    <row r="137" spans="1:20" ht="43.2" x14ac:dyDescent="0.3">
      <c r="A137" s="98">
        <f t="shared" si="7"/>
        <v>134</v>
      </c>
      <c r="B137" s="506" t="s">
        <v>80</v>
      </c>
      <c r="C137" s="656">
        <v>46006</v>
      </c>
      <c r="D137" s="135"/>
      <c r="E137" s="36" t="s">
        <v>5353</v>
      </c>
      <c r="F137" s="111" t="s">
        <v>51</v>
      </c>
      <c r="G137" s="112" t="s">
        <v>4</v>
      </c>
      <c r="H137" s="493">
        <v>46006</v>
      </c>
      <c r="I137" s="341"/>
      <c r="J137" s="100" t="s">
        <v>1357</v>
      </c>
      <c r="K137" s="494"/>
      <c r="L137" s="636"/>
      <c r="M137" s="496"/>
      <c r="N137" s="497"/>
      <c r="O137" s="498"/>
      <c r="P137" s="499"/>
      <c r="Q137" s="501">
        <v>46007</v>
      </c>
      <c r="R137" s="148">
        <f t="shared" si="5"/>
        <v>1</v>
      </c>
      <c r="S137" s="101" t="s">
        <v>214</v>
      </c>
      <c r="T137" s="69"/>
    </row>
    <row r="138" spans="1:20" ht="43.2" x14ac:dyDescent="0.3">
      <c r="A138" s="98">
        <f t="shared" si="7"/>
        <v>135</v>
      </c>
      <c r="B138" s="660" t="s">
        <v>80</v>
      </c>
      <c r="C138" s="502">
        <v>46006</v>
      </c>
      <c r="D138" s="36">
        <v>5076803</v>
      </c>
      <c r="E138" s="175" t="s">
        <v>4509</v>
      </c>
      <c r="F138" s="111" t="s">
        <v>48</v>
      </c>
      <c r="G138" s="112" t="s">
        <v>4</v>
      </c>
      <c r="H138" s="493">
        <v>46006</v>
      </c>
      <c r="I138" s="341"/>
      <c r="J138" s="100"/>
      <c r="K138" s="494"/>
      <c r="L138" s="636"/>
      <c r="M138" s="496"/>
      <c r="N138" s="497"/>
      <c r="O138" s="498"/>
      <c r="P138" s="499"/>
      <c r="Q138" s="501">
        <v>46006</v>
      </c>
      <c r="R138" s="148">
        <f t="shared" si="5"/>
        <v>0</v>
      </c>
      <c r="S138" s="101" t="s">
        <v>1569</v>
      </c>
      <c r="T138" s="69"/>
    </row>
    <row r="139" spans="1:20" ht="28.8" x14ac:dyDescent="0.3">
      <c r="A139" s="98">
        <f t="shared" si="7"/>
        <v>136</v>
      </c>
      <c r="B139" s="506">
        <v>1550</v>
      </c>
      <c r="C139" s="573">
        <v>46007</v>
      </c>
      <c r="D139" s="450">
        <v>22673687</v>
      </c>
      <c r="E139" s="212" t="s">
        <v>5354</v>
      </c>
      <c r="F139" s="401" t="s">
        <v>1</v>
      </c>
      <c r="G139" s="112" t="s">
        <v>8</v>
      </c>
      <c r="H139" s="493">
        <v>46007</v>
      </c>
      <c r="I139" s="341"/>
      <c r="J139" s="107" t="s">
        <v>5047</v>
      </c>
      <c r="K139" s="494"/>
      <c r="L139" s="636"/>
      <c r="M139" s="496"/>
      <c r="N139" s="497"/>
      <c r="O139" s="498"/>
      <c r="P139" s="499"/>
      <c r="Q139" s="501">
        <v>46007</v>
      </c>
      <c r="R139" s="148">
        <f t="shared" si="5"/>
        <v>0</v>
      </c>
      <c r="S139" s="101" t="s">
        <v>3931</v>
      </c>
      <c r="T139" s="69"/>
    </row>
    <row r="140" spans="1:20" ht="28.8" x14ac:dyDescent="0.3">
      <c r="A140" s="98">
        <f t="shared" si="7"/>
        <v>137</v>
      </c>
      <c r="B140" s="506">
        <v>1550</v>
      </c>
      <c r="C140" s="573">
        <v>46007</v>
      </c>
      <c r="D140" s="135">
        <v>108354814</v>
      </c>
      <c r="E140" s="212" t="s">
        <v>5355</v>
      </c>
      <c r="F140" s="386" t="s">
        <v>1</v>
      </c>
      <c r="G140" s="112" t="s">
        <v>4</v>
      </c>
      <c r="H140" s="493">
        <v>46007</v>
      </c>
      <c r="I140" s="341"/>
      <c r="J140" s="100" t="s">
        <v>2506</v>
      </c>
      <c r="K140" s="494"/>
      <c r="L140" s="636"/>
      <c r="M140" s="496"/>
      <c r="N140" s="497"/>
      <c r="O140" s="498"/>
      <c r="P140" s="499"/>
      <c r="Q140" s="501">
        <v>46007</v>
      </c>
      <c r="R140" s="148">
        <f t="shared" si="5"/>
        <v>0</v>
      </c>
      <c r="S140" s="101" t="s">
        <v>3899</v>
      </c>
      <c r="T140" s="69"/>
    </row>
    <row r="141" spans="1:20" ht="28.8" x14ac:dyDescent="0.3">
      <c r="A141" s="98">
        <f t="shared" si="7"/>
        <v>138</v>
      </c>
      <c r="B141" s="506">
        <v>1550</v>
      </c>
      <c r="C141" s="573">
        <v>46007</v>
      </c>
      <c r="D141" s="135"/>
      <c r="E141" s="212" t="s">
        <v>5356</v>
      </c>
      <c r="F141" s="386" t="s">
        <v>46</v>
      </c>
      <c r="G141" s="112" t="s">
        <v>4</v>
      </c>
      <c r="H141" s="493">
        <v>46007</v>
      </c>
      <c r="I141" s="341">
        <v>10000336276</v>
      </c>
      <c r="J141" s="100" t="s">
        <v>135</v>
      </c>
      <c r="K141" s="494"/>
      <c r="L141" s="636"/>
      <c r="M141" s="496"/>
      <c r="N141" s="497"/>
      <c r="O141" s="498"/>
      <c r="P141" s="499"/>
      <c r="Q141" s="501">
        <v>46007</v>
      </c>
      <c r="R141" s="148">
        <f t="shared" si="5"/>
        <v>0</v>
      </c>
      <c r="S141" s="101" t="s">
        <v>5323</v>
      </c>
      <c r="T141" s="69"/>
    </row>
    <row r="142" spans="1:20" ht="28.8" x14ac:dyDescent="0.3">
      <c r="A142" s="98">
        <f t="shared" si="7"/>
        <v>139</v>
      </c>
      <c r="B142" s="506">
        <v>1550</v>
      </c>
      <c r="C142" s="573">
        <v>46007</v>
      </c>
      <c r="D142" s="135">
        <v>45851719</v>
      </c>
      <c r="E142" s="212" t="s">
        <v>5357</v>
      </c>
      <c r="F142" s="386" t="s">
        <v>1</v>
      </c>
      <c r="G142" s="112" t="s">
        <v>4</v>
      </c>
      <c r="H142" s="493">
        <v>46007</v>
      </c>
      <c r="I142" s="341"/>
      <c r="J142" s="100" t="s">
        <v>2352</v>
      </c>
      <c r="K142" s="494"/>
      <c r="L142" s="636"/>
      <c r="M142" s="496"/>
      <c r="N142" s="497"/>
      <c r="O142" s="498"/>
      <c r="P142" s="499"/>
      <c r="Q142" s="501">
        <v>46007</v>
      </c>
      <c r="R142" s="148">
        <f t="shared" si="5"/>
        <v>0</v>
      </c>
      <c r="S142" s="101" t="s">
        <v>2979</v>
      </c>
      <c r="T142" s="69"/>
    </row>
    <row r="143" spans="1:20" ht="28.8" x14ac:dyDescent="0.3">
      <c r="A143" s="98">
        <f t="shared" si="7"/>
        <v>140</v>
      </c>
      <c r="B143" s="506">
        <v>1550</v>
      </c>
      <c r="C143" s="573">
        <v>46007</v>
      </c>
      <c r="D143" s="135">
        <v>104126256</v>
      </c>
      <c r="E143" s="212" t="s">
        <v>5358</v>
      </c>
      <c r="F143" s="386" t="s">
        <v>7</v>
      </c>
      <c r="G143" s="112" t="s">
        <v>4</v>
      </c>
      <c r="H143" s="493">
        <v>46007</v>
      </c>
      <c r="I143" s="341"/>
      <c r="J143" s="100" t="s">
        <v>2306</v>
      </c>
      <c r="K143" s="494"/>
      <c r="L143" s="636"/>
      <c r="M143" s="496"/>
      <c r="N143" s="497"/>
      <c r="O143" s="498"/>
      <c r="P143" s="499"/>
      <c r="Q143" s="501">
        <v>46007</v>
      </c>
      <c r="R143" s="148">
        <f t="shared" si="5"/>
        <v>0</v>
      </c>
      <c r="S143" s="101" t="s">
        <v>720</v>
      </c>
      <c r="T143" s="69"/>
    </row>
    <row r="144" spans="1:20" ht="28.8" x14ac:dyDescent="0.3">
      <c r="A144" s="98">
        <f t="shared" si="7"/>
        <v>141</v>
      </c>
      <c r="B144" s="506">
        <v>1550</v>
      </c>
      <c r="C144" s="573">
        <v>46007</v>
      </c>
      <c r="D144" s="135">
        <v>120735245</v>
      </c>
      <c r="E144" s="212" t="s">
        <v>5359</v>
      </c>
      <c r="F144" s="386" t="s">
        <v>1</v>
      </c>
      <c r="G144" s="112" t="s">
        <v>8</v>
      </c>
      <c r="H144" s="493">
        <v>46007</v>
      </c>
      <c r="I144" s="341"/>
      <c r="J144" s="100" t="s">
        <v>5360</v>
      </c>
      <c r="K144" s="494"/>
      <c r="L144" s="636"/>
      <c r="M144" s="496"/>
      <c r="N144" s="497"/>
      <c r="O144" s="498"/>
      <c r="P144" s="499"/>
      <c r="Q144" s="501">
        <v>46007</v>
      </c>
      <c r="R144" s="148">
        <f t="shared" si="5"/>
        <v>0</v>
      </c>
      <c r="S144" s="101" t="s">
        <v>3952</v>
      </c>
      <c r="T144" s="69"/>
    </row>
    <row r="145" spans="1:20" ht="28.8" x14ac:dyDescent="0.3">
      <c r="A145" s="98">
        <f t="shared" si="7"/>
        <v>142</v>
      </c>
      <c r="B145" s="506">
        <v>1550</v>
      </c>
      <c r="C145" s="492">
        <v>46007</v>
      </c>
      <c r="D145" s="135">
        <v>120740540</v>
      </c>
      <c r="E145" s="212" t="s">
        <v>5361</v>
      </c>
      <c r="F145" s="386" t="s">
        <v>1</v>
      </c>
      <c r="G145" s="112" t="s">
        <v>8</v>
      </c>
      <c r="H145" s="493">
        <v>46007</v>
      </c>
      <c r="I145" s="25"/>
      <c r="J145" s="100" t="s">
        <v>5037</v>
      </c>
      <c r="K145" s="494"/>
      <c r="L145" s="495"/>
      <c r="M145" s="496"/>
      <c r="N145" s="497"/>
      <c r="O145" s="498"/>
      <c r="P145" s="499"/>
      <c r="Q145" s="500">
        <v>46008</v>
      </c>
      <c r="R145" s="148">
        <f t="shared" si="5"/>
        <v>1</v>
      </c>
      <c r="S145" s="101" t="s">
        <v>5362</v>
      </c>
      <c r="T145" s="69"/>
    </row>
    <row r="146" spans="1:20" ht="28.8" x14ac:dyDescent="0.3">
      <c r="A146" s="98">
        <f t="shared" si="7"/>
        <v>143</v>
      </c>
      <c r="B146" s="506">
        <v>1550</v>
      </c>
      <c r="C146" s="492">
        <v>46007</v>
      </c>
      <c r="D146" s="135">
        <v>115132287</v>
      </c>
      <c r="E146" s="212" t="s">
        <v>5363</v>
      </c>
      <c r="F146" s="386" t="s">
        <v>16</v>
      </c>
      <c r="G146" s="112" t="s">
        <v>8</v>
      </c>
      <c r="H146" s="493">
        <v>46007</v>
      </c>
      <c r="I146" s="25"/>
      <c r="J146" s="100" t="s">
        <v>1357</v>
      </c>
      <c r="K146" s="494"/>
      <c r="L146" s="495"/>
      <c r="M146" s="496"/>
      <c r="N146" s="497"/>
      <c r="O146" s="498"/>
      <c r="P146" s="499"/>
      <c r="Q146" s="500">
        <v>46043</v>
      </c>
      <c r="R146" s="148">
        <f t="shared" si="5"/>
        <v>36</v>
      </c>
      <c r="S146" s="101" t="s">
        <v>5362</v>
      </c>
      <c r="T146" s="69"/>
    </row>
    <row r="147" spans="1:20" ht="43.2" x14ac:dyDescent="0.3">
      <c r="A147" s="98">
        <f t="shared" si="7"/>
        <v>144</v>
      </c>
      <c r="B147" s="506">
        <v>1550</v>
      </c>
      <c r="C147" s="492">
        <v>46007</v>
      </c>
      <c r="D147" s="135">
        <v>108197875</v>
      </c>
      <c r="E147" s="212" t="s">
        <v>5364</v>
      </c>
      <c r="F147" s="386" t="s">
        <v>49</v>
      </c>
      <c r="G147" s="112" t="s">
        <v>8</v>
      </c>
      <c r="H147" s="493">
        <v>46007</v>
      </c>
      <c r="I147" s="25"/>
      <c r="J147" s="100" t="s">
        <v>266</v>
      </c>
      <c r="K147" s="494"/>
      <c r="L147" s="495"/>
      <c r="M147" s="496"/>
      <c r="N147" s="497"/>
      <c r="O147" s="498"/>
      <c r="P147" s="499"/>
      <c r="Q147" s="500">
        <v>46007</v>
      </c>
      <c r="R147" s="148">
        <f t="shared" si="5"/>
        <v>0</v>
      </c>
      <c r="S147" s="101" t="s">
        <v>190</v>
      </c>
      <c r="T147" s="69"/>
    </row>
    <row r="148" spans="1:20" ht="28.8" x14ac:dyDescent="0.3">
      <c r="A148" s="98">
        <f t="shared" si="7"/>
        <v>145</v>
      </c>
      <c r="B148" s="506">
        <v>1550</v>
      </c>
      <c r="C148" s="492">
        <v>46007</v>
      </c>
      <c r="D148" s="135">
        <v>49020110</v>
      </c>
      <c r="E148" s="212" t="s">
        <v>5365</v>
      </c>
      <c r="F148" s="386" t="s">
        <v>33</v>
      </c>
      <c r="G148" s="112" t="s">
        <v>8</v>
      </c>
      <c r="H148" s="493">
        <v>46007</v>
      </c>
      <c r="I148" s="25"/>
      <c r="J148" s="100" t="s">
        <v>1357</v>
      </c>
      <c r="K148" s="507"/>
      <c r="L148" s="508"/>
      <c r="M148" s="365"/>
      <c r="N148" s="509"/>
      <c r="O148" s="510"/>
      <c r="P148" s="511"/>
      <c r="Q148" s="500">
        <v>46009</v>
      </c>
      <c r="R148" s="148">
        <f t="shared" si="5"/>
        <v>2</v>
      </c>
      <c r="S148" s="101" t="s">
        <v>270</v>
      </c>
      <c r="T148" s="167"/>
    </row>
    <row r="149" spans="1:20" ht="129.6" x14ac:dyDescent="0.3">
      <c r="A149" s="98">
        <f t="shared" si="7"/>
        <v>146</v>
      </c>
      <c r="B149" s="506" t="s">
        <v>301</v>
      </c>
      <c r="C149" s="492">
        <v>46007</v>
      </c>
      <c r="D149" s="135">
        <v>45189277</v>
      </c>
      <c r="E149" s="212" t="s">
        <v>5366</v>
      </c>
      <c r="F149" s="386" t="s">
        <v>17</v>
      </c>
      <c r="G149" s="112" t="s">
        <v>10</v>
      </c>
      <c r="H149" s="493">
        <v>46007</v>
      </c>
      <c r="I149" s="25"/>
      <c r="J149" s="100" t="s">
        <v>5229</v>
      </c>
      <c r="K149" s="494"/>
      <c r="L149" s="495"/>
      <c r="M149" s="496"/>
      <c r="N149" s="497"/>
      <c r="O149" s="498"/>
      <c r="P149" s="499"/>
      <c r="Q149" s="500">
        <v>46014</v>
      </c>
      <c r="R149" s="148">
        <f t="shared" si="5"/>
        <v>7</v>
      </c>
      <c r="S149" s="101" t="s">
        <v>85</v>
      </c>
      <c r="T149" s="315"/>
    </row>
    <row r="150" spans="1:20" ht="72" x14ac:dyDescent="0.3">
      <c r="A150" s="98">
        <f t="shared" si="7"/>
        <v>147</v>
      </c>
      <c r="B150" s="506">
        <v>1550</v>
      </c>
      <c r="C150" s="492">
        <v>46007</v>
      </c>
      <c r="D150" s="135">
        <v>98820818</v>
      </c>
      <c r="E150" s="212" t="s">
        <v>5367</v>
      </c>
      <c r="F150" s="386" t="s">
        <v>3</v>
      </c>
      <c r="G150" s="112" t="s">
        <v>10</v>
      </c>
      <c r="H150" s="493">
        <v>46007</v>
      </c>
      <c r="I150" s="25">
        <v>10000336360</v>
      </c>
      <c r="J150" s="100" t="s">
        <v>5229</v>
      </c>
      <c r="K150" s="507"/>
      <c r="L150" s="508"/>
      <c r="M150" s="365"/>
      <c r="N150" s="509"/>
      <c r="O150" s="510"/>
      <c r="P150" s="511"/>
      <c r="Q150" s="500">
        <v>46009</v>
      </c>
      <c r="R150" s="148">
        <f t="shared" si="5"/>
        <v>2</v>
      </c>
      <c r="S150" s="101" t="s">
        <v>1172</v>
      </c>
      <c r="T150" s="69"/>
    </row>
    <row r="151" spans="1:20" ht="28.8" x14ac:dyDescent="0.3">
      <c r="A151" s="98">
        <f t="shared" si="7"/>
        <v>148</v>
      </c>
      <c r="B151" s="506">
        <v>1550</v>
      </c>
      <c r="C151" s="492">
        <v>46008</v>
      </c>
      <c r="D151" s="135">
        <v>19066643</v>
      </c>
      <c r="E151" s="212" t="s">
        <v>5368</v>
      </c>
      <c r="F151" s="386" t="s">
        <v>63</v>
      </c>
      <c r="G151" s="112" t="s">
        <v>4</v>
      </c>
      <c r="H151" s="493">
        <v>46008</v>
      </c>
      <c r="I151" s="25"/>
      <c r="J151" s="100" t="s">
        <v>1357</v>
      </c>
      <c r="K151" s="494"/>
      <c r="L151" s="495"/>
      <c r="M151" s="496"/>
      <c r="N151" s="497"/>
      <c r="O151" s="498"/>
      <c r="P151" s="499"/>
      <c r="Q151" s="500">
        <v>46008</v>
      </c>
      <c r="R151" s="148">
        <f t="shared" si="5"/>
        <v>0</v>
      </c>
      <c r="S151" s="101" t="s">
        <v>2979</v>
      </c>
      <c r="T151" s="69"/>
    </row>
    <row r="152" spans="1:20" ht="43.2" x14ac:dyDescent="0.3">
      <c r="A152" s="98">
        <f t="shared" si="7"/>
        <v>149</v>
      </c>
      <c r="B152" s="506">
        <v>1550</v>
      </c>
      <c r="C152" s="492">
        <v>46008</v>
      </c>
      <c r="D152" s="135">
        <v>89356365</v>
      </c>
      <c r="E152" s="212" t="s">
        <v>5369</v>
      </c>
      <c r="F152" s="386" t="s">
        <v>23</v>
      </c>
      <c r="G152" s="112" t="s">
        <v>8</v>
      </c>
      <c r="H152" s="493">
        <v>46008</v>
      </c>
      <c r="I152" s="25"/>
      <c r="J152" s="100" t="s">
        <v>135</v>
      </c>
      <c r="K152" s="494"/>
      <c r="L152" s="636"/>
      <c r="M152" s="496"/>
      <c r="N152" s="497"/>
      <c r="O152" s="498"/>
      <c r="P152" s="499"/>
      <c r="Q152" s="500">
        <v>46008</v>
      </c>
      <c r="R152" s="148">
        <f t="shared" si="5"/>
        <v>0</v>
      </c>
      <c r="S152" s="101" t="s">
        <v>3931</v>
      </c>
      <c r="T152" s="69"/>
    </row>
    <row r="153" spans="1:20" ht="28.8" x14ac:dyDescent="0.3">
      <c r="A153" s="98">
        <f t="shared" si="7"/>
        <v>150</v>
      </c>
      <c r="B153" s="506">
        <v>1550</v>
      </c>
      <c r="C153" s="492">
        <v>46008</v>
      </c>
      <c r="D153" s="135">
        <v>114698155</v>
      </c>
      <c r="E153" s="212" t="s">
        <v>5370</v>
      </c>
      <c r="F153" s="386" t="s">
        <v>1</v>
      </c>
      <c r="G153" s="112" t="s">
        <v>4</v>
      </c>
      <c r="H153" s="493">
        <v>46008</v>
      </c>
      <c r="I153" s="25"/>
      <c r="J153" s="100" t="s">
        <v>2352</v>
      </c>
      <c r="K153" s="494"/>
      <c r="L153" s="495"/>
      <c r="M153" s="496"/>
      <c r="N153" s="497"/>
      <c r="O153" s="498"/>
      <c r="P153" s="499"/>
      <c r="Q153" s="500">
        <v>46008</v>
      </c>
      <c r="R153" s="148">
        <f t="shared" si="5"/>
        <v>0</v>
      </c>
      <c r="S153" s="101" t="s">
        <v>2970</v>
      </c>
      <c r="T153" s="359"/>
    </row>
    <row r="154" spans="1:20" ht="28.8" x14ac:dyDescent="0.3">
      <c r="A154" s="98">
        <f t="shared" si="7"/>
        <v>151</v>
      </c>
      <c r="B154" s="506" t="s">
        <v>301</v>
      </c>
      <c r="C154" s="492">
        <v>46008</v>
      </c>
      <c r="D154" s="135">
        <v>91794838</v>
      </c>
      <c r="E154" s="212" t="s">
        <v>5371</v>
      </c>
      <c r="F154" s="386" t="s">
        <v>14</v>
      </c>
      <c r="G154" s="112" t="s">
        <v>8</v>
      </c>
      <c r="H154" s="493">
        <v>46008</v>
      </c>
      <c r="I154" s="25"/>
      <c r="J154" s="100" t="s">
        <v>5372</v>
      </c>
      <c r="K154" s="494"/>
      <c r="L154" s="495"/>
      <c r="M154" s="496"/>
      <c r="N154" s="497"/>
      <c r="O154" s="498"/>
      <c r="P154" s="499"/>
      <c r="Q154" s="500">
        <v>46009</v>
      </c>
      <c r="R154" s="148">
        <f t="shared" si="5"/>
        <v>1</v>
      </c>
      <c r="S154" s="101" t="s">
        <v>3861</v>
      </c>
      <c r="T154" s="69"/>
    </row>
    <row r="155" spans="1:20" ht="43.2" x14ac:dyDescent="0.3">
      <c r="A155" s="98">
        <f t="shared" si="7"/>
        <v>152</v>
      </c>
      <c r="B155" s="506" t="s">
        <v>80</v>
      </c>
      <c r="C155" s="492">
        <v>46008</v>
      </c>
      <c r="D155" s="204">
        <v>95449035</v>
      </c>
      <c r="E155" s="661" t="s">
        <v>5373</v>
      </c>
      <c r="F155" s="420" t="s">
        <v>48</v>
      </c>
      <c r="G155" s="112" t="s">
        <v>10</v>
      </c>
      <c r="H155" s="493">
        <v>46008</v>
      </c>
      <c r="I155" s="655"/>
      <c r="J155" s="100" t="s">
        <v>99</v>
      </c>
      <c r="K155" s="494"/>
      <c r="L155" s="495"/>
      <c r="M155" s="496"/>
      <c r="N155" s="497"/>
      <c r="O155" s="498"/>
      <c r="P155" s="499"/>
      <c r="Q155" s="500">
        <v>46013</v>
      </c>
      <c r="R155" s="148">
        <f t="shared" si="5"/>
        <v>5</v>
      </c>
      <c r="S155" s="101" t="s">
        <v>1332</v>
      </c>
      <c r="T155" s="69" t="s">
        <v>5374</v>
      </c>
    </row>
    <row r="156" spans="1:20" ht="201.6" x14ac:dyDescent="0.3">
      <c r="A156" s="98">
        <f t="shared" si="7"/>
        <v>153</v>
      </c>
      <c r="B156" s="660" t="s">
        <v>80</v>
      </c>
      <c r="C156" s="492">
        <v>46008</v>
      </c>
      <c r="D156" s="135">
        <v>68469578</v>
      </c>
      <c r="E156" s="175" t="s">
        <v>5375</v>
      </c>
      <c r="F156" s="111" t="s">
        <v>1</v>
      </c>
      <c r="G156" s="112" t="s">
        <v>10</v>
      </c>
      <c r="H156" s="493">
        <v>46008</v>
      </c>
      <c r="I156" s="655"/>
      <c r="J156" s="100" t="s">
        <v>3411</v>
      </c>
      <c r="K156" s="494"/>
      <c r="L156" s="495"/>
      <c r="M156" s="496"/>
      <c r="N156" s="497"/>
      <c r="O156" s="498"/>
      <c r="P156" s="499"/>
      <c r="Q156" s="500">
        <v>46020</v>
      </c>
      <c r="R156" s="148">
        <f t="shared" si="5"/>
        <v>12</v>
      </c>
      <c r="S156" s="101" t="s">
        <v>85</v>
      </c>
      <c r="T156" s="69"/>
    </row>
    <row r="157" spans="1:20" ht="86.4" x14ac:dyDescent="0.3">
      <c r="A157" s="98">
        <f t="shared" si="7"/>
        <v>154</v>
      </c>
      <c r="B157" s="506" t="s">
        <v>80</v>
      </c>
      <c r="C157" s="492">
        <v>46008</v>
      </c>
      <c r="D157" s="450">
        <v>78777917</v>
      </c>
      <c r="E157" s="212" t="s">
        <v>5376</v>
      </c>
      <c r="F157" s="401" t="s">
        <v>59</v>
      </c>
      <c r="G157" s="112" t="s">
        <v>10</v>
      </c>
      <c r="H157" s="493">
        <v>46008</v>
      </c>
      <c r="I157" s="25"/>
      <c r="J157" s="100" t="s">
        <v>5377</v>
      </c>
      <c r="K157" s="494"/>
      <c r="L157" s="495"/>
      <c r="M157" s="496"/>
      <c r="N157" s="497"/>
      <c r="O157" s="498"/>
      <c r="P157" s="499"/>
      <c r="Q157" s="500">
        <v>46008</v>
      </c>
      <c r="R157" s="148">
        <f t="shared" si="5"/>
        <v>0</v>
      </c>
      <c r="S157" s="101" t="s">
        <v>85</v>
      </c>
      <c r="T157" s="69"/>
    </row>
    <row r="158" spans="1:20" ht="129.6" x14ac:dyDescent="0.3">
      <c r="A158" s="98">
        <f t="shared" si="7"/>
        <v>155</v>
      </c>
      <c r="B158" s="506" t="s">
        <v>1044</v>
      </c>
      <c r="C158" s="492">
        <v>46007</v>
      </c>
      <c r="D158" s="135">
        <v>104726687</v>
      </c>
      <c r="E158" s="212" t="s">
        <v>5378</v>
      </c>
      <c r="F158" s="386" t="s">
        <v>38</v>
      </c>
      <c r="G158" s="112" t="s">
        <v>6</v>
      </c>
      <c r="H158" s="493">
        <v>46007</v>
      </c>
      <c r="I158" s="25"/>
      <c r="J158" s="107" t="s">
        <v>5379</v>
      </c>
      <c r="K158" s="494"/>
      <c r="L158" s="495"/>
      <c r="M158" s="496"/>
      <c r="N158" s="497"/>
      <c r="O158" s="498"/>
      <c r="P158" s="499"/>
      <c r="Q158" s="500">
        <v>46007</v>
      </c>
      <c r="R158" s="148">
        <f t="shared" si="5"/>
        <v>0</v>
      </c>
      <c r="S158" s="101" t="s">
        <v>1332</v>
      </c>
      <c r="T158" s="69" t="s">
        <v>5380</v>
      </c>
    </row>
    <row r="159" spans="1:20" ht="28.8" x14ac:dyDescent="0.3">
      <c r="A159" s="98">
        <f t="shared" si="7"/>
        <v>156</v>
      </c>
      <c r="B159" s="506">
        <v>1550</v>
      </c>
      <c r="C159" s="492">
        <v>46008</v>
      </c>
      <c r="D159" s="135">
        <v>27017249</v>
      </c>
      <c r="E159" s="212" t="s">
        <v>5381</v>
      </c>
      <c r="F159" s="386" t="s">
        <v>1</v>
      </c>
      <c r="G159" s="112" t="s">
        <v>4</v>
      </c>
      <c r="H159" s="493">
        <v>46008</v>
      </c>
      <c r="I159" s="25"/>
      <c r="J159" s="100" t="s">
        <v>2352</v>
      </c>
      <c r="K159" s="494"/>
      <c r="L159" s="495"/>
      <c r="M159" s="496"/>
      <c r="N159" s="497"/>
      <c r="O159" s="498"/>
      <c r="P159" s="499"/>
      <c r="Q159" s="500">
        <v>46009</v>
      </c>
      <c r="R159" s="148">
        <f t="shared" si="5"/>
        <v>1</v>
      </c>
      <c r="S159" s="633" t="s">
        <v>2974</v>
      </c>
      <c r="T159" s="69"/>
    </row>
    <row r="160" spans="1:20" ht="28.8" x14ac:dyDescent="0.3">
      <c r="A160" s="98">
        <f t="shared" si="7"/>
        <v>157</v>
      </c>
      <c r="B160" s="506">
        <v>1550</v>
      </c>
      <c r="C160" s="492">
        <v>46008</v>
      </c>
      <c r="D160" s="135">
        <v>77657284</v>
      </c>
      <c r="E160" s="212" t="s">
        <v>5382</v>
      </c>
      <c r="F160" s="386" t="s">
        <v>1</v>
      </c>
      <c r="G160" s="112" t="s">
        <v>4</v>
      </c>
      <c r="H160" s="493">
        <v>46008</v>
      </c>
      <c r="I160" s="655"/>
      <c r="J160" s="100" t="s">
        <v>1357</v>
      </c>
      <c r="K160" s="494"/>
      <c r="L160" s="637"/>
      <c r="M160" s="496"/>
      <c r="N160" s="497"/>
      <c r="O160" s="498"/>
      <c r="P160" s="499"/>
      <c r="Q160" s="500">
        <v>46008</v>
      </c>
      <c r="R160" s="148">
        <f t="shared" si="5"/>
        <v>0</v>
      </c>
      <c r="S160" s="633" t="s">
        <v>3020</v>
      </c>
      <c r="T160" s="69"/>
    </row>
    <row r="161" spans="1:20" ht="57.6" x14ac:dyDescent="0.3">
      <c r="A161" s="98">
        <f t="shared" si="7"/>
        <v>158</v>
      </c>
      <c r="B161" s="506" t="s">
        <v>301</v>
      </c>
      <c r="C161" s="492">
        <v>46008</v>
      </c>
      <c r="D161" s="135">
        <v>119594862</v>
      </c>
      <c r="E161" s="212" t="s">
        <v>5383</v>
      </c>
      <c r="F161" s="386" t="s">
        <v>17</v>
      </c>
      <c r="G161" s="112" t="s">
        <v>10</v>
      </c>
      <c r="H161" s="493">
        <v>46008</v>
      </c>
      <c r="I161" s="25"/>
      <c r="J161" s="100" t="s">
        <v>5229</v>
      </c>
      <c r="K161" s="494"/>
      <c r="L161" s="495"/>
      <c r="M161" s="496"/>
      <c r="N161" s="497"/>
      <c r="O161" s="498"/>
      <c r="P161" s="499"/>
      <c r="Q161" s="500">
        <v>46014</v>
      </c>
      <c r="R161" s="148">
        <f t="shared" si="5"/>
        <v>6</v>
      </c>
      <c r="S161" s="633" t="s">
        <v>214</v>
      </c>
      <c r="T161" s="167"/>
    </row>
    <row r="162" spans="1:20" ht="28.8" x14ac:dyDescent="0.3">
      <c r="A162" s="98">
        <f t="shared" si="7"/>
        <v>159</v>
      </c>
      <c r="B162" s="506">
        <v>1550</v>
      </c>
      <c r="C162" s="492">
        <v>46008</v>
      </c>
      <c r="D162" s="111">
        <v>24787833</v>
      </c>
      <c r="E162" s="212" t="s">
        <v>5384</v>
      </c>
      <c r="F162" s="386" t="s">
        <v>7</v>
      </c>
      <c r="G162" s="112" t="s">
        <v>4</v>
      </c>
      <c r="H162" s="493">
        <v>46008</v>
      </c>
      <c r="I162" s="25"/>
      <c r="J162" s="100" t="s">
        <v>2306</v>
      </c>
      <c r="K162" s="494"/>
      <c r="L162" s="495"/>
      <c r="M162" s="496"/>
      <c r="N162" s="497"/>
      <c r="O162" s="498"/>
      <c r="P162" s="499"/>
      <c r="Q162" s="500">
        <v>46008</v>
      </c>
      <c r="R162" s="148">
        <f t="shared" si="5"/>
        <v>0</v>
      </c>
      <c r="S162" s="633" t="s">
        <v>1569</v>
      </c>
      <c r="T162" s="69"/>
    </row>
    <row r="163" spans="1:20" ht="57.6" x14ac:dyDescent="0.3">
      <c r="A163" s="98">
        <f t="shared" si="7"/>
        <v>160</v>
      </c>
      <c r="B163" s="506" t="s">
        <v>80</v>
      </c>
      <c r="C163" s="492">
        <v>46008</v>
      </c>
      <c r="D163" s="135"/>
      <c r="E163" s="212" t="s">
        <v>5385</v>
      </c>
      <c r="F163" s="386" t="s">
        <v>51</v>
      </c>
      <c r="G163" s="112" t="s">
        <v>8</v>
      </c>
      <c r="H163" s="493">
        <v>46008</v>
      </c>
      <c r="I163" s="25"/>
      <c r="J163" s="100" t="s">
        <v>1357</v>
      </c>
      <c r="K163" s="494"/>
      <c r="L163" s="495"/>
      <c r="M163" s="496"/>
      <c r="N163" s="497"/>
      <c r="O163" s="498"/>
      <c r="P163" s="499"/>
      <c r="Q163" s="500">
        <v>46009</v>
      </c>
      <c r="R163" s="148">
        <f t="shared" si="5"/>
        <v>1</v>
      </c>
      <c r="S163" s="633" t="s">
        <v>4727</v>
      </c>
      <c r="T163" s="121"/>
    </row>
    <row r="164" spans="1:20" ht="43.2" x14ac:dyDescent="0.3">
      <c r="A164" s="98">
        <f t="shared" si="7"/>
        <v>161</v>
      </c>
      <c r="B164" s="506">
        <v>1550</v>
      </c>
      <c r="C164" s="492">
        <v>46009</v>
      </c>
      <c r="D164" s="135">
        <v>114968969</v>
      </c>
      <c r="E164" s="212" t="s">
        <v>5386</v>
      </c>
      <c r="F164" s="386" t="s">
        <v>1</v>
      </c>
      <c r="G164" s="112" t="s">
        <v>8</v>
      </c>
      <c r="H164" s="493">
        <v>46009</v>
      </c>
      <c r="I164" s="765"/>
      <c r="J164" s="100" t="s">
        <v>5032</v>
      </c>
      <c r="K164" s="494"/>
      <c r="L164" s="495"/>
      <c r="M164" s="496"/>
      <c r="N164" s="497"/>
      <c r="O164" s="498"/>
      <c r="P164" s="499"/>
      <c r="Q164" s="500">
        <v>46009</v>
      </c>
      <c r="R164" s="148">
        <f t="shared" si="5"/>
        <v>0</v>
      </c>
      <c r="S164" s="633" t="s">
        <v>5362</v>
      </c>
      <c r="T164" s="315"/>
    </row>
    <row r="165" spans="1:20" ht="28.8" x14ac:dyDescent="0.3">
      <c r="A165" s="98">
        <f t="shared" si="7"/>
        <v>162</v>
      </c>
      <c r="B165" s="506">
        <v>1550</v>
      </c>
      <c r="C165" s="492">
        <v>46009</v>
      </c>
      <c r="D165" s="135">
        <v>95470042</v>
      </c>
      <c r="E165" s="212" t="s">
        <v>5387</v>
      </c>
      <c r="F165" s="386" t="s">
        <v>7</v>
      </c>
      <c r="G165" s="112" t="s">
        <v>8</v>
      </c>
      <c r="H165" s="493">
        <v>46009</v>
      </c>
      <c r="I165" s="25"/>
      <c r="J165" s="100" t="s">
        <v>5248</v>
      </c>
      <c r="K165" s="557"/>
      <c r="L165" s="495"/>
      <c r="M165" s="496"/>
      <c r="N165" s="497"/>
      <c r="O165" s="498"/>
      <c r="P165" s="499"/>
      <c r="Q165" s="500">
        <v>46009</v>
      </c>
      <c r="R165" s="148">
        <f t="shared" si="5"/>
        <v>0</v>
      </c>
      <c r="S165" s="633" t="s">
        <v>3952</v>
      </c>
      <c r="T165" s="167"/>
    </row>
    <row r="166" spans="1:20" ht="43.2" x14ac:dyDescent="0.3">
      <c r="A166" s="98">
        <f t="shared" si="7"/>
        <v>163</v>
      </c>
      <c r="B166" s="506">
        <v>1550</v>
      </c>
      <c r="C166" s="492">
        <v>46009</v>
      </c>
      <c r="D166" s="135">
        <v>88016137</v>
      </c>
      <c r="E166" s="212" t="s">
        <v>5388</v>
      </c>
      <c r="F166" s="386" t="s">
        <v>3</v>
      </c>
      <c r="G166" s="112" t="s">
        <v>8</v>
      </c>
      <c r="H166" s="493">
        <v>46009</v>
      </c>
      <c r="I166" s="25"/>
      <c r="J166" s="100" t="s">
        <v>5229</v>
      </c>
      <c r="K166" s="557"/>
      <c r="L166" s="495"/>
      <c r="M166" s="496"/>
      <c r="N166" s="497"/>
      <c r="O166" s="498"/>
      <c r="P166" s="499"/>
      <c r="Q166" s="500">
        <v>46013</v>
      </c>
      <c r="R166" s="148">
        <f t="shared" ref="R166:R239" si="8">Q166-H166</f>
        <v>4</v>
      </c>
      <c r="S166" s="633" t="s">
        <v>270</v>
      </c>
      <c r="T166" s="69"/>
    </row>
    <row r="167" spans="1:20" ht="28.8" x14ac:dyDescent="0.3">
      <c r="A167" s="98">
        <f t="shared" si="7"/>
        <v>164</v>
      </c>
      <c r="B167" s="506" t="s">
        <v>80</v>
      </c>
      <c r="C167" s="492">
        <v>46009</v>
      </c>
      <c r="D167" s="135">
        <v>108164764</v>
      </c>
      <c r="E167" s="212" t="s">
        <v>5389</v>
      </c>
      <c r="F167" s="386" t="s">
        <v>1</v>
      </c>
      <c r="G167" s="112" t="s">
        <v>4</v>
      </c>
      <c r="H167" s="493">
        <v>46009</v>
      </c>
      <c r="I167" s="25"/>
      <c r="J167" s="100" t="s">
        <v>2352</v>
      </c>
      <c r="K167" s="557"/>
      <c r="L167" s="508"/>
      <c r="M167" s="365"/>
      <c r="N167" s="509"/>
      <c r="O167" s="510"/>
      <c r="P167" s="511"/>
      <c r="Q167" s="500">
        <v>46009</v>
      </c>
      <c r="R167" s="148">
        <f t="shared" si="8"/>
        <v>0</v>
      </c>
      <c r="S167" s="633" t="s">
        <v>4</v>
      </c>
      <c r="T167" s="167"/>
    </row>
    <row r="168" spans="1:20" ht="28.8" x14ac:dyDescent="0.3">
      <c r="A168" s="98">
        <f t="shared" si="7"/>
        <v>165</v>
      </c>
      <c r="B168" s="506">
        <v>1550</v>
      </c>
      <c r="C168" s="492">
        <v>46009</v>
      </c>
      <c r="D168" s="135">
        <v>100601979</v>
      </c>
      <c r="E168" s="212" t="s">
        <v>5390</v>
      </c>
      <c r="F168" s="386" t="s">
        <v>7</v>
      </c>
      <c r="G168" s="112" t="s">
        <v>8</v>
      </c>
      <c r="H168" s="493">
        <v>46009</v>
      </c>
      <c r="I168" s="25"/>
      <c r="J168" s="100" t="s">
        <v>5391</v>
      </c>
      <c r="K168" s="557"/>
      <c r="L168" s="495"/>
      <c r="M168" s="496"/>
      <c r="N168" s="497"/>
      <c r="O168" s="498"/>
      <c r="P168" s="499"/>
      <c r="Q168" s="500">
        <v>46009</v>
      </c>
      <c r="R168" s="148">
        <f t="shared" si="8"/>
        <v>0</v>
      </c>
      <c r="S168" s="633" t="s">
        <v>190</v>
      </c>
      <c r="T168" s="167"/>
    </row>
    <row r="169" spans="1:20" ht="28.8" x14ac:dyDescent="0.3">
      <c r="A169" s="98">
        <f t="shared" si="7"/>
        <v>166</v>
      </c>
      <c r="B169" s="506" t="s">
        <v>301</v>
      </c>
      <c r="C169" s="492">
        <v>46009</v>
      </c>
      <c r="D169" s="135">
        <v>115505806</v>
      </c>
      <c r="E169" s="212" t="s">
        <v>5392</v>
      </c>
      <c r="F169" s="386" t="s">
        <v>33</v>
      </c>
      <c r="G169" s="112" t="s">
        <v>8</v>
      </c>
      <c r="H169" s="493">
        <v>46009</v>
      </c>
      <c r="I169" s="25"/>
      <c r="J169" s="100" t="s">
        <v>5393</v>
      </c>
      <c r="K169" s="558"/>
      <c r="L169" s="508"/>
      <c r="M169" s="365"/>
      <c r="N169" s="509"/>
      <c r="O169" s="510"/>
      <c r="P169" s="511"/>
      <c r="Q169" s="500">
        <v>46010</v>
      </c>
      <c r="R169" s="148">
        <f t="shared" si="8"/>
        <v>1</v>
      </c>
      <c r="S169" s="633" t="s">
        <v>3861</v>
      </c>
      <c r="T169" s="344"/>
    </row>
    <row r="170" spans="1:20" ht="28.8" x14ac:dyDescent="0.3">
      <c r="A170" s="98">
        <f t="shared" si="7"/>
        <v>167</v>
      </c>
      <c r="B170" s="506">
        <v>1550</v>
      </c>
      <c r="C170" s="492">
        <v>46009</v>
      </c>
      <c r="D170" s="135">
        <v>97788376</v>
      </c>
      <c r="E170" s="212" t="s">
        <v>5394</v>
      </c>
      <c r="F170" s="386" t="s">
        <v>1</v>
      </c>
      <c r="G170" s="112" t="s">
        <v>4</v>
      </c>
      <c r="H170" s="493">
        <v>46009</v>
      </c>
      <c r="I170" s="25"/>
      <c r="J170" s="100" t="s">
        <v>3385</v>
      </c>
      <c r="K170" s="626"/>
      <c r="L170" s="508"/>
      <c r="M170" s="365"/>
      <c r="N170" s="509"/>
      <c r="O170" s="510"/>
      <c r="P170" s="511"/>
      <c r="Q170" s="500">
        <v>46012</v>
      </c>
      <c r="R170" s="148">
        <f t="shared" si="8"/>
        <v>3</v>
      </c>
      <c r="S170" s="633" t="s">
        <v>3047</v>
      </c>
      <c r="T170" s="69"/>
    </row>
    <row r="171" spans="1:20" ht="43.2" x14ac:dyDescent="0.3">
      <c r="A171" s="98">
        <f t="shared" si="7"/>
        <v>168</v>
      </c>
      <c r="B171" s="506" t="s">
        <v>301</v>
      </c>
      <c r="C171" s="492">
        <v>46009</v>
      </c>
      <c r="D171" s="135">
        <v>94184410</v>
      </c>
      <c r="E171" s="212" t="s">
        <v>5395</v>
      </c>
      <c r="F171" s="386" t="s">
        <v>1</v>
      </c>
      <c r="G171" s="112" t="s">
        <v>8</v>
      </c>
      <c r="H171" s="493">
        <v>46009</v>
      </c>
      <c r="I171" s="25"/>
      <c r="J171" s="100" t="s">
        <v>5393</v>
      </c>
      <c r="K171" s="626"/>
      <c r="L171" s="580"/>
      <c r="M171" s="228"/>
      <c r="N171" s="509"/>
      <c r="O171" s="510"/>
      <c r="P171" s="511"/>
      <c r="Q171" s="500">
        <v>46009</v>
      </c>
      <c r="R171" s="148">
        <f t="shared" si="8"/>
        <v>0</v>
      </c>
      <c r="S171" s="633" t="s">
        <v>3861</v>
      </c>
      <c r="T171" s="69"/>
    </row>
    <row r="172" spans="1:20" ht="158.4" x14ac:dyDescent="0.3">
      <c r="A172" s="98">
        <f t="shared" si="7"/>
        <v>169</v>
      </c>
      <c r="B172" s="506" t="s">
        <v>301</v>
      </c>
      <c r="C172" s="492">
        <v>46009</v>
      </c>
      <c r="D172" s="135">
        <v>120759306</v>
      </c>
      <c r="E172" s="212" t="s">
        <v>5396</v>
      </c>
      <c r="F172" s="386" t="s">
        <v>1</v>
      </c>
      <c r="G172" s="112" t="s">
        <v>10</v>
      </c>
      <c r="H172" s="493">
        <v>46009</v>
      </c>
      <c r="I172" s="25"/>
      <c r="J172" s="100" t="s">
        <v>5397</v>
      </c>
      <c r="K172" s="494"/>
      <c r="L172" s="495"/>
      <c r="M172" s="496"/>
      <c r="N172" s="497"/>
      <c r="O172" s="498"/>
      <c r="P172" s="499"/>
      <c r="Q172" s="500">
        <v>46030</v>
      </c>
      <c r="R172" s="148">
        <f t="shared" si="8"/>
        <v>21</v>
      </c>
      <c r="S172" s="633" t="s">
        <v>85</v>
      </c>
      <c r="T172" s="69"/>
    </row>
    <row r="173" spans="1:20" ht="100.8" x14ac:dyDescent="0.3">
      <c r="A173" s="98">
        <f t="shared" si="7"/>
        <v>170</v>
      </c>
      <c r="B173" s="506" t="s">
        <v>301</v>
      </c>
      <c r="C173" s="492">
        <v>46009</v>
      </c>
      <c r="D173" s="135">
        <v>91164311</v>
      </c>
      <c r="E173" s="212" t="s">
        <v>5398</v>
      </c>
      <c r="F173" s="386" t="s">
        <v>64</v>
      </c>
      <c r="G173" s="112" t="s">
        <v>10</v>
      </c>
      <c r="H173" s="493">
        <v>46009</v>
      </c>
      <c r="I173" s="25"/>
      <c r="J173" s="100" t="s">
        <v>1357</v>
      </c>
      <c r="K173" s="558"/>
      <c r="L173" s="508"/>
      <c r="M173" s="365"/>
      <c r="N173" s="509"/>
      <c r="O173" s="510"/>
      <c r="P173" s="511"/>
      <c r="Q173" s="500">
        <v>46010</v>
      </c>
      <c r="R173" s="148">
        <f t="shared" si="8"/>
        <v>1</v>
      </c>
      <c r="S173" s="633" t="s">
        <v>214</v>
      </c>
      <c r="T173" s="69"/>
    </row>
    <row r="174" spans="1:20" ht="43.2" x14ac:dyDescent="0.3">
      <c r="A174" s="98">
        <f t="shared" si="7"/>
        <v>171</v>
      </c>
      <c r="B174" s="195" t="s">
        <v>80</v>
      </c>
      <c r="C174" s="492">
        <v>46009</v>
      </c>
      <c r="D174" s="135">
        <v>12172995</v>
      </c>
      <c r="E174" s="270" t="s">
        <v>5399</v>
      </c>
      <c r="F174" s="386" t="s">
        <v>48</v>
      </c>
      <c r="G174" s="112" t="s">
        <v>10</v>
      </c>
      <c r="H174" s="493">
        <v>46009</v>
      </c>
      <c r="I174" s="25"/>
      <c r="J174" s="100" t="s">
        <v>99</v>
      </c>
      <c r="K174" s="558"/>
      <c r="L174" s="508"/>
      <c r="M174" s="365"/>
      <c r="N174" s="509"/>
      <c r="O174" s="510"/>
      <c r="P174" s="511"/>
      <c r="Q174" s="500">
        <v>46021</v>
      </c>
      <c r="R174" s="148">
        <f t="shared" si="8"/>
        <v>12</v>
      </c>
      <c r="S174" s="633" t="s">
        <v>1780</v>
      </c>
      <c r="T174" s="69"/>
    </row>
    <row r="175" spans="1:20" ht="43.2" x14ac:dyDescent="0.3">
      <c r="A175" s="98">
        <f t="shared" si="7"/>
        <v>172</v>
      </c>
      <c r="B175" s="195" t="s">
        <v>80</v>
      </c>
      <c r="C175" s="492">
        <v>46009</v>
      </c>
      <c r="D175" s="135">
        <v>88355012</v>
      </c>
      <c r="E175" s="212" t="s">
        <v>5400</v>
      </c>
      <c r="F175" s="386" t="s">
        <v>48</v>
      </c>
      <c r="G175" s="112" t="s">
        <v>10</v>
      </c>
      <c r="H175" s="493">
        <v>46009</v>
      </c>
      <c r="I175" s="25"/>
      <c r="J175" s="100" t="s">
        <v>99</v>
      </c>
      <c r="K175" s="558"/>
      <c r="L175" s="508"/>
      <c r="M175" s="365"/>
      <c r="N175" s="509"/>
      <c r="O175" s="510"/>
      <c r="P175" s="511"/>
      <c r="Q175" s="500">
        <v>46037</v>
      </c>
      <c r="R175" s="148">
        <f t="shared" si="8"/>
        <v>28</v>
      </c>
      <c r="S175" s="633" t="s">
        <v>2716</v>
      </c>
      <c r="T175" s="69"/>
    </row>
    <row r="176" spans="1:20" ht="43.2" x14ac:dyDescent="0.3">
      <c r="A176" s="98">
        <f t="shared" si="7"/>
        <v>173</v>
      </c>
      <c r="B176" s="195" t="s">
        <v>80</v>
      </c>
      <c r="C176" s="492">
        <v>46009</v>
      </c>
      <c r="D176" s="135">
        <v>51069652</v>
      </c>
      <c r="E176" s="212" t="s">
        <v>5401</v>
      </c>
      <c r="F176" s="386" t="s">
        <v>48</v>
      </c>
      <c r="G176" s="112" t="s">
        <v>10</v>
      </c>
      <c r="H176" s="493">
        <v>46009</v>
      </c>
      <c r="I176" s="25"/>
      <c r="J176" s="100" t="s">
        <v>99</v>
      </c>
      <c r="K176" s="558"/>
      <c r="L176" s="508"/>
      <c r="M176" s="365"/>
      <c r="N176" s="509"/>
      <c r="O176" s="510"/>
      <c r="P176" s="511"/>
      <c r="Q176" s="500">
        <v>46029</v>
      </c>
      <c r="R176" s="148">
        <f t="shared" si="8"/>
        <v>20</v>
      </c>
      <c r="S176" s="633" t="s">
        <v>2716</v>
      </c>
      <c r="T176" s="69"/>
    </row>
    <row r="177" spans="1:20" ht="43.2" x14ac:dyDescent="0.3">
      <c r="A177" s="98">
        <f t="shared" si="7"/>
        <v>174</v>
      </c>
      <c r="B177" s="195" t="s">
        <v>80</v>
      </c>
      <c r="C177" s="492">
        <v>46009</v>
      </c>
      <c r="D177" s="135"/>
      <c r="E177" s="212" t="s">
        <v>5402</v>
      </c>
      <c r="F177" s="386" t="s">
        <v>21</v>
      </c>
      <c r="G177" s="112" t="s">
        <v>10</v>
      </c>
      <c r="H177" s="493">
        <v>46009</v>
      </c>
      <c r="I177" s="25"/>
      <c r="J177" s="100" t="s">
        <v>99</v>
      </c>
      <c r="K177" s="558"/>
      <c r="L177" s="508"/>
      <c r="M177" s="365"/>
      <c r="N177" s="509"/>
      <c r="O177" s="510"/>
      <c r="P177" s="511"/>
      <c r="Q177" s="500">
        <v>46010</v>
      </c>
      <c r="R177" s="148">
        <f t="shared" si="8"/>
        <v>1</v>
      </c>
      <c r="S177" s="633" t="s">
        <v>2716</v>
      </c>
      <c r="T177" s="69"/>
    </row>
    <row r="178" spans="1:20" ht="86.4" x14ac:dyDescent="0.3">
      <c r="A178" s="98">
        <f t="shared" si="7"/>
        <v>175</v>
      </c>
      <c r="B178" s="195" t="s">
        <v>80</v>
      </c>
      <c r="C178" s="492">
        <v>46009</v>
      </c>
      <c r="D178" s="135">
        <v>322787254</v>
      </c>
      <c r="E178" s="212" t="s">
        <v>5403</v>
      </c>
      <c r="F178" s="386" t="s">
        <v>25</v>
      </c>
      <c r="G178" s="112" t="s">
        <v>10</v>
      </c>
      <c r="H178" s="493">
        <v>46009</v>
      </c>
      <c r="I178" s="25"/>
      <c r="J178" s="107" t="s">
        <v>22</v>
      </c>
      <c r="K178" s="558"/>
      <c r="L178" s="508"/>
      <c r="M178" s="365"/>
      <c r="N178" s="509"/>
      <c r="O178" s="510"/>
      <c r="P178" s="511"/>
      <c r="Q178" s="500">
        <v>46021</v>
      </c>
      <c r="R178" s="148">
        <f t="shared" si="8"/>
        <v>12</v>
      </c>
      <c r="S178" s="633" t="s">
        <v>2716</v>
      </c>
      <c r="T178" s="69"/>
    </row>
    <row r="179" spans="1:20" ht="28.8" x14ac:dyDescent="0.3">
      <c r="A179" s="98">
        <f t="shared" si="7"/>
        <v>176</v>
      </c>
      <c r="B179" s="506" t="s">
        <v>1826</v>
      </c>
      <c r="C179" s="492">
        <v>46010</v>
      </c>
      <c r="D179" s="135">
        <v>113308108</v>
      </c>
      <c r="E179" s="212" t="s">
        <v>5404</v>
      </c>
      <c r="F179" s="386" t="s">
        <v>3</v>
      </c>
      <c r="G179" s="112" t="s">
        <v>4</v>
      </c>
      <c r="H179" s="493">
        <v>46010</v>
      </c>
      <c r="I179" s="25"/>
      <c r="J179" s="107" t="s">
        <v>106</v>
      </c>
      <c r="K179" s="558"/>
      <c r="L179" s="508"/>
      <c r="M179" s="365"/>
      <c r="N179" s="509"/>
      <c r="O179" s="510"/>
      <c r="P179" s="511"/>
      <c r="Q179" s="500">
        <v>46010</v>
      </c>
      <c r="R179" s="148">
        <f t="shared" si="8"/>
        <v>0</v>
      </c>
      <c r="S179" s="633" t="s">
        <v>4926</v>
      </c>
      <c r="T179" s="69"/>
    </row>
    <row r="180" spans="1:20" ht="43.2" x14ac:dyDescent="0.3">
      <c r="A180" s="98">
        <f t="shared" si="7"/>
        <v>177</v>
      </c>
      <c r="B180" s="506" t="s">
        <v>301</v>
      </c>
      <c r="C180" s="492">
        <v>46010</v>
      </c>
      <c r="D180" s="135">
        <v>37543741</v>
      </c>
      <c r="E180" s="212" t="s">
        <v>5405</v>
      </c>
      <c r="F180" s="386" t="s">
        <v>32</v>
      </c>
      <c r="G180" s="112" t="s">
        <v>8</v>
      </c>
      <c r="H180" s="493">
        <v>46010</v>
      </c>
      <c r="I180" s="25"/>
      <c r="J180" s="107" t="s">
        <v>106</v>
      </c>
      <c r="K180" s="558"/>
      <c r="L180" s="508"/>
      <c r="M180" s="365"/>
      <c r="N180" s="509"/>
      <c r="O180" s="510"/>
      <c r="P180" s="511"/>
      <c r="Q180" s="500">
        <v>46010</v>
      </c>
      <c r="R180" s="148">
        <f t="shared" si="8"/>
        <v>0</v>
      </c>
      <c r="S180" s="633" t="s">
        <v>3861</v>
      </c>
      <c r="T180" s="69"/>
    </row>
    <row r="181" spans="1:20" x14ac:dyDescent="0.3">
      <c r="A181" s="98">
        <f t="shared" si="7"/>
        <v>178</v>
      </c>
      <c r="B181" s="506">
        <v>1550</v>
      </c>
      <c r="C181" s="492">
        <v>46010</v>
      </c>
      <c r="D181" s="135">
        <v>30649404</v>
      </c>
      <c r="E181" s="212" t="s">
        <v>5406</v>
      </c>
      <c r="F181" s="386" t="s">
        <v>21</v>
      </c>
      <c r="G181" s="112" t="s">
        <v>4</v>
      </c>
      <c r="H181" s="493">
        <v>46010</v>
      </c>
      <c r="I181" s="25"/>
      <c r="J181" s="100" t="s">
        <v>5397</v>
      </c>
      <c r="K181" s="626"/>
      <c r="L181" s="580"/>
      <c r="M181" s="365"/>
      <c r="N181" s="509"/>
      <c r="O181" s="510"/>
      <c r="P181" s="511"/>
      <c r="Q181" s="500">
        <v>46036</v>
      </c>
      <c r="R181" s="148">
        <f t="shared" si="8"/>
        <v>26</v>
      </c>
      <c r="S181" s="633" t="s">
        <v>1569</v>
      </c>
      <c r="T181" s="167"/>
    </row>
    <row r="182" spans="1:20" ht="72" x14ac:dyDescent="0.3">
      <c r="A182" s="98">
        <f t="shared" si="7"/>
        <v>179</v>
      </c>
      <c r="B182" s="506">
        <v>1550</v>
      </c>
      <c r="C182" s="492">
        <v>46010</v>
      </c>
      <c r="D182" s="111" t="s">
        <v>5407</v>
      </c>
      <c r="E182" s="212" t="s">
        <v>5408</v>
      </c>
      <c r="F182" s="386" t="s">
        <v>32</v>
      </c>
      <c r="G182" s="112" t="s">
        <v>8</v>
      </c>
      <c r="H182" s="493">
        <v>46010</v>
      </c>
      <c r="I182" s="25"/>
      <c r="J182" s="100" t="s">
        <v>106</v>
      </c>
      <c r="K182" s="494"/>
      <c r="L182" s="495"/>
      <c r="M182" s="496"/>
      <c r="N182" s="497"/>
      <c r="O182" s="498"/>
      <c r="P182" s="499"/>
      <c r="Q182" s="500">
        <v>46010</v>
      </c>
      <c r="R182" s="148">
        <f t="shared" si="8"/>
        <v>0</v>
      </c>
      <c r="S182" s="633" t="s">
        <v>5409</v>
      </c>
      <c r="T182" s="69"/>
    </row>
    <row r="183" spans="1:20" ht="28.8" x14ac:dyDescent="0.3">
      <c r="A183" s="98">
        <f t="shared" si="7"/>
        <v>180</v>
      </c>
      <c r="B183" s="506">
        <v>1550</v>
      </c>
      <c r="C183" s="492">
        <v>46010</v>
      </c>
      <c r="D183" s="135">
        <v>5550483</v>
      </c>
      <c r="E183" s="212" t="s">
        <v>5410</v>
      </c>
      <c r="F183" s="386" t="s">
        <v>24</v>
      </c>
      <c r="G183" s="112" t="s">
        <v>4</v>
      </c>
      <c r="H183" s="493">
        <v>46010</v>
      </c>
      <c r="I183" s="25"/>
      <c r="J183" s="100" t="s">
        <v>2504</v>
      </c>
      <c r="K183" s="626"/>
      <c r="L183" s="580"/>
      <c r="M183" s="365"/>
      <c r="N183" s="509"/>
      <c r="O183" s="510"/>
      <c r="P183" s="511"/>
      <c r="Q183" s="500">
        <v>46014</v>
      </c>
      <c r="R183" s="148">
        <f t="shared" si="8"/>
        <v>4</v>
      </c>
      <c r="S183" s="633" t="s">
        <v>2747</v>
      </c>
      <c r="T183" s="167"/>
    </row>
    <row r="184" spans="1:20" x14ac:dyDescent="0.3">
      <c r="A184" s="98">
        <f t="shared" si="7"/>
        <v>181</v>
      </c>
      <c r="B184" s="506">
        <v>1550</v>
      </c>
      <c r="C184" s="492">
        <v>46010</v>
      </c>
      <c r="D184" s="135">
        <v>91456762</v>
      </c>
      <c r="E184" s="270" t="s">
        <v>5411</v>
      </c>
      <c r="F184" s="386" t="s">
        <v>3</v>
      </c>
      <c r="G184" s="112" t="s">
        <v>4</v>
      </c>
      <c r="H184" s="493">
        <v>46010</v>
      </c>
      <c r="I184" s="25"/>
      <c r="J184" s="107" t="s">
        <v>5412</v>
      </c>
      <c r="K184" s="507"/>
      <c r="L184" s="508"/>
      <c r="M184" s="365"/>
      <c r="N184" s="509"/>
      <c r="O184" s="510"/>
      <c r="P184" s="511"/>
      <c r="Q184" s="500">
        <v>46010</v>
      </c>
      <c r="R184" s="148">
        <f t="shared" si="8"/>
        <v>0</v>
      </c>
      <c r="S184" s="633" t="s">
        <v>2974</v>
      </c>
      <c r="T184" s="167"/>
    </row>
    <row r="185" spans="1:20" ht="28.8" x14ac:dyDescent="0.3">
      <c r="A185" s="98">
        <f t="shared" si="7"/>
        <v>182</v>
      </c>
      <c r="B185" s="506">
        <v>1550</v>
      </c>
      <c r="C185" s="492">
        <v>46010</v>
      </c>
      <c r="D185" s="135">
        <v>81764014</v>
      </c>
      <c r="E185" s="270" t="s">
        <v>5413</v>
      </c>
      <c r="F185" s="386" t="s">
        <v>1</v>
      </c>
      <c r="G185" s="112" t="s">
        <v>4</v>
      </c>
      <c r="H185" s="493">
        <v>46010</v>
      </c>
      <c r="I185" s="25"/>
      <c r="J185" s="107" t="s">
        <v>2367</v>
      </c>
      <c r="K185" s="494"/>
      <c r="L185" s="495"/>
      <c r="M185" s="496"/>
      <c r="N185" s="497"/>
      <c r="O185" s="498"/>
      <c r="P185" s="499"/>
      <c r="Q185" s="500">
        <v>46014</v>
      </c>
      <c r="R185" s="148">
        <f t="shared" si="8"/>
        <v>4</v>
      </c>
      <c r="S185" s="633" t="s">
        <v>3020</v>
      </c>
      <c r="T185" s="69"/>
    </row>
    <row r="186" spans="1:20" ht="28.8" x14ac:dyDescent="0.3">
      <c r="A186" s="98">
        <f t="shared" si="7"/>
        <v>183</v>
      </c>
      <c r="B186" s="506">
        <v>1550</v>
      </c>
      <c r="C186" s="492">
        <v>46010</v>
      </c>
      <c r="D186" s="135">
        <v>72769033</v>
      </c>
      <c r="E186" s="270" t="s">
        <v>4885</v>
      </c>
      <c r="F186" s="386" t="s">
        <v>32</v>
      </c>
      <c r="G186" s="112" t="s">
        <v>4</v>
      </c>
      <c r="H186" s="493">
        <v>46010</v>
      </c>
      <c r="I186" s="25"/>
      <c r="J186" s="107" t="s">
        <v>106</v>
      </c>
      <c r="K186" s="507"/>
      <c r="L186" s="508"/>
      <c r="M186" s="365"/>
      <c r="N186" s="509"/>
      <c r="O186" s="510"/>
      <c r="P186" s="511"/>
      <c r="Q186" s="500">
        <v>46027</v>
      </c>
      <c r="R186" s="148">
        <f t="shared" si="8"/>
        <v>17</v>
      </c>
      <c r="S186" s="633" t="s">
        <v>2974</v>
      </c>
      <c r="T186" s="69"/>
    </row>
    <row r="187" spans="1:20" ht="28.8" x14ac:dyDescent="0.3">
      <c r="A187" s="98">
        <f t="shared" si="7"/>
        <v>184</v>
      </c>
      <c r="B187" s="506">
        <v>1550</v>
      </c>
      <c r="C187" s="492">
        <v>46010</v>
      </c>
      <c r="D187" s="135">
        <v>44164866</v>
      </c>
      <c r="E187" s="270" t="s">
        <v>5414</v>
      </c>
      <c r="F187" s="386" t="s">
        <v>32</v>
      </c>
      <c r="G187" s="112" t="s">
        <v>4</v>
      </c>
      <c r="H187" s="493">
        <v>46010</v>
      </c>
      <c r="I187" s="25"/>
      <c r="J187" s="100" t="s">
        <v>106</v>
      </c>
      <c r="K187" s="494"/>
      <c r="L187" s="508"/>
      <c r="M187" s="496"/>
      <c r="N187" s="497"/>
      <c r="O187" s="498"/>
      <c r="P187" s="499"/>
      <c r="Q187" s="500">
        <v>46027</v>
      </c>
      <c r="R187" s="148">
        <f t="shared" si="8"/>
        <v>17</v>
      </c>
      <c r="S187" s="633" t="s">
        <v>5415</v>
      </c>
      <c r="T187" s="69"/>
    </row>
    <row r="188" spans="1:20" ht="28.8" x14ac:dyDescent="0.3">
      <c r="A188" s="98">
        <f t="shared" si="7"/>
        <v>185</v>
      </c>
      <c r="B188" s="506">
        <v>1550</v>
      </c>
      <c r="C188" s="492">
        <v>46010</v>
      </c>
      <c r="D188" s="135">
        <v>109823354</v>
      </c>
      <c r="E188" s="270" t="s">
        <v>5416</v>
      </c>
      <c r="F188" s="386" t="s">
        <v>7</v>
      </c>
      <c r="G188" s="112" t="s">
        <v>4</v>
      </c>
      <c r="H188" s="493">
        <v>46010</v>
      </c>
      <c r="I188" s="25"/>
      <c r="J188" s="107" t="s">
        <v>3709</v>
      </c>
      <c r="K188" s="494"/>
      <c r="L188" s="495"/>
      <c r="M188" s="496"/>
      <c r="N188" s="497"/>
      <c r="O188" s="498"/>
      <c r="P188" s="499"/>
      <c r="Q188" s="500">
        <v>46029</v>
      </c>
      <c r="R188" s="148">
        <f t="shared" si="8"/>
        <v>19</v>
      </c>
      <c r="S188" s="633" t="s">
        <v>3020</v>
      </c>
      <c r="T188" s="69"/>
    </row>
    <row r="189" spans="1:20" ht="43.2" x14ac:dyDescent="0.3">
      <c r="A189" s="98">
        <f t="shared" si="7"/>
        <v>186</v>
      </c>
      <c r="B189" s="506">
        <v>1550</v>
      </c>
      <c r="C189" s="492">
        <v>46010</v>
      </c>
      <c r="D189" s="135"/>
      <c r="E189" s="270" t="s">
        <v>5417</v>
      </c>
      <c r="F189" s="386" t="s">
        <v>51</v>
      </c>
      <c r="G189" s="112" t="s">
        <v>4</v>
      </c>
      <c r="H189" s="493">
        <v>46010</v>
      </c>
      <c r="I189" s="561"/>
      <c r="J189" s="100" t="s">
        <v>99</v>
      </c>
      <c r="K189" s="494"/>
      <c r="L189" s="495"/>
      <c r="M189" s="496"/>
      <c r="N189" s="497"/>
      <c r="O189" s="498"/>
      <c r="P189" s="499"/>
      <c r="Q189" s="500">
        <v>46013</v>
      </c>
      <c r="R189" s="148">
        <f t="shared" si="8"/>
        <v>3</v>
      </c>
      <c r="S189" s="633" t="s">
        <v>4</v>
      </c>
      <c r="T189" s="315"/>
    </row>
    <row r="190" spans="1:20" ht="28.8" x14ac:dyDescent="0.3">
      <c r="A190" s="98">
        <f t="shared" si="7"/>
        <v>187</v>
      </c>
      <c r="B190" s="506" t="s">
        <v>80</v>
      </c>
      <c r="C190" s="492">
        <v>46010</v>
      </c>
      <c r="D190" s="135">
        <v>55206115</v>
      </c>
      <c r="E190" s="635" t="s">
        <v>5414</v>
      </c>
      <c r="F190" s="386" t="s">
        <v>32</v>
      </c>
      <c r="G190" s="112" t="s">
        <v>4</v>
      </c>
      <c r="H190" s="768">
        <v>46010</v>
      </c>
      <c r="I190" s="341"/>
      <c r="J190" s="413" t="s">
        <v>106</v>
      </c>
      <c r="K190" s="494"/>
      <c r="L190" s="495"/>
      <c r="M190" s="496"/>
      <c r="N190" s="497"/>
      <c r="O190" s="498"/>
      <c r="P190" s="499"/>
      <c r="Q190" s="500">
        <v>46027</v>
      </c>
      <c r="R190" s="148">
        <f t="shared" si="8"/>
        <v>17</v>
      </c>
      <c r="S190" s="633" t="s">
        <v>4</v>
      </c>
      <c r="T190" s="69"/>
    </row>
    <row r="191" spans="1:20" ht="86.4" x14ac:dyDescent="0.3">
      <c r="A191" s="98">
        <f t="shared" si="7"/>
        <v>188</v>
      </c>
      <c r="B191" s="506">
        <v>1550</v>
      </c>
      <c r="C191" s="492">
        <v>46010</v>
      </c>
      <c r="D191" s="135">
        <v>300723938</v>
      </c>
      <c r="E191" s="635" t="s">
        <v>5418</v>
      </c>
      <c r="F191" s="386" t="s">
        <v>25</v>
      </c>
      <c r="G191" s="112" t="s">
        <v>10</v>
      </c>
      <c r="H191" s="768">
        <v>46010</v>
      </c>
      <c r="I191" s="341"/>
      <c r="J191" s="767" t="s">
        <v>22</v>
      </c>
      <c r="K191" s="494"/>
      <c r="L191" s="495"/>
      <c r="M191" s="496"/>
      <c r="N191" s="497"/>
      <c r="O191" s="498"/>
      <c r="P191" s="499"/>
      <c r="Q191" s="500">
        <v>46021</v>
      </c>
      <c r="R191" s="148">
        <f t="shared" si="8"/>
        <v>11</v>
      </c>
      <c r="S191" s="633" t="s">
        <v>1806</v>
      </c>
      <c r="T191" s="69"/>
    </row>
    <row r="192" spans="1:20" ht="100.8" x14ac:dyDescent="0.3">
      <c r="A192" s="98">
        <f t="shared" si="7"/>
        <v>189</v>
      </c>
      <c r="B192" s="506">
        <v>1550</v>
      </c>
      <c r="C192" s="492">
        <v>46010</v>
      </c>
      <c r="D192" s="135">
        <v>6536336</v>
      </c>
      <c r="E192" s="270" t="s">
        <v>5419</v>
      </c>
      <c r="F192" s="386" t="s">
        <v>32</v>
      </c>
      <c r="G192" s="112" t="s">
        <v>10</v>
      </c>
      <c r="H192" s="768">
        <v>46010</v>
      </c>
      <c r="I192" s="341"/>
      <c r="J192" s="413" t="s">
        <v>106</v>
      </c>
      <c r="K192" s="494"/>
      <c r="L192" s="495"/>
      <c r="M192" s="496"/>
      <c r="N192" s="497"/>
      <c r="O192" s="498"/>
      <c r="P192" s="499"/>
      <c r="Q192" s="500">
        <v>46010</v>
      </c>
      <c r="R192" s="148">
        <f t="shared" si="8"/>
        <v>0</v>
      </c>
      <c r="S192" s="633" t="s">
        <v>1332</v>
      </c>
      <c r="T192" s="315"/>
    </row>
    <row r="193" spans="1:20" ht="144" x14ac:dyDescent="0.3">
      <c r="A193" s="98">
        <f t="shared" si="7"/>
        <v>190</v>
      </c>
      <c r="B193" s="506">
        <v>1550</v>
      </c>
      <c r="C193" s="492">
        <v>46010</v>
      </c>
      <c r="D193" s="135">
        <v>120673746</v>
      </c>
      <c r="E193" s="270" t="s">
        <v>5420</v>
      </c>
      <c r="F193" s="386" t="s">
        <v>1</v>
      </c>
      <c r="G193" s="112" t="s">
        <v>10</v>
      </c>
      <c r="H193" s="768">
        <v>46010</v>
      </c>
      <c r="I193" s="341"/>
      <c r="J193" s="767" t="s">
        <v>2367</v>
      </c>
      <c r="K193" s="494"/>
      <c r="L193" s="495"/>
      <c r="M193" s="496"/>
      <c r="N193" s="497"/>
      <c r="O193" s="498"/>
      <c r="P193" s="499"/>
      <c r="Q193" s="500">
        <v>46030</v>
      </c>
      <c r="R193" s="148">
        <f t="shared" si="8"/>
        <v>20</v>
      </c>
      <c r="S193" s="633" t="s">
        <v>1332</v>
      </c>
      <c r="T193" s="315" t="s">
        <v>5421</v>
      </c>
    </row>
    <row r="194" spans="1:20" ht="28.8" x14ac:dyDescent="0.3">
      <c r="A194" s="98">
        <f t="shared" si="7"/>
        <v>191</v>
      </c>
      <c r="B194" s="506">
        <v>1550</v>
      </c>
      <c r="C194" s="492">
        <v>46010</v>
      </c>
      <c r="D194" s="135">
        <v>56117892</v>
      </c>
      <c r="E194" s="270" t="s">
        <v>5422</v>
      </c>
      <c r="F194" s="386" t="s">
        <v>32</v>
      </c>
      <c r="G194" s="112" t="s">
        <v>4</v>
      </c>
      <c r="H194" s="768">
        <v>46010</v>
      </c>
      <c r="I194" s="341"/>
      <c r="J194" s="767" t="s">
        <v>106</v>
      </c>
      <c r="K194" s="494"/>
      <c r="L194" s="495"/>
      <c r="M194" s="496"/>
      <c r="N194" s="497"/>
      <c r="O194" s="498"/>
      <c r="P194" s="499"/>
      <c r="Q194" s="500">
        <v>46027</v>
      </c>
      <c r="R194" s="148">
        <f t="shared" si="8"/>
        <v>17</v>
      </c>
      <c r="S194" s="633" t="s">
        <v>1569</v>
      </c>
      <c r="T194" s="315"/>
    </row>
    <row r="195" spans="1:20" ht="28.8" x14ac:dyDescent="0.3">
      <c r="A195" s="98">
        <f t="shared" si="7"/>
        <v>192</v>
      </c>
      <c r="B195" s="506">
        <v>1550</v>
      </c>
      <c r="C195" s="492">
        <v>46010</v>
      </c>
      <c r="D195" s="135">
        <v>39342476</v>
      </c>
      <c r="E195" s="270" t="s">
        <v>5422</v>
      </c>
      <c r="F195" s="386" t="s">
        <v>32</v>
      </c>
      <c r="G195" s="112" t="s">
        <v>4</v>
      </c>
      <c r="H195" s="493">
        <v>46010</v>
      </c>
      <c r="I195" s="555"/>
      <c r="J195" s="107" t="s">
        <v>106</v>
      </c>
      <c r="K195" s="494"/>
      <c r="L195" s="495"/>
      <c r="M195" s="496"/>
      <c r="N195" s="497"/>
      <c r="O195" s="498"/>
      <c r="P195" s="499"/>
      <c r="Q195" s="500">
        <v>46027</v>
      </c>
      <c r="R195" s="148">
        <f t="shared" si="8"/>
        <v>17</v>
      </c>
      <c r="S195" s="633" t="s">
        <v>1569</v>
      </c>
      <c r="T195" s="167"/>
    </row>
    <row r="196" spans="1:20" ht="43.2" x14ac:dyDescent="0.3">
      <c r="A196" s="98">
        <f t="shared" si="7"/>
        <v>193</v>
      </c>
      <c r="B196" s="506" t="s">
        <v>80</v>
      </c>
      <c r="C196" s="492">
        <v>46010</v>
      </c>
      <c r="D196" s="135">
        <v>89399013</v>
      </c>
      <c r="E196" s="270" t="s">
        <v>5423</v>
      </c>
      <c r="F196" s="386" t="s">
        <v>48</v>
      </c>
      <c r="G196" s="112" t="s">
        <v>4</v>
      </c>
      <c r="H196" s="493">
        <v>46010</v>
      </c>
      <c r="I196" s="25"/>
      <c r="J196" s="107" t="s">
        <v>1357</v>
      </c>
      <c r="K196" s="494"/>
      <c r="L196" s="495"/>
      <c r="M196" s="496"/>
      <c r="N196" s="497"/>
      <c r="O196" s="498"/>
      <c r="P196" s="499"/>
      <c r="Q196" s="500">
        <v>46021</v>
      </c>
      <c r="R196" s="148">
        <f t="shared" si="8"/>
        <v>11</v>
      </c>
      <c r="S196" s="633" t="s">
        <v>4063</v>
      </c>
      <c r="T196" s="167" t="s">
        <v>5424</v>
      </c>
    </row>
    <row r="197" spans="1:20" ht="28.8" x14ac:dyDescent="0.3">
      <c r="A197" s="98">
        <f t="shared" ref="A197:A260" si="9">A196+1</f>
        <v>194</v>
      </c>
      <c r="B197" s="506">
        <v>1550</v>
      </c>
      <c r="C197" s="492">
        <v>46010</v>
      </c>
      <c r="D197" s="135">
        <v>58200258</v>
      </c>
      <c r="E197" s="270" t="s">
        <v>5422</v>
      </c>
      <c r="F197" s="386" t="s">
        <v>32</v>
      </c>
      <c r="G197" s="112" t="s">
        <v>4</v>
      </c>
      <c r="H197" s="493">
        <v>46010</v>
      </c>
      <c r="I197" s="25"/>
      <c r="J197" s="238" t="s">
        <v>106</v>
      </c>
      <c r="K197" s="494"/>
      <c r="L197" s="495"/>
      <c r="M197" s="496"/>
      <c r="N197" s="497"/>
      <c r="O197" s="498"/>
      <c r="P197" s="499"/>
      <c r="Q197" s="500">
        <v>46027</v>
      </c>
      <c r="R197" s="148">
        <f t="shared" si="8"/>
        <v>17</v>
      </c>
      <c r="S197" s="633" t="s">
        <v>3020</v>
      </c>
      <c r="T197" s="167"/>
    </row>
    <row r="198" spans="1:20" ht="43.2" x14ac:dyDescent="0.3">
      <c r="A198" s="98">
        <f t="shared" si="9"/>
        <v>195</v>
      </c>
      <c r="B198" s="506">
        <v>1550</v>
      </c>
      <c r="C198" s="492">
        <v>46013</v>
      </c>
      <c r="D198" s="135">
        <v>119702789</v>
      </c>
      <c r="E198" s="270" t="s">
        <v>5425</v>
      </c>
      <c r="F198" s="386" t="s">
        <v>7</v>
      </c>
      <c r="G198" s="112" t="s">
        <v>8</v>
      </c>
      <c r="H198" s="493">
        <v>46013</v>
      </c>
      <c r="I198" s="25"/>
      <c r="J198" s="125" t="s">
        <v>5426</v>
      </c>
      <c r="K198" s="557"/>
      <c r="L198" s="495"/>
      <c r="M198" s="496"/>
      <c r="N198" s="497"/>
      <c r="O198" s="498"/>
      <c r="P198" s="499"/>
      <c r="Q198" s="500">
        <v>46014</v>
      </c>
      <c r="R198" s="148">
        <f t="shared" si="8"/>
        <v>1</v>
      </c>
      <c r="S198" s="633" t="s">
        <v>5427</v>
      </c>
      <c r="T198" s="167"/>
    </row>
    <row r="199" spans="1:20" ht="28.8" x14ac:dyDescent="0.3">
      <c r="A199" s="98">
        <f t="shared" si="9"/>
        <v>196</v>
      </c>
      <c r="B199" s="506">
        <v>1550</v>
      </c>
      <c r="C199" s="492">
        <v>46013</v>
      </c>
      <c r="D199" s="135">
        <v>112077307</v>
      </c>
      <c r="E199" s="270" t="s">
        <v>5428</v>
      </c>
      <c r="F199" s="386" t="s">
        <v>1</v>
      </c>
      <c r="G199" s="112" t="s">
        <v>4</v>
      </c>
      <c r="H199" s="493">
        <v>46013</v>
      </c>
      <c r="I199" s="25"/>
      <c r="J199" s="125" t="s">
        <v>4826</v>
      </c>
      <c r="K199" s="557"/>
      <c r="L199" s="495"/>
      <c r="M199" s="496"/>
      <c r="N199" s="497"/>
      <c r="O199" s="498"/>
      <c r="P199" s="499"/>
      <c r="Q199" s="500">
        <v>46014</v>
      </c>
      <c r="R199" s="148">
        <f t="shared" si="8"/>
        <v>1</v>
      </c>
      <c r="S199" s="633" t="s">
        <v>2974</v>
      </c>
      <c r="T199" s="69"/>
    </row>
    <row r="200" spans="1:20" ht="43.2" x14ac:dyDescent="0.3">
      <c r="A200" s="98">
        <f t="shared" si="9"/>
        <v>197</v>
      </c>
      <c r="B200" s="506">
        <v>1550</v>
      </c>
      <c r="C200" s="492">
        <v>46013</v>
      </c>
      <c r="D200" s="135">
        <v>55206115</v>
      </c>
      <c r="E200" s="264" t="s">
        <v>5429</v>
      </c>
      <c r="F200" s="386" t="s">
        <v>32</v>
      </c>
      <c r="G200" s="112" t="s">
        <v>8</v>
      </c>
      <c r="H200" s="493">
        <v>46013</v>
      </c>
      <c r="I200" s="25"/>
      <c r="J200" s="125" t="s">
        <v>106</v>
      </c>
      <c r="K200" s="557"/>
      <c r="L200" s="495"/>
      <c r="M200" s="496"/>
      <c r="N200" s="497"/>
      <c r="O200" s="498"/>
      <c r="P200" s="499"/>
      <c r="Q200" s="500">
        <v>46013</v>
      </c>
      <c r="R200" s="148">
        <f t="shared" si="8"/>
        <v>0</v>
      </c>
      <c r="S200" s="633" t="s">
        <v>3146</v>
      </c>
      <c r="T200" s="69"/>
    </row>
    <row r="201" spans="1:20" x14ac:dyDescent="0.3">
      <c r="A201" s="98">
        <f t="shared" si="9"/>
        <v>198</v>
      </c>
      <c r="B201" s="553">
        <v>1550</v>
      </c>
      <c r="C201" s="492">
        <v>46013</v>
      </c>
      <c r="D201" s="135"/>
      <c r="E201" s="290" t="s">
        <v>5430</v>
      </c>
      <c r="F201" s="386" t="s">
        <v>21</v>
      </c>
      <c r="G201" s="112" t="s">
        <v>4</v>
      </c>
      <c r="H201" s="493">
        <v>46013</v>
      </c>
      <c r="I201" s="561"/>
      <c r="J201" s="125" t="s">
        <v>2352</v>
      </c>
      <c r="K201" s="769"/>
      <c r="L201" s="563"/>
      <c r="M201" s="496"/>
      <c r="N201" s="497"/>
      <c r="O201" s="498"/>
      <c r="P201" s="499"/>
      <c r="Q201" s="500">
        <v>46014</v>
      </c>
      <c r="R201" s="148">
        <f t="shared" si="8"/>
        <v>1</v>
      </c>
      <c r="S201" s="633" t="s">
        <v>3047</v>
      </c>
      <c r="T201" s="69"/>
    </row>
    <row r="202" spans="1:20" ht="28.8" x14ac:dyDescent="0.3">
      <c r="A202" s="98">
        <f t="shared" si="9"/>
        <v>199</v>
      </c>
      <c r="B202" s="111">
        <v>1550</v>
      </c>
      <c r="C202" s="512">
        <v>46013</v>
      </c>
      <c r="D202" s="219">
        <v>53608348</v>
      </c>
      <c r="E202" s="635" t="s">
        <v>5414</v>
      </c>
      <c r="F202" s="386" t="s">
        <v>32</v>
      </c>
      <c r="G202" s="125" t="s">
        <v>4</v>
      </c>
      <c r="H202" s="568">
        <v>46013</v>
      </c>
      <c r="I202" s="341"/>
      <c r="J202" s="107" t="s">
        <v>106</v>
      </c>
      <c r="K202" s="569"/>
      <c r="L202" s="570"/>
      <c r="M202" s="665"/>
      <c r="N202" s="497"/>
      <c r="O202" s="498"/>
      <c r="P202" s="499"/>
      <c r="Q202" s="500">
        <v>46027</v>
      </c>
      <c r="R202" s="148">
        <f t="shared" si="8"/>
        <v>14</v>
      </c>
      <c r="S202" s="633" t="s">
        <v>3899</v>
      </c>
      <c r="T202" s="69"/>
    </row>
    <row r="203" spans="1:20" x14ac:dyDescent="0.3">
      <c r="A203" s="98">
        <f t="shared" si="9"/>
        <v>200</v>
      </c>
      <c r="B203" s="111" t="s">
        <v>1826</v>
      </c>
      <c r="C203" s="512">
        <v>46013</v>
      </c>
      <c r="D203" s="219">
        <v>77498658</v>
      </c>
      <c r="E203" s="254" t="s">
        <v>5431</v>
      </c>
      <c r="F203" s="386" t="s">
        <v>3</v>
      </c>
      <c r="G203" s="125" t="s">
        <v>4</v>
      </c>
      <c r="H203" s="568">
        <v>46013</v>
      </c>
      <c r="I203" s="341"/>
      <c r="J203" s="125" t="s">
        <v>4870</v>
      </c>
      <c r="K203" s="569"/>
      <c r="L203" s="570"/>
      <c r="M203" s="666"/>
      <c r="N203" s="565"/>
      <c r="O203" s="566"/>
      <c r="P203" s="567"/>
      <c r="Q203" s="500">
        <v>46013</v>
      </c>
      <c r="R203" s="148">
        <f t="shared" si="8"/>
        <v>0</v>
      </c>
      <c r="S203" s="633" t="s">
        <v>720</v>
      </c>
      <c r="T203" s="69"/>
    </row>
    <row r="204" spans="1:20" ht="43.2" x14ac:dyDescent="0.3">
      <c r="A204" s="98">
        <f t="shared" si="9"/>
        <v>201</v>
      </c>
      <c r="B204" s="111">
        <v>1550</v>
      </c>
      <c r="C204" s="512">
        <v>46013</v>
      </c>
      <c r="D204" s="219">
        <v>44279132</v>
      </c>
      <c r="E204" s="109" t="s">
        <v>5432</v>
      </c>
      <c r="F204" s="386" t="s">
        <v>32</v>
      </c>
      <c r="G204" s="125" t="s">
        <v>8</v>
      </c>
      <c r="H204" s="568">
        <v>46013</v>
      </c>
      <c r="I204" s="341"/>
      <c r="J204" s="125" t="s">
        <v>106</v>
      </c>
      <c r="K204" s="569"/>
      <c r="L204" s="570"/>
      <c r="M204" s="667"/>
      <c r="N204" s="571"/>
      <c r="O204" s="572"/>
      <c r="P204" s="572"/>
      <c r="Q204" s="500">
        <v>46013</v>
      </c>
      <c r="R204" s="148">
        <f t="shared" si="8"/>
        <v>0</v>
      </c>
      <c r="S204" s="633" t="s">
        <v>5427</v>
      </c>
      <c r="T204" s="257"/>
    </row>
    <row r="205" spans="1:20" ht="86.4" x14ac:dyDescent="0.3">
      <c r="A205" s="98">
        <f t="shared" si="9"/>
        <v>202</v>
      </c>
      <c r="B205" s="111" t="s">
        <v>301</v>
      </c>
      <c r="C205" s="512">
        <v>46013</v>
      </c>
      <c r="D205" s="219">
        <v>30195993</v>
      </c>
      <c r="E205" s="109" t="s">
        <v>5433</v>
      </c>
      <c r="F205" s="386" t="s">
        <v>32</v>
      </c>
      <c r="G205" s="125" t="s">
        <v>10</v>
      </c>
      <c r="H205" s="568">
        <v>46013</v>
      </c>
      <c r="I205" s="341"/>
      <c r="J205" s="125" t="s">
        <v>106</v>
      </c>
      <c r="K205" s="569"/>
      <c r="L205" s="570"/>
      <c r="M205" s="515"/>
      <c r="N205" s="577"/>
      <c r="O205" s="578"/>
      <c r="P205" s="579"/>
      <c r="Q205" s="500">
        <v>46013</v>
      </c>
      <c r="R205" s="148">
        <f t="shared" si="8"/>
        <v>0</v>
      </c>
      <c r="S205" s="633" t="s">
        <v>2393</v>
      </c>
      <c r="T205" s="69"/>
    </row>
    <row r="206" spans="1:20" ht="72" x14ac:dyDescent="0.3">
      <c r="A206" s="98">
        <f t="shared" si="9"/>
        <v>203</v>
      </c>
      <c r="B206" s="554" t="s">
        <v>301</v>
      </c>
      <c r="C206" s="512">
        <v>46013</v>
      </c>
      <c r="D206" s="219">
        <v>91797322</v>
      </c>
      <c r="E206" s="109" t="s">
        <v>5434</v>
      </c>
      <c r="F206" s="386" t="s">
        <v>55</v>
      </c>
      <c r="G206" s="125" t="s">
        <v>10</v>
      </c>
      <c r="H206" s="568">
        <v>46013</v>
      </c>
      <c r="I206" s="341"/>
      <c r="J206" s="100" t="s">
        <v>5379</v>
      </c>
      <c r="K206" s="569"/>
      <c r="L206" s="570"/>
      <c r="M206" s="665"/>
      <c r="N206" s="497"/>
      <c r="O206" s="498"/>
      <c r="P206" s="499"/>
      <c r="Q206" s="500">
        <v>46031</v>
      </c>
      <c r="R206" s="148">
        <f t="shared" si="8"/>
        <v>18</v>
      </c>
      <c r="S206" s="633" t="s">
        <v>165</v>
      </c>
      <c r="T206" s="69" t="s">
        <v>5435</v>
      </c>
    </row>
    <row r="207" spans="1:20" ht="86.4" x14ac:dyDescent="0.3">
      <c r="A207" s="98">
        <f t="shared" si="9"/>
        <v>204</v>
      </c>
      <c r="B207" s="554" t="s">
        <v>80</v>
      </c>
      <c r="C207" s="512">
        <v>46013</v>
      </c>
      <c r="D207" s="369">
        <v>11880953</v>
      </c>
      <c r="E207" s="277" t="s">
        <v>5436</v>
      </c>
      <c r="F207" s="386" t="s">
        <v>32</v>
      </c>
      <c r="G207" s="125" t="s">
        <v>10</v>
      </c>
      <c r="H207" s="568">
        <v>46013</v>
      </c>
      <c r="I207" s="555"/>
      <c r="J207" s="125" t="s">
        <v>106</v>
      </c>
      <c r="K207" s="574"/>
      <c r="L207" s="575"/>
      <c r="M207" s="496"/>
      <c r="N207" s="497"/>
      <c r="O207" s="498"/>
      <c r="P207" s="499"/>
      <c r="Q207" s="500">
        <v>46013</v>
      </c>
      <c r="R207" s="148">
        <f t="shared" si="8"/>
        <v>0</v>
      </c>
      <c r="S207" s="633" t="s">
        <v>85</v>
      </c>
      <c r="T207" s="69"/>
    </row>
    <row r="208" spans="1:20" ht="86.4" x14ac:dyDescent="0.3">
      <c r="A208" s="98">
        <f t="shared" si="9"/>
        <v>205</v>
      </c>
      <c r="B208" s="554">
        <v>1550</v>
      </c>
      <c r="C208" s="512">
        <v>46013</v>
      </c>
      <c r="D208" s="369">
        <v>74536931</v>
      </c>
      <c r="E208" s="270" t="s">
        <v>5437</v>
      </c>
      <c r="F208" s="386" t="s">
        <v>32</v>
      </c>
      <c r="G208" s="125" t="s">
        <v>10</v>
      </c>
      <c r="H208" s="568">
        <v>46013</v>
      </c>
      <c r="I208" s="341"/>
      <c r="J208" s="125" t="s">
        <v>106</v>
      </c>
      <c r="K208" s="569"/>
      <c r="L208" s="570"/>
      <c r="M208" s="665"/>
      <c r="N208" s="497"/>
      <c r="O208" s="498"/>
      <c r="P208" s="499"/>
      <c r="Q208" s="500">
        <v>46013</v>
      </c>
      <c r="R208" s="148">
        <f t="shared" si="8"/>
        <v>0</v>
      </c>
      <c r="S208" s="633" t="s">
        <v>2213</v>
      </c>
      <c r="T208" s="69"/>
    </row>
    <row r="209" spans="1:20" ht="43.2" x14ac:dyDescent="0.3">
      <c r="A209" s="98">
        <f t="shared" si="9"/>
        <v>206</v>
      </c>
      <c r="B209" s="506" t="s">
        <v>301</v>
      </c>
      <c r="C209" s="512">
        <v>46013</v>
      </c>
      <c r="D209" s="369">
        <v>34310975</v>
      </c>
      <c r="E209" s="254" t="s">
        <v>5438</v>
      </c>
      <c r="F209" s="386" t="s">
        <v>17</v>
      </c>
      <c r="G209" s="125" t="s">
        <v>10</v>
      </c>
      <c r="H209" s="568">
        <v>46013</v>
      </c>
      <c r="I209" s="555"/>
      <c r="J209" s="100" t="s">
        <v>5229</v>
      </c>
      <c r="K209" s="574"/>
      <c r="L209" s="575"/>
      <c r="M209" s="496"/>
      <c r="N209" s="497"/>
      <c r="O209" s="498"/>
      <c r="P209" s="499"/>
      <c r="Q209" s="500">
        <v>46014</v>
      </c>
      <c r="R209" s="148">
        <f t="shared" si="8"/>
        <v>1</v>
      </c>
      <c r="S209" s="633" t="s">
        <v>214</v>
      </c>
      <c r="T209" s="69"/>
    </row>
    <row r="210" spans="1:20" ht="158.4" x14ac:dyDescent="0.3">
      <c r="A210" s="98">
        <f t="shared" si="9"/>
        <v>207</v>
      </c>
      <c r="B210" s="506" t="s">
        <v>301</v>
      </c>
      <c r="C210" s="512">
        <v>46013</v>
      </c>
      <c r="D210" s="537">
        <v>17533821</v>
      </c>
      <c r="E210" s="254" t="s">
        <v>5439</v>
      </c>
      <c r="F210" s="386" t="s">
        <v>7</v>
      </c>
      <c r="G210" s="125" t="s">
        <v>10</v>
      </c>
      <c r="H210" s="568">
        <v>46013</v>
      </c>
      <c r="I210" s="561"/>
      <c r="J210" s="489" t="s">
        <v>2432</v>
      </c>
      <c r="K210" s="562"/>
      <c r="L210" s="563"/>
      <c r="M210" s="564"/>
      <c r="N210" s="565"/>
      <c r="O210" s="566"/>
      <c r="P210" s="567"/>
      <c r="Q210" s="500">
        <v>46030</v>
      </c>
      <c r="R210" s="148">
        <f t="shared" si="8"/>
        <v>17</v>
      </c>
      <c r="S210" s="633" t="s">
        <v>1771</v>
      </c>
      <c r="T210" s="69"/>
    </row>
    <row r="211" spans="1:20" ht="86.4" x14ac:dyDescent="0.3">
      <c r="A211" s="98">
        <f t="shared" si="9"/>
        <v>208</v>
      </c>
      <c r="B211" s="506" t="s">
        <v>301</v>
      </c>
      <c r="C211" s="512">
        <v>46013</v>
      </c>
      <c r="D211" s="219">
        <v>105061115</v>
      </c>
      <c r="E211" s="254" t="s">
        <v>5440</v>
      </c>
      <c r="F211" s="386" t="s">
        <v>32</v>
      </c>
      <c r="G211" s="125" t="s">
        <v>10</v>
      </c>
      <c r="H211" s="568">
        <v>46013</v>
      </c>
      <c r="I211" s="778"/>
      <c r="J211" s="125" t="s">
        <v>106</v>
      </c>
      <c r="K211" s="779"/>
      <c r="L211" s="570"/>
      <c r="M211" s="570"/>
      <c r="N211" s="571"/>
      <c r="O211" s="572"/>
      <c r="P211" s="572"/>
      <c r="Q211" s="500">
        <v>46013</v>
      </c>
      <c r="R211" s="148">
        <f t="shared" si="8"/>
        <v>0</v>
      </c>
      <c r="S211" s="633" t="s">
        <v>2393</v>
      </c>
      <c r="T211" s="167"/>
    </row>
    <row r="212" spans="1:20" ht="86.4" x14ac:dyDescent="0.3">
      <c r="A212" s="98">
        <f t="shared" si="9"/>
        <v>209</v>
      </c>
      <c r="B212" s="506" t="s">
        <v>301</v>
      </c>
      <c r="C212" s="512">
        <v>46013</v>
      </c>
      <c r="D212" s="219">
        <v>37214640</v>
      </c>
      <c r="E212" s="254" t="s">
        <v>5441</v>
      </c>
      <c r="F212" s="386" t="s">
        <v>32</v>
      </c>
      <c r="G212" s="125" t="s">
        <v>10</v>
      </c>
      <c r="H212" s="568">
        <v>46013</v>
      </c>
      <c r="I212" s="778"/>
      <c r="J212" s="125" t="s">
        <v>106</v>
      </c>
      <c r="K212" s="779"/>
      <c r="L212" s="570"/>
      <c r="M212" s="570"/>
      <c r="N212" s="571"/>
      <c r="O212" s="572"/>
      <c r="P212" s="572"/>
      <c r="Q212" s="500">
        <v>46013</v>
      </c>
      <c r="R212" s="148">
        <f t="shared" si="8"/>
        <v>0</v>
      </c>
      <c r="S212" s="633" t="s">
        <v>2393</v>
      </c>
      <c r="T212" s="167"/>
    </row>
    <row r="213" spans="1:20" ht="86.4" x14ac:dyDescent="0.3">
      <c r="A213" s="98">
        <f t="shared" si="9"/>
        <v>210</v>
      </c>
      <c r="B213" s="554" t="s">
        <v>80</v>
      </c>
      <c r="C213" s="512">
        <v>46013</v>
      </c>
      <c r="D213" s="369">
        <v>9614540</v>
      </c>
      <c r="E213" s="254" t="s">
        <v>5442</v>
      </c>
      <c r="F213" s="386" t="s">
        <v>32</v>
      </c>
      <c r="G213" s="125" t="s">
        <v>10</v>
      </c>
      <c r="H213" s="568">
        <v>46013</v>
      </c>
      <c r="I213" s="778"/>
      <c r="J213" s="125" t="s">
        <v>106</v>
      </c>
      <c r="K213" s="513"/>
      <c r="L213" s="575"/>
      <c r="M213" s="576"/>
      <c r="N213" s="577"/>
      <c r="O213" s="578"/>
      <c r="P213" s="579"/>
      <c r="Q213" s="500">
        <v>46013</v>
      </c>
      <c r="R213" s="148">
        <f t="shared" si="8"/>
        <v>0</v>
      </c>
      <c r="S213" s="633" t="s">
        <v>85</v>
      </c>
      <c r="T213" s="69"/>
    </row>
    <row r="214" spans="1:20" ht="86.4" x14ac:dyDescent="0.3">
      <c r="A214" s="98">
        <f t="shared" si="9"/>
        <v>211</v>
      </c>
      <c r="B214" s="554" t="s">
        <v>80</v>
      </c>
      <c r="C214" s="512">
        <v>46013</v>
      </c>
      <c r="D214" s="82">
        <v>110836308</v>
      </c>
      <c r="E214" s="290" t="s">
        <v>5443</v>
      </c>
      <c r="F214" s="386" t="s">
        <v>32</v>
      </c>
      <c r="G214" s="125" t="s">
        <v>10</v>
      </c>
      <c r="H214" s="568">
        <v>46013</v>
      </c>
      <c r="I214" s="778"/>
      <c r="J214" s="125" t="s">
        <v>106</v>
      </c>
      <c r="K214" s="513"/>
      <c r="L214" s="575"/>
      <c r="M214" s="576"/>
      <c r="N214" s="577"/>
      <c r="O214" s="578"/>
      <c r="P214" s="579"/>
      <c r="Q214" s="500">
        <v>46013</v>
      </c>
      <c r="R214" s="148">
        <f t="shared" si="8"/>
        <v>0</v>
      </c>
      <c r="S214" s="633" t="s">
        <v>85</v>
      </c>
      <c r="T214" s="69"/>
    </row>
    <row r="215" spans="1:20" ht="86.4" x14ac:dyDescent="0.3">
      <c r="A215" s="98">
        <f t="shared" si="9"/>
        <v>212</v>
      </c>
      <c r="B215" s="771" t="s">
        <v>301</v>
      </c>
      <c r="C215" s="512">
        <v>46013</v>
      </c>
      <c r="D215" s="135">
        <v>90291212</v>
      </c>
      <c r="E215" s="254" t="s">
        <v>5444</v>
      </c>
      <c r="F215" s="386" t="s">
        <v>32</v>
      </c>
      <c r="G215" s="125" t="s">
        <v>10</v>
      </c>
      <c r="H215" s="568">
        <v>46013</v>
      </c>
      <c r="I215" s="778"/>
      <c r="J215" s="125" t="s">
        <v>106</v>
      </c>
      <c r="K215" s="513"/>
      <c r="L215" s="575"/>
      <c r="M215" s="576"/>
      <c r="N215" s="577"/>
      <c r="O215" s="578"/>
      <c r="P215" s="579"/>
      <c r="Q215" s="500">
        <v>46013</v>
      </c>
      <c r="R215" s="148">
        <f t="shared" si="8"/>
        <v>0</v>
      </c>
      <c r="S215" s="633" t="s">
        <v>214</v>
      </c>
      <c r="T215" s="69"/>
    </row>
    <row r="216" spans="1:20" ht="187.2" x14ac:dyDescent="0.3">
      <c r="A216" s="98">
        <f t="shared" si="9"/>
        <v>213</v>
      </c>
      <c r="B216" s="554" t="s">
        <v>80</v>
      </c>
      <c r="C216" s="512">
        <v>46013</v>
      </c>
      <c r="D216" s="135">
        <v>37175602</v>
      </c>
      <c r="E216" s="254" t="s">
        <v>5445</v>
      </c>
      <c r="F216" s="386" t="s">
        <v>7</v>
      </c>
      <c r="G216" s="125" t="s">
        <v>10</v>
      </c>
      <c r="H216" s="568">
        <v>46013</v>
      </c>
      <c r="I216" s="555"/>
      <c r="J216" s="125" t="s">
        <v>2513</v>
      </c>
      <c r="K216" s="513"/>
      <c r="L216" s="575"/>
      <c r="M216" s="576"/>
      <c r="N216" s="577"/>
      <c r="O216" s="578"/>
      <c r="P216" s="579"/>
      <c r="Q216" s="500">
        <v>46034</v>
      </c>
      <c r="R216" s="148">
        <f t="shared" si="8"/>
        <v>21</v>
      </c>
      <c r="S216" s="633" t="s">
        <v>85</v>
      </c>
      <c r="T216" s="69"/>
    </row>
    <row r="217" spans="1:20" ht="28.8" x14ac:dyDescent="0.3">
      <c r="A217" s="98">
        <f t="shared" si="9"/>
        <v>214</v>
      </c>
      <c r="B217" s="771">
        <v>1550</v>
      </c>
      <c r="C217" s="556">
        <v>46013</v>
      </c>
      <c r="D217" s="135">
        <v>6340024</v>
      </c>
      <c r="E217" s="254" t="s">
        <v>5446</v>
      </c>
      <c r="F217" s="386" t="s">
        <v>1</v>
      </c>
      <c r="G217" s="81" t="s">
        <v>4</v>
      </c>
      <c r="H217" s="568">
        <v>46013</v>
      </c>
      <c r="I217" s="555"/>
      <c r="J217" s="125" t="s">
        <v>2367</v>
      </c>
      <c r="K217" s="513"/>
      <c r="L217" s="575"/>
      <c r="M217" s="576"/>
      <c r="N217" s="577"/>
      <c r="O217" s="578"/>
      <c r="P217" s="579"/>
      <c r="Q217" s="500">
        <v>46035</v>
      </c>
      <c r="R217" s="148">
        <f t="shared" si="8"/>
        <v>22</v>
      </c>
      <c r="S217" s="633" t="s">
        <v>720</v>
      </c>
      <c r="T217" s="69"/>
    </row>
    <row r="218" spans="1:20" ht="28.8" x14ac:dyDescent="0.3">
      <c r="A218" s="98">
        <f t="shared" si="9"/>
        <v>215</v>
      </c>
      <c r="B218" s="771">
        <v>1550</v>
      </c>
      <c r="C218" s="512">
        <v>46014</v>
      </c>
      <c r="D218" s="772" t="s">
        <v>5447</v>
      </c>
      <c r="E218" s="254" t="s">
        <v>5448</v>
      </c>
      <c r="F218" s="386" t="s">
        <v>32</v>
      </c>
      <c r="G218" s="81" t="s">
        <v>4</v>
      </c>
      <c r="H218" s="568">
        <v>46014</v>
      </c>
      <c r="I218" s="555"/>
      <c r="J218" s="742" t="s">
        <v>106</v>
      </c>
      <c r="K218" s="574"/>
      <c r="L218" s="575"/>
      <c r="M218" s="576"/>
      <c r="N218" s="577"/>
      <c r="O218" s="578"/>
      <c r="P218" s="579"/>
      <c r="Q218" s="500">
        <v>46027</v>
      </c>
      <c r="R218" s="148">
        <f t="shared" si="8"/>
        <v>13</v>
      </c>
      <c r="S218" s="633" t="s">
        <v>3899</v>
      </c>
      <c r="T218" s="69"/>
    </row>
    <row r="219" spans="1:20" ht="144" x14ac:dyDescent="0.3">
      <c r="A219" s="98">
        <f t="shared" si="9"/>
        <v>216</v>
      </c>
      <c r="B219" s="553" t="s">
        <v>80</v>
      </c>
      <c r="C219" s="573">
        <v>46014</v>
      </c>
      <c r="D219" s="772">
        <v>2342855</v>
      </c>
      <c r="E219" s="707" t="s">
        <v>5449</v>
      </c>
      <c r="F219" s="386" t="s">
        <v>38</v>
      </c>
      <c r="G219" s="112" t="s">
        <v>6</v>
      </c>
      <c r="H219" s="568">
        <v>46014</v>
      </c>
      <c r="I219" s="25"/>
      <c r="J219" s="100" t="s">
        <v>14</v>
      </c>
      <c r="K219" s="494"/>
      <c r="L219" s="637"/>
      <c r="M219" s="496"/>
      <c r="N219" s="497"/>
      <c r="O219" s="498"/>
      <c r="P219" s="499"/>
      <c r="Q219" s="500">
        <v>46021</v>
      </c>
      <c r="R219" s="148">
        <f t="shared" si="8"/>
        <v>7</v>
      </c>
      <c r="S219" s="633" t="s">
        <v>2597</v>
      </c>
      <c r="T219" s="167" t="s">
        <v>5450</v>
      </c>
    </row>
    <row r="220" spans="1:20" ht="28.8" x14ac:dyDescent="0.3">
      <c r="A220" s="98">
        <f t="shared" si="9"/>
        <v>217</v>
      </c>
      <c r="B220" s="111">
        <v>1550</v>
      </c>
      <c r="C220" s="512">
        <v>46014</v>
      </c>
      <c r="D220" s="219">
        <v>45584192</v>
      </c>
      <c r="E220" s="254" t="s">
        <v>5451</v>
      </c>
      <c r="F220" s="386" t="s">
        <v>32</v>
      </c>
      <c r="G220" s="125" t="s">
        <v>8</v>
      </c>
      <c r="H220" s="599">
        <v>46014</v>
      </c>
      <c r="I220" s="25"/>
      <c r="J220" s="100" t="s">
        <v>106</v>
      </c>
      <c r="K220" s="494"/>
      <c r="L220" s="669"/>
      <c r="M220" s="552"/>
      <c r="N220" s="497"/>
      <c r="O220" s="498"/>
      <c r="P220" s="499"/>
      <c r="Q220" s="500">
        <v>46017</v>
      </c>
      <c r="R220" s="148">
        <f t="shared" si="8"/>
        <v>3</v>
      </c>
      <c r="S220" s="633" t="s">
        <v>3931</v>
      </c>
      <c r="T220" s="167"/>
    </row>
    <row r="221" spans="1:20" ht="28.8" x14ac:dyDescent="0.3">
      <c r="A221" s="98">
        <f t="shared" si="9"/>
        <v>218</v>
      </c>
      <c r="B221" s="111">
        <v>1550</v>
      </c>
      <c r="C221" s="512">
        <v>46014</v>
      </c>
      <c r="D221" s="219">
        <v>91356059</v>
      </c>
      <c r="E221" s="254" t="s">
        <v>5452</v>
      </c>
      <c r="F221" s="386" t="s">
        <v>32</v>
      </c>
      <c r="G221" s="81" t="s">
        <v>4</v>
      </c>
      <c r="H221" s="493">
        <v>46014</v>
      </c>
      <c r="I221" s="555"/>
      <c r="J221" s="107" t="s">
        <v>106</v>
      </c>
      <c r="K221" s="574"/>
      <c r="L221" s="575"/>
      <c r="M221" s="576"/>
      <c r="N221" s="577"/>
      <c r="O221" s="578"/>
      <c r="P221" s="579"/>
      <c r="Q221" s="500">
        <v>46027</v>
      </c>
      <c r="R221" s="148">
        <f t="shared" si="8"/>
        <v>13</v>
      </c>
      <c r="S221" s="633" t="s">
        <v>2747</v>
      </c>
      <c r="T221" s="167"/>
    </row>
    <row r="222" spans="1:20" x14ac:dyDescent="0.3">
      <c r="A222" s="98">
        <f t="shared" si="9"/>
        <v>219</v>
      </c>
      <c r="B222" s="111">
        <v>1550</v>
      </c>
      <c r="C222" s="512">
        <v>46014</v>
      </c>
      <c r="D222" s="219"/>
      <c r="E222" s="254" t="s">
        <v>5453</v>
      </c>
      <c r="F222" s="386" t="s">
        <v>21</v>
      </c>
      <c r="G222" s="81" t="s">
        <v>4</v>
      </c>
      <c r="H222" s="493">
        <v>46014</v>
      </c>
      <c r="I222" s="555"/>
      <c r="J222" s="100" t="s">
        <v>3948</v>
      </c>
      <c r="K222" s="574"/>
      <c r="L222" s="575"/>
      <c r="M222" s="576"/>
      <c r="N222" s="577"/>
      <c r="O222" s="578"/>
      <c r="P222" s="579"/>
      <c r="Q222" s="500">
        <v>46014</v>
      </c>
      <c r="R222" s="148">
        <f t="shared" si="8"/>
        <v>0</v>
      </c>
      <c r="S222" s="633" t="s">
        <v>3049</v>
      </c>
      <c r="T222" s="167"/>
    </row>
    <row r="223" spans="1:20" ht="43.2" x14ac:dyDescent="0.3">
      <c r="A223" s="98">
        <f t="shared" si="9"/>
        <v>220</v>
      </c>
      <c r="B223" s="111">
        <v>1550</v>
      </c>
      <c r="C223" s="512">
        <v>46014</v>
      </c>
      <c r="D223" s="219">
        <v>29294045</v>
      </c>
      <c r="E223" s="254" t="s">
        <v>5454</v>
      </c>
      <c r="F223" s="386" t="s">
        <v>48</v>
      </c>
      <c r="G223" s="125" t="s">
        <v>4</v>
      </c>
      <c r="H223" s="599">
        <v>46014</v>
      </c>
      <c r="I223" s="25"/>
      <c r="J223" s="107" t="s">
        <v>1357</v>
      </c>
      <c r="K223" s="494"/>
      <c r="L223" s="495"/>
      <c r="M223" s="496"/>
      <c r="N223" s="497"/>
      <c r="O223" s="498"/>
      <c r="P223" s="499"/>
      <c r="Q223" s="500">
        <v>46028</v>
      </c>
      <c r="R223" s="148">
        <f t="shared" si="8"/>
        <v>14</v>
      </c>
      <c r="S223" s="633" t="s">
        <v>3020</v>
      </c>
      <c r="T223" s="167"/>
    </row>
    <row r="224" spans="1:20" ht="28.8" x14ac:dyDescent="0.3">
      <c r="A224" s="98">
        <f t="shared" si="9"/>
        <v>221</v>
      </c>
      <c r="B224" s="111">
        <v>1550</v>
      </c>
      <c r="C224" s="512">
        <v>46014</v>
      </c>
      <c r="D224" s="219">
        <v>1622374</v>
      </c>
      <c r="E224" s="254" t="s">
        <v>5455</v>
      </c>
      <c r="F224" s="386" t="s">
        <v>1</v>
      </c>
      <c r="G224" s="125" t="s">
        <v>4</v>
      </c>
      <c r="H224" s="599">
        <v>46014</v>
      </c>
      <c r="I224" s="25"/>
      <c r="J224" s="107" t="s">
        <v>2352</v>
      </c>
      <c r="K224" s="494"/>
      <c r="L224" s="495"/>
      <c r="M224" s="496"/>
      <c r="N224" s="497"/>
      <c r="O224" s="498"/>
      <c r="P224" s="499"/>
      <c r="Q224" s="500">
        <v>46014</v>
      </c>
      <c r="R224" s="148">
        <f t="shared" si="8"/>
        <v>0</v>
      </c>
      <c r="S224" s="633" t="s">
        <v>3783</v>
      </c>
      <c r="T224" s="167"/>
    </row>
    <row r="225" spans="1:20" x14ac:dyDescent="0.3">
      <c r="A225" s="98">
        <f t="shared" si="9"/>
        <v>222</v>
      </c>
      <c r="B225" s="554">
        <v>1550</v>
      </c>
      <c r="C225" s="573">
        <v>46014</v>
      </c>
      <c r="D225" t="s">
        <v>5456</v>
      </c>
      <c r="E225" s="264" t="s">
        <v>5457</v>
      </c>
      <c r="F225" s="386" t="s">
        <v>23</v>
      </c>
      <c r="G225" s="81" t="s">
        <v>4</v>
      </c>
      <c r="H225" s="493">
        <v>46014</v>
      </c>
      <c r="I225" s="25"/>
      <c r="J225" s="107" t="s">
        <v>5458</v>
      </c>
      <c r="K225" s="494"/>
      <c r="L225" s="495"/>
      <c r="M225" s="496"/>
      <c r="N225" s="497"/>
      <c r="O225" s="498"/>
      <c r="P225" s="499"/>
      <c r="Q225" s="500">
        <v>46014</v>
      </c>
      <c r="R225" s="148">
        <f t="shared" si="8"/>
        <v>0</v>
      </c>
      <c r="S225" s="633" t="s">
        <v>2747</v>
      </c>
      <c r="T225" s="69"/>
    </row>
    <row r="226" spans="1:20" ht="43.2" x14ac:dyDescent="0.3">
      <c r="A226" s="98">
        <f t="shared" si="9"/>
        <v>223</v>
      </c>
      <c r="B226" s="506">
        <v>1550</v>
      </c>
      <c r="C226" s="492">
        <v>46014</v>
      </c>
      <c r="D226" s="617">
        <v>24768294</v>
      </c>
      <c r="E226" s="290" t="s">
        <v>5459</v>
      </c>
      <c r="F226" s="386" t="s">
        <v>1</v>
      </c>
      <c r="G226" s="112" t="s">
        <v>8</v>
      </c>
      <c r="H226" s="493">
        <v>46014</v>
      </c>
      <c r="I226" s="25"/>
      <c r="J226" s="107" t="s">
        <v>5393</v>
      </c>
      <c r="K226" s="494"/>
      <c r="L226" s="495"/>
      <c r="M226" s="496"/>
      <c r="N226" s="497"/>
      <c r="O226" s="498"/>
      <c r="P226" s="499"/>
      <c r="Q226" s="500">
        <v>46023</v>
      </c>
      <c r="R226" s="148">
        <f t="shared" si="8"/>
        <v>9</v>
      </c>
      <c r="S226" s="633" t="s">
        <v>3931</v>
      </c>
      <c r="T226" s="167"/>
    </row>
    <row r="227" spans="1:20" ht="28.8" x14ac:dyDescent="0.3">
      <c r="A227" s="98">
        <f t="shared" si="9"/>
        <v>224</v>
      </c>
      <c r="B227" s="506">
        <v>1550</v>
      </c>
      <c r="C227" s="492">
        <v>46014</v>
      </c>
      <c r="D227" s="219">
        <v>53266668</v>
      </c>
      <c r="E227" s="175" t="s">
        <v>5460</v>
      </c>
      <c r="F227" s="386" t="s">
        <v>32</v>
      </c>
      <c r="G227" s="112" t="s">
        <v>8</v>
      </c>
      <c r="H227" s="493">
        <v>46014</v>
      </c>
      <c r="I227" s="25"/>
      <c r="J227" s="107" t="s">
        <v>106</v>
      </c>
      <c r="K227" s="494"/>
      <c r="L227" s="495"/>
      <c r="M227" s="496"/>
      <c r="N227" s="497"/>
      <c r="O227" s="498"/>
      <c r="P227" s="499"/>
      <c r="Q227" s="500">
        <v>46017</v>
      </c>
      <c r="R227" s="148">
        <f t="shared" si="8"/>
        <v>3</v>
      </c>
      <c r="S227" s="633" t="s">
        <v>5461</v>
      </c>
      <c r="T227" s="69"/>
    </row>
    <row r="228" spans="1:20" ht="43.2" x14ac:dyDescent="0.3">
      <c r="A228" s="98">
        <f t="shared" si="9"/>
        <v>225</v>
      </c>
      <c r="B228" s="506" t="s">
        <v>80</v>
      </c>
      <c r="C228" s="492">
        <v>46014</v>
      </c>
      <c r="D228" s="219">
        <v>72212683</v>
      </c>
      <c r="E228" s="175" t="s">
        <v>5462</v>
      </c>
      <c r="F228" s="386" t="s">
        <v>48</v>
      </c>
      <c r="G228" s="112" t="s">
        <v>10</v>
      </c>
      <c r="H228" s="493">
        <v>46014</v>
      </c>
      <c r="I228" s="25"/>
      <c r="J228" s="107" t="s">
        <v>5463</v>
      </c>
      <c r="K228" s="494"/>
      <c r="L228" s="495"/>
      <c r="M228" s="496"/>
      <c r="N228" s="497"/>
      <c r="O228" s="498"/>
      <c r="P228" s="499"/>
      <c r="Q228" s="500">
        <v>46027</v>
      </c>
      <c r="R228" s="148">
        <f t="shared" si="8"/>
        <v>13</v>
      </c>
      <c r="S228" s="633" t="s">
        <v>85</v>
      </c>
      <c r="T228" s="69" t="s">
        <v>5464</v>
      </c>
    </row>
    <row r="229" spans="1:20" ht="62.25" customHeight="1" x14ac:dyDescent="0.3">
      <c r="A229" s="98">
        <f t="shared" si="9"/>
        <v>226</v>
      </c>
      <c r="B229" s="506" t="s">
        <v>301</v>
      </c>
      <c r="C229" s="492">
        <v>46014</v>
      </c>
      <c r="D229" s="219">
        <v>51145111</v>
      </c>
      <c r="E229" s="175" t="s">
        <v>5465</v>
      </c>
      <c r="F229" s="386" t="s">
        <v>7</v>
      </c>
      <c r="G229" s="112" t="s">
        <v>10</v>
      </c>
      <c r="H229" s="493">
        <v>46014</v>
      </c>
      <c r="I229" s="25"/>
      <c r="J229" s="100" t="s">
        <v>3385</v>
      </c>
      <c r="K229" s="494"/>
      <c r="L229" s="495"/>
      <c r="M229" s="496"/>
      <c r="N229" s="497"/>
      <c r="O229" s="498"/>
      <c r="P229" s="499"/>
      <c r="Q229" s="500">
        <v>46014</v>
      </c>
      <c r="R229" s="148">
        <f t="shared" si="8"/>
        <v>0</v>
      </c>
      <c r="S229" s="633" t="s">
        <v>214</v>
      </c>
      <c r="T229" s="69"/>
    </row>
    <row r="230" spans="1:20" ht="86.4" x14ac:dyDescent="0.3">
      <c r="A230" s="98">
        <f t="shared" si="9"/>
        <v>227</v>
      </c>
      <c r="B230" s="506" t="s">
        <v>301</v>
      </c>
      <c r="C230" s="492">
        <v>46014</v>
      </c>
      <c r="D230" s="219">
        <v>66714672</v>
      </c>
      <c r="E230" s="175" t="s">
        <v>5466</v>
      </c>
      <c r="F230" s="386" t="s">
        <v>32</v>
      </c>
      <c r="G230" s="112" t="s">
        <v>10</v>
      </c>
      <c r="H230" s="493">
        <v>46014</v>
      </c>
      <c r="I230" s="25"/>
      <c r="J230" s="100" t="s">
        <v>106</v>
      </c>
      <c r="K230" s="494"/>
      <c r="L230" s="495"/>
      <c r="M230" s="496"/>
      <c r="N230" s="497"/>
      <c r="O230" s="498"/>
      <c r="P230" s="499"/>
      <c r="Q230" s="500">
        <v>46014</v>
      </c>
      <c r="R230" s="148">
        <f t="shared" si="8"/>
        <v>0</v>
      </c>
      <c r="S230" s="633" t="s">
        <v>214</v>
      </c>
      <c r="T230" s="69"/>
    </row>
    <row r="231" spans="1:20" ht="86.4" x14ac:dyDescent="0.3">
      <c r="A231" s="98">
        <f t="shared" si="9"/>
        <v>228</v>
      </c>
      <c r="B231" s="506">
        <v>1550</v>
      </c>
      <c r="C231" s="492">
        <v>46014</v>
      </c>
      <c r="D231" s="219">
        <v>94909423</v>
      </c>
      <c r="E231" s="175" t="s">
        <v>5467</v>
      </c>
      <c r="F231" s="386" t="s">
        <v>32</v>
      </c>
      <c r="G231" s="112" t="s">
        <v>10</v>
      </c>
      <c r="H231" s="493">
        <v>46014</v>
      </c>
      <c r="I231" s="25"/>
      <c r="J231" s="100" t="s">
        <v>106</v>
      </c>
      <c r="K231" s="494"/>
      <c r="L231" s="495"/>
      <c r="M231" s="496"/>
      <c r="N231" s="497"/>
      <c r="O231" s="498"/>
      <c r="P231" s="499"/>
      <c r="Q231" s="500">
        <v>46014</v>
      </c>
      <c r="R231" s="148">
        <f t="shared" si="8"/>
        <v>0</v>
      </c>
      <c r="S231" s="633" t="s">
        <v>1332</v>
      </c>
      <c r="T231" s="69"/>
    </row>
    <row r="232" spans="1:20" ht="43.2" x14ac:dyDescent="0.3">
      <c r="A232" s="98">
        <f t="shared" si="9"/>
        <v>229</v>
      </c>
      <c r="B232" s="506" t="s">
        <v>80</v>
      </c>
      <c r="C232" s="492">
        <v>46014</v>
      </c>
      <c r="D232" s="219">
        <v>375893210</v>
      </c>
      <c r="E232" s="175" t="s">
        <v>5468</v>
      </c>
      <c r="F232" s="386" t="s">
        <v>48</v>
      </c>
      <c r="G232" s="112" t="s">
        <v>10</v>
      </c>
      <c r="H232" s="493">
        <v>46014</v>
      </c>
      <c r="I232" s="25"/>
      <c r="J232" s="100" t="s">
        <v>253</v>
      </c>
      <c r="K232" s="494"/>
      <c r="L232" s="495"/>
      <c r="M232" s="496"/>
      <c r="N232" s="497"/>
      <c r="O232" s="498"/>
      <c r="P232" s="499"/>
      <c r="Q232" s="500">
        <v>46028</v>
      </c>
      <c r="R232" s="148">
        <f t="shared" si="8"/>
        <v>14</v>
      </c>
      <c r="S232" s="633" t="s">
        <v>1780</v>
      </c>
      <c r="T232" s="69"/>
    </row>
    <row r="233" spans="1:20" ht="43.2" x14ac:dyDescent="0.3">
      <c r="A233" s="98">
        <f t="shared" si="9"/>
        <v>230</v>
      </c>
      <c r="B233" s="506" t="s">
        <v>80</v>
      </c>
      <c r="C233" s="492">
        <v>46014</v>
      </c>
      <c r="D233" s="219">
        <v>80621546</v>
      </c>
      <c r="E233" s="175" t="s">
        <v>5469</v>
      </c>
      <c r="F233" s="386" t="s">
        <v>48</v>
      </c>
      <c r="G233" s="112" t="s">
        <v>10</v>
      </c>
      <c r="H233" s="493">
        <v>46014</v>
      </c>
      <c r="I233" s="25"/>
      <c r="J233" s="100" t="s">
        <v>253</v>
      </c>
      <c r="K233" s="494"/>
      <c r="L233" s="495"/>
      <c r="M233" s="496"/>
      <c r="N233" s="497"/>
      <c r="O233" s="498"/>
      <c r="P233" s="499"/>
      <c r="Q233" s="500">
        <v>46028</v>
      </c>
      <c r="R233" s="148">
        <f t="shared" si="8"/>
        <v>14</v>
      </c>
      <c r="S233" s="633" t="s">
        <v>1780</v>
      </c>
      <c r="T233" s="69"/>
    </row>
    <row r="234" spans="1:20" ht="57.6" x14ac:dyDescent="0.3">
      <c r="A234" s="98">
        <f t="shared" si="9"/>
        <v>231</v>
      </c>
      <c r="B234" s="506">
        <v>1550</v>
      </c>
      <c r="C234" s="492">
        <v>46020</v>
      </c>
      <c r="D234" s="219"/>
      <c r="E234" s="254" t="s">
        <v>5470</v>
      </c>
      <c r="F234" s="386" t="s">
        <v>39</v>
      </c>
      <c r="G234" s="112" t="s">
        <v>4</v>
      </c>
      <c r="H234" s="493">
        <v>46020</v>
      </c>
      <c r="I234" s="25">
        <v>10000337689</v>
      </c>
      <c r="J234" s="100" t="s">
        <v>5458</v>
      </c>
      <c r="K234" s="507"/>
      <c r="L234" s="508"/>
      <c r="M234" s="365"/>
      <c r="N234" s="509"/>
      <c r="O234" s="510"/>
      <c r="P234" s="511"/>
      <c r="Q234" s="500">
        <v>46028</v>
      </c>
      <c r="R234" s="148">
        <f t="shared" si="8"/>
        <v>8</v>
      </c>
      <c r="S234" s="633" t="s">
        <v>5471</v>
      </c>
      <c r="T234" s="167"/>
    </row>
    <row r="235" spans="1:20" ht="28.8" x14ac:dyDescent="0.3">
      <c r="A235" s="98">
        <f t="shared" si="9"/>
        <v>232</v>
      </c>
      <c r="B235" s="506">
        <v>1550</v>
      </c>
      <c r="C235" s="492">
        <v>46020</v>
      </c>
      <c r="D235" s="664">
        <v>98239325</v>
      </c>
      <c r="E235" s="277" t="s">
        <v>5448</v>
      </c>
      <c r="F235" s="386" t="s">
        <v>32</v>
      </c>
      <c r="G235" s="112" t="s">
        <v>4</v>
      </c>
      <c r="H235" s="493">
        <v>46020</v>
      </c>
      <c r="I235" s="25"/>
      <c r="J235" s="107" t="s">
        <v>106</v>
      </c>
      <c r="K235" s="507"/>
      <c r="L235" s="508"/>
      <c r="M235" s="365"/>
      <c r="N235" s="509"/>
      <c r="O235" s="510"/>
      <c r="P235" s="511"/>
      <c r="Q235" s="500">
        <v>46027</v>
      </c>
      <c r="R235" s="148">
        <f t="shared" si="8"/>
        <v>7</v>
      </c>
      <c r="S235" s="633" t="s">
        <v>4063</v>
      </c>
      <c r="T235" s="167"/>
    </row>
    <row r="236" spans="1:20" x14ac:dyDescent="0.3">
      <c r="A236" s="98">
        <f t="shared" si="9"/>
        <v>233</v>
      </c>
      <c r="B236" s="506">
        <v>1550</v>
      </c>
      <c r="C236" s="492">
        <v>46020</v>
      </c>
      <c r="D236" s="219">
        <v>33386552</v>
      </c>
      <c r="E236" s="254" t="s">
        <v>5472</v>
      </c>
      <c r="F236" s="386" t="s">
        <v>64</v>
      </c>
      <c r="G236" s="112" t="s">
        <v>4</v>
      </c>
      <c r="H236" s="493">
        <v>46020</v>
      </c>
      <c r="I236" s="25"/>
      <c r="J236" s="107" t="s">
        <v>1357</v>
      </c>
      <c r="K236" s="494"/>
      <c r="L236" s="495"/>
      <c r="M236" s="496"/>
      <c r="N236" s="497"/>
      <c r="O236" s="498"/>
      <c r="P236" s="499"/>
      <c r="Q236" s="500">
        <v>46028</v>
      </c>
      <c r="R236" s="148">
        <f t="shared" si="8"/>
        <v>8</v>
      </c>
      <c r="S236" s="633" t="s">
        <v>720</v>
      </c>
      <c r="T236" s="167"/>
    </row>
    <row r="237" spans="1:20" ht="28.8" x14ac:dyDescent="0.3">
      <c r="A237" s="98">
        <f t="shared" si="9"/>
        <v>234</v>
      </c>
      <c r="B237" s="506" t="s">
        <v>80</v>
      </c>
      <c r="C237" s="492">
        <v>46020</v>
      </c>
      <c r="D237" s="664">
        <v>107773767</v>
      </c>
      <c r="E237" s="254" t="s">
        <v>5473</v>
      </c>
      <c r="F237" s="386" t="s">
        <v>32</v>
      </c>
      <c r="G237" s="112" t="s">
        <v>4</v>
      </c>
      <c r="H237" s="493">
        <v>46020</v>
      </c>
      <c r="I237" s="25">
        <v>10000337760</v>
      </c>
      <c r="J237" s="107" t="s">
        <v>106</v>
      </c>
      <c r="K237" s="494"/>
      <c r="L237" s="495"/>
      <c r="M237" s="496"/>
      <c r="N237" s="497"/>
      <c r="O237" s="498"/>
      <c r="P237" s="499"/>
      <c r="Q237" s="500">
        <v>46020</v>
      </c>
      <c r="R237" s="148">
        <f t="shared" si="8"/>
        <v>0</v>
      </c>
      <c r="S237" s="633" t="s">
        <v>604</v>
      </c>
      <c r="T237" s="167"/>
    </row>
    <row r="238" spans="1:20" ht="43.2" x14ac:dyDescent="0.3">
      <c r="A238" s="98">
        <f t="shared" si="9"/>
        <v>235</v>
      </c>
      <c r="B238" s="506">
        <v>1550</v>
      </c>
      <c r="C238" s="492">
        <v>46020</v>
      </c>
      <c r="D238" s="219">
        <v>12169617</v>
      </c>
      <c r="E238" s="270" t="s">
        <v>5474</v>
      </c>
      <c r="F238" s="386" t="s">
        <v>32</v>
      </c>
      <c r="G238" s="112" t="s">
        <v>8</v>
      </c>
      <c r="H238" s="493">
        <v>46020</v>
      </c>
      <c r="I238" s="25"/>
      <c r="J238" s="107" t="s">
        <v>106</v>
      </c>
      <c r="K238" s="507"/>
      <c r="L238" s="508"/>
      <c r="M238" s="365"/>
      <c r="N238" s="509"/>
      <c r="O238" s="510"/>
      <c r="P238" s="511"/>
      <c r="Q238" s="500">
        <v>46020</v>
      </c>
      <c r="R238" s="148">
        <f t="shared" si="8"/>
        <v>0</v>
      </c>
      <c r="S238" s="633" t="s">
        <v>3146</v>
      </c>
      <c r="T238" s="167"/>
    </row>
    <row r="239" spans="1:20" ht="86.4" x14ac:dyDescent="0.3">
      <c r="A239" s="98">
        <f t="shared" si="9"/>
        <v>236</v>
      </c>
      <c r="B239" s="506">
        <v>1550</v>
      </c>
      <c r="C239" s="492">
        <v>46020</v>
      </c>
      <c r="D239" s="219">
        <v>54295106</v>
      </c>
      <c r="E239" s="270" t="s">
        <v>5475</v>
      </c>
      <c r="F239" s="386" t="s">
        <v>14</v>
      </c>
      <c r="G239" s="112" t="s">
        <v>6</v>
      </c>
      <c r="H239" s="493">
        <v>46020</v>
      </c>
      <c r="I239" s="25"/>
      <c r="J239" s="754" t="s">
        <v>159</v>
      </c>
      <c r="K239" s="507"/>
      <c r="L239" s="508"/>
      <c r="M239" s="365"/>
      <c r="N239" s="509"/>
      <c r="O239" s="510"/>
      <c r="P239" s="511"/>
      <c r="Q239" s="500">
        <v>46021</v>
      </c>
      <c r="R239" s="148">
        <f t="shared" si="8"/>
        <v>1</v>
      </c>
      <c r="S239" s="633" t="s">
        <v>3783</v>
      </c>
      <c r="T239" s="167"/>
    </row>
    <row r="240" spans="1:20" x14ac:dyDescent="0.3">
      <c r="A240" s="98">
        <f t="shared" si="9"/>
        <v>237</v>
      </c>
      <c r="B240" s="506" t="s">
        <v>80</v>
      </c>
      <c r="C240" s="492">
        <v>46020</v>
      </c>
      <c r="D240" s="219">
        <v>33386552</v>
      </c>
      <c r="E240" s="270" t="s">
        <v>5472</v>
      </c>
      <c r="F240" s="386" t="s">
        <v>64</v>
      </c>
      <c r="G240" s="112" t="s">
        <v>4</v>
      </c>
      <c r="H240" s="493">
        <v>46020</v>
      </c>
      <c r="I240" s="25"/>
      <c r="J240" s="107" t="s">
        <v>1357</v>
      </c>
      <c r="K240" s="507"/>
      <c r="L240" s="508"/>
      <c r="M240" s="365"/>
      <c r="N240" s="509"/>
      <c r="O240" s="510"/>
      <c r="P240" s="511"/>
      <c r="Q240" s="500">
        <v>46028</v>
      </c>
      <c r="R240" s="148">
        <f t="shared" ref="R240:R282" si="10">Q240-H240</f>
        <v>8</v>
      </c>
      <c r="S240" s="633" t="s">
        <v>604</v>
      </c>
      <c r="T240" s="69"/>
    </row>
    <row r="241" spans="1:20" x14ac:dyDescent="0.3">
      <c r="A241" s="98">
        <f t="shared" si="9"/>
        <v>238</v>
      </c>
      <c r="B241" s="506" t="s">
        <v>80</v>
      </c>
      <c r="C241" s="492">
        <v>46020</v>
      </c>
      <c r="D241" s="219">
        <v>77397932</v>
      </c>
      <c r="E241" s="270" t="s">
        <v>5472</v>
      </c>
      <c r="F241" s="386" t="s">
        <v>64</v>
      </c>
      <c r="G241" s="112" t="s">
        <v>4</v>
      </c>
      <c r="H241" s="493">
        <v>46020</v>
      </c>
      <c r="I241" s="25"/>
      <c r="J241" s="107" t="s">
        <v>1357</v>
      </c>
      <c r="K241" s="507"/>
      <c r="L241" s="508"/>
      <c r="M241" s="365"/>
      <c r="N241" s="509"/>
      <c r="O241" s="510"/>
      <c r="P241" s="511"/>
      <c r="Q241" s="500">
        <v>46028</v>
      </c>
      <c r="R241" s="148">
        <f t="shared" si="10"/>
        <v>8</v>
      </c>
      <c r="S241" s="633" t="s">
        <v>604</v>
      </c>
      <c r="T241" s="69"/>
    </row>
    <row r="242" spans="1:20" ht="28.8" x14ac:dyDescent="0.3">
      <c r="A242" s="98">
        <f t="shared" si="9"/>
        <v>239</v>
      </c>
      <c r="B242" s="506" t="s">
        <v>80</v>
      </c>
      <c r="C242" s="492">
        <v>46020</v>
      </c>
      <c r="D242" s="219">
        <v>32489463</v>
      </c>
      <c r="E242" s="277" t="s">
        <v>5448</v>
      </c>
      <c r="F242" s="386" t="s">
        <v>32</v>
      </c>
      <c r="G242" s="112" t="s">
        <v>4</v>
      </c>
      <c r="H242" s="493">
        <v>46020</v>
      </c>
      <c r="I242" s="25"/>
      <c r="J242" s="107" t="s">
        <v>106</v>
      </c>
      <c r="K242" s="226"/>
      <c r="L242" s="580"/>
      <c r="M242" s="228"/>
      <c r="N242" s="509"/>
      <c r="O242" s="510"/>
      <c r="P242" s="511"/>
      <c r="Q242" s="500">
        <v>46027</v>
      </c>
      <c r="R242" s="148">
        <f t="shared" si="10"/>
        <v>7</v>
      </c>
      <c r="S242" s="633" t="s">
        <v>604</v>
      </c>
      <c r="T242" s="69"/>
    </row>
    <row r="243" spans="1:20" ht="28.8" x14ac:dyDescent="0.3">
      <c r="A243" s="98">
        <f t="shared" si="9"/>
        <v>240</v>
      </c>
      <c r="B243" s="506" t="s">
        <v>80</v>
      </c>
      <c r="C243" s="492">
        <v>46020</v>
      </c>
      <c r="D243" s="219">
        <v>22048030</v>
      </c>
      <c r="E243" s="277" t="s">
        <v>5448</v>
      </c>
      <c r="F243" s="386" t="s">
        <v>32</v>
      </c>
      <c r="G243" s="112" t="s">
        <v>4</v>
      </c>
      <c r="H243" s="493">
        <v>46020</v>
      </c>
      <c r="I243" s="25"/>
      <c r="J243" s="107" t="s">
        <v>106</v>
      </c>
      <c r="K243" s="226"/>
      <c r="L243" s="580"/>
      <c r="M243" s="228"/>
      <c r="N243" s="509"/>
      <c r="O243" s="510"/>
      <c r="P243" s="511"/>
      <c r="Q243" s="500">
        <v>46027</v>
      </c>
      <c r="R243" s="148">
        <f t="shared" si="10"/>
        <v>7</v>
      </c>
      <c r="S243" s="633" t="s">
        <v>604</v>
      </c>
      <c r="T243" s="69"/>
    </row>
    <row r="244" spans="1:20" ht="57.6" x14ac:dyDescent="0.3">
      <c r="A244" s="98">
        <f t="shared" si="9"/>
        <v>241</v>
      </c>
      <c r="B244" s="506" t="s">
        <v>80</v>
      </c>
      <c r="C244" s="492">
        <v>46020</v>
      </c>
      <c r="D244" s="219">
        <v>947431</v>
      </c>
      <c r="E244" s="270" t="s">
        <v>5476</v>
      </c>
      <c r="F244" s="386" t="s">
        <v>39</v>
      </c>
      <c r="G244" s="112" t="s">
        <v>4</v>
      </c>
      <c r="H244" s="493">
        <v>46020</v>
      </c>
      <c r="I244" s="25">
        <v>10000337689</v>
      </c>
      <c r="J244" s="107" t="s">
        <v>5458</v>
      </c>
      <c r="K244" s="507"/>
      <c r="L244" s="508"/>
      <c r="M244" s="365"/>
      <c r="N244" s="509"/>
      <c r="O244" s="510"/>
      <c r="P244" s="511"/>
      <c r="Q244" s="500">
        <v>46027</v>
      </c>
      <c r="R244" s="148">
        <f t="shared" si="10"/>
        <v>7</v>
      </c>
      <c r="S244" s="633" t="s">
        <v>604</v>
      </c>
      <c r="T244" s="167"/>
    </row>
    <row r="245" spans="1:20" ht="57.6" x14ac:dyDescent="0.3">
      <c r="A245" s="98">
        <f t="shared" si="9"/>
        <v>242</v>
      </c>
      <c r="B245" s="506" t="s">
        <v>80</v>
      </c>
      <c r="C245" s="492">
        <v>46020</v>
      </c>
      <c r="D245" s="219">
        <v>53541065</v>
      </c>
      <c r="E245" s="270" t="s">
        <v>5476</v>
      </c>
      <c r="F245" s="386" t="s">
        <v>39</v>
      </c>
      <c r="G245" s="112" t="s">
        <v>4</v>
      </c>
      <c r="H245" s="493">
        <v>46020</v>
      </c>
      <c r="I245" s="25">
        <v>10000337689</v>
      </c>
      <c r="J245" s="107" t="s">
        <v>5458</v>
      </c>
      <c r="K245" s="507"/>
      <c r="L245" s="508"/>
      <c r="M245" s="365"/>
      <c r="N245" s="509"/>
      <c r="O245" s="510"/>
      <c r="P245" s="511"/>
      <c r="Q245" s="500">
        <v>46027</v>
      </c>
      <c r="R245" s="148">
        <f t="shared" si="10"/>
        <v>7</v>
      </c>
      <c r="S245" s="633" t="s">
        <v>604</v>
      </c>
      <c r="T245" s="69"/>
    </row>
    <row r="246" spans="1:20" ht="28.8" x14ac:dyDescent="0.3">
      <c r="A246" s="98">
        <f t="shared" si="9"/>
        <v>243</v>
      </c>
      <c r="B246" s="506" t="s">
        <v>1826</v>
      </c>
      <c r="C246" s="492">
        <v>46020</v>
      </c>
      <c r="D246" s="219">
        <v>36717517</v>
      </c>
      <c r="E246" s="277" t="s">
        <v>5448</v>
      </c>
      <c r="F246" s="386" t="s">
        <v>32</v>
      </c>
      <c r="G246" s="112" t="s">
        <v>4</v>
      </c>
      <c r="H246" s="493">
        <v>46020</v>
      </c>
      <c r="I246" s="25"/>
      <c r="J246" s="107" t="s">
        <v>106</v>
      </c>
      <c r="K246" s="494"/>
      <c r="L246" s="636"/>
      <c r="M246" s="496"/>
      <c r="N246" s="497"/>
      <c r="O246" s="498"/>
      <c r="P246" s="499"/>
      <c r="Q246" s="500">
        <v>46027</v>
      </c>
      <c r="R246" s="148">
        <f t="shared" si="10"/>
        <v>7</v>
      </c>
      <c r="S246" s="633" t="s">
        <v>720</v>
      </c>
      <c r="T246" s="69"/>
    </row>
    <row r="247" spans="1:20" ht="57.6" x14ac:dyDescent="0.3">
      <c r="A247" s="98">
        <f t="shared" si="9"/>
        <v>244</v>
      </c>
      <c r="B247" s="506" t="s">
        <v>1826</v>
      </c>
      <c r="C247" s="492">
        <v>46020</v>
      </c>
      <c r="D247" s="219">
        <v>5575117</v>
      </c>
      <c r="E247" s="270" t="s">
        <v>5477</v>
      </c>
      <c r="F247" s="386" t="s">
        <v>39</v>
      </c>
      <c r="G247" s="112" t="s">
        <v>4</v>
      </c>
      <c r="H247" s="493">
        <v>46020</v>
      </c>
      <c r="I247" s="25">
        <v>10000337689</v>
      </c>
      <c r="J247" s="107" t="s">
        <v>5458</v>
      </c>
      <c r="K247" s="494"/>
      <c r="L247" s="495"/>
      <c r="M247" s="496"/>
      <c r="N247" s="497"/>
      <c r="O247" s="498"/>
      <c r="P247" s="499"/>
      <c r="Q247" s="500">
        <v>46027</v>
      </c>
      <c r="R247" s="148">
        <f t="shared" si="10"/>
        <v>7</v>
      </c>
      <c r="S247" s="633" t="s">
        <v>720</v>
      </c>
      <c r="T247" s="69"/>
    </row>
    <row r="248" spans="1:20" ht="28.8" x14ac:dyDescent="0.3">
      <c r="A248" s="98">
        <f t="shared" si="9"/>
        <v>245</v>
      </c>
      <c r="B248" s="506" t="s">
        <v>1826</v>
      </c>
      <c r="C248" s="492">
        <v>46020</v>
      </c>
      <c r="D248" s="219">
        <v>39464717</v>
      </c>
      <c r="E248" s="277" t="s">
        <v>5448</v>
      </c>
      <c r="F248" s="386" t="s">
        <v>32</v>
      </c>
      <c r="G248" s="112" t="s">
        <v>4</v>
      </c>
      <c r="H248" s="493">
        <v>46020</v>
      </c>
      <c r="I248" s="25"/>
      <c r="J248" s="107" t="s">
        <v>106</v>
      </c>
      <c r="K248" s="494"/>
      <c r="L248" s="495"/>
      <c r="M248" s="496"/>
      <c r="N248" s="497"/>
      <c r="O248" s="498"/>
      <c r="P248" s="499"/>
      <c r="Q248" s="500">
        <v>46027</v>
      </c>
      <c r="R248" s="148">
        <f t="shared" si="10"/>
        <v>7</v>
      </c>
      <c r="S248" s="633" t="s">
        <v>720</v>
      </c>
      <c r="T248" s="69"/>
    </row>
    <row r="249" spans="1:20" ht="28.8" x14ac:dyDescent="0.3">
      <c r="A249" s="98">
        <f t="shared" si="9"/>
        <v>246</v>
      </c>
      <c r="B249" s="506">
        <v>1550</v>
      </c>
      <c r="C249" s="492">
        <v>46020</v>
      </c>
      <c r="D249" s="219">
        <v>39342466</v>
      </c>
      <c r="E249" s="277" t="s">
        <v>5448</v>
      </c>
      <c r="F249" s="386" t="s">
        <v>32</v>
      </c>
      <c r="G249" s="112" t="s">
        <v>4</v>
      </c>
      <c r="H249" s="493">
        <v>46020</v>
      </c>
      <c r="I249" s="25"/>
      <c r="J249" s="107" t="s">
        <v>106</v>
      </c>
      <c r="K249" s="494"/>
      <c r="L249" s="495"/>
      <c r="M249" s="496"/>
      <c r="N249" s="497"/>
      <c r="O249" s="498"/>
      <c r="P249" s="499"/>
      <c r="Q249" s="500">
        <v>46027</v>
      </c>
      <c r="R249" s="148">
        <f t="shared" si="10"/>
        <v>7</v>
      </c>
      <c r="S249" s="633" t="s">
        <v>2979</v>
      </c>
      <c r="T249" s="69"/>
    </row>
    <row r="250" spans="1:20" ht="28.8" x14ac:dyDescent="0.3">
      <c r="A250" s="98">
        <f t="shared" si="9"/>
        <v>247</v>
      </c>
      <c r="B250" s="506">
        <v>1550</v>
      </c>
      <c r="C250" s="492">
        <v>46020</v>
      </c>
      <c r="D250" s="219">
        <v>7700776</v>
      </c>
      <c r="E250" s="277" t="s">
        <v>5448</v>
      </c>
      <c r="F250" s="386" t="s">
        <v>32</v>
      </c>
      <c r="G250" s="112" t="s">
        <v>4</v>
      </c>
      <c r="H250" s="493">
        <v>46020</v>
      </c>
      <c r="I250" s="25"/>
      <c r="J250" s="107" t="s">
        <v>106</v>
      </c>
      <c r="K250" s="494"/>
      <c r="L250" s="495"/>
      <c r="M250" s="496"/>
      <c r="N250" s="497"/>
      <c r="O250" s="498"/>
      <c r="P250" s="499"/>
      <c r="Q250" s="500">
        <v>46027</v>
      </c>
      <c r="R250" s="148">
        <f t="shared" si="10"/>
        <v>7</v>
      </c>
      <c r="S250" s="633" t="s">
        <v>3899</v>
      </c>
      <c r="T250" s="57"/>
    </row>
    <row r="251" spans="1:20" ht="28.8" x14ac:dyDescent="0.3">
      <c r="A251" s="98">
        <f t="shared" si="9"/>
        <v>248</v>
      </c>
      <c r="B251" s="506">
        <v>1550</v>
      </c>
      <c r="C251" s="492">
        <v>46020</v>
      </c>
      <c r="D251" s="219">
        <v>32117329</v>
      </c>
      <c r="E251" s="277" t="s">
        <v>5448</v>
      </c>
      <c r="F251" s="386" t="s">
        <v>32</v>
      </c>
      <c r="G251" s="112" t="s">
        <v>4</v>
      </c>
      <c r="H251" s="493">
        <v>46020</v>
      </c>
      <c r="I251" s="25"/>
      <c r="J251" s="107" t="s">
        <v>106</v>
      </c>
      <c r="K251" s="494"/>
      <c r="L251" s="495"/>
      <c r="M251" s="496"/>
      <c r="N251" s="497"/>
      <c r="O251" s="498"/>
      <c r="P251" s="499"/>
      <c r="Q251" s="500">
        <v>46027</v>
      </c>
      <c r="R251" s="148">
        <f t="shared" si="10"/>
        <v>7</v>
      </c>
      <c r="S251" s="633" t="s">
        <v>2974</v>
      </c>
      <c r="T251" s="57"/>
    </row>
    <row r="252" spans="1:20" ht="28.8" x14ac:dyDescent="0.3">
      <c r="A252" s="98">
        <f t="shared" si="9"/>
        <v>249</v>
      </c>
      <c r="B252" s="506">
        <v>1550</v>
      </c>
      <c r="C252" s="492">
        <v>46020</v>
      </c>
      <c r="D252" s="219">
        <v>69929610</v>
      </c>
      <c r="E252" s="277" t="s">
        <v>5448</v>
      </c>
      <c r="F252" s="386" t="s">
        <v>32</v>
      </c>
      <c r="G252" s="112" t="s">
        <v>4</v>
      </c>
      <c r="H252" s="493">
        <v>46020</v>
      </c>
      <c r="I252" s="25"/>
      <c r="J252" s="107" t="s">
        <v>106</v>
      </c>
      <c r="K252" s="494"/>
      <c r="L252" s="495"/>
      <c r="M252" s="496"/>
      <c r="N252" s="497"/>
      <c r="O252" s="498"/>
      <c r="P252" s="499"/>
      <c r="Q252" s="500">
        <v>46027</v>
      </c>
      <c r="R252" s="148">
        <f t="shared" ref="R252" si="11">Q252-H252</f>
        <v>7</v>
      </c>
      <c r="S252" s="633" t="s">
        <v>3899</v>
      </c>
      <c r="T252" s="201"/>
    </row>
    <row r="253" spans="1:20" ht="28.8" x14ac:dyDescent="0.3">
      <c r="A253" s="98">
        <f t="shared" si="9"/>
        <v>250</v>
      </c>
      <c r="B253" s="506" t="s">
        <v>301</v>
      </c>
      <c r="C253" s="492">
        <v>46020</v>
      </c>
      <c r="D253" s="219">
        <v>73095958</v>
      </c>
      <c r="E253" s="277" t="s">
        <v>5448</v>
      </c>
      <c r="F253" s="386" t="s">
        <v>32</v>
      </c>
      <c r="G253" s="112" t="s">
        <v>4</v>
      </c>
      <c r="H253" s="493">
        <v>46020</v>
      </c>
      <c r="I253" s="25"/>
      <c r="J253" s="107" t="s">
        <v>106</v>
      </c>
      <c r="K253" s="494"/>
      <c r="L253" s="495"/>
      <c r="M253" s="496"/>
      <c r="N253" s="497"/>
      <c r="O253" s="498"/>
      <c r="P253" s="499"/>
      <c r="Q253" s="500">
        <v>46027</v>
      </c>
      <c r="R253" s="148">
        <f t="shared" si="10"/>
        <v>7</v>
      </c>
      <c r="S253" s="633" t="s">
        <v>3020</v>
      </c>
      <c r="T253" s="201"/>
    </row>
    <row r="254" spans="1:20" ht="43.2" x14ac:dyDescent="0.3">
      <c r="A254" s="98">
        <f t="shared" si="9"/>
        <v>251</v>
      </c>
      <c r="B254" s="506">
        <v>1550</v>
      </c>
      <c r="C254" s="492">
        <v>46020</v>
      </c>
      <c r="D254" s="219">
        <v>27879968</v>
      </c>
      <c r="E254" s="270" t="s">
        <v>5474</v>
      </c>
      <c r="F254" s="386" t="s">
        <v>32</v>
      </c>
      <c r="G254" s="112" t="s">
        <v>8</v>
      </c>
      <c r="H254" s="493">
        <v>46020</v>
      </c>
      <c r="I254" s="25"/>
      <c r="J254" s="107" t="s">
        <v>106</v>
      </c>
      <c r="K254" s="513"/>
      <c r="L254" s="514"/>
      <c r="M254" s="515"/>
      <c r="N254" s="31"/>
      <c r="O254" s="53"/>
      <c r="P254" s="55"/>
      <c r="Q254" s="500">
        <v>46020</v>
      </c>
      <c r="R254" s="148">
        <f t="shared" si="10"/>
        <v>0</v>
      </c>
      <c r="S254" s="633" t="s">
        <v>270</v>
      </c>
      <c r="T254" s="201"/>
    </row>
    <row r="255" spans="1:20" ht="43.2" x14ac:dyDescent="0.3">
      <c r="A255" s="98">
        <f t="shared" si="9"/>
        <v>252</v>
      </c>
      <c r="B255" s="506" t="s">
        <v>301</v>
      </c>
      <c r="C255" s="492">
        <v>46020</v>
      </c>
      <c r="D255" s="219">
        <v>58632301</v>
      </c>
      <c r="E255" s="270" t="s">
        <v>5474</v>
      </c>
      <c r="F255" s="386" t="s">
        <v>32</v>
      </c>
      <c r="G255" s="112" t="s">
        <v>8</v>
      </c>
      <c r="H255" s="493">
        <v>46020</v>
      </c>
      <c r="I255" s="25"/>
      <c r="J255" s="107" t="s">
        <v>106</v>
      </c>
      <c r="K255" s="513"/>
      <c r="L255" s="514"/>
      <c r="M255" s="515"/>
      <c r="N255" s="31"/>
      <c r="O255" s="53"/>
      <c r="P255" s="55"/>
      <c r="Q255" s="500">
        <v>46020</v>
      </c>
      <c r="R255" s="148">
        <f t="shared" si="10"/>
        <v>0</v>
      </c>
      <c r="S255" s="633" t="s">
        <v>3952</v>
      </c>
      <c r="T255" s="201"/>
    </row>
    <row r="256" spans="1:20" ht="43.2" x14ac:dyDescent="0.3">
      <c r="A256" s="98">
        <f t="shared" si="9"/>
        <v>253</v>
      </c>
      <c r="B256" s="506">
        <v>1550</v>
      </c>
      <c r="C256" s="492">
        <v>46020</v>
      </c>
      <c r="D256" s="219">
        <v>92483046</v>
      </c>
      <c r="E256" s="270" t="s">
        <v>5474</v>
      </c>
      <c r="F256" s="386" t="s">
        <v>32</v>
      </c>
      <c r="G256" s="112" t="s">
        <v>8</v>
      </c>
      <c r="H256" s="493">
        <v>46020</v>
      </c>
      <c r="I256" s="25"/>
      <c r="J256" s="107" t="s">
        <v>106</v>
      </c>
      <c r="K256" s="513"/>
      <c r="L256" s="514"/>
      <c r="M256" s="515"/>
      <c r="N256" s="31"/>
      <c r="O256" s="53"/>
      <c r="P256" s="55"/>
      <c r="Q256" s="500">
        <v>46020</v>
      </c>
      <c r="R256" s="148">
        <f t="shared" si="10"/>
        <v>0</v>
      </c>
      <c r="S256" s="633" t="s">
        <v>3146</v>
      </c>
      <c r="T256" s="257"/>
    </row>
    <row r="257" spans="1:20" ht="28.8" x14ac:dyDescent="0.3">
      <c r="A257" s="98">
        <f t="shared" si="9"/>
        <v>254</v>
      </c>
      <c r="B257" s="506" t="s">
        <v>301</v>
      </c>
      <c r="C257" s="492">
        <v>46020</v>
      </c>
      <c r="D257" s="219">
        <v>113721560</v>
      </c>
      <c r="E257" s="270" t="s">
        <v>5478</v>
      </c>
      <c r="F257" s="386" t="s">
        <v>17</v>
      </c>
      <c r="G257" s="112" t="s">
        <v>8</v>
      </c>
      <c r="H257" s="493">
        <v>46020</v>
      </c>
      <c r="I257" s="25"/>
      <c r="J257" s="107" t="s">
        <v>5479</v>
      </c>
      <c r="K257" s="494"/>
      <c r="L257" s="495"/>
      <c r="M257" s="496"/>
      <c r="N257" s="497"/>
      <c r="O257" s="498"/>
      <c r="P257" s="499"/>
      <c r="Q257" s="500">
        <v>46038</v>
      </c>
      <c r="R257" s="148">
        <f t="shared" si="10"/>
        <v>18</v>
      </c>
      <c r="S257" s="633" t="s">
        <v>3952</v>
      </c>
      <c r="T257" s="57"/>
    </row>
    <row r="258" spans="1:20" ht="28.8" x14ac:dyDescent="0.3">
      <c r="A258" s="98">
        <f t="shared" si="9"/>
        <v>255</v>
      </c>
      <c r="B258" s="506" t="s">
        <v>80</v>
      </c>
      <c r="C258" s="492">
        <v>46020</v>
      </c>
      <c r="D258" s="219">
        <v>75798506</v>
      </c>
      <c r="E258" s="270" t="s">
        <v>5480</v>
      </c>
      <c r="F258" s="386" t="s">
        <v>55</v>
      </c>
      <c r="G258" s="112" t="s">
        <v>4</v>
      </c>
      <c r="H258" s="493">
        <v>46020</v>
      </c>
      <c r="I258" s="25"/>
      <c r="J258" s="107" t="s">
        <v>1357</v>
      </c>
      <c r="K258" s="494"/>
      <c r="L258" s="495"/>
      <c r="M258" s="496"/>
      <c r="N258" s="497"/>
      <c r="O258" s="498"/>
      <c r="P258" s="499"/>
      <c r="Q258" s="500">
        <v>46031</v>
      </c>
      <c r="R258" s="148">
        <f t="shared" si="10"/>
        <v>11</v>
      </c>
      <c r="S258" s="633" t="s">
        <v>4</v>
      </c>
      <c r="T258" s="57"/>
    </row>
    <row r="259" spans="1:20" ht="72" x14ac:dyDescent="0.3">
      <c r="A259" s="98">
        <f t="shared" si="9"/>
        <v>256</v>
      </c>
      <c r="B259" s="506">
        <v>1550</v>
      </c>
      <c r="C259" s="492">
        <v>46020</v>
      </c>
      <c r="D259" s="219">
        <v>41561910</v>
      </c>
      <c r="E259" s="270" t="s">
        <v>5481</v>
      </c>
      <c r="F259" s="386" t="s">
        <v>39</v>
      </c>
      <c r="G259" s="112" t="s">
        <v>6</v>
      </c>
      <c r="H259" s="493">
        <v>46021</v>
      </c>
      <c r="I259" s="25"/>
      <c r="J259" s="107" t="s">
        <v>22</v>
      </c>
      <c r="K259" s="494"/>
      <c r="L259" s="495"/>
      <c r="M259" s="496"/>
      <c r="N259" s="497"/>
      <c r="O259" s="498"/>
      <c r="P259" s="499"/>
      <c r="Q259" s="500">
        <v>46021</v>
      </c>
      <c r="R259" s="148">
        <f t="shared" si="10"/>
        <v>0</v>
      </c>
      <c r="S259" s="633" t="s">
        <v>3783</v>
      </c>
      <c r="T259" s="201"/>
    </row>
    <row r="260" spans="1:20" ht="28.8" x14ac:dyDescent="0.3">
      <c r="A260" s="98">
        <f t="shared" si="9"/>
        <v>257</v>
      </c>
      <c r="B260" s="506">
        <v>1550</v>
      </c>
      <c r="C260" s="492">
        <v>46021</v>
      </c>
      <c r="D260" s="219">
        <v>37913506</v>
      </c>
      <c r="E260" s="270" t="s">
        <v>5482</v>
      </c>
      <c r="F260" s="386" t="s">
        <v>1</v>
      </c>
      <c r="G260" s="112" t="s">
        <v>4</v>
      </c>
      <c r="H260" s="493">
        <v>46021</v>
      </c>
      <c r="I260" s="25"/>
      <c r="J260" s="107" t="s">
        <v>2352</v>
      </c>
      <c r="K260" s="518"/>
      <c r="L260" s="613"/>
      <c r="M260" s="691"/>
      <c r="N260" s="520"/>
      <c r="O260" s="520"/>
      <c r="P260" s="521"/>
      <c r="Q260" s="500">
        <v>46027</v>
      </c>
      <c r="R260" s="148">
        <f t="shared" si="10"/>
        <v>6</v>
      </c>
      <c r="S260" s="633" t="s">
        <v>2979</v>
      </c>
      <c r="T260" s="201"/>
    </row>
    <row r="261" spans="1:20" ht="43.2" x14ac:dyDescent="0.3">
      <c r="A261" s="98">
        <f t="shared" ref="A261:A282" si="12">A260+1</f>
        <v>258</v>
      </c>
      <c r="B261" s="506" t="s">
        <v>301</v>
      </c>
      <c r="C261" s="492">
        <v>46021</v>
      </c>
      <c r="D261" s="219">
        <v>75413140</v>
      </c>
      <c r="E261" s="270" t="s">
        <v>5483</v>
      </c>
      <c r="F261" s="386" t="s">
        <v>1</v>
      </c>
      <c r="G261" s="112" t="s">
        <v>8</v>
      </c>
      <c r="H261" s="493">
        <v>46021</v>
      </c>
      <c r="I261" s="25"/>
      <c r="J261" s="107" t="s">
        <v>5050</v>
      </c>
      <c r="K261" s="518"/>
      <c r="L261" s="518"/>
      <c r="M261" s="519"/>
      <c r="N261" s="520"/>
      <c r="O261" s="520"/>
      <c r="P261" s="521"/>
      <c r="Q261" s="500">
        <v>46021</v>
      </c>
      <c r="R261" s="148">
        <f t="shared" si="10"/>
        <v>0</v>
      </c>
      <c r="S261" s="633" t="s">
        <v>5484</v>
      </c>
      <c r="T261" s="201"/>
    </row>
    <row r="262" spans="1:20" ht="28.8" x14ac:dyDescent="0.3">
      <c r="A262" s="98">
        <f t="shared" si="12"/>
        <v>259</v>
      </c>
      <c r="B262" s="506">
        <v>1550</v>
      </c>
      <c r="C262" s="492">
        <v>46021</v>
      </c>
      <c r="D262" s="219">
        <v>19925913</v>
      </c>
      <c r="E262" s="270" t="s">
        <v>5485</v>
      </c>
      <c r="F262" s="386" t="s">
        <v>33</v>
      </c>
      <c r="G262" s="112" t="s">
        <v>8</v>
      </c>
      <c r="H262" s="493">
        <v>46021</v>
      </c>
      <c r="I262" s="25"/>
      <c r="J262" s="107" t="s">
        <v>1357</v>
      </c>
      <c r="K262" s="518"/>
      <c r="L262" s="518"/>
      <c r="M262" s="519"/>
      <c r="N262" s="520"/>
      <c r="O262" s="520"/>
      <c r="P262" s="521"/>
      <c r="Q262" s="500">
        <v>46027</v>
      </c>
      <c r="R262" s="148">
        <f t="shared" si="10"/>
        <v>6</v>
      </c>
      <c r="S262" s="633" t="s">
        <v>3931</v>
      </c>
      <c r="T262" s="201"/>
    </row>
    <row r="263" spans="1:20" ht="28.8" x14ac:dyDescent="0.3">
      <c r="A263" s="98">
        <f t="shared" si="12"/>
        <v>260</v>
      </c>
      <c r="B263" s="506">
        <v>1550</v>
      </c>
      <c r="C263" s="492">
        <v>46021</v>
      </c>
      <c r="D263" s="219">
        <v>92648053</v>
      </c>
      <c r="E263" s="270" t="s">
        <v>5486</v>
      </c>
      <c r="F263" s="386" t="s">
        <v>1</v>
      </c>
      <c r="G263" s="112" t="s">
        <v>4</v>
      </c>
      <c r="H263" s="493">
        <v>46021</v>
      </c>
      <c r="I263" s="25"/>
      <c r="J263" s="107" t="s">
        <v>2352</v>
      </c>
      <c r="K263" s="518"/>
      <c r="L263" s="518"/>
      <c r="M263" s="519"/>
      <c r="N263" s="520"/>
      <c r="O263" s="520"/>
      <c r="P263" s="521"/>
      <c r="Q263" s="500">
        <v>46021</v>
      </c>
      <c r="R263" s="148">
        <f t="shared" si="10"/>
        <v>0</v>
      </c>
      <c r="S263" s="633" t="s">
        <v>2970</v>
      </c>
      <c r="T263" s="201"/>
    </row>
    <row r="264" spans="1:20" ht="57.6" x14ac:dyDescent="0.3">
      <c r="A264" s="98">
        <f t="shared" si="12"/>
        <v>261</v>
      </c>
      <c r="B264" s="506">
        <v>1550</v>
      </c>
      <c r="C264" s="492">
        <v>46021</v>
      </c>
      <c r="D264" s="219">
        <v>46908404</v>
      </c>
      <c r="E264" s="270" t="s">
        <v>5487</v>
      </c>
      <c r="F264" s="386" t="s">
        <v>32</v>
      </c>
      <c r="G264" s="112" t="s">
        <v>6</v>
      </c>
      <c r="H264" s="493">
        <v>46021</v>
      </c>
      <c r="I264" s="655"/>
      <c r="J264" s="107" t="s">
        <v>106</v>
      </c>
      <c r="K264" s="518"/>
      <c r="L264" s="518"/>
      <c r="M264" s="519"/>
      <c r="N264" s="520"/>
      <c r="O264" s="520"/>
      <c r="P264" s="521"/>
      <c r="Q264" s="500">
        <v>46027</v>
      </c>
      <c r="R264" s="148">
        <f t="shared" si="10"/>
        <v>6</v>
      </c>
      <c r="S264" s="633" t="s">
        <v>2747</v>
      </c>
      <c r="T264" s="201"/>
    </row>
    <row r="265" spans="1:20" ht="57.6" x14ac:dyDescent="0.3">
      <c r="A265" s="98">
        <f t="shared" si="12"/>
        <v>262</v>
      </c>
      <c r="B265" s="506">
        <v>1550</v>
      </c>
      <c r="C265" s="492">
        <v>46021</v>
      </c>
      <c r="D265" s="219">
        <v>89832655</v>
      </c>
      <c r="E265" s="270" t="s">
        <v>5488</v>
      </c>
      <c r="F265" s="386" t="s">
        <v>39</v>
      </c>
      <c r="G265" s="112" t="s">
        <v>4</v>
      </c>
      <c r="H265" s="493">
        <v>46021</v>
      </c>
      <c r="I265" s="25">
        <v>10000337955</v>
      </c>
      <c r="J265" s="107" t="s">
        <v>135</v>
      </c>
      <c r="K265" s="518"/>
      <c r="L265" s="518"/>
      <c r="M265" s="519"/>
      <c r="N265" s="520"/>
      <c r="O265" s="520"/>
      <c r="P265" s="521"/>
      <c r="Q265" s="500">
        <v>46029</v>
      </c>
      <c r="R265" s="148">
        <f t="shared" si="10"/>
        <v>8</v>
      </c>
      <c r="S265" s="633" t="s">
        <v>2747</v>
      </c>
      <c r="T265" s="201"/>
    </row>
    <row r="266" spans="1:20" ht="57.6" x14ac:dyDescent="0.3">
      <c r="A266" s="98">
        <f t="shared" si="12"/>
        <v>263</v>
      </c>
      <c r="B266" s="506">
        <v>1550</v>
      </c>
      <c r="C266" s="492">
        <v>46021</v>
      </c>
      <c r="D266" s="219">
        <v>105061115</v>
      </c>
      <c r="E266" s="270" t="s">
        <v>5489</v>
      </c>
      <c r="F266" s="386" t="s">
        <v>32</v>
      </c>
      <c r="G266" s="112" t="s">
        <v>6</v>
      </c>
      <c r="H266" s="493">
        <v>46021</v>
      </c>
      <c r="I266" s="655"/>
      <c r="J266" s="107" t="s">
        <v>106</v>
      </c>
      <c r="K266" s="518"/>
      <c r="L266" s="518"/>
      <c r="M266" s="519"/>
      <c r="N266" s="520"/>
      <c r="O266" s="520"/>
      <c r="P266" s="521"/>
      <c r="Q266" s="500">
        <v>46027</v>
      </c>
      <c r="R266" s="148">
        <f t="shared" si="10"/>
        <v>6</v>
      </c>
      <c r="S266" s="633" t="s">
        <v>2597</v>
      </c>
      <c r="T266" s="201"/>
    </row>
    <row r="267" spans="1:20" ht="43.2" x14ac:dyDescent="0.3">
      <c r="A267" s="98">
        <f t="shared" si="12"/>
        <v>264</v>
      </c>
      <c r="B267" s="506">
        <v>1550</v>
      </c>
      <c r="C267" s="492">
        <v>46021</v>
      </c>
      <c r="D267" s="219"/>
      <c r="E267" s="270" t="s">
        <v>5490</v>
      </c>
      <c r="F267" s="386" t="s">
        <v>51</v>
      </c>
      <c r="G267" s="112" t="s">
        <v>4</v>
      </c>
      <c r="H267" s="493">
        <v>46021</v>
      </c>
      <c r="I267" s="25"/>
      <c r="J267" s="107" t="s">
        <v>1357</v>
      </c>
      <c r="K267" s="518"/>
      <c r="L267" s="518"/>
      <c r="M267" s="519"/>
      <c r="N267" s="520"/>
      <c r="O267" s="520"/>
      <c r="P267" s="521"/>
      <c r="Q267" s="500">
        <v>46021</v>
      </c>
      <c r="R267" s="148">
        <f t="shared" si="10"/>
        <v>0</v>
      </c>
      <c r="S267" s="633" t="s">
        <v>1569</v>
      </c>
      <c r="T267" s="201"/>
    </row>
    <row r="268" spans="1:20" ht="28.8" x14ac:dyDescent="0.3">
      <c r="A268" s="98">
        <f t="shared" si="12"/>
        <v>265</v>
      </c>
      <c r="B268" s="506" t="s">
        <v>4483</v>
      </c>
      <c r="C268" s="492">
        <v>46021</v>
      </c>
      <c r="D268" s="219">
        <v>70490309</v>
      </c>
      <c r="E268" s="270" t="s">
        <v>5491</v>
      </c>
      <c r="F268" s="386" t="s">
        <v>45</v>
      </c>
      <c r="G268" s="112" t="s">
        <v>6</v>
      </c>
      <c r="H268" s="493">
        <v>46021</v>
      </c>
      <c r="I268" s="25"/>
      <c r="J268" s="107" t="s">
        <v>14</v>
      </c>
      <c r="K268" s="355"/>
      <c r="L268" s="518"/>
      <c r="M268" s="519"/>
      <c r="N268" s="520"/>
      <c r="O268" s="520"/>
      <c r="P268" s="521"/>
      <c r="Q268" s="500">
        <v>46386</v>
      </c>
      <c r="R268" s="148">
        <f t="shared" si="10"/>
        <v>365</v>
      </c>
      <c r="S268" s="633" t="s">
        <v>2597</v>
      </c>
      <c r="T268" s="201"/>
    </row>
    <row r="269" spans="1:20" ht="43.2" x14ac:dyDescent="0.3">
      <c r="A269" s="98">
        <f t="shared" si="12"/>
        <v>266</v>
      </c>
      <c r="B269" s="506">
        <v>1550</v>
      </c>
      <c r="C269" s="492">
        <v>46021</v>
      </c>
      <c r="D269" s="219">
        <v>32117329</v>
      </c>
      <c r="E269" s="270" t="s">
        <v>5474</v>
      </c>
      <c r="F269" s="386" t="s">
        <v>32</v>
      </c>
      <c r="G269" s="112" t="s">
        <v>8</v>
      </c>
      <c r="H269" s="493">
        <v>46021</v>
      </c>
      <c r="I269" s="25"/>
      <c r="J269" s="107" t="s">
        <v>106</v>
      </c>
      <c r="K269" s="518"/>
      <c r="L269" s="518"/>
      <c r="M269" s="519"/>
      <c r="N269" s="520"/>
      <c r="O269" s="520"/>
      <c r="P269" s="521"/>
      <c r="Q269" s="500">
        <v>46021</v>
      </c>
      <c r="R269" s="148">
        <f t="shared" si="10"/>
        <v>0</v>
      </c>
      <c r="S269" s="633" t="s">
        <v>3841</v>
      </c>
      <c r="T269" s="201"/>
    </row>
    <row r="270" spans="1:20" ht="43.2" x14ac:dyDescent="0.3">
      <c r="A270" s="98">
        <f t="shared" si="12"/>
        <v>267</v>
      </c>
      <c r="B270" s="506">
        <v>1550</v>
      </c>
      <c r="C270" s="492">
        <v>46021</v>
      </c>
      <c r="D270" s="219">
        <v>47095989</v>
      </c>
      <c r="E270" s="270" t="s">
        <v>5474</v>
      </c>
      <c r="F270" s="386" t="s">
        <v>32</v>
      </c>
      <c r="G270" s="112" t="s">
        <v>8</v>
      </c>
      <c r="H270" s="493">
        <v>46021</v>
      </c>
      <c r="I270" s="25"/>
      <c r="J270" s="107" t="s">
        <v>106</v>
      </c>
      <c r="K270" s="518"/>
      <c r="L270" s="518"/>
      <c r="M270" s="519"/>
      <c r="N270" s="520"/>
      <c r="O270" s="520"/>
      <c r="P270" s="521"/>
      <c r="Q270" s="500">
        <v>46021</v>
      </c>
      <c r="R270" s="148">
        <f t="shared" si="10"/>
        <v>0</v>
      </c>
      <c r="S270" s="633" t="s">
        <v>270</v>
      </c>
      <c r="T270" s="201"/>
    </row>
    <row r="271" spans="1:20" ht="86.4" x14ac:dyDescent="0.3">
      <c r="A271" s="98">
        <f t="shared" si="12"/>
        <v>268</v>
      </c>
      <c r="B271" s="506">
        <v>1550</v>
      </c>
      <c r="C271" s="492">
        <v>46021</v>
      </c>
      <c r="D271" s="617">
        <v>26963876</v>
      </c>
      <c r="E271" s="270" t="s">
        <v>5492</v>
      </c>
      <c r="F271" s="386" t="s">
        <v>32</v>
      </c>
      <c r="G271" s="178" t="s">
        <v>10</v>
      </c>
      <c r="H271" s="493">
        <v>46021</v>
      </c>
      <c r="I271" s="25"/>
      <c r="J271" s="107" t="s">
        <v>106</v>
      </c>
      <c r="K271" s="518"/>
      <c r="L271" s="518"/>
      <c r="M271" s="519"/>
      <c r="N271" s="520"/>
      <c r="O271" s="520"/>
      <c r="P271" s="521"/>
      <c r="Q271" s="500">
        <v>46021</v>
      </c>
      <c r="R271" s="148">
        <f t="shared" ref="R271" si="13">Q271-H271</f>
        <v>0</v>
      </c>
      <c r="S271" s="748" t="s">
        <v>1835</v>
      </c>
      <c r="T271" s="57"/>
    </row>
    <row r="272" spans="1:20" ht="28.8" x14ac:dyDescent="0.3">
      <c r="A272" s="98">
        <f t="shared" si="12"/>
        <v>269</v>
      </c>
      <c r="B272" s="111">
        <v>1550</v>
      </c>
      <c r="C272" s="512">
        <v>46021</v>
      </c>
      <c r="D272" s="219">
        <v>35652284</v>
      </c>
      <c r="E272" s="109" t="s">
        <v>5448</v>
      </c>
      <c r="F272" s="386" t="s">
        <v>32</v>
      </c>
      <c r="G272" s="125" t="s">
        <v>4</v>
      </c>
      <c r="H272" s="568">
        <v>46021</v>
      </c>
      <c r="I272" s="341"/>
      <c r="J272" s="125" t="s">
        <v>106</v>
      </c>
      <c r="K272" s="569"/>
      <c r="L272" s="570"/>
      <c r="M272" s="570"/>
      <c r="N272" s="571"/>
      <c r="O272" s="572"/>
      <c r="P272" s="572"/>
      <c r="Q272" s="500">
        <v>46027</v>
      </c>
      <c r="R272" s="148">
        <f t="shared" si="10"/>
        <v>6</v>
      </c>
      <c r="S272" s="126" t="s">
        <v>2979</v>
      </c>
      <c r="T272" s="57"/>
    </row>
    <row r="273" spans="1:20" ht="57.6" x14ac:dyDescent="0.3">
      <c r="A273" s="98">
        <f t="shared" si="12"/>
        <v>270</v>
      </c>
      <c r="B273" s="111" t="s">
        <v>80</v>
      </c>
      <c r="C273" s="512">
        <v>46021</v>
      </c>
      <c r="D273" s="782">
        <v>25210793</v>
      </c>
      <c r="E273" s="109" t="s">
        <v>5493</v>
      </c>
      <c r="F273" s="386" t="s">
        <v>39</v>
      </c>
      <c r="G273" s="127" t="s">
        <v>4</v>
      </c>
      <c r="H273" s="568">
        <v>46021</v>
      </c>
      <c r="I273" s="341"/>
      <c r="J273" s="125" t="s">
        <v>135</v>
      </c>
      <c r="K273" s="608"/>
      <c r="L273" s="608"/>
      <c r="M273" s="608"/>
      <c r="N273" s="743"/>
      <c r="O273" s="743"/>
      <c r="P273" s="743"/>
      <c r="Q273" s="500">
        <v>46029</v>
      </c>
      <c r="R273" s="148">
        <f t="shared" si="10"/>
        <v>8</v>
      </c>
      <c r="S273" s="126" t="s">
        <v>2747</v>
      </c>
      <c r="T273" s="201"/>
    </row>
    <row r="274" spans="1:20" ht="28.8" x14ac:dyDescent="0.3">
      <c r="A274" s="98">
        <f t="shared" si="12"/>
        <v>271</v>
      </c>
      <c r="B274" s="111">
        <v>1550</v>
      </c>
      <c r="C274" s="512">
        <v>46021</v>
      </c>
      <c r="D274" s="783">
        <v>52837939</v>
      </c>
      <c r="E274" s="688" t="s">
        <v>5448</v>
      </c>
      <c r="F274" s="386" t="s">
        <v>32</v>
      </c>
      <c r="G274" s="127" t="s">
        <v>4</v>
      </c>
      <c r="H274" s="568">
        <v>46021</v>
      </c>
      <c r="I274" s="341"/>
      <c r="J274" s="125" t="s">
        <v>106</v>
      </c>
      <c r="K274" s="569"/>
      <c r="L274" s="570"/>
      <c r="M274" s="570"/>
      <c r="N274" s="571"/>
      <c r="O274" s="572"/>
      <c r="P274" s="572"/>
      <c r="Q274" s="500">
        <v>46027</v>
      </c>
      <c r="R274" s="148">
        <f t="shared" si="10"/>
        <v>6</v>
      </c>
      <c r="S274" s="126" t="s">
        <v>4</v>
      </c>
      <c r="T274" s="57"/>
    </row>
    <row r="275" spans="1:20" ht="43.2" x14ac:dyDescent="0.3">
      <c r="A275" s="98">
        <f t="shared" si="12"/>
        <v>272</v>
      </c>
      <c r="B275" s="554" t="s">
        <v>301</v>
      </c>
      <c r="C275" s="573">
        <v>46021</v>
      </c>
      <c r="D275" s="664">
        <v>120596008</v>
      </c>
      <c r="E275" s="277" t="s">
        <v>5494</v>
      </c>
      <c r="F275" s="386" t="s">
        <v>17</v>
      </c>
      <c r="G275" s="81" t="s">
        <v>6</v>
      </c>
      <c r="H275" s="493">
        <v>46021</v>
      </c>
      <c r="I275" s="555"/>
      <c r="J275" s="107" t="s">
        <v>5495</v>
      </c>
      <c r="K275" s="574"/>
      <c r="L275" s="575"/>
      <c r="M275" s="576"/>
      <c r="N275" s="577"/>
      <c r="O275" s="578"/>
      <c r="P275" s="579"/>
      <c r="Q275" s="516">
        <v>46027</v>
      </c>
      <c r="R275" s="148">
        <f t="shared" si="10"/>
        <v>6</v>
      </c>
      <c r="S275" s="634" t="s">
        <v>2747</v>
      </c>
      <c r="T275" s="57"/>
    </row>
    <row r="276" spans="1:20" ht="114" customHeight="1" x14ac:dyDescent="0.3">
      <c r="A276" s="98">
        <f t="shared" si="12"/>
        <v>273</v>
      </c>
      <c r="B276" s="506">
        <v>1550</v>
      </c>
      <c r="C276" s="573">
        <v>46021</v>
      </c>
      <c r="D276" s="664">
        <v>120763605</v>
      </c>
      <c r="E276" s="270" t="s">
        <v>5496</v>
      </c>
      <c r="F276" s="386" t="s">
        <v>1</v>
      </c>
      <c r="G276" s="781" t="s">
        <v>10</v>
      </c>
      <c r="H276" s="493">
        <v>46021</v>
      </c>
      <c r="I276" s="25"/>
      <c r="J276" s="107" t="s">
        <v>2352</v>
      </c>
      <c r="K276" s="513"/>
      <c r="L276" s="514"/>
      <c r="M276" s="515"/>
      <c r="N276" s="31"/>
      <c r="O276" s="53"/>
      <c r="P276" s="55"/>
      <c r="Q276" s="516">
        <v>46021</v>
      </c>
      <c r="R276" s="148">
        <f t="shared" si="10"/>
        <v>0</v>
      </c>
      <c r="S276" s="633" t="s">
        <v>1172</v>
      </c>
      <c r="T276" s="201"/>
    </row>
    <row r="277" spans="1:20" ht="57.6" x14ac:dyDescent="0.3">
      <c r="A277" s="98">
        <f t="shared" si="12"/>
        <v>274</v>
      </c>
      <c r="B277" s="554" t="s">
        <v>80</v>
      </c>
      <c r="C277" s="573">
        <v>46021</v>
      </c>
      <c r="D277" s="219">
        <v>90883705</v>
      </c>
      <c r="E277" s="270" t="s">
        <v>5497</v>
      </c>
      <c r="F277" s="386" t="s">
        <v>39</v>
      </c>
      <c r="G277" s="178" t="s">
        <v>10</v>
      </c>
      <c r="H277" s="493">
        <v>46021</v>
      </c>
      <c r="I277" s="503">
        <v>10000338048</v>
      </c>
      <c r="J277" s="107" t="s">
        <v>135</v>
      </c>
      <c r="K277" s="518"/>
      <c r="L277" s="518"/>
      <c r="M277" s="519"/>
      <c r="N277" s="520"/>
      <c r="O277" s="520"/>
      <c r="P277" s="521"/>
      <c r="Q277" s="346">
        <v>46031</v>
      </c>
      <c r="R277" s="148">
        <f t="shared" si="10"/>
        <v>10</v>
      </c>
      <c r="S277" s="633" t="s">
        <v>85</v>
      </c>
      <c r="T277" s="57"/>
    </row>
    <row r="278" spans="1:20" ht="28.8" x14ac:dyDescent="0.3">
      <c r="A278" s="98">
        <f t="shared" si="12"/>
        <v>275</v>
      </c>
      <c r="B278" s="554">
        <v>1550</v>
      </c>
      <c r="C278" s="516">
        <v>46021</v>
      </c>
      <c r="D278" s="219">
        <v>81516037</v>
      </c>
      <c r="E278" s="688" t="s">
        <v>5448</v>
      </c>
      <c r="F278" s="386" t="s">
        <v>32</v>
      </c>
      <c r="G278" s="221" t="s">
        <v>4</v>
      </c>
      <c r="H278" s="493">
        <v>46021</v>
      </c>
      <c r="I278" s="503"/>
      <c r="J278" s="107" t="s">
        <v>106</v>
      </c>
      <c r="K278" s="518"/>
      <c r="L278" s="518"/>
      <c r="M278" s="519"/>
      <c r="N278" s="520"/>
      <c r="O278" s="520"/>
      <c r="P278" s="521"/>
      <c r="Q278" s="500">
        <v>46027</v>
      </c>
      <c r="R278" s="148">
        <f t="shared" si="10"/>
        <v>6</v>
      </c>
      <c r="S278" s="633" t="s">
        <v>2979</v>
      </c>
      <c r="T278" s="57"/>
    </row>
    <row r="279" spans="1:20" ht="28.8" x14ac:dyDescent="0.3">
      <c r="A279" s="98">
        <f t="shared" si="12"/>
        <v>276</v>
      </c>
      <c r="B279" s="554">
        <v>1550</v>
      </c>
      <c r="C279" s="516">
        <v>46021</v>
      </c>
      <c r="D279">
        <v>4042689</v>
      </c>
      <c r="E279" s="688" t="s">
        <v>5498</v>
      </c>
      <c r="F279" s="386" t="s">
        <v>32</v>
      </c>
      <c r="G279" s="221" t="s">
        <v>4</v>
      </c>
      <c r="H279" s="493">
        <v>46021</v>
      </c>
      <c r="I279" s="25"/>
      <c r="J279" s="107" t="s">
        <v>106</v>
      </c>
      <c r="K279" s="518"/>
      <c r="L279" s="518"/>
      <c r="M279" s="519"/>
      <c r="N279" s="520"/>
      <c r="O279" s="520"/>
      <c r="P279" s="521"/>
      <c r="Q279" s="500">
        <v>46027</v>
      </c>
      <c r="R279" s="148">
        <f t="shared" si="10"/>
        <v>6</v>
      </c>
      <c r="S279" s="633" t="s">
        <v>3783</v>
      </c>
      <c r="T279" s="201"/>
    </row>
    <row r="280" spans="1:20" x14ac:dyDescent="0.3">
      <c r="A280" s="98">
        <f t="shared" si="12"/>
        <v>277</v>
      </c>
      <c r="B280" s="554">
        <v>1550</v>
      </c>
      <c r="C280" s="516">
        <v>46021</v>
      </c>
      <c r="D280">
        <v>78786843</v>
      </c>
      <c r="E280" s="270" t="s">
        <v>5499</v>
      </c>
      <c r="F280" s="386" t="s">
        <v>23</v>
      </c>
      <c r="G280" s="221" t="s">
        <v>4</v>
      </c>
      <c r="H280" s="493">
        <v>46021</v>
      </c>
      <c r="I280" s="503"/>
      <c r="J280" s="107" t="s">
        <v>135</v>
      </c>
      <c r="K280" s="513"/>
      <c r="L280" s="582"/>
      <c r="M280" s="515"/>
      <c r="N280" s="31"/>
      <c r="O280" s="53"/>
      <c r="P280" s="55"/>
      <c r="Q280" s="346">
        <v>46021</v>
      </c>
      <c r="R280" s="148">
        <f t="shared" si="10"/>
        <v>0</v>
      </c>
      <c r="S280" s="633" t="s">
        <v>2979</v>
      </c>
      <c r="T280" s="57"/>
    </row>
    <row r="281" spans="1:20" ht="43.2" x14ac:dyDescent="0.3">
      <c r="A281" s="98">
        <f t="shared" si="12"/>
        <v>278</v>
      </c>
      <c r="B281" s="554" t="s">
        <v>80</v>
      </c>
      <c r="C281" s="516">
        <v>46021</v>
      </c>
      <c r="D281" s="219">
        <v>35717815</v>
      </c>
      <c r="E281" s="270" t="s">
        <v>5500</v>
      </c>
      <c r="F281" s="386" t="s">
        <v>1</v>
      </c>
      <c r="G281" s="221" t="s">
        <v>10</v>
      </c>
      <c r="H281" s="493">
        <v>46021</v>
      </c>
      <c r="I281" s="503"/>
      <c r="J281" s="107" t="s">
        <v>5463</v>
      </c>
      <c r="K281" s="494"/>
      <c r="L281" s="495"/>
      <c r="M281" s="496"/>
      <c r="N281" s="497"/>
      <c r="O281" s="498"/>
      <c r="P281" s="499"/>
      <c r="Q281" s="500">
        <v>46034</v>
      </c>
      <c r="R281" s="148">
        <f t="shared" si="10"/>
        <v>13</v>
      </c>
      <c r="S281" s="633" t="s">
        <v>85</v>
      </c>
      <c r="T281" s="69" t="s">
        <v>5501</v>
      </c>
    </row>
    <row r="282" spans="1:20" ht="44.25" customHeight="1" x14ac:dyDescent="0.3">
      <c r="A282" s="98">
        <f t="shared" si="12"/>
        <v>279</v>
      </c>
      <c r="B282" s="554">
        <v>1550</v>
      </c>
      <c r="C282" s="516">
        <v>46021</v>
      </c>
      <c r="D282" s="219">
        <v>88401634</v>
      </c>
      <c r="E282" s="270" t="s">
        <v>5502</v>
      </c>
      <c r="F282" s="386" t="s">
        <v>7</v>
      </c>
      <c r="G282" s="221" t="s">
        <v>10</v>
      </c>
      <c r="H282" s="493">
        <v>46021</v>
      </c>
      <c r="I282" s="503"/>
      <c r="J282" s="107" t="s">
        <v>2536</v>
      </c>
      <c r="K282" s="518"/>
      <c r="L282" s="518"/>
      <c r="M282" s="519"/>
      <c r="N282" s="520"/>
      <c r="O282" s="520"/>
      <c r="P282" s="521"/>
      <c r="Q282" s="500">
        <v>46027</v>
      </c>
      <c r="R282" s="148">
        <f t="shared" si="10"/>
        <v>6</v>
      </c>
      <c r="S282" s="633" t="s">
        <v>1780</v>
      </c>
      <c r="T282" s="57"/>
    </row>
    <row r="283" spans="1:20" x14ac:dyDescent="0.3">
      <c r="C283" s="657"/>
      <c r="E283" s="212"/>
      <c r="Q283" s="657"/>
    </row>
    <row r="284" spans="1:20" x14ac:dyDescent="0.3">
      <c r="C284" s="657"/>
      <c r="E284" s="212"/>
      <c r="T284" s="24"/>
    </row>
  </sheetData>
  <autoFilter ref="A3:T282" xr:uid="{0CE73241-8FD9-4694-9628-3E274A7D9B4F}"/>
  <mergeCells count="1">
    <mergeCell ref="B1:T1"/>
  </mergeCells>
  <hyperlinks>
    <hyperlink ref="E70" r:id="rId1" xr:uid="{B41BC174-4DF2-44DE-8F9B-FE25714E041C}"/>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747B1762-7130-40BD-AF0E-563CBF86D6C0}">
          <x14:formula1>
            <xm:f>'Conceptos de Tipificación'!$E$4:$E$7</xm:f>
          </x14:formula1>
          <xm:sqref>G4:G136 G141:G282</xm:sqref>
        </x14:dataValidation>
        <x14:dataValidation type="list" allowBlank="1" showInputMessage="1" showErrorMessage="1" xr:uid="{0BA4E3BE-588C-4DCB-A310-AC9CD558BB62}">
          <x14:formula1>
            <xm:f>'Conceptos de Tipificación'!$A$3:$A$57</xm:f>
          </x14:formula1>
          <xm:sqref>F4:F94</xm:sqref>
        </x14:dataValidation>
        <x14:dataValidation type="list" allowBlank="1" showInputMessage="1" showErrorMessage="1" xr:uid="{489D12B2-5D26-48F9-BA4F-EFB45395D6F3}">
          <x14:formula1>
            <xm:f>'Conceptos de Tipificación'!$A$3:$A$60</xm:f>
          </x14:formula1>
          <xm:sqref>F95:F1048576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16</vt:i4>
      </vt:variant>
    </vt:vector>
  </HeadingPairs>
  <TitlesOfParts>
    <vt:vector size="16" baseType="lpstr">
      <vt:lpstr>Conceptos de Tipificación</vt:lpstr>
      <vt:lpstr>Enero</vt:lpstr>
      <vt:lpstr>Febrero</vt:lpstr>
      <vt:lpstr>Marzo</vt:lpstr>
      <vt:lpstr>Abril</vt:lpstr>
      <vt:lpstr>Mayo</vt:lpstr>
      <vt:lpstr>Junio</vt:lpstr>
      <vt:lpstr>Julio</vt:lpstr>
      <vt:lpstr>Agosto</vt:lpstr>
      <vt:lpstr>Septiembre</vt:lpstr>
      <vt:lpstr>Resumen Febrero</vt:lpstr>
      <vt:lpstr>Resumen Marzo</vt:lpstr>
      <vt:lpstr>Arto 120</vt:lpstr>
      <vt:lpstr>Octubre</vt:lpstr>
      <vt:lpstr>Noviembre</vt:lpstr>
      <vt:lpstr>Diciembre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Hernandez Montenegro, Mynor Enrique</dc:creator>
  <cp:keywords/>
  <dc:description/>
  <cp:lastModifiedBy>Cordon Lemus, Kevin Estuardo</cp:lastModifiedBy>
  <cp:revision/>
  <dcterms:created xsi:type="dcterms:W3CDTF">2024-02-15T14:05:18Z</dcterms:created>
  <dcterms:modified xsi:type="dcterms:W3CDTF">2026-09-08T16:37:44Z</dcterms:modified>
  <cp:category/>
  <cp:contentStatus/>
</cp:coreProperties>
</file>